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4" autoFilterDateGrouping="1"/>
  </bookViews>
  <sheets>
    <sheet name="Tesis" sheetId="1" state="visible" r:id="rId1"/>
    <sheet name="Sexenios" sheetId="2" state="visible" r:id="rId2"/>
    <sheet name="Ingresos investigación 2023" sheetId="3" state="visible" r:id="rId3"/>
    <sheet name="Ingresos investigación 2024" sheetId="4" state="visible" r:id="rId4"/>
    <sheet name="Ingresos investigación 2025" sheetId="5" state="visible" r:id="rId5"/>
    <sheet name="Correo" sheetId="6" state="veryHidden" r:id="rId6"/>
  </sheets>
  <definedNames>
    <definedName name="_xlnm._FilterDatabase" localSheetId="0" hidden="1">'Tesis'!$A$1:$T$240</definedName>
    <definedName name="_xlnm.Print_Titles" localSheetId="0">'Tesis'!$1:$1,'Tesis'!$D:$D</definedName>
    <definedName name="_xlnm._FilterDatabase" localSheetId="1" hidden="1">'Sexenios'!$A$1:$S$105</definedName>
  </definedNames>
  <calcPr calcId="191029" fullCalcOnLoad="1"/>
</workbook>
</file>

<file path=xl/styles.xml><?xml version="1.0" encoding="utf-8"?>
<styleSheet xmlns="http://schemas.openxmlformats.org/spreadsheetml/2006/main">
  <numFmts count="2">
    <numFmt numFmtId="164" formatCode="0.0"/>
    <numFmt numFmtId="165" formatCode="_-* #,##0.00\ _€_-;\-* #,##0.00\ _€_-;_-* &quot;-&quot;??\ _€_-;_-@_-"/>
  </numFmts>
  <fonts count="17">
    <font>
      <name val="Calibri"/>
      <family val="2"/>
      <color theme="1"/>
      <sz val="11"/>
      <scheme val="minor"/>
    </font>
    <font>
      <name val="Arial"/>
      <family val="2"/>
      <color theme="1"/>
      <sz val="8"/>
    </font>
    <font>
      <name val="Arial"/>
      <family val="2"/>
      <sz val="8"/>
    </font>
    <font>
      <name val="Arial"/>
      <family val="2"/>
      <b val="1"/>
      <sz val="8"/>
    </font>
    <font>
      <name val="Arial"/>
      <family val="2"/>
      <b val="1"/>
      <color indexed="8"/>
      <sz val="8"/>
    </font>
    <font>
      <name val="Arial"/>
      <family val="2"/>
      <color indexed="8"/>
      <sz val="10"/>
    </font>
    <font>
      <name val="Arial"/>
      <family val="2"/>
      <sz val="10"/>
    </font>
    <font>
      <name val="Arial"/>
      <family val="2"/>
      <b val="1"/>
      <color indexed="8"/>
      <sz val="10"/>
    </font>
    <font>
      <name val="Arial"/>
      <family val="2"/>
      <b val="1"/>
      <sz val="10"/>
    </font>
    <font>
      <name val="Arial"/>
      <family val="2"/>
      <color theme="1"/>
      <sz val="10"/>
    </font>
    <font>
      <name val="Calibri"/>
      <family val="2"/>
      <color theme="1"/>
      <sz val="11"/>
      <scheme val="minor"/>
    </font>
    <font>
      <name val="Calibri"/>
      <family val="2"/>
      <b val="1"/>
      <color theme="1"/>
      <sz val="11"/>
      <scheme val="minor"/>
    </font>
    <font>
      <name val="Calibri"/>
      <family val="2"/>
      <sz val="8"/>
      <scheme val="minor"/>
    </font>
    <font>
      <name val="Calibri"/>
      <family val="2"/>
      <color rgb="FFFF0000"/>
      <sz val="11"/>
      <scheme val="minor"/>
    </font>
    <font>
      <name val="Calibri"/>
      <family val="2"/>
      <sz val="11"/>
      <scheme val="minor"/>
    </font>
    <font>
      <name val="Arial"/>
      <family val="2"/>
      <b val="1"/>
      <color theme="0"/>
      <sz val="10"/>
    </font>
    <font>
      <name val="Arial"/>
      <family val="2"/>
      <b val="1"/>
      <color theme="1"/>
      <sz val="10"/>
    </font>
  </fonts>
  <fills count="12">
    <fill>
      <patternFill/>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
        <bgColor indexed="64"/>
      </patternFill>
    </fill>
    <fill>
      <patternFill patternType="solid">
        <fgColor rgb="FFFFFF00"/>
        <bgColor indexed="64"/>
      </patternFill>
    </fill>
    <fill>
      <patternFill patternType="solid">
        <fgColor theme="0" tint="-0.3499862666707358"/>
        <bgColor indexed="64"/>
      </patternFill>
    </fill>
    <fill>
      <patternFill patternType="solid">
        <fgColor theme="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rgb="FF92D05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theme="9" tint="0.3999755851924192"/>
      </right>
      <top style="thin">
        <color theme="9" tint="0.3999755851924192"/>
      </top>
      <bottom style="thin">
        <color theme="9" tint="0.3999755851924192"/>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
      <left style="thin">
        <color theme="4" tint="0.3999755851924192"/>
      </left>
      <right/>
      <top style="double">
        <color theme="4"/>
      </top>
      <bottom style="thin">
        <color theme="4" tint="0.3999755851924192"/>
      </bottom>
      <diagonal/>
    </border>
    <border>
      <left/>
      <right/>
      <top style="double">
        <color theme="4"/>
      </top>
      <bottom style="thin">
        <color theme="4" tint="0.3999755851924192"/>
      </bottom>
      <diagonal/>
    </border>
  </borders>
  <cellStyleXfs count="7">
    <xf numFmtId="0" fontId="10" fillId="0" borderId="0"/>
    <xf numFmtId="0" fontId="2" fillId="0" borderId="0"/>
    <xf numFmtId="0" fontId="5" fillId="0" borderId="0"/>
    <xf numFmtId="0" fontId="5" fillId="0" borderId="0"/>
    <xf numFmtId="0" fontId="6" fillId="0" borderId="0"/>
    <xf numFmtId="0" fontId="1" fillId="0" borderId="0"/>
    <xf numFmtId="165" fontId="10" fillId="0" borderId="0"/>
  </cellStyleXfs>
  <cellXfs count="80">
    <xf numFmtId="0" fontId="0" fillId="0" borderId="0" pivotButton="0" quotePrefix="0" xfId="0"/>
    <xf numFmtId="0" fontId="3" fillId="3" borderId="1" applyAlignment="1" pivotButton="0" quotePrefix="0" xfId="1">
      <alignment horizontal="center"/>
    </xf>
    <xf numFmtId="0" fontId="4" fillId="3" borderId="1" applyAlignment="1" pivotButton="0" quotePrefix="0" xfId="1">
      <alignment horizontal="center"/>
    </xf>
    <xf numFmtId="0" fontId="4" fillId="3" borderId="1" applyAlignment="1" pivotButton="0" quotePrefix="0" xfId="3">
      <alignment horizontal="center" wrapText="1"/>
    </xf>
    <xf numFmtId="0" fontId="4" fillId="3" borderId="1" applyAlignment="1" pivotButton="0" quotePrefix="0" xfId="3">
      <alignment horizontal="right" wrapText="1"/>
    </xf>
    <xf numFmtId="0" fontId="2" fillId="4" borderId="0" pivotButton="0" quotePrefix="0" xfId="1"/>
    <xf numFmtId="0" fontId="2" fillId="4" borderId="0" applyAlignment="1" pivotButton="0" quotePrefix="0" xfId="1">
      <alignment horizontal="right"/>
    </xf>
    <xf numFmtId="0" fontId="8" fillId="5" borderId="1" applyAlignment="1" pivotButton="0" quotePrefix="0" xfId="3">
      <alignment horizontal="center" textRotation="90" wrapText="1"/>
    </xf>
    <xf numFmtId="0" fontId="8" fillId="3" borderId="1" applyAlignment="1" pivotButton="0" quotePrefix="0" xfId="3">
      <alignment horizontal="center" textRotation="90" wrapText="1"/>
    </xf>
    <xf numFmtId="0" fontId="9" fillId="0" borderId="0" pivotButton="0" quotePrefix="0" xfId="5"/>
    <xf numFmtId="0" fontId="9" fillId="0" borderId="0" applyAlignment="1" pivotButton="0" quotePrefix="0" xfId="5">
      <alignment horizontal="right"/>
    </xf>
    <xf numFmtId="0" fontId="7" fillId="2" borderId="1" pivotButton="0" quotePrefix="0" xfId="0"/>
    <xf numFmtId="0" fontId="7" fillId="2" borderId="1" applyAlignment="1" pivotButton="0" quotePrefix="0" xfId="0">
      <alignment textRotation="90"/>
    </xf>
    <xf numFmtId="0" fontId="8" fillId="3" borderId="1" applyAlignment="1" pivotButton="0" quotePrefix="0" xfId="3">
      <alignment horizontal="center" wrapText="1"/>
    </xf>
    <xf numFmtId="0" fontId="0" fillId="0" borderId="1" pivotButton="0" quotePrefix="0" xfId="0"/>
    <xf numFmtId="0" fontId="0" fillId="0" borderId="1" applyAlignment="1" pivotButton="0" quotePrefix="0" xfId="0">
      <alignment horizontal="left"/>
    </xf>
    <xf numFmtId="0" fontId="4" fillId="3" borderId="1" applyAlignment="1" pivotButton="0" quotePrefix="0" xfId="2">
      <alignment horizontal="center"/>
    </xf>
    <xf numFmtId="0" fontId="6" fillId="0" borderId="1" pivotButton="0" quotePrefix="0" xfId="0"/>
    <xf numFmtId="0" fontId="6" fillId="0" borderId="1" applyAlignment="1" pivotButton="0" quotePrefix="0" xfId="0">
      <alignment horizontal="left"/>
    </xf>
    <xf numFmtId="0" fontId="0" fillId="6" borderId="0" applyAlignment="1" pivotButton="0" quotePrefix="0" xfId="0">
      <alignment wrapText="1"/>
    </xf>
    <xf numFmtId="164" fontId="2" fillId="7" borderId="0" applyAlignment="1" pivotButton="0" quotePrefix="0" xfId="1">
      <alignment horizontal="center"/>
    </xf>
    <xf numFmtId="0" fontId="2" fillId="4" borderId="1" pivotButton="0" quotePrefix="0" xfId="1"/>
    <xf numFmtId="0" fontId="2" fillId="4" borderId="1" applyAlignment="1" pivotButton="0" quotePrefix="0" xfId="1">
      <alignment horizontal="right"/>
    </xf>
    <xf numFmtId="0" fontId="2" fillId="2" borderId="0" pivotButton="0" quotePrefix="0" xfId="1"/>
    <xf numFmtId="0" fontId="2" fillId="2" borderId="0" applyAlignment="1" pivotButton="0" quotePrefix="0" xfId="1">
      <alignment horizontal="right"/>
    </xf>
    <xf numFmtId="0" fontId="0" fillId="7" borderId="0" pivotButton="0" quotePrefix="0" xfId="0"/>
    <xf numFmtId="0" fontId="0" fillId="7" borderId="0" applyAlignment="1" pivotButton="0" quotePrefix="0" xfId="0">
      <alignment horizontal="left"/>
    </xf>
    <xf numFmtId="164" fontId="11" fillId="7" borderId="0" pivotButton="0" quotePrefix="0" xfId="0"/>
    <xf numFmtId="165" fontId="0" fillId="0" borderId="0" pivotButton="0" quotePrefix="0" xfId="0"/>
    <xf numFmtId="0" fontId="0" fillId="6" borderId="0" pivotButton="0" quotePrefix="0" xfId="0"/>
    <xf numFmtId="165" fontId="0" fillId="0" borderId="0" pivotButton="0" quotePrefix="0" xfId="6"/>
    <xf numFmtId="165" fontId="0" fillId="6" borderId="0" pivotButton="0" quotePrefix="0" xfId="6"/>
    <xf numFmtId="0" fontId="0" fillId="0" borderId="0" applyAlignment="1" pivotButton="0" quotePrefix="0" xfId="0">
      <alignment wrapText="1"/>
    </xf>
    <xf numFmtId="0" fontId="11" fillId="0" borderId="1" pivotButton="0" quotePrefix="0" xfId="0"/>
    <xf numFmtId="165" fontId="11" fillId="0" borderId="1" pivotButton="0" quotePrefix="0" xfId="6"/>
    <xf numFmtId="0" fontId="0" fillId="6" borderId="3" applyAlignment="1" pivotButton="0" quotePrefix="0" xfId="0">
      <alignment wrapText="1"/>
    </xf>
    <xf numFmtId="0" fontId="13" fillId="0" borderId="1" pivotButton="0" quotePrefix="0" xfId="0"/>
    <xf numFmtId="0" fontId="2" fillId="8" borderId="1" pivotButton="0" quotePrefix="0" xfId="1"/>
    <xf numFmtId="0" fontId="2" fillId="8" borderId="1" applyAlignment="1" pivotButton="0" quotePrefix="0" xfId="1">
      <alignment horizontal="right"/>
    </xf>
    <xf numFmtId="0" fontId="2" fillId="8" borderId="0" pivotButton="0" quotePrefix="0" xfId="1"/>
    <xf numFmtId="164" fontId="2" fillId="4" borderId="1" pivotButton="0" quotePrefix="0" xfId="1"/>
    <xf numFmtId="164" fontId="2" fillId="8" borderId="1" pivotButton="0" quotePrefix="0" xfId="1"/>
    <xf numFmtId="0" fontId="0" fillId="8" borderId="1" pivotButton="0" quotePrefix="0" xfId="0"/>
    <xf numFmtId="0" fontId="0" fillId="8" borderId="1" applyAlignment="1" pivotButton="0" quotePrefix="0" xfId="0">
      <alignment horizontal="left"/>
    </xf>
    <xf numFmtId="0" fontId="9" fillId="8" borderId="0" pivotButton="0" quotePrefix="0" xfId="5"/>
    <xf numFmtId="0" fontId="6" fillId="8" borderId="1" applyAlignment="1" pivotButton="0" quotePrefix="0" xfId="0">
      <alignment horizontal="center"/>
    </xf>
    <xf numFmtId="0" fontId="14" fillId="8" borderId="1" applyAlignment="1" pivotButton="0" quotePrefix="0" xfId="0">
      <alignment horizontal="center"/>
    </xf>
    <xf numFmtId="0" fontId="15" fillId="9" borderId="4" pivotButton="0" quotePrefix="0" xfId="0"/>
    <xf numFmtId="0" fontId="15" fillId="9" borderId="5" pivotButton="0" quotePrefix="0" xfId="0"/>
    <xf numFmtId="0" fontId="9" fillId="10" borderId="4" pivotButton="0" quotePrefix="0" xfId="0"/>
    <xf numFmtId="0" fontId="9" fillId="10" borderId="5" pivotButton="0" quotePrefix="0" xfId="0"/>
    <xf numFmtId="165" fontId="9" fillId="10" borderId="5" pivotButton="0" quotePrefix="0" xfId="6"/>
    <xf numFmtId="0" fontId="9" fillId="0" borderId="4" pivotButton="0" quotePrefix="0" xfId="0"/>
    <xf numFmtId="0" fontId="9" fillId="0" borderId="5" pivotButton="0" quotePrefix="0" xfId="0"/>
    <xf numFmtId="165" fontId="9" fillId="0" borderId="5" pivotButton="0" quotePrefix="0" xfId="6"/>
    <xf numFmtId="0" fontId="16" fillId="0" borderId="6" pivotButton="0" quotePrefix="0" xfId="0"/>
    <xf numFmtId="0" fontId="16" fillId="0" borderId="7" pivotButton="0" quotePrefix="0" xfId="0"/>
    <xf numFmtId="165" fontId="16" fillId="0" borderId="7" pivotButton="0" quotePrefix="0" xfId="6"/>
    <xf numFmtId="164" fontId="3" fillId="2" borderId="2" applyAlignment="1" pivotButton="0" quotePrefix="0" xfId="1">
      <alignment horizontal="center"/>
    </xf>
    <xf numFmtId="164" fontId="2" fillId="11" borderId="1" pivotButton="0" quotePrefix="0" xfId="1"/>
    <xf numFmtId="164" fontId="2" fillId="11" borderId="1" pivotButton="0" quotePrefix="0" xfId="1"/>
    <xf numFmtId="0" fontId="2" fillId="6" borderId="1" pivotButton="0" quotePrefix="0" xfId="1"/>
    <xf numFmtId="0" fontId="2" fillId="6" borderId="1" applyAlignment="1" pivotButton="0" quotePrefix="0" xfId="1">
      <alignment horizontal="right"/>
    </xf>
    <xf numFmtId="164" fontId="2" fillId="6" borderId="1" pivotButton="0" quotePrefix="0" xfId="1"/>
    <xf numFmtId="0" fontId="2" fillId="6" borderId="0" pivotButton="0" quotePrefix="0" xfId="1"/>
    <xf numFmtId="164" fontId="2" fillId="4" borderId="1" pivotButton="0" quotePrefix="0" xfId="1"/>
    <xf numFmtId="164" fontId="2" fillId="11" borderId="1" pivotButton="0" quotePrefix="0" xfId="1"/>
    <xf numFmtId="164" fontId="2" fillId="8" borderId="1" pivotButton="0" quotePrefix="0" xfId="1"/>
    <xf numFmtId="164" fontId="2" fillId="6" borderId="1" pivotButton="0" quotePrefix="0" xfId="1"/>
    <xf numFmtId="164" fontId="3" fillId="2" borderId="2" applyAlignment="1" pivotButton="0" quotePrefix="0" xfId="1">
      <alignment horizontal="center"/>
    </xf>
    <xf numFmtId="0" fontId="0" fillId="0" borderId="2" pivotButton="0" quotePrefix="0" xfId="0"/>
    <xf numFmtId="164" fontId="2" fillId="7" borderId="0" applyAlignment="1" pivotButton="0" quotePrefix="0" xfId="1">
      <alignment horizontal="center"/>
    </xf>
    <xf numFmtId="164" fontId="11" fillId="7" borderId="0" pivotButton="0" quotePrefix="0" xfId="0"/>
    <xf numFmtId="165" fontId="0" fillId="0" borderId="0" pivotButton="0" quotePrefix="0" xfId="6"/>
    <xf numFmtId="165" fontId="0" fillId="6" borderId="0" pivotButton="0" quotePrefix="0" xfId="6"/>
    <xf numFmtId="165" fontId="0" fillId="0" borderId="0" pivotButton="0" quotePrefix="0" xfId="0"/>
    <xf numFmtId="165" fontId="9" fillId="10" borderId="5" pivotButton="0" quotePrefix="0" xfId="6"/>
    <xf numFmtId="165" fontId="9" fillId="0" borderId="5" pivotButton="0" quotePrefix="0" xfId="6"/>
    <xf numFmtId="165" fontId="16" fillId="0" borderId="7" pivotButton="0" quotePrefix="0" xfId="6"/>
    <xf numFmtId="165" fontId="11" fillId="0" borderId="1" pivotButton="0" quotePrefix="0" xfId="6"/>
  </cellXfs>
  <cellStyles count="7">
    <cellStyle name="Normal" xfId="0" builtinId="0"/>
    <cellStyle name="Normal_Ind.2010" xfId="1"/>
    <cellStyle name="Normal_Becas 14_9_2005" xfId="2"/>
    <cellStyle name="Normal_PDI por Centro" xfId="3"/>
    <cellStyle name="Normal 2" xfId="4"/>
    <cellStyle name="Normal 3" xfId="5"/>
    <cellStyle name="Millares" xfId="6" builtinId="3"/>
  </cellStyles>
  <dxfs count="3">
    <dxf>
      <numFmt numFmtId="164" formatCode="_-* #,##0.00\ _€_-;\-* #,##0.00\ _€_-;_-* &quot;-&quot;??\ _€_-;_-@_-"/>
    </dxf>
    <dxf>
      <numFmt numFmtId="164" formatCode="_-* #,##0.00\ _€_-;\-* #,##0.00\ _€_-;_-* &quot;-&quot;??\ _€_-;_-@_-"/>
    </dxf>
    <dxf>
      <alignment horizontal="general" vertical="bottom"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ables/table1.xml><?xml version="1.0" encoding="utf-8"?>
<table xmlns="http://schemas.openxmlformats.org/spreadsheetml/2006/main" id="1" name="Tabla2" displayName="Tabla2" ref="A1:D59" headerRowCount="1" totalsRowCount="1">
  <autoFilter ref="A1:D58"/>
  <tableColumns count="4">
    <tableColumn id="1" name="Cód. org. aplic." totalsRowLabel="Total"/>
    <tableColumn id="2" name="Descripción justificante"/>
    <tableColumn id="3" name="Imp.cob.aplic." totalsRowFunction="sum" totalsRowDxfId="0" dataCellStyle="Millares"/>
    <tableColumn id="4" name="Observaciones"/>
  </tableColumns>
  <tableStyleInfo name="TableStyleMedium7" showFirstColumn="0" showLastColumn="0" showRowStripes="1" showColumnStripes="0"/>
</table>
</file>

<file path=xl/tables/table2.xml><?xml version="1.0" encoding="utf-8"?>
<table xmlns="http://schemas.openxmlformats.org/spreadsheetml/2006/main" id="2" name="Tabla3" displayName="Tabla3" ref="A1:C65" headerRowCount="1" totalsRowCount="1">
  <autoFilter ref="A1:C64"/>
  <tableColumns count="3">
    <tableColumn id="1" name="Org. aplic." totalsRowLabel="Total"/>
    <tableColumn id="2" name="Descripción justificante" dataDxfId="2"/>
    <tableColumn id="3" name="Imp. aplic." totalsRowFunction="sum" totalsRowDxfId="1" dataCellStyle="Millares"/>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fitToPage="1"/>
  </sheetPr>
  <dimension ref="A1:V461"/>
  <sheetViews>
    <sheetView showGridLines="0" topLeftCell="B211" zoomScale="102" zoomScaleNormal="102" workbookViewId="0">
      <selection activeCell="U247" sqref="U247"/>
    </sheetView>
  </sheetViews>
  <sheetFormatPr baseColWidth="10" defaultColWidth="10.28515625" defaultRowHeight="11.25"/>
  <cols>
    <col width="5" customWidth="1" style="5" min="1" max="1"/>
    <col width="29.7109375" customWidth="1" style="5" min="2" max="4"/>
    <col width="40.7109375" customWidth="1" style="5" min="5" max="5"/>
    <col width="9.140625" customWidth="1" style="5" min="6" max="6"/>
    <col width="9.7109375" customWidth="1" style="5" min="7" max="7"/>
    <col width="14.42578125" customWidth="1" style="5" min="8" max="8"/>
    <col width="5.85546875" customWidth="1" style="5" min="9" max="9"/>
    <col width="25.7109375" customWidth="1" style="5" min="10" max="10"/>
    <col width="5.140625" customWidth="1" style="5" min="11" max="11"/>
    <col width="5.28515625" customWidth="1" style="6" min="12" max="12"/>
    <col width="4.85546875" customWidth="1" style="5" min="13" max="13"/>
    <col width="5.28515625" customWidth="1" style="6" min="14" max="14"/>
    <col width="4.85546875" customWidth="1" style="5" min="15" max="15"/>
    <col width="4.7109375" customWidth="1" style="6" min="16" max="16"/>
    <col width="3.5703125" customWidth="1" style="5" min="17" max="17"/>
    <col width="5.140625" customWidth="1" style="5" min="18" max="20"/>
    <col width="6" customWidth="1" style="5" min="21" max="21"/>
    <col width="10.28515625" customWidth="1" style="5" min="22" max="16384"/>
  </cols>
  <sheetData>
    <row r="1" ht="45" customHeight="1">
      <c r="A1" s="1" t="inlineStr">
        <is>
          <t>C.D.</t>
        </is>
      </c>
      <c r="B1" s="2" t="inlineStr">
        <is>
          <t>Departamento</t>
        </is>
      </c>
      <c r="C1" s="2" t="inlineStr">
        <is>
          <t>Plan</t>
        </is>
      </c>
      <c r="D1" s="2" t="inlineStr">
        <is>
          <t>Alumno</t>
        </is>
      </c>
      <c r="E1" s="2" t="inlineStr">
        <is>
          <t>Tesis</t>
        </is>
      </c>
      <c r="F1" s="2" t="inlineStr">
        <is>
          <t>Fecha</t>
        </is>
      </c>
      <c r="G1" s="2" t="inlineStr">
        <is>
          <t>Tutor</t>
        </is>
      </c>
      <c r="H1" s="2" t="inlineStr">
        <is>
          <t>Rol</t>
        </is>
      </c>
      <c r="I1" s="1" t="inlineStr">
        <is>
          <t>C.DEP.</t>
        </is>
      </c>
      <c r="J1" s="2" t="inlineStr">
        <is>
          <t>Departamento Tutor</t>
        </is>
      </c>
      <c r="K1" s="1" t="inlineStr">
        <is>
          <t>ASIGNACIÓN</t>
        </is>
      </c>
      <c r="L1" s="2" t="inlineStr">
        <is>
          <t>DEP.ASIG.</t>
        </is>
      </c>
      <c r="M1" s="16" t="inlineStr">
        <is>
          <t>EJERCICIO</t>
        </is>
      </c>
      <c r="N1" s="3" t="inlineStr">
        <is>
          <t>INS 1</t>
        </is>
      </c>
      <c r="O1" s="4" t="inlineStr">
        <is>
          <t>DED INS 1</t>
        </is>
      </c>
      <c r="P1" s="3" t="inlineStr">
        <is>
          <t>INS 2</t>
        </is>
      </c>
      <c r="Q1" s="4" t="inlineStr">
        <is>
          <t>DED INS 2</t>
        </is>
      </c>
      <c r="R1" s="3" t="inlineStr">
        <is>
          <t>DED DEP</t>
        </is>
      </c>
      <c r="S1" s="3" t="inlineStr">
        <is>
          <t>TDOC DEP</t>
        </is>
      </c>
      <c r="T1" s="3" t="inlineStr">
        <is>
          <t>TDOC INST 1</t>
        </is>
      </c>
      <c r="U1" s="3" t="inlineStr">
        <is>
          <t>TDOC INST 2</t>
        </is>
      </c>
    </row>
    <row r="2">
      <c r="A2" s="21" t="inlineStr">
        <is>
          <t xml:space="preserve">U062 </t>
        </is>
      </c>
      <c r="B2" s="21" t="inlineStr">
        <is>
          <t xml:space="preserve">ADM. I.U. DE INVESTIGACIÓN INFORMÁTICA </t>
        </is>
      </c>
      <c r="C2" s="21" t="inlineStr">
        <is>
          <t xml:space="preserve">DOCTORADO EN INFORMÁTICA </t>
        </is>
      </c>
      <c r="D2" s="21" t="inlineStr">
        <is>
          <t xml:space="preserve">Cruz , Edmanuel Gaspar </t>
        </is>
      </c>
      <c r="E2" s="21" t="inlineStr">
        <is>
          <t xml:space="preserve">Robotics semantic localization using deep learning techniques </t>
        </is>
      </c>
      <c r="F2" s="21" t="inlineStr">
        <is>
          <t xml:space="preserve">28/04/2020 </t>
        </is>
      </c>
      <c r="G2" s="21" t="inlineStr">
        <is>
          <t xml:space="preserve">- </t>
        </is>
      </c>
      <c r="H2" s="21" t="inlineStr">
        <is>
          <t xml:space="preserve">Codirector de tesis </t>
        </is>
      </c>
      <c r="I2" s="21" t="inlineStr">
        <is>
          <t xml:space="preserve">U062 </t>
        </is>
      </c>
      <c r="J2" s="21" t="inlineStr">
        <is>
          <t xml:space="preserve">ADM. I.U. DE INVESTIGACIÓN INFORMÁTICA </t>
        </is>
      </c>
      <c r="K2" s="22" t="n">
        <v>0.5</v>
      </c>
      <c r="L2" s="21" t="inlineStr">
        <is>
          <t>10.19</t>
        </is>
      </c>
      <c r="M2" s="22" t="n">
        <v>2019</v>
      </c>
      <c r="N2" s="21" t="inlineStr"/>
      <c r="O2" s="22" t="inlineStr"/>
      <c r="P2" s="21" t="inlineStr"/>
      <c r="Q2" s="21" t="inlineStr"/>
      <c r="R2" s="21" t="n">
        <v>100</v>
      </c>
      <c r="S2" s="65" t="n">
        <v>0.5</v>
      </c>
      <c r="T2" s="65" t="n">
        <v>0</v>
      </c>
      <c r="U2" s="65" t="n">
        <v>0</v>
      </c>
    </row>
    <row r="3">
      <c r="A3" s="21" t="inlineStr">
        <is>
          <t xml:space="preserve">U062 </t>
        </is>
      </c>
      <c r="B3" s="21" t="inlineStr">
        <is>
          <t xml:space="preserve">ADM. I.U. DE INVESTIGACIÓN INFORMÁTICA </t>
        </is>
      </c>
      <c r="C3" s="21" t="inlineStr">
        <is>
          <t xml:space="preserve">DOCTORADO EN INFORMÁTICA </t>
        </is>
      </c>
      <c r="D3" s="21" t="inlineStr">
        <is>
          <t xml:space="preserve">Caldwell Marín, Eldon Glen </t>
        </is>
      </c>
      <c r="E3" s="21" t="inlineStr">
        <is>
          <t xml:space="preserve">ROBÓTICA ASISTENCIAL CIBER-FÍSICA PARA TERAPIA DEL HABLA-LENGUAJE </t>
        </is>
      </c>
      <c r="F3" s="21" t="inlineStr">
        <is>
          <t xml:space="preserve">27/04/2020 </t>
        </is>
      </c>
      <c r="G3" s="21" t="inlineStr">
        <is>
          <t xml:space="preserve">- </t>
        </is>
      </c>
      <c r="H3" s="21" t="inlineStr">
        <is>
          <t xml:space="preserve">Codirector de tesis </t>
        </is>
      </c>
      <c r="I3" s="21" t="inlineStr">
        <is>
          <t xml:space="preserve">U062 </t>
        </is>
      </c>
      <c r="J3" s="21" t="inlineStr">
        <is>
          <t xml:space="preserve">ADM. I.U. DE INVESTIGACIÓN INFORMÁTICA </t>
        </is>
      </c>
      <c r="K3" s="22" t="n">
        <v>0.5</v>
      </c>
      <c r="L3" s="21" t="inlineStr">
        <is>
          <t>10.19</t>
        </is>
      </c>
      <c r="M3" s="22" t="n">
        <v>2019</v>
      </c>
      <c r="N3" s="21" t="inlineStr"/>
      <c r="O3" s="22" t="inlineStr"/>
      <c r="P3" s="21" t="inlineStr"/>
      <c r="Q3" s="21" t="inlineStr"/>
      <c r="R3" s="21" t="n">
        <v>100</v>
      </c>
      <c r="S3" s="65" t="n">
        <v>0.5</v>
      </c>
      <c r="T3" s="65" t="n">
        <v>0</v>
      </c>
      <c r="U3" s="65" t="n">
        <v>0</v>
      </c>
    </row>
    <row r="4">
      <c r="A4" s="21" t="inlineStr">
        <is>
          <t xml:space="preserve">U062 </t>
        </is>
      </c>
      <c r="B4" s="21" t="inlineStr">
        <is>
          <t xml:space="preserve">ADM. I.U. DE INVESTIGACIÓN INFORMÁTICA </t>
        </is>
      </c>
      <c r="C4" s="21" t="inlineStr">
        <is>
          <t xml:space="preserve">DOCTORADO EN INFORMÁTICA </t>
        </is>
      </c>
      <c r="D4" s="21" t="inlineStr">
        <is>
          <t xml:space="preserve">Bravo Fuentes, Paloma </t>
        </is>
      </c>
      <c r="E4" s="21" t="inlineStr">
        <is>
          <t xml:space="preserve">Propuesta metodológica para la enseñanza de la flauta dulce en educación primaria mediante el soporte de complementos tecnológicos para el aprendizaje autónomo. </t>
        </is>
      </c>
      <c r="F4" s="21" t="inlineStr">
        <is>
          <t xml:space="preserve">29/07/2021 </t>
        </is>
      </c>
      <c r="G4" s="21" t="inlineStr">
        <is>
          <t xml:space="preserve">- </t>
        </is>
      </c>
      <c r="H4" s="21" t="inlineStr">
        <is>
          <t xml:space="preserve">Codirector de tesis </t>
        </is>
      </c>
      <c r="I4" s="21" t="inlineStr">
        <is>
          <t xml:space="preserve">U062 </t>
        </is>
      </c>
      <c r="J4" s="21" t="inlineStr">
        <is>
          <t xml:space="preserve">ADM. I.U. DE INVESTIGACIÓN INFORMÁTICA </t>
        </is>
      </c>
      <c r="K4" s="22" t="n">
        <v>0.5</v>
      </c>
      <c r="L4" s="21" t="inlineStr">
        <is>
          <t>10.19</t>
        </is>
      </c>
      <c r="M4" s="22" t="n">
        <v>2020</v>
      </c>
      <c r="N4" s="21" t="inlineStr"/>
      <c r="O4" s="22" t="inlineStr"/>
      <c r="P4" s="21" t="inlineStr"/>
      <c r="Q4" s="21" t="inlineStr"/>
      <c r="R4" s="21" t="n">
        <v>100</v>
      </c>
      <c r="S4" s="65" t="n">
        <v>0.5</v>
      </c>
      <c r="T4" s="65" t="n">
        <v>0</v>
      </c>
      <c r="U4" s="65" t="n">
        <v>0</v>
      </c>
    </row>
    <row r="5">
      <c r="A5" s="21" t="inlineStr">
        <is>
          <t xml:space="preserve">U062 </t>
        </is>
      </c>
      <c r="B5" s="21" t="inlineStr">
        <is>
          <t xml:space="preserve">ADM. I.U. DE INVESTIGACIÓN INFORMÁTICA </t>
        </is>
      </c>
      <c r="C5" s="21" t="inlineStr">
        <is>
          <t xml:space="preserve">DOCTORADO EN INFORMÁTICA </t>
        </is>
      </c>
      <c r="D5" s="21" t="inlineStr">
        <is>
          <t xml:space="preserve">Hochstetter Diez, Jorge Alberto </t>
        </is>
      </c>
      <c r="E5" s="21" t="inlineStr">
        <is>
          <t xml:space="preserve">Impacto de la calidad del documento de requisitos sobre el proceso de licitaciones públicas de proyectos de desarrollo software </t>
        </is>
      </c>
      <c r="F5" s="21" t="inlineStr">
        <is>
          <t xml:space="preserve">14/01/2021 </t>
        </is>
      </c>
      <c r="G5" s="21" t="inlineStr">
        <is>
          <t xml:space="preserve">- </t>
        </is>
      </c>
      <c r="H5" s="21" t="inlineStr">
        <is>
          <t xml:space="preserve">Codirector de tesis </t>
        </is>
      </c>
      <c r="I5" s="21" t="inlineStr">
        <is>
          <t xml:space="preserve">U062 </t>
        </is>
      </c>
      <c r="J5" s="21" t="inlineStr">
        <is>
          <t xml:space="preserve">ADM. I.U. DE INVESTIGACIÓN INFORMÁTICA </t>
        </is>
      </c>
      <c r="K5" s="22" t="n">
        <v>0.5</v>
      </c>
      <c r="L5" s="21" t="inlineStr">
        <is>
          <t>10.19</t>
        </is>
      </c>
      <c r="M5" s="22" t="n">
        <v>2020</v>
      </c>
      <c r="N5" s="21" t="inlineStr"/>
      <c r="O5" s="22" t="inlineStr"/>
      <c r="P5" s="21" t="inlineStr"/>
      <c r="Q5" s="21" t="inlineStr"/>
      <c r="R5" s="21" t="n">
        <v>100</v>
      </c>
      <c r="S5" s="65" t="n">
        <v>0.5</v>
      </c>
      <c r="T5" s="65" t="n">
        <v>0</v>
      </c>
      <c r="U5" s="65" t="n">
        <v>0</v>
      </c>
    </row>
    <row r="6">
      <c r="A6" s="21" t="inlineStr">
        <is>
          <t xml:space="preserve">U062 </t>
        </is>
      </c>
      <c r="B6" s="21" t="inlineStr">
        <is>
          <t xml:space="preserve">ADM. I.U. DE INVESTIGACIÓN INFORMÁTICA </t>
        </is>
      </c>
      <c r="C6" s="21" t="inlineStr">
        <is>
          <t xml:space="preserve">DOCTORADO EN INFORMÁTICA </t>
        </is>
      </c>
      <c r="D6" s="21" t="inlineStr">
        <is>
          <t xml:space="preserve">Del Pino Bastida, Iván </t>
        </is>
      </c>
      <c r="E6" s="21" t="inlineStr">
        <is>
          <t xml:space="preserve">Desarrollo de un sistema completo de navegación autónoma basado en GNSS y LiDAR para robots terrestres que operan en entornos dinámicos y no estructurados </t>
        </is>
      </c>
      <c r="F6" s="21" t="inlineStr">
        <is>
          <t xml:space="preserve">02/09/2021 </t>
        </is>
      </c>
      <c r="G6" s="21" t="inlineStr">
        <is>
          <t xml:space="preserve">- </t>
        </is>
      </c>
      <c r="H6" s="21" t="inlineStr">
        <is>
          <t xml:space="preserve">Codirector de tesis </t>
        </is>
      </c>
      <c r="I6" s="21" t="inlineStr">
        <is>
          <t xml:space="preserve">U062 </t>
        </is>
      </c>
      <c r="J6" s="21" t="inlineStr">
        <is>
          <t xml:space="preserve">ADM. I.U. DE INVESTIGACIÓN INFORMÁTICA </t>
        </is>
      </c>
      <c r="K6" s="22" t="n">
        <v>0.5</v>
      </c>
      <c r="L6" s="21" t="inlineStr">
        <is>
          <t>10.19</t>
        </is>
      </c>
      <c r="M6" s="22" t="n">
        <v>2020</v>
      </c>
      <c r="N6" s="21" t="inlineStr"/>
      <c r="O6" s="22" t="inlineStr"/>
      <c r="P6" s="21" t="inlineStr"/>
      <c r="Q6" s="21" t="inlineStr"/>
      <c r="R6" s="21" t="n">
        <v>100</v>
      </c>
      <c r="S6" s="65" t="n">
        <v>0.5</v>
      </c>
      <c r="T6" s="65" t="n">
        <v>0</v>
      </c>
      <c r="U6" s="65" t="n">
        <v>0</v>
      </c>
    </row>
    <row r="7">
      <c r="A7" s="21" t="inlineStr">
        <is>
          <t xml:space="preserve">U062 </t>
        </is>
      </c>
      <c r="B7" s="21" t="inlineStr">
        <is>
          <t xml:space="preserve">ADM. I.U. DE INVESTIGACIÓN INFORMÁTICA </t>
        </is>
      </c>
      <c r="C7" s="21" t="inlineStr">
        <is>
          <t xml:space="preserve">DOCTORADO EN INFORMÁTICA </t>
        </is>
      </c>
      <c r="D7" s="21" t="inlineStr">
        <is>
          <t xml:space="preserve">Diéguez Rebolledo, Mauricio Rubén </t>
        </is>
      </c>
      <c r="E7" s="21" t="inlineStr">
        <is>
          <t xml:space="preserve">Enfoque metodológico para la selección de controles de seguridad de la información </t>
        </is>
      </c>
      <c r="F7" s="21" t="inlineStr">
        <is>
          <t xml:space="preserve">18/02/2022 </t>
        </is>
      </c>
      <c r="G7" s="21" t="inlineStr">
        <is>
          <t xml:space="preserve">- </t>
        </is>
      </c>
      <c r="H7" s="21" t="inlineStr">
        <is>
          <t xml:space="preserve">Codirector de tesis </t>
        </is>
      </c>
      <c r="I7" s="21" t="inlineStr">
        <is>
          <t xml:space="preserve">U062 </t>
        </is>
      </c>
      <c r="J7" s="21" t="inlineStr">
        <is>
          <t xml:space="preserve">ADM. I.U. DE INVESTIGACIÓN INFORMÁTICA </t>
        </is>
      </c>
      <c r="K7" s="22" t="n">
        <v>0.5</v>
      </c>
      <c r="L7" s="21" t="inlineStr">
        <is>
          <t>10.19</t>
        </is>
      </c>
      <c r="M7" s="22" t="n">
        <v>2021</v>
      </c>
      <c r="N7" s="21" t="inlineStr"/>
      <c r="O7" s="22" t="inlineStr"/>
      <c r="P7" s="21" t="inlineStr"/>
      <c r="Q7" s="21" t="inlineStr"/>
      <c r="R7" s="21" t="n">
        <v>100</v>
      </c>
      <c r="S7" s="65" t="n">
        <v>0.5</v>
      </c>
      <c r="T7" s="65" t="n">
        <v>0</v>
      </c>
      <c r="U7" s="65" t="n">
        <v>0</v>
      </c>
    </row>
    <row r="8">
      <c r="A8" s="21" t="inlineStr">
        <is>
          <t xml:space="preserve">U062 </t>
        </is>
      </c>
      <c r="B8" s="21" t="inlineStr">
        <is>
          <t xml:space="preserve">ADM. I.U. DE INVESTIGACIÓN INFORMÁTICA </t>
        </is>
      </c>
      <c r="C8" s="21" t="inlineStr">
        <is>
          <t xml:space="preserve">DOCTORADO EN INFORMÁTICA </t>
        </is>
      </c>
      <c r="D8" s="21" t="inlineStr">
        <is>
          <t xml:space="preserve">Arrebola Moreno, Clara </t>
        </is>
      </c>
      <c r="E8" s="21" t="inlineStr">
        <is>
          <t xml:space="preserve">Tecnologías aplicadas al proceso de enseñanza-aprendizaje del repertorio del Canto Lírico </t>
        </is>
      </c>
      <c r="F8" s="21" t="inlineStr">
        <is>
          <t xml:space="preserve">19/11/2021 </t>
        </is>
      </c>
      <c r="G8" s="21" t="inlineStr">
        <is>
          <t xml:space="preserve">- </t>
        </is>
      </c>
      <c r="H8" s="21" t="inlineStr">
        <is>
          <t xml:space="preserve">Codirector de tesis </t>
        </is>
      </c>
      <c r="I8" s="21" t="inlineStr">
        <is>
          <t xml:space="preserve">U062 </t>
        </is>
      </c>
      <c r="J8" s="21" t="inlineStr">
        <is>
          <t xml:space="preserve">ADM. I.U. DE INVESTIGACIÓN INFORMÁTICA </t>
        </is>
      </c>
      <c r="K8" s="22" t="n">
        <v>0.5</v>
      </c>
      <c r="L8" s="21" t="inlineStr">
        <is>
          <t>10.19</t>
        </is>
      </c>
      <c r="M8" s="22" t="n">
        <v>2021</v>
      </c>
      <c r="N8" s="21" t="inlineStr"/>
      <c r="O8" s="22" t="inlineStr"/>
      <c r="P8" s="21" t="inlineStr"/>
      <c r="Q8" s="21" t="inlineStr"/>
      <c r="R8" s="21" t="n">
        <v>100</v>
      </c>
      <c r="S8" s="65" t="n">
        <v>0.5</v>
      </c>
      <c r="T8" s="65" t="n">
        <v>0</v>
      </c>
      <c r="U8" s="65" t="n">
        <v>0</v>
      </c>
    </row>
    <row r="9">
      <c r="A9" s="21" t="inlineStr">
        <is>
          <t xml:space="preserve">U062 </t>
        </is>
      </c>
      <c r="B9" s="21" t="inlineStr">
        <is>
          <t xml:space="preserve">ADM. I.U. DE INVESTIGACIÓN INFORMÁTICA </t>
        </is>
      </c>
      <c r="C9" s="21" t="inlineStr">
        <is>
          <t xml:space="preserve">DOCTORADO EN INFORMÁTICA </t>
        </is>
      </c>
      <c r="D9" s="21" t="inlineStr">
        <is>
          <t xml:space="preserve">Piad Morffis, Alejandro </t>
        </is>
      </c>
      <c r="E9" s="21" t="inlineStr">
        <is>
          <t xml:space="preserve">Ecosistema para el Descubrimiento de Conocimiento en Lenguaje Natural </t>
        </is>
      </c>
      <c r="F9" s="21" t="inlineStr">
        <is>
          <t xml:space="preserve">16/12/2021 </t>
        </is>
      </c>
      <c r="G9" s="21" t="inlineStr">
        <is>
          <t xml:space="preserve">- </t>
        </is>
      </c>
      <c r="H9" s="21" t="inlineStr">
        <is>
          <t xml:space="preserve">Codirector de tesis </t>
        </is>
      </c>
      <c r="I9" s="21" t="inlineStr">
        <is>
          <t xml:space="preserve">U062 </t>
        </is>
      </c>
      <c r="J9" s="21" t="inlineStr">
        <is>
          <t xml:space="preserve">ADM. I.U. DE INVESTIGACIÓN INFORMÁTICA </t>
        </is>
      </c>
      <c r="K9" s="22" t="n">
        <v>0.3333333333333333</v>
      </c>
      <c r="L9" s="21" t="inlineStr">
        <is>
          <t>10.19</t>
        </is>
      </c>
      <c r="M9" s="22" t="n">
        <v>2021</v>
      </c>
      <c r="N9" s="21" t="inlineStr"/>
      <c r="O9" s="22" t="inlineStr"/>
      <c r="P9" s="21" t="inlineStr"/>
      <c r="Q9" s="21" t="inlineStr"/>
      <c r="R9" s="21" t="n">
        <v>100</v>
      </c>
      <c r="S9" s="65" t="n">
        <v>0.3333333333333333</v>
      </c>
      <c r="T9" s="65" t="n">
        <v>0</v>
      </c>
      <c r="U9" s="65" t="n">
        <v>0</v>
      </c>
    </row>
    <row r="10">
      <c r="A10" s="21" t="inlineStr">
        <is>
          <t xml:space="preserve">U062 </t>
        </is>
      </c>
      <c r="B10" s="21" t="inlineStr">
        <is>
          <t xml:space="preserve">ADM. I.U. DE INVESTIGACIÓN INFORMÁTICA </t>
        </is>
      </c>
      <c r="C10" s="21" t="inlineStr">
        <is>
          <t xml:space="preserve">DOCTORADO EN INFORMÁTICA </t>
        </is>
      </c>
      <c r="D10" s="21" t="inlineStr">
        <is>
          <t xml:space="preserve">Estévez Velarde, Suilan </t>
        </is>
      </c>
      <c r="E10" s="21" t="inlineStr">
        <is>
          <t xml:space="preserve">Descubrimiento Automático de Flujos de Aprendizaje de Máquina basado en Gramáticas Probabilísticas </t>
        </is>
      </c>
      <c r="F10" s="21" t="inlineStr">
        <is>
          <t xml:space="preserve">02/12/2021 </t>
        </is>
      </c>
      <c r="G10" s="21" t="inlineStr">
        <is>
          <t xml:space="preserve">- </t>
        </is>
      </c>
      <c r="H10" s="21" t="inlineStr">
        <is>
          <t xml:space="preserve">Codirector de tesis </t>
        </is>
      </c>
      <c r="I10" s="21" t="inlineStr">
        <is>
          <t xml:space="preserve">U062 </t>
        </is>
      </c>
      <c r="J10" s="21" t="inlineStr">
        <is>
          <t xml:space="preserve">ADM. I.U. DE INVESTIGACIÓN INFORMÁTICA </t>
        </is>
      </c>
      <c r="K10" s="22" t="n">
        <v>0.3333333333333333</v>
      </c>
      <c r="L10" s="21" t="inlineStr">
        <is>
          <t>10.19</t>
        </is>
      </c>
      <c r="M10" s="22" t="n">
        <v>2021</v>
      </c>
      <c r="N10" s="21" t="inlineStr"/>
      <c r="O10" s="22" t="inlineStr"/>
      <c r="P10" s="21" t="inlineStr"/>
      <c r="Q10" s="21" t="inlineStr"/>
      <c r="R10" s="21" t="n">
        <v>100</v>
      </c>
      <c r="S10" s="65" t="n">
        <v>0.3333333333333333</v>
      </c>
      <c r="T10" s="65" t="n">
        <v>0</v>
      </c>
      <c r="U10" s="65" t="n">
        <v>0</v>
      </c>
    </row>
    <row r="11">
      <c r="A11" s="21" t="inlineStr">
        <is>
          <t xml:space="preserve">U062 </t>
        </is>
      </c>
      <c r="B11" s="21" t="inlineStr">
        <is>
          <t xml:space="preserve">I.U. DE INVESTIGACIÓN INFORMÁTICA (10.19) </t>
        </is>
      </c>
      <c r="C11" s="21" t="inlineStr">
        <is>
          <t xml:space="preserve">DOCTORADO EN INFORMÁTICA </t>
        </is>
      </c>
      <c r="D11" s="21" t="inlineStr">
        <is>
          <t xml:space="preserve">Sánchez Torres, Fulgencio </t>
        </is>
      </c>
      <c r="E11" s="21" t="inlineStr">
        <is>
          <t xml:space="preserve">Data science como soporte al modelado del conocimiento para el análisis de costes en la empresa 4.0: la entidad turística </t>
        </is>
      </c>
      <c r="F11" s="21" t="inlineStr">
        <is>
          <t xml:space="preserve">22/09/2022 </t>
        </is>
      </c>
      <c r="G11" s="21" t="inlineStr">
        <is>
          <t xml:space="preserve">- </t>
        </is>
      </c>
      <c r="H11" s="21" t="inlineStr">
        <is>
          <t xml:space="preserve">Codirector de tesis </t>
        </is>
      </c>
      <c r="I11" s="21" t="inlineStr">
        <is>
          <t xml:space="preserve">U062 </t>
        </is>
      </c>
      <c r="J11" s="21" t="inlineStr">
        <is>
          <t xml:space="preserve">I.U. DE INVESTIGACIÓN INFORMÁTICA (10.19) </t>
        </is>
      </c>
      <c r="K11" s="22" t="n">
        <v>0.5</v>
      </c>
      <c r="L11" s="21" t="inlineStr">
        <is>
          <t>10.19</t>
        </is>
      </c>
      <c r="M11" s="22" t="n">
        <v>2021</v>
      </c>
      <c r="N11" s="21" t="inlineStr"/>
      <c r="O11" s="22" t="inlineStr"/>
      <c r="P11" s="21" t="inlineStr"/>
      <c r="Q11" s="21" t="inlineStr"/>
      <c r="R11" s="21" t="n">
        <v>100</v>
      </c>
      <c r="S11" s="65" t="n">
        <v>0.5</v>
      </c>
      <c r="T11" s="65" t="n">
        <v>0</v>
      </c>
      <c r="U11" s="65" t="n">
        <v>0</v>
      </c>
    </row>
    <row r="12">
      <c r="A12" s="21" t="inlineStr">
        <is>
          <t xml:space="preserve">U062 </t>
        </is>
      </c>
      <c r="B12" s="21" t="inlineStr">
        <is>
          <t xml:space="preserve">I.U. DE INVESTIGACIÓN INFORMÁTICA (10.19) </t>
        </is>
      </c>
      <c r="C12" s="21" t="inlineStr">
        <is>
          <t xml:space="preserve">DOCTORADO EN INFORMÁTICA </t>
        </is>
      </c>
      <c r="D12" s="21" t="inlineStr">
        <is>
          <t>Castro Vargas, John Alejandro</t>
        </is>
      </c>
      <c r="E12" s="21" t="inlineStr">
        <is>
          <t xml:space="preserve">Contributions on 3D Human Computer-Interaction using Deep approaches </t>
        </is>
      </c>
      <c r="F12" s="21" t="inlineStr">
        <is>
          <t xml:space="preserve">16/03/2023 </t>
        </is>
      </c>
      <c r="G12" s="21" t="inlineStr">
        <is>
          <t xml:space="preserve">48718198N </t>
        </is>
      </c>
      <c r="H12" s="21" t="inlineStr">
        <is>
          <t xml:space="preserve">Codirector de tesis </t>
        </is>
      </c>
      <c r="I12" s="21" t="inlineStr">
        <is>
          <t xml:space="preserve">U062 </t>
        </is>
      </c>
      <c r="J12" s="21" t="inlineStr">
        <is>
          <t xml:space="preserve">I.U. DE INVESTIGACIÓN INFORMÁTICA (10.19) </t>
        </is>
      </c>
      <c r="K12" s="22" t="n">
        <v>0.5</v>
      </c>
      <c r="L12" s="21" t="inlineStr">
        <is>
          <t>10.19</t>
        </is>
      </c>
      <c r="M12" s="22" t="n">
        <v>2022</v>
      </c>
      <c r="N12" s="21" t="inlineStr"/>
      <c r="O12" s="22" t="inlineStr"/>
      <c r="P12" s="21" t="inlineStr"/>
      <c r="Q12" s="21" t="inlineStr"/>
      <c r="R12" s="21" t="n">
        <v>100</v>
      </c>
      <c r="S12" s="65" t="n">
        <v>0.5</v>
      </c>
      <c r="T12" s="65" t="n">
        <v>0</v>
      </c>
      <c r="U12" s="65" t="n">
        <v>0</v>
      </c>
    </row>
    <row r="13">
      <c r="A13" s="21" t="inlineStr">
        <is>
          <t xml:space="preserve">U062 </t>
        </is>
      </c>
      <c r="B13" s="21" t="inlineStr">
        <is>
          <t xml:space="preserve">I.U. DE INVESTIGACIÓN INFORMÁTICA (10.19) </t>
        </is>
      </c>
      <c r="C13" s="21" t="inlineStr">
        <is>
          <t xml:space="preserve">DOCTORADO EN INFORMÁTICA </t>
        </is>
      </c>
      <c r="D13" s="21" t="inlineStr">
        <is>
          <t>Varela Guzmán, Erick Giovanni</t>
        </is>
      </c>
      <c r="E13" s="21" t="inlineStr">
        <is>
          <t xml:space="preserve">Modelos de gestión impulsados por la tecnología para el desarrollo de sociedades inteligentes </t>
        </is>
      </c>
      <c r="F13" s="21" t="inlineStr">
        <is>
          <t xml:space="preserve">08/09/2023 </t>
        </is>
      </c>
      <c r="G13" s="21" t="inlineStr">
        <is>
          <t xml:space="preserve">- </t>
        </is>
      </c>
      <c r="H13" s="21" t="inlineStr">
        <is>
          <t xml:space="preserve">Codirector de tesis </t>
        </is>
      </c>
      <c r="I13" s="21" t="inlineStr">
        <is>
          <t xml:space="preserve">U062 </t>
        </is>
      </c>
      <c r="J13" s="21" t="inlineStr">
        <is>
          <t xml:space="preserve">I.U. DE INVESTIGACIÓN INFORMÁTICA (10.19) </t>
        </is>
      </c>
      <c r="K13" s="22" t="n">
        <v>0.5</v>
      </c>
      <c r="L13" s="21" t="inlineStr">
        <is>
          <t>10.19</t>
        </is>
      </c>
      <c r="M13" s="22" t="n">
        <v>2022</v>
      </c>
      <c r="N13" s="21" t="inlineStr"/>
      <c r="O13" s="22" t="inlineStr"/>
      <c r="P13" s="21" t="inlineStr"/>
      <c r="Q13" s="21" t="inlineStr"/>
      <c r="R13" s="21" t="n">
        <v>100</v>
      </c>
      <c r="S13" s="65" t="n">
        <v>0.5</v>
      </c>
      <c r="T13" s="65" t="n">
        <v>0</v>
      </c>
      <c r="U13" s="65" t="n">
        <v>0</v>
      </c>
    </row>
    <row r="14">
      <c r="A14" s="21" t="inlineStr">
        <is>
          <t xml:space="preserve">U062 </t>
        </is>
      </c>
      <c r="B14" s="21" t="inlineStr">
        <is>
          <t xml:space="preserve">I.U. DE INVESTIGACIÓN INFORMÁTICA (10.19) </t>
        </is>
      </c>
      <c r="C14" s="21" t="inlineStr">
        <is>
          <t xml:space="preserve">DOCTORADO EN INFORMÁTICA </t>
        </is>
      </c>
      <c r="D14" s="21" t="inlineStr">
        <is>
          <t>Guerrero Rodríguez, Byron Vicente</t>
        </is>
      </c>
      <c r="E14" s="21" t="inlineStr">
        <is>
          <t xml:space="preserve">Predicción de deslizamientos aplicando técnicas de aprendizaje automático </t>
        </is>
      </c>
      <c r="F14" s="21" t="inlineStr">
        <is>
          <t xml:space="preserve">09/06/2023 </t>
        </is>
      </c>
      <c r="G14" s="21" t="inlineStr">
        <is>
          <t xml:space="preserve">- </t>
        </is>
      </c>
      <c r="H14" s="21" t="inlineStr">
        <is>
          <t xml:space="preserve">Codirector de tesis </t>
        </is>
      </c>
      <c r="I14" s="21" t="inlineStr">
        <is>
          <t xml:space="preserve">U062 </t>
        </is>
      </c>
      <c r="J14" s="21" t="inlineStr">
        <is>
          <t xml:space="preserve">I.U. DE INVESTIGACIÓN INFORMÁTICA (10.19) </t>
        </is>
      </c>
      <c r="K14" s="22" t="n">
        <v>0.5</v>
      </c>
      <c r="L14" s="21" t="inlineStr">
        <is>
          <t>10.19</t>
        </is>
      </c>
      <c r="M14" s="22" t="n">
        <v>2022</v>
      </c>
      <c r="N14" s="21" t="inlineStr"/>
      <c r="O14" s="22" t="inlineStr"/>
      <c r="P14" s="21" t="inlineStr"/>
      <c r="Q14" s="21" t="inlineStr"/>
      <c r="R14" s="21" t="n">
        <v>100</v>
      </c>
      <c r="S14" s="65" t="n">
        <v>0.5</v>
      </c>
      <c r="T14" s="65" t="n">
        <v>0</v>
      </c>
      <c r="U14" s="65" t="n">
        <v>0</v>
      </c>
    </row>
    <row r="15">
      <c r="A15" s="21" t="inlineStr">
        <is>
          <t>U062</t>
        </is>
      </c>
      <c r="B15" s="21" t="inlineStr">
        <is>
          <t>I.U. DE INVESTIGACIÓN INFORMÁTICA (10.19)</t>
        </is>
      </c>
      <c r="C15" s="21" t="inlineStr">
        <is>
          <t>DOCTORADO EN INFORMÁTICA</t>
        </is>
      </c>
      <c r="D15" s="21" t="inlineStr">
        <is>
          <t>Consuegra Ayala, Juan Pablo</t>
        </is>
      </c>
      <c r="E15" s="21" t="inlineStr">
        <is>
          <t>Mitigación de Sesgos para la Automatización Justa de Tareas de Clasificación</t>
        </is>
      </c>
      <c r="F15" s="21" t="inlineStr">
        <is>
          <t>19/01/2024</t>
        </is>
      </c>
      <c r="G15" s="21" t="inlineStr">
        <is>
          <t>'-</t>
        </is>
      </c>
      <c r="H15" s="21" t="inlineStr">
        <is>
          <t>Codirector de tesis</t>
        </is>
      </c>
      <c r="I15" s="21" t="inlineStr">
        <is>
          <t>U062</t>
        </is>
      </c>
      <c r="J15" s="21" t="inlineStr">
        <is>
          <t>I.U. DE INVESTIGACIÓN INFORMÁTICA (10.19)</t>
        </is>
      </c>
      <c r="K15" s="22" t="n">
        <v>0.3333333333333333</v>
      </c>
      <c r="L15" s="21" t="inlineStr">
        <is>
          <t>10.19</t>
        </is>
      </c>
      <c r="M15" s="22" t="n">
        <v>2023</v>
      </c>
      <c r="N15" s="21" t="inlineStr"/>
      <c r="O15" s="22" t="inlineStr"/>
      <c r="P15" s="21" t="inlineStr"/>
      <c r="Q15" s="21" t="inlineStr"/>
      <c r="R15" s="21" t="n">
        <v>100</v>
      </c>
      <c r="S15" s="65" t="n">
        <v>0.3333333333333333</v>
      </c>
      <c r="T15" s="65" t="n">
        <v>0</v>
      </c>
      <c r="U15" s="65" t="n">
        <v>0</v>
      </c>
    </row>
    <row r="16">
      <c r="A16" s="21" t="inlineStr">
        <is>
          <t>U062</t>
        </is>
      </c>
      <c r="B16" s="21" t="inlineStr">
        <is>
          <t>I.U. DE INVESTIGACIÓN INFORMÁTICA (10.19)</t>
        </is>
      </c>
      <c r="C16" s="21" t="inlineStr">
        <is>
          <t>DOCTORADO EN INFORMÁTICA</t>
        </is>
      </c>
      <c r="D16" s="21" t="inlineStr">
        <is>
          <t>Güemes Esperón, Alejandro Miguel</t>
        </is>
      </c>
      <c r="E16" s="21" t="inlineStr">
        <is>
          <t>Modelo de generación de suites de pruebas efectivas a partir de requisitos para aplicaciones en entornos distribuidos</t>
        </is>
      </c>
      <c r="F16" s="21" t="inlineStr">
        <is>
          <t>23/07/2024</t>
        </is>
      </c>
      <c r="G16" s="21" t="inlineStr">
        <is>
          <t>'-</t>
        </is>
      </c>
      <c r="H16" s="21" t="inlineStr">
        <is>
          <t>Codirector de tesis</t>
        </is>
      </c>
      <c r="I16" s="21" t="inlineStr">
        <is>
          <t>U062</t>
        </is>
      </c>
      <c r="J16" s="21" t="inlineStr">
        <is>
          <t>I.U. DE INVESTIGACIÓN INFORMÁTICA (10.19)</t>
        </is>
      </c>
      <c r="K16" s="22" t="n">
        <v>0.3333333333333333</v>
      </c>
      <c r="L16" s="21" t="inlineStr">
        <is>
          <t>10.19</t>
        </is>
      </c>
      <c r="M16" s="22" t="n">
        <v>2023</v>
      </c>
      <c r="N16" s="21" t="inlineStr"/>
      <c r="O16" s="22" t="inlineStr"/>
      <c r="P16" s="21" t="inlineStr"/>
      <c r="Q16" s="21" t="inlineStr"/>
      <c r="R16" s="21" t="n">
        <v>100</v>
      </c>
      <c r="S16" s="65" t="n">
        <v>0.3333333333333333</v>
      </c>
      <c r="T16" s="65" t="n">
        <v>0</v>
      </c>
      <c r="U16" s="65" t="n">
        <v>0</v>
      </c>
    </row>
    <row r="17">
      <c r="A17" s="21" t="inlineStr">
        <is>
          <t>U062</t>
        </is>
      </c>
      <c r="B17" s="21" t="inlineStr">
        <is>
          <t>I.U. DE INVESTIGACIÓN INFORMÁTICA (10.19)</t>
        </is>
      </c>
      <c r="C17" s="21" t="inlineStr">
        <is>
          <t>DOCTORADO EN INFORMÁTICA</t>
        </is>
      </c>
      <c r="D17" s="21" t="inlineStr">
        <is>
          <t>Hojas Mazo, Wenny</t>
        </is>
      </c>
      <c r="E17" s="21" t="inlineStr">
        <is>
          <t>Clasificación inteligente de flujos no estacionarios de correos electrónicos: Un enfoque proactivo basado en metas</t>
        </is>
      </c>
      <c r="F17" s="21" t="inlineStr">
        <is>
          <t>06/09/2024</t>
        </is>
      </c>
      <c r="G17" s="21" t="inlineStr">
        <is>
          <t>'-</t>
        </is>
      </c>
      <c r="H17" s="21" t="inlineStr">
        <is>
          <t>Codirector de tesis</t>
        </is>
      </c>
      <c r="I17" s="21" t="inlineStr">
        <is>
          <t>U062</t>
        </is>
      </c>
      <c r="J17" s="21" t="inlineStr">
        <is>
          <t>I.U. DE INVESTIGACIÓN INFORMÁTICA (10.19)</t>
        </is>
      </c>
      <c r="K17" s="22" t="n">
        <v>0.3333333333333333</v>
      </c>
      <c r="L17" s="21" t="inlineStr">
        <is>
          <t>10.19</t>
        </is>
      </c>
      <c r="M17" s="22" t="n">
        <v>2023</v>
      </c>
      <c r="N17" s="21" t="inlineStr"/>
      <c r="O17" s="22" t="inlineStr"/>
      <c r="P17" s="21" t="inlineStr"/>
      <c r="Q17" s="21" t="inlineStr"/>
      <c r="R17" s="21" t="n">
        <v>100</v>
      </c>
      <c r="S17" s="65" t="n">
        <v>0.3333333333333333</v>
      </c>
      <c r="T17" s="65" t="n">
        <v>0</v>
      </c>
      <c r="U17" s="65" t="n">
        <v>0</v>
      </c>
    </row>
    <row r="18">
      <c r="A18" s="21" t="inlineStr">
        <is>
          <t xml:space="preserve">U044 </t>
        </is>
      </c>
      <c r="B18" s="21" t="inlineStr">
        <is>
          <t xml:space="preserve">ADM. FACULTAD DE CIENCIAS DE LA SALUD </t>
        </is>
      </c>
      <c r="C18" s="21" t="inlineStr">
        <is>
          <t xml:space="preserve">DOCTORADO EN CIENCIAS DE LA SALUD </t>
        </is>
      </c>
      <c r="D18" s="21" t="inlineStr">
        <is>
          <t xml:space="preserve">Fernández Frías, Ana María </t>
        </is>
      </c>
      <c r="E18" s="21" t="inlineStr">
        <is>
          <t xml:space="preserve">NUEVAS TECNOLOGÍAS Y CÁNCER DE MAMA. ANÁLISIS MEDIANTE E-HEALTH DE LA ANSIEDAD DURANTE LA FASE DIAGNÓSTICA DE UNA LESIÓN MAMARIA SOSPECHOSA </t>
        </is>
      </c>
      <c r="F18" s="21" t="inlineStr">
        <is>
          <t xml:space="preserve">29/07/2020 </t>
        </is>
      </c>
      <c r="G18" s="21" t="inlineStr">
        <is>
          <t xml:space="preserve">21510176R </t>
        </is>
      </c>
      <c r="H18" s="21" t="inlineStr">
        <is>
          <t xml:space="preserve">Director de tesis </t>
        </is>
      </c>
      <c r="I18" s="21" t="inlineStr">
        <is>
          <t xml:space="preserve">B148 </t>
        </is>
      </c>
      <c r="J18" s="21" t="inlineStr">
        <is>
          <t xml:space="preserve">TECNOLOGÍA INFORMÁTICA Y COMPUTACIÓN </t>
        </is>
      </c>
      <c r="K18" s="22" t="n">
        <v>1</v>
      </c>
      <c r="L18" s="21" t="inlineStr">
        <is>
          <t>B148</t>
        </is>
      </c>
      <c r="M18" s="22" t="n">
        <v>2019</v>
      </c>
      <c r="N18" s="21" t="inlineStr">
        <is>
          <t>10.19</t>
        </is>
      </c>
      <c r="O18" s="22" t="inlineStr">
        <is>
          <t>20</t>
        </is>
      </c>
      <c r="P18" s="21" t="inlineStr"/>
      <c r="Q18" s="21" t="inlineStr"/>
      <c r="R18" s="21" t="n">
        <v>80</v>
      </c>
      <c r="S18" s="65" t="n">
        <v>0.8</v>
      </c>
      <c r="T18" s="65" t="n">
        <v>0.2</v>
      </c>
      <c r="U18" s="65" t="n">
        <v>0</v>
      </c>
    </row>
    <row r="19">
      <c r="A19" s="21" t="inlineStr">
        <is>
          <t xml:space="preserve">U062 </t>
        </is>
      </c>
      <c r="B19" s="21" t="inlineStr">
        <is>
          <t xml:space="preserve">ADM. I.U. DE INVESTIGACIÓN INFORMÁTICA </t>
        </is>
      </c>
      <c r="C19" s="21" t="inlineStr">
        <is>
          <t xml:space="preserve">DOCTORADO EN INFORMÁTICA </t>
        </is>
      </c>
      <c r="D19" s="21" t="inlineStr">
        <is>
          <t xml:space="preserve">Cruz , Edmanuel Gaspar </t>
        </is>
      </c>
      <c r="E19" s="21" t="inlineStr">
        <is>
          <t xml:space="preserve">Robotics semantic localization using deep learning techniques </t>
        </is>
      </c>
      <c r="F19" s="21" t="inlineStr">
        <is>
          <t xml:space="preserve">28/04/2020 </t>
        </is>
      </c>
      <c r="G19" s="21" t="inlineStr">
        <is>
          <t xml:space="preserve">21489731A </t>
        </is>
      </c>
      <c r="H19" s="21" t="inlineStr">
        <is>
          <t xml:space="preserve">Codirector de tesis </t>
        </is>
      </c>
      <c r="I19" s="21" t="inlineStr">
        <is>
          <t xml:space="preserve">B161 </t>
        </is>
      </c>
      <c r="J19" s="21" t="inlineStr">
        <is>
          <t xml:space="preserve">CIENCIA DE LA COMPUTACION E INTELIGENCIA ARTIFICIAL </t>
        </is>
      </c>
      <c r="K19" s="22" t="n">
        <v>0.5</v>
      </c>
      <c r="L19" s="21" t="inlineStr">
        <is>
          <t>B161</t>
        </is>
      </c>
      <c r="M19" s="22" t="n">
        <v>2019</v>
      </c>
      <c r="N19" s="21" t="inlineStr">
        <is>
          <t>10.19</t>
        </is>
      </c>
      <c r="O19" s="22" t="inlineStr">
        <is>
          <t>50</t>
        </is>
      </c>
      <c r="P19" s="21" t="inlineStr"/>
      <c r="Q19" s="21" t="inlineStr"/>
      <c r="R19" s="21" t="n">
        <v>50</v>
      </c>
      <c r="S19" s="65" t="n">
        <v>0.25</v>
      </c>
      <c r="T19" s="65" t="n">
        <v>0.25</v>
      </c>
      <c r="U19" s="65" t="n">
        <v>0</v>
      </c>
    </row>
    <row r="20">
      <c r="A20" s="21" t="inlineStr">
        <is>
          <t xml:space="preserve">U062 </t>
        </is>
      </c>
      <c r="B20" s="21" t="inlineStr">
        <is>
          <t xml:space="preserve">ADM. I.U. DE INVESTIGACIÓN INFORMÁTICA </t>
        </is>
      </c>
      <c r="C20" s="21" t="inlineStr">
        <is>
          <t xml:space="preserve">DOCTORADO EN INFORMÁTICA </t>
        </is>
      </c>
      <c r="D20" s="21" t="inlineStr">
        <is>
          <t xml:space="preserve">Cadena Vela, Susana Graciela </t>
        </is>
      </c>
      <c r="E20" s="21" t="inlineStr">
        <is>
          <t xml:space="preserve">MARCO DE REFERENCIA PARA LA PUBLICACIÓN DE DATOS ABIERTOS COMPRENSIBLES BASADO EN ESTÁNDARES DE CALIDAD </t>
        </is>
      </c>
      <c r="F20" s="21" t="inlineStr">
        <is>
          <t xml:space="preserve">20/11/2019 </t>
        </is>
      </c>
      <c r="G20" s="21" t="inlineStr">
        <is>
          <t xml:space="preserve">73993969W </t>
        </is>
      </c>
      <c r="H20" s="21" t="inlineStr">
        <is>
          <t xml:space="preserve">Codirector de tesis </t>
        </is>
      </c>
      <c r="I20" s="21" t="inlineStr">
        <is>
          <t xml:space="preserve">B158 </t>
        </is>
      </c>
      <c r="J20" s="21" t="inlineStr">
        <is>
          <t xml:space="preserve">LENGUAJES Y SISTEMAS INFORMÁTICOS </t>
        </is>
      </c>
      <c r="K20" s="22" t="n">
        <v>0.5</v>
      </c>
      <c r="L20" s="21" t="inlineStr">
        <is>
          <t>B158</t>
        </is>
      </c>
      <c r="M20" s="22" t="n">
        <v>2019</v>
      </c>
      <c r="N20" s="21" t="inlineStr">
        <is>
          <t>10.19</t>
        </is>
      </c>
      <c r="O20" s="22" t="inlineStr">
        <is>
          <t>20</t>
        </is>
      </c>
      <c r="P20" s="21" t="inlineStr"/>
      <c r="Q20" s="21" t="inlineStr"/>
      <c r="R20" s="21" t="n">
        <v>80</v>
      </c>
      <c r="S20" s="65" t="n">
        <v>0.4</v>
      </c>
      <c r="T20" s="65" t="n">
        <v>0.1</v>
      </c>
      <c r="U20" s="65" t="n">
        <v>0</v>
      </c>
    </row>
    <row r="21">
      <c r="A21" s="21" t="inlineStr">
        <is>
          <t xml:space="preserve">U062 </t>
        </is>
      </c>
      <c r="B21" s="21" t="inlineStr">
        <is>
          <t xml:space="preserve">ADM. I.U. DE INVESTIGACIÓN INFORMÁTICA </t>
        </is>
      </c>
      <c r="C21" s="21" t="inlineStr">
        <is>
          <t xml:space="preserve">DOCTORADO EN INFORMÁTICA </t>
        </is>
      </c>
      <c r="D21" s="21" t="inlineStr">
        <is>
          <t xml:space="preserve">Cadena Vela, Susana Graciela </t>
        </is>
      </c>
      <c r="E21" s="21" t="inlineStr">
        <is>
          <t xml:space="preserve">MARCO DE REFERENCIA PARA LA PUBLICACIÓN DE DATOS ABIERTOS COMPRENSIBLES BASADO EN ESTÁNDARES DE CALIDAD </t>
        </is>
      </c>
      <c r="F21" s="21" t="inlineStr">
        <is>
          <t xml:space="preserve">20/11/2019 </t>
        </is>
      </c>
      <c r="G21" s="21" t="inlineStr">
        <is>
          <t xml:space="preserve">22000675W </t>
        </is>
      </c>
      <c r="H21" s="21" t="inlineStr">
        <is>
          <t xml:space="preserve">Codirector de tesis </t>
        </is>
      </c>
      <c r="I21" s="21" t="inlineStr">
        <is>
          <t xml:space="preserve">B148 </t>
        </is>
      </c>
      <c r="J21" s="21" t="inlineStr">
        <is>
          <t xml:space="preserve">TECNOLOGÍA INFORMÁTICA Y COMPUTACIÓN </t>
        </is>
      </c>
      <c r="K21" s="22" t="n">
        <v>0.5</v>
      </c>
      <c r="L21" s="21" t="inlineStr">
        <is>
          <t>B148</t>
        </is>
      </c>
      <c r="M21" s="22" t="n">
        <v>2019</v>
      </c>
      <c r="N21" s="21" t="inlineStr">
        <is>
          <t>10.19</t>
        </is>
      </c>
      <c r="O21" s="22" t="inlineStr">
        <is>
          <t>50</t>
        </is>
      </c>
      <c r="P21" s="21" t="inlineStr"/>
      <c r="Q21" s="21" t="inlineStr"/>
      <c r="R21" s="21" t="n">
        <v>50</v>
      </c>
      <c r="S21" s="65" t="n">
        <v>0.25</v>
      </c>
      <c r="T21" s="65" t="n">
        <v>0.25</v>
      </c>
      <c r="U21" s="65" t="n">
        <v>0</v>
      </c>
    </row>
    <row r="22">
      <c r="A22" s="21" t="inlineStr">
        <is>
          <t xml:space="preserve">U062 </t>
        </is>
      </c>
      <c r="B22" s="21" t="inlineStr">
        <is>
          <t xml:space="preserve">ADM. I.U. DE INVESTIGACIÓN INFORMÁTICA </t>
        </is>
      </c>
      <c r="C22" s="21" t="inlineStr">
        <is>
          <t xml:space="preserve">DOCTORADO EN INFORMÁTICA </t>
        </is>
      </c>
      <c r="D22" s="21" t="inlineStr">
        <is>
          <t xml:space="preserve">Cortes Castillo, Antonio </t>
        </is>
      </c>
      <c r="E22" s="21" t="inlineStr">
        <is>
          <t xml:space="preserve">MODELIZACIÓN DE LA PROPAGACIÓN DE INFORMACIÓN A TRAVÉS DE LAS REDES INFORMÁTICAS </t>
        </is>
      </c>
      <c r="F22" s="21" t="inlineStr">
        <is>
          <t xml:space="preserve">16/07/2020 </t>
        </is>
      </c>
      <c r="G22" s="21" t="inlineStr">
        <is>
          <t xml:space="preserve">21411855M </t>
        </is>
      </c>
      <c r="H22" s="21" t="inlineStr">
        <is>
          <t xml:space="preserve">Director de tesis </t>
        </is>
      </c>
      <c r="I22" s="21" t="inlineStr">
        <is>
          <t xml:space="preserve">B148 </t>
        </is>
      </c>
      <c r="J22" s="21" t="inlineStr">
        <is>
          <t xml:space="preserve">TECNOLOGÍA INFORMÁTICA Y COMPUTACIÓN </t>
        </is>
      </c>
      <c r="K22" s="22" t="n">
        <v>1</v>
      </c>
      <c r="L22" s="21" t="inlineStr">
        <is>
          <t>B148</t>
        </is>
      </c>
      <c r="M22" s="22" t="n">
        <v>2019</v>
      </c>
      <c r="N22" s="21" t="inlineStr">
        <is>
          <t>10.19</t>
        </is>
      </c>
      <c r="O22" s="22" t="inlineStr">
        <is>
          <t>20</t>
        </is>
      </c>
      <c r="P22" s="21" t="inlineStr"/>
      <c r="Q22" s="21" t="inlineStr"/>
      <c r="R22" s="21" t="n">
        <v>80</v>
      </c>
      <c r="S22" s="65" t="n">
        <v>0.8</v>
      </c>
      <c r="T22" s="65" t="n">
        <v>0.2</v>
      </c>
      <c r="U22" s="65" t="n">
        <v>0</v>
      </c>
    </row>
    <row r="23">
      <c r="A23" s="21" t="inlineStr">
        <is>
          <t xml:space="preserve">U062 </t>
        </is>
      </c>
      <c r="B23" s="21" t="inlineStr">
        <is>
          <t xml:space="preserve">ADM. I.U. DE INVESTIGACIÓN INFORMÁTICA </t>
        </is>
      </c>
      <c r="C23" s="21" t="inlineStr">
        <is>
          <t xml:space="preserve">DOCTORADO EN INFORMÁTICA </t>
        </is>
      </c>
      <c r="D23" s="21" t="inlineStr">
        <is>
          <t xml:space="preserve">Espín León, Aldrin Marcel </t>
        </is>
      </c>
      <c r="E23" s="21" t="inlineStr">
        <is>
          <t>Caracterización y cuantificación de la identidad cultural; aplicación a la cultura indígena amazónica</t>
        </is>
      </c>
      <c r="F23" s="21" t="inlineStr">
        <is>
          <t xml:space="preserve">06/07/2020 </t>
        </is>
      </c>
      <c r="G23" s="21" t="inlineStr">
        <is>
          <t xml:space="preserve">29011916S </t>
        </is>
      </c>
      <c r="H23" s="21" t="inlineStr">
        <is>
          <t xml:space="preserve">Codirector de tesis </t>
        </is>
      </c>
      <c r="I23" s="21" t="inlineStr">
        <is>
          <t xml:space="preserve">B148 </t>
        </is>
      </c>
      <c r="J23" s="21" t="inlineStr">
        <is>
          <t xml:space="preserve">TECNOLOGÍA INFORMÁTICA Y COMPUTACIÓN </t>
        </is>
      </c>
      <c r="K23" s="22" t="n">
        <v>0.5</v>
      </c>
      <c r="L23" s="21" t="inlineStr">
        <is>
          <t>B148</t>
        </is>
      </c>
      <c r="M23" s="22" t="n">
        <v>2019</v>
      </c>
      <c r="N23" s="21" t="inlineStr">
        <is>
          <t>10.19</t>
        </is>
      </c>
      <c r="O23" s="22" t="inlineStr">
        <is>
          <t>20</t>
        </is>
      </c>
      <c r="P23" s="21" t="inlineStr"/>
      <c r="Q23" s="21" t="inlineStr"/>
      <c r="R23" s="21" t="n">
        <v>80</v>
      </c>
      <c r="S23" s="65" t="n">
        <v>0.4</v>
      </c>
      <c r="T23" s="65" t="n">
        <v>0.1</v>
      </c>
      <c r="U23" s="65" t="n">
        <v>0</v>
      </c>
    </row>
    <row r="24">
      <c r="A24" s="21" t="inlineStr">
        <is>
          <t xml:space="preserve">U062 </t>
        </is>
      </c>
      <c r="B24" s="21" t="inlineStr">
        <is>
          <t xml:space="preserve">ADM. I.U. DE INVESTIGACIÓN INFORMÁTICA </t>
        </is>
      </c>
      <c r="C24" s="21" t="inlineStr">
        <is>
          <t xml:space="preserve">DOCTORADO EN INFORMÁTICA </t>
        </is>
      </c>
      <c r="D24" s="21" t="inlineStr">
        <is>
          <t xml:space="preserve">Caldwell Marín, Eldon Glen </t>
        </is>
      </c>
      <c r="E24" s="21" t="inlineStr">
        <is>
          <t xml:space="preserve">ROBÓTICA ASISTENCIAL CIBER-FÍSICA PARA TERAPIA DEL HABLA-LENGUAJE </t>
        </is>
      </c>
      <c r="F24" s="21" t="inlineStr">
        <is>
          <t xml:space="preserve">27/04/2020 </t>
        </is>
      </c>
      <c r="G24" s="21" t="inlineStr">
        <is>
          <t xml:space="preserve">21489731A </t>
        </is>
      </c>
      <c r="H24" s="21" t="inlineStr">
        <is>
          <t xml:space="preserve">Codirector de tesis </t>
        </is>
      </c>
      <c r="I24" s="21" t="inlineStr">
        <is>
          <t xml:space="preserve">B161 </t>
        </is>
      </c>
      <c r="J24" s="21" t="inlineStr">
        <is>
          <t xml:space="preserve">CIENCIA DE LA COMPUTACION E INTELIGENCIA ARTIFICIAL </t>
        </is>
      </c>
      <c r="K24" s="22" t="n">
        <v>0.5</v>
      </c>
      <c r="L24" s="21" t="inlineStr">
        <is>
          <t>B161</t>
        </is>
      </c>
      <c r="M24" s="22" t="n">
        <v>2019</v>
      </c>
      <c r="N24" s="21" t="inlineStr">
        <is>
          <t>10.19</t>
        </is>
      </c>
      <c r="O24" s="22" t="inlineStr">
        <is>
          <t>50</t>
        </is>
      </c>
      <c r="P24" s="21" t="inlineStr"/>
      <c r="Q24" s="21" t="inlineStr"/>
      <c r="R24" s="21" t="n">
        <v>50</v>
      </c>
      <c r="S24" s="65" t="n">
        <v>0.25</v>
      </c>
      <c r="T24" s="65" t="n">
        <v>0.25</v>
      </c>
      <c r="U24" s="65" t="n">
        <v>0</v>
      </c>
    </row>
    <row r="25">
      <c r="A25" s="21" t="inlineStr">
        <is>
          <t xml:space="preserve">U062 </t>
        </is>
      </c>
      <c r="B25" s="21" t="inlineStr">
        <is>
          <t xml:space="preserve">ADM. I.U. DE INVESTIGACIÓN INFORMÁTICA </t>
        </is>
      </c>
      <c r="C25" s="21" t="inlineStr">
        <is>
          <t xml:space="preserve">DOCTORADO EN INFORMÁTICA </t>
        </is>
      </c>
      <c r="D25" s="21" t="inlineStr">
        <is>
          <t xml:space="preserve">Arroba Rimassa, Jorge </t>
        </is>
      </c>
      <c r="E25" s="21" t="inlineStr">
        <is>
          <t xml:space="preserve">EL ANÁLISIS DE OPINIONES EN LA PREDICCIÓN POLÍTICA BASADOS EN TWITTER. UN NUEVO ENFOQUE </t>
        </is>
      </c>
      <c r="F25" s="21" t="inlineStr">
        <is>
          <t xml:space="preserve">28/10/2019 </t>
        </is>
      </c>
      <c r="G25" s="21" t="inlineStr">
        <is>
          <t xml:space="preserve">21467137H </t>
        </is>
      </c>
      <c r="H25" s="21" t="inlineStr">
        <is>
          <t xml:space="preserve">Codirector de tesis </t>
        </is>
      </c>
      <c r="I25" s="21" t="inlineStr">
        <is>
          <t xml:space="preserve">B158 </t>
        </is>
      </c>
      <c r="J25" s="21" t="inlineStr">
        <is>
          <t xml:space="preserve">LENGUAJES Y SISTEMAS INFORMÁTICOS </t>
        </is>
      </c>
      <c r="K25" s="22" t="n">
        <v>0.5</v>
      </c>
      <c r="L25" s="21" t="inlineStr">
        <is>
          <t>B158</t>
        </is>
      </c>
      <c r="M25" s="22" t="n">
        <v>2019</v>
      </c>
      <c r="N25" s="21" t="inlineStr">
        <is>
          <t>10.19</t>
        </is>
      </c>
      <c r="O25" s="22" t="inlineStr">
        <is>
          <t>20</t>
        </is>
      </c>
      <c r="P25" s="21" t="inlineStr"/>
      <c r="Q25" s="21" t="inlineStr"/>
      <c r="R25" s="21" t="n">
        <v>80</v>
      </c>
      <c r="S25" s="65" t="n">
        <v>0.4</v>
      </c>
      <c r="T25" s="65" t="n">
        <v>0.1</v>
      </c>
      <c r="U25" s="65" t="n">
        <v>0</v>
      </c>
    </row>
    <row r="26">
      <c r="A26" s="21" t="inlineStr">
        <is>
          <t xml:space="preserve">U062 </t>
        </is>
      </c>
      <c r="B26" s="21" t="inlineStr">
        <is>
          <t xml:space="preserve">ADM. I.U. DE INVESTIGACIÓN INFORMÁTICA </t>
        </is>
      </c>
      <c r="C26" s="21" t="inlineStr">
        <is>
          <t xml:space="preserve">DOCTORADO EN INFORMÁTICA </t>
        </is>
      </c>
      <c r="D26" s="21" t="inlineStr">
        <is>
          <t xml:space="preserve">Arroba Rimassa, Jorge </t>
        </is>
      </c>
      <c r="E26" s="21" t="inlineStr">
        <is>
          <t xml:space="preserve">EL ANÁLISIS DE OPINIONES EN LA PREDICCIÓN POLÍTICA BASADOS EN TWITTER. UN NUEVO ENFOQUE </t>
        </is>
      </c>
      <c r="F26" s="21" t="inlineStr">
        <is>
          <t xml:space="preserve">28/10/2019 </t>
        </is>
      </c>
      <c r="G26" s="21" t="inlineStr">
        <is>
          <t xml:space="preserve">21645638Q </t>
        </is>
      </c>
      <c r="H26" s="21" t="inlineStr">
        <is>
          <t xml:space="preserve">Codirector de tesis </t>
        </is>
      </c>
      <c r="I26" s="21" t="inlineStr">
        <is>
          <t xml:space="preserve">B158 </t>
        </is>
      </c>
      <c r="J26" s="21" t="inlineStr">
        <is>
          <t xml:space="preserve">LENGUAJES Y SISTEMAS INFORMÁTICOS </t>
        </is>
      </c>
      <c r="K26" s="22" t="n">
        <v>0.5</v>
      </c>
      <c r="L26" s="21" t="inlineStr">
        <is>
          <t>B158</t>
        </is>
      </c>
      <c r="M26" s="22" t="n">
        <v>2019</v>
      </c>
      <c r="N26" s="21" t="inlineStr">
        <is>
          <t>10.19</t>
        </is>
      </c>
      <c r="O26" s="22" t="inlineStr">
        <is>
          <t>20</t>
        </is>
      </c>
      <c r="P26" s="21" t="inlineStr"/>
      <c r="Q26" s="21" t="inlineStr"/>
      <c r="R26" s="21" t="n">
        <v>80</v>
      </c>
      <c r="S26" s="65" t="n">
        <v>0.4</v>
      </c>
      <c r="T26" s="65" t="n">
        <v>0.1</v>
      </c>
      <c r="U26" s="65" t="n">
        <v>0</v>
      </c>
    </row>
    <row r="27">
      <c r="A27" s="21" t="inlineStr">
        <is>
          <t xml:space="preserve">U062 </t>
        </is>
      </c>
      <c r="B27" s="21" t="inlineStr">
        <is>
          <t xml:space="preserve">ADM. I.U. DE INVESTIGACIÓN INFORMÁTICA </t>
        </is>
      </c>
      <c r="C27" s="21" t="inlineStr">
        <is>
          <t xml:space="preserve">DOCTORADO EN INFORMÁTICA </t>
        </is>
      </c>
      <c r="D27" s="21" t="inlineStr">
        <is>
          <t xml:space="preserve">Enríquez Reyes, Robert </t>
        </is>
      </c>
      <c r="E27" s="21" t="inlineStr">
        <is>
          <t xml:space="preserve">SELECCIÓN DE CONJUNTOS DE DATOS A PUBLICAR EN ABIERTO BASADA EN EL MÉTODO DELPHI DIFUSO </t>
        </is>
      </c>
      <c r="F27" s="21" t="inlineStr">
        <is>
          <t xml:space="preserve">20/11/2019 </t>
        </is>
      </c>
      <c r="G27" s="21" t="inlineStr">
        <is>
          <t xml:space="preserve">73993969W </t>
        </is>
      </c>
      <c r="H27" s="21" t="inlineStr">
        <is>
          <t xml:space="preserve">Codirector de tesis </t>
        </is>
      </c>
      <c r="I27" s="21" t="inlineStr">
        <is>
          <t xml:space="preserve">B158 </t>
        </is>
      </c>
      <c r="J27" s="21" t="inlineStr">
        <is>
          <t xml:space="preserve">LENGUAJES Y SISTEMAS INFORMÁTICOS </t>
        </is>
      </c>
      <c r="K27" s="22" t="n">
        <v>0.5</v>
      </c>
      <c r="L27" s="21" t="inlineStr">
        <is>
          <t>B158</t>
        </is>
      </c>
      <c r="M27" s="22" t="n">
        <v>2019</v>
      </c>
      <c r="N27" s="21" t="inlineStr">
        <is>
          <t>10.19</t>
        </is>
      </c>
      <c r="O27" s="22" t="inlineStr">
        <is>
          <t>20</t>
        </is>
      </c>
      <c r="P27" s="21" t="inlineStr"/>
      <c r="Q27" s="21" t="inlineStr"/>
      <c r="R27" s="21" t="n">
        <v>80</v>
      </c>
      <c r="S27" s="65" t="n">
        <v>0.4</v>
      </c>
      <c r="T27" s="65" t="n">
        <v>0.1</v>
      </c>
      <c r="U27" s="65" t="n">
        <v>0</v>
      </c>
    </row>
    <row r="28">
      <c r="A28" s="21" t="inlineStr">
        <is>
          <t xml:space="preserve">U062 </t>
        </is>
      </c>
      <c r="B28" s="21" t="inlineStr">
        <is>
          <t xml:space="preserve">ADM. I.U. DE INVESTIGACIÓN INFORMÁTICA </t>
        </is>
      </c>
      <c r="C28" s="21" t="inlineStr">
        <is>
          <t xml:space="preserve">DOCTORADO EN INFORMÁTICA </t>
        </is>
      </c>
      <c r="D28" s="21" t="inlineStr">
        <is>
          <t xml:space="preserve">Enríquez Reyes, Robert </t>
        </is>
      </c>
      <c r="E28" s="21" t="inlineStr">
        <is>
          <t xml:space="preserve">SELECCIÓN DE CONJUNTOS DE DATOS A PUBLICAR EN ABIERTO BASADA EN EL MÉTODO DELPHI DIFUSO </t>
        </is>
      </c>
      <c r="F28" s="21" t="inlineStr">
        <is>
          <t xml:space="preserve">20/11/2019 </t>
        </is>
      </c>
      <c r="G28" s="21" t="inlineStr">
        <is>
          <t xml:space="preserve">22000675W </t>
        </is>
      </c>
      <c r="H28" s="21" t="inlineStr">
        <is>
          <t xml:space="preserve">Codirector de tesis </t>
        </is>
      </c>
      <c r="I28" s="21" t="inlineStr">
        <is>
          <t xml:space="preserve">B148 </t>
        </is>
      </c>
      <c r="J28" s="21" t="inlineStr">
        <is>
          <t xml:space="preserve">TECNOLOGÍA INFORMÁTICA Y COMPUTACIÓN </t>
        </is>
      </c>
      <c r="K28" s="22" t="n">
        <v>0.5</v>
      </c>
      <c r="L28" s="21" t="inlineStr">
        <is>
          <t>B148</t>
        </is>
      </c>
      <c r="M28" s="22" t="n">
        <v>2019</v>
      </c>
      <c r="N28" s="21" t="inlineStr">
        <is>
          <t>10.19</t>
        </is>
      </c>
      <c r="O28" s="22" t="inlineStr">
        <is>
          <t>50</t>
        </is>
      </c>
      <c r="P28" s="21" t="inlineStr"/>
      <c r="Q28" s="21" t="inlineStr"/>
      <c r="R28" s="21" t="n">
        <v>50</v>
      </c>
      <c r="S28" s="65" t="n">
        <v>0.25</v>
      </c>
      <c r="T28" s="65" t="n">
        <v>0.25</v>
      </c>
      <c r="U28" s="65" t="n">
        <v>0</v>
      </c>
    </row>
    <row r="29">
      <c r="A29" s="21" t="inlineStr">
        <is>
          <t xml:space="preserve">U062 </t>
        </is>
      </c>
      <c r="B29" s="21" t="inlineStr">
        <is>
          <t xml:space="preserve">ADM. I.U. DE INVESTIGACIÓN INFORMÁTICA </t>
        </is>
      </c>
      <c r="C29" s="21" t="inlineStr">
        <is>
          <t xml:space="preserve">DOCTORADO EN INFORMÁTICA </t>
        </is>
      </c>
      <c r="D29" s="21" t="inlineStr">
        <is>
          <t xml:space="preserve">Buenaño Fernández, Diego Patricio </t>
        </is>
      </c>
      <c r="E29" s="21" t="inlineStr">
        <is>
          <t xml:space="preserve">PROPUESTA DE UN CONJUNTO DE HERRAMIENTAS DE MINERÍA DE DATOS PARA EVALUAR EL DESEMPEÑO DE LOS ESTUDIANTES Y LOS PROCESOS DE ENSEÑANZA-APRENDIZAJE EN EL ÁMBITO DE LA EDUACIÓN EN LA INGENIERÍA </t>
        </is>
      </c>
      <c r="F29" s="21" t="inlineStr">
        <is>
          <t xml:space="preserve">19/06/2020 </t>
        </is>
      </c>
      <c r="G29" s="21" t="inlineStr">
        <is>
          <t xml:space="preserve">21513360B </t>
        </is>
      </c>
      <c r="H29" s="21" t="inlineStr">
        <is>
          <t xml:space="preserve">Codirector de tesis </t>
        </is>
      </c>
      <c r="I29" s="21" t="inlineStr">
        <is>
          <t xml:space="preserve">B158 </t>
        </is>
      </c>
      <c r="J29" s="21" t="inlineStr">
        <is>
          <t xml:space="preserve">LENGUAJES Y SISTEMAS INFORMÁTICOS </t>
        </is>
      </c>
      <c r="K29" s="22" t="n">
        <v>0.5</v>
      </c>
      <c r="L29" s="21" t="inlineStr">
        <is>
          <t>B158</t>
        </is>
      </c>
      <c r="M29" s="22" t="n">
        <v>2019</v>
      </c>
      <c r="N29" s="21" t="inlineStr">
        <is>
          <t>10.19</t>
        </is>
      </c>
      <c r="O29" s="22" t="inlineStr">
        <is>
          <t>20</t>
        </is>
      </c>
      <c r="P29" s="21" t="inlineStr"/>
      <c r="Q29" s="21" t="inlineStr"/>
      <c r="R29" s="21" t="n">
        <v>80</v>
      </c>
      <c r="S29" s="65" t="n">
        <v>0.4</v>
      </c>
      <c r="T29" s="65" t="n">
        <v>0.1</v>
      </c>
      <c r="U29" s="65" t="n">
        <v>0</v>
      </c>
    </row>
    <row r="30">
      <c r="A30" s="21" t="inlineStr">
        <is>
          <t xml:space="preserve">U062 </t>
        </is>
      </c>
      <c r="B30" s="21" t="inlineStr">
        <is>
          <t xml:space="preserve">ADM. I.U. DE INVESTIGACIÓN INFORMÁTICA </t>
        </is>
      </c>
      <c r="C30" s="21" t="inlineStr">
        <is>
          <t xml:space="preserve">DOCTORADO EN INFORMÁTICA </t>
        </is>
      </c>
      <c r="D30" s="21" t="inlineStr">
        <is>
          <t xml:space="preserve">Buenaño Fernández, Diego Patricio </t>
        </is>
      </c>
      <c r="E30" s="21" t="inlineStr">
        <is>
          <t xml:space="preserve">PROPUESTA DE UN CONJUNTO DE HERRAMIENTAS DE MINERÍA DE DATOS PARA EVALUAR EL DESEMPEÑO DE LOS ESTUDIANTES Y LOS PROCESOS DE ENSEÑANZA-APRENDIZAJE EN EL ÁMBITO DE LA EDUACIÓN EN LA INGENIERÍA </t>
        </is>
      </c>
      <c r="F30" s="21" t="inlineStr">
        <is>
          <t xml:space="preserve">19/06/2020 </t>
        </is>
      </c>
      <c r="G30" s="21" t="inlineStr">
        <is>
          <t xml:space="preserve">50170678L </t>
        </is>
      </c>
      <c r="H30" s="21" t="inlineStr">
        <is>
          <t xml:space="preserve">Codirector de tesis </t>
        </is>
      </c>
      <c r="I30" s="21" t="inlineStr">
        <is>
          <t xml:space="preserve">B148 </t>
        </is>
      </c>
      <c r="J30" s="21" t="inlineStr">
        <is>
          <t xml:space="preserve">TECNOLOGÍA INFORMÁTICA Y COMPUTACIÓN </t>
        </is>
      </c>
      <c r="K30" s="22" t="n">
        <v>0.5</v>
      </c>
      <c r="L30" s="21" t="inlineStr">
        <is>
          <t>B148</t>
        </is>
      </c>
      <c r="M30" s="22" t="n">
        <v>2019</v>
      </c>
      <c r="N30" s="21" t="inlineStr">
        <is>
          <t>10.19</t>
        </is>
      </c>
      <c r="O30" s="22" t="inlineStr">
        <is>
          <t>20</t>
        </is>
      </c>
      <c r="P30" s="21" t="inlineStr"/>
      <c r="Q30" s="21" t="inlineStr"/>
      <c r="R30" s="21" t="n">
        <v>80</v>
      </c>
      <c r="S30" s="65" t="n">
        <v>0.4</v>
      </c>
      <c r="T30" s="65" t="n">
        <v>0.1</v>
      </c>
      <c r="U30" s="65" t="n">
        <v>0</v>
      </c>
    </row>
    <row r="31">
      <c r="A31" s="21" t="inlineStr">
        <is>
          <t xml:space="preserve">U062 </t>
        </is>
      </c>
      <c r="B31" s="21" t="inlineStr">
        <is>
          <t xml:space="preserve">ADM. I.U. DE INVESTIGACIÓN INFORMÁTICA </t>
        </is>
      </c>
      <c r="C31" s="21" t="inlineStr">
        <is>
          <t xml:space="preserve">DOCTORADO EN INFORMÁTICA </t>
        </is>
      </c>
      <c r="D31" s="21" t="inlineStr">
        <is>
          <t xml:space="preserve">Borja Borja, Luis Felipe </t>
        </is>
      </c>
      <c r="E31" s="21" t="inlineStr">
        <is>
          <t xml:space="preserve">Arquitectura de visión y aprendizaje para el reconocimiento de actividades de grupos usando descriptores de movimient </t>
        </is>
      </c>
      <c r="F31" s="21" t="inlineStr">
        <is>
          <t xml:space="preserve">25/06/2020 </t>
        </is>
      </c>
      <c r="G31" s="21" t="inlineStr">
        <is>
          <t xml:space="preserve">52764803C </t>
        </is>
      </c>
      <c r="H31" s="21" t="inlineStr">
        <is>
          <t xml:space="preserve">Codirector de tesis </t>
        </is>
      </c>
      <c r="I31" s="21" t="inlineStr">
        <is>
          <t xml:space="preserve">B148 </t>
        </is>
      </c>
      <c r="J31" s="21" t="inlineStr">
        <is>
          <t xml:space="preserve">TECNOLOGÍA INFORMÁTICA Y COMPUTACIÓN </t>
        </is>
      </c>
      <c r="K31" s="22" t="n">
        <v>0.5</v>
      </c>
      <c r="L31" s="21" t="inlineStr">
        <is>
          <t>B148</t>
        </is>
      </c>
      <c r="M31" s="22" t="n">
        <v>2019</v>
      </c>
      <c r="N31" s="21" t="inlineStr">
        <is>
          <t>10.19</t>
        </is>
      </c>
      <c r="O31" s="22" t="inlineStr">
        <is>
          <t>50</t>
        </is>
      </c>
      <c r="P31" s="21" t="inlineStr"/>
      <c r="Q31" s="21" t="inlineStr"/>
      <c r="R31" s="21" t="n">
        <v>50</v>
      </c>
      <c r="S31" s="65" t="n">
        <v>0.25</v>
      </c>
      <c r="T31" s="65" t="n">
        <v>0.25</v>
      </c>
      <c r="U31" s="65" t="n">
        <v>0</v>
      </c>
    </row>
    <row r="32">
      <c r="A32" s="21" t="inlineStr">
        <is>
          <t xml:space="preserve">U062 </t>
        </is>
      </c>
      <c r="B32" s="21" t="inlineStr">
        <is>
          <t xml:space="preserve">ADM. I.U. DE INVESTIGACIÓN INFORMÁTICA </t>
        </is>
      </c>
      <c r="C32" s="21" t="inlineStr">
        <is>
          <t xml:space="preserve">DOCTORADO EN INFORMÁTICA </t>
        </is>
      </c>
      <c r="D32" s="21" t="inlineStr">
        <is>
          <t xml:space="preserve">Borja Borja, Luis Felipe </t>
        </is>
      </c>
      <c r="E32" s="21" t="inlineStr">
        <is>
          <t xml:space="preserve">Arquitectura de visión y aprendizaje para el reconocimiento de actividades de grupos usando descriptores de movimient </t>
        </is>
      </c>
      <c r="F32" s="21" t="inlineStr">
        <is>
          <t xml:space="preserve">25/06/2020 </t>
        </is>
      </c>
      <c r="G32" s="21" t="inlineStr">
        <is>
          <t xml:space="preserve">48325227L </t>
        </is>
      </c>
      <c r="H32" s="21" t="inlineStr">
        <is>
          <t xml:space="preserve">Codirector de tesis </t>
        </is>
      </c>
      <c r="I32" s="21" t="inlineStr">
        <is>
          <t xml:space="preserve">B148 </t>
        </is>
      </c>
      <c r="J32" s="21" t="inlineStr">
        <is>
          <t xml:space="preserve">TECNOLOGÍA INFORMÁTICA Y COMPUTACIÓN </t>
        </is>
      </c>
      <c r="K32" s="22" t="n">
        <v>0.5</v>
      </c>
      <c r="L32" s="21" t="inlineStr">
        <is>
          <t>B148</t>
        </is>
      </c>
      <c r="M32" s="22" t="n">
        <v>2019</v>
      </c>
      <c r="N32" s="21" t="inlineStr">
        <is>
          <t>10.19</t>
        </is>
      </c>
      <c r="O32" s="22" t="inlineStr">
        <is>
          <t>20</t>
        </is>
      </c>
      <c r="P32" s="21" t="inlineStr"/>
      <c r="Q32" s="21" t="inlineStr"/>
      <c r="R32" s="21" t="n">
        <v>80</v>
      </c>
      <c r="S32" s="65" t="n">
        <v>0.4</v>
      </c>
      <c r="T32" s="65" t="n">
        <v>0.1</v>
      </c>
      <c r="U32" s="65" t="n">
        <v>0</v>
      </c>
    </row>
    <row r="33">
      <c r="A33" s="21" t="inlineStr">
        <is>
          <t xml:space="preserve">U062 </t>
        </is>
      </c>
      <c r="B33" s="21" t="inlineStr">
        <is>
          <t xml:space="preserve">ADM. I.U. DE INVESTIGACIÓN INFORMÁTICA </t>
        </is>
      </c>
      <c r="C33" s="21" t="inlineStr">
        <is>
          <t xml:space="preserve">DOCTORADO EN INFORMÁTICA </t>
        </is>
      </c>
      <c r="D33" s="21" t="inlineStr">
        <is>
          <t xml:space="preserve">Villegas Chiliquinga, William Eduardo </t>
        </is>
      </c>
      <c r="E33" s="21" t="inlineStr">
        <is>
          <t xml:space="preserve">ARQUITECTURA PARA LA GESTIÓN DE DATOS EN UN CAMPUS INTELIGENTE </t>
        </is>
      </c>
      <c r="F33" s="21" t="inlineStr">
        <is>
          <t xml:space="preserve">24/01/2020 </t>
        </is>
      </c>
      <c r="G33" s="21" t="inlineStr">
        <is>
          <t xml:space="preserve">21513360B </t>
        </is>
      </c>
      <c r="H33" s="21" t="inlineStr">
        <is>
          <t xml:space="preserve">Director de tesis </t>
        </is>
      </c>
      <c r="I33" s="21" t="inlineStr">
        <is>
          <t xml:space="preserve">B158 </t>
        </is>
      </c>
      <c r="J33" s="21" t="inlineStr">
        <is>
          <t xml:space="preserve">LENGUAJES Y SISTEMAS INFORMÁTICOS </t>
        </is>
      </c>
      <c r="K33" s="22" t="n">
        <v>1</v>
      </c>
      <c r="L33" s="21" t="inlineStr">
        <is>
          <t>B158</t>
        </is>
      </c>
      <c r="M33" s="22" t="n">
        <v>2019</v>
      </c>
      <c r="N33" s="21" t="inlineStr">
        <is>
          <t>10.19</t>
        </is>
      </c>
      <c r="O33" s="22" t="inlineStr">
        <is>
          <t>20</t>
        </is>
      </c>
      <c r="P33" s="21" t="inlineStr"/>
      <c r="Q33" s="21" t="inlineStr"/>
      <c r="R33" s="21" t="n">
        <v>80</v>
      </c>
      <c r="S33" s="65" t="n">
        <v>0.8</v>
      </c>
      <c r="T33" s="65" t="n">
        <v>0.2</v>
      </c>
      <c r="U33" s="65" t="n">
        <v>0</v>
      </c>
    </row>
    <row r="34">
      <c r="A34" s="21" t="inlineStr">
        <is>
          <t xml:space="preserve">U062 </t>
        </is>
      </c>
      <c r="B34" s="21" t="inlineStr">
        <is>
          <t xml:space="preserve">ADM. I.U. DE INVESTIGACIÓN INFORMÁTICA </t>
        </is>
      </c>
      <c r="C34" s="21" t="inlineStr">
        <is>
          <t xml:space="preserve">DOCTORADO EN INFORMÁTICA </t>
        </is>
      </c>
      <c r="D34" s="21" t="inlineStr">
        <is>
          <t xml:space="preserve">Acosta Vargas, Nelly Patricia </t>
        </is>
      </c>
      <c r="E34" s="21" t="inlineStr">
        <is>
          <t xml:space="preserve">EVALUACIÓN DE LA ACCESIBILIDAD WEB CON HERRAMIENTAS AUTOMÁTICAS Y UN MÉTODO HEURÍSTICO ARA USUARIOS CON BAJA VISIÓN </t>
        </is>
      </c>
      <c r="F34" s="21" t="inlineStr">
        <is>
          <t xml:space="preserve">11/02/2020 </t>
        </is>
      </c>
      <c r="G34" s="21" t="inlineStr">
        <is>
          <t xml:space="preserve">21513360B </t>
        </is>
      </c>
      <c r="H34" s="21" t="inlineStr">
        <is>
          <t xml:space="preserve">Director de tesis </t>
        </is>
      </c>
      <c r="I34" s="21" t="inlineStr">
        <is>
          <t xml:space="preserve">B158 </t>
        </is>
      </c>
      <c r="J34" s="21" t="inlineStr">
        <is>
          <t xml:space="preserve">LENGUAJES Y SISTEMAS INFORMÁTICOS </t>
        </is>
      </c>
      <c r="K34" s="22" t="n">
        <v>1</v>
      </c>
      <c r="L34" s="21" t="inlineStr">
        <is>
          <t>B158</t>
        </is>
      </c>
      <c r="M34" s="22" t="n">
        <v>2019</v>
      </c>
      <c r="N34" s="21" t="inlineStr">
        <is>
          <t>10.19</t>
        </is>
      </c>
      <c r="O34" s="22" t="inlineStr">
        <is>
          <t>20</t>
        </is>
      </c>
      <c r="P34" s="21" t="inlineStr"/>
      <c r="Q34" s="21" t="inlineStr"/>
      <c r="R34" s="21" t="n">
        <v>80</v>
      </c>
      <c r="S34" s="65" t="n">
        <v>0.8</v>
      </c>
      <c r="T34" s="65" t="n">
        <v>0.2</v>
      </c>
      <c r="U34" s="65" t="n">
        <v>0</v>
      </c>
    </row>
    <row r="35">
      <c r="A35" s="21" t="inlineStr">
        <is>
          <t xml:space="preserve">U062 </t>
        </is>
      </c>
      <c r="B35" s="21" t="inlineStr">
        <is>
          <t xml:space="preserve">ADM. I.U. DE INVESTIGACIÓN INFORMÁTICA </t>
        </is>
      </c>
      <c r="C35" s="21" t="inlineStr">
        <is>
          <t xml:space="preserve">DOCTORADO EN INFORMÁTICA </t>
        </is>
      </c>
      <c r="D35" s="21" t="inlineStr">
        <is>
          <t xml:space="preserve">Escobar Esteban, María Pilar </t>
        </is>
      </c>
      <c r="E35" s="21" t="inlineStr">
        <is>
          <t xml:space="preserve">UN ENFOQUE MULTIDIMENSIONAL BASADO EN RDF PARA LA PUBLICACIÓN DE LINKED OPEN DATA </t>
        </is>
      </c>
      <c r="F35" s="21" t="inlineStr">
        <is>
          <t xml:space="preserve">07/07/2020 </t>
        </is>
      </c>
      <c r="G35" s="21" t="inlineStr">
        <is>
          <t xml:space="preserve">21488273V </t>
        </is>
      </c>
      <c r="H35" s="21" t="inlineStr">
        <is>
          <t xml:space="preserve">Codirector de tesis </t>
        </is>
      </c>
      <c r="I35" s="21" t="inlineStr">
        <is>
          <t xml:space="preserve">B158 </t>
        </is>
      </c>
      <c r="J35" s="21" t="inlineStr">
        <is>
          <t xml:space="preserve">LENGUAJES Y SISTEMAS INFORMÁTICOS </t>
        </is>
      </c>
      <c r="K35" s="22" t="n">
        <v>0.5</v>
      </c>
      <c r="L35" s="21" t="inlineStr">
        <is>
          <t>B158</t>
        </is>
      </c>
      <c r="M35" s="22" t="n">
        <v>2019</v>
      </c>
      <c r="N35" s="21" t="inlineStr">
        <is>
          <t>10.19</t>
        </is>
      </c>
      <c r="O35" s="22" t="inlineStr">
        <is>
          <t>20</t>
        </is>
      </c>
      <c r="P35" s="21" t="inlineStr"/>
      <c r="Q35" s="21" t="inlineStr"/>
      <c r="R35" s="21" t="n">
        <v>80</v>
      </c>
      <c r="S35" s="65" t="n">
        <v>0.4</v>
      </c>
      <c r="T35" s="65" t="n">
        <v>0.1</v>
      </c>
      <c r="U35" s="65" t="n">
        <v>0</v>
      </c>
    </row>
    <row r="36">
      <c r="A36" s="21" t="inlineStr">
        <is>
          <t xml:space="preserve">U062 </t>
        </is>
      </c>
      <c r="B36" s="21" t="inlineStr">
        <is>
          <t xml:space="preserve">ADM. I.U. DE INVESTIGACIÓN INFORMÁTICA </t>
        </is>
      </c>
      <c r="C36" s="21" t="inlineStr">
        <is>
          <t xml:space="preserve">DOCTORADO EN INFORMÁTICA </t>
        </is>
      </c>
      <c r="D36" s="21" t="inlineStr">
        <is>
          <t xml:space="preserve">García García, Alberto </t>
        </is>
      </c>
      <c r="E36" s="21" t="inlineStr">
        <is>
          <t xml:space="preserve">DEEP LEARNING FOR 3D PERCEPTION: COMPUTER VISION AND TACTILE SENSING </t>
        </is>
      </c>
      <c r="F36" s="21" t="inlineStr">
        <is>
          <t xml:space="preserve">28/10/2019 </t>
        </is>
      </c>
      <c r="G36" s="21" t="inlineStr">
        <is>
          <t xml:space="preserve">21486541X </t>
        </is>
      </c>
      <c r="H36" s="21" t="inlineStr">
        <is>
          <t xml:space="preserve">Codirector de tesis </t>
        </is>
      </c>
      <c r="I36" s="21" t="inlineStr">
        <is>
          <t xml:space="preserve">B148 </t>
        </is>
      </c>
      <c r="J36" s="21" t="inlineStr">
        <is>
          <t xml:space="preserve">TECNOLOGÍA INFORMÁTICA Y COMPUTACIÓN </t>
        </is>
      </c>
      <c r="K36" s="22" t="n">
        <v>0.5</v>
      </c>
      <c r="L36" s="21" t="inlineStr">
        <is>
          <t>B148</t>
        </is>
      </c>
      <c r="M36" s="22" t="n">
        <v>2019</v>
      </c>
      <c r="N36" s="21" t="inlineStr">
        <is>
          <t>10.19</t>
        </is>
      </c>
      <c r="O36" s="22" t="inlineStr">
        <is>
          <t>20</t>
        </is>
      </c>
      <c r="P36" s="21" t="inlineStr"/>
      <c r="Q36" s="21" t="inlineStr"/>
      <c r="R36" s="21" t="n">
        <v>80</v>
      </c>
      <c r="S36" s="65" t="n">
        <v>0.4</v>
      </c>
      <c r="T36" s="65" t="n">
        <v>0.1</v>
      </c>
      <c r="U36" s="65" t="n">
        <v>0</v>
      </c>
    </row>
    <row r="37">
      <c r="A37" s="21" t="inlineStr">
        <is>
          <t xml:space="preserve">U062 </t>
        </is>
      </c>
      <c r="B37" s="21" t="inlineStr">
        <is>
          <t xml:space="preserve">ADM. I.U. DE INVESTIGACIÓN INFORMÁTICA </t>
        </is>
      </c>
      <c r="C37" s="21" t="inlineStr">
        <is>
          <t xml:space="preserve">DOCTORADO EN INFORMÁTICA </t>
        </is>
      </c>
      <c r="D37" s="21" t="inlineStr">
        <is>
          <t xml:space="preserve">García García, Alberto </t>
        </is>
      </c>
      <c r="E37" s="21" t="inlineStr">
        <is>
          <t xml:space="preserve">DEEP LEARNING FOR 3D PERCEPTION: COMPUTER VISION AND TACTILE SENSING </t>
        </is>
      </c>
      <c r="F37" s="21" t="inlineStr">
        <is>
          <t xml:space="preserve">28/10/2019 </t>
        </is>
      </c>
      <c r="G37" s="21" t="inlineStr">
        <is>
          <t xml:space="preserve">53240321J </t>
        </is>
      </c>
      <c r="H37" s="21" t="inlineStr">
        <is>
          <t xml:space="preserve">Codirector de tesis </t>
        </is>
      </c>
      <c r="I37" s="21" t="inlineStr">
        <is>
          <t xml:space="preserve">B161 </t>
        </is>
      </c>
      <c r="J37" s="21" t="inlineStr">
        <is>
          <t xml:space="preserve">CIENCIA DE LA COMPUTACION E INTELIGENCIA ARTIFICIAL </t>
        </is>
      </c>
      <c r="K37" s="22" t="n">
        <v>0.5</v>
      </c>
      <c r="L37" s="21" t="inlineStr">
        <is>
          <t>B161</t>
        </is>
      </c>
      <c r="M37" s="22" t="n">
        <v>2019</v>
      </c>
      <c r="N37" s="21" t="inlineStr">
        <is>
          <t>10.19</t>
        </is>
      </c>
      <c r="O37" s="22" t="inlineStr">
        <is>
          <t>20</t>
        </is>
      </c>
      <c r="P37" s="21" t="inlineStr"/>
      <c r="Q37" s="21" t="inlineStr"/>
      <c r="R37" s="21" t="n">
        <v>80</v>
      </c>
      <c r="S37" s="65" t="n">
        <v>0.4</v>
      </c>
      <c r="T37" s="65" t="n">
        <v>0.1</v>
      </c>
      <c r="U37" s="65" t="n">
        <v>0</v>
      </c>
    </row>
    <row r="38">
      <c r="A38" s="21" t="inlineStr">
        <is>
          <t xml:space="preserve">U062 </t>
        </is>
      </c>
      <c r="B38" s="21" t="inlineStr">
        <is>
          <t xml:space="preserve">ADM. I.U. DE INVESTIGACIÓN INFORMÁTICA </t>
        </is>
      </c>
      <c r="C38" s="21" t="inlineStr">
        <is>
          <t xml:space="preserve">DOCTORADO EN INFORMÁTICA </t>
        </is>
      </c>
      <c r="D38" s="21" t="inlineStr">
        <is>
          <t xml:space="preserve">Gómez Donoso, Francisco </t>
        </is>
      </c>
      <c r="E38" s="21" t="inlineStr">
        <is>
          <t xml:space="preserve">Contributions to 3D object recognition and 3D hand pose estimation using deep learning techniques </t>
        </is>
      </c>
      <c r="F38" s="21" t="inlineStr">
        <is>
          <t xml:space="preserve">18/09/2020 </t>
        </is>
      </c>
      <c r="G38" s="21" t="inlineStr">
        <is>
          <t xml:space="preserve">21489731A </t>
        </is>
      </c>
      <c r="H38" s="21" t="inlineStr">
        <is>
          <t xml:space="preserve">Director de tesis </t>
        </is>
      </c>
      <c r="I38" s="21" t="inlineStr">
        <is>
          <t xml:space="preserve">B161 </t>
        </is>
      </c>
      <c r="J38" s="21" t="inlineStr">
        <is>
          <t xml:space="preserve">CIENCIA DE LA COMPUTACION E INTELIGENCIA ARTIFICIAL </t>
        </is>
      </c>
      <c r="K38" s="22" t="n">
        <v>1</v>
      </c>
      <c r="L38" s="21" t="inlineStr">
        <is>
          <t>B161</t>
        </is>
      </c>
      <c r="M38" s="22" t="n">
        <v>2019</v>
      </c>
      <c r="N38" s="21" t="inlineStr">
        <is>
          <t>10.19</t>
        </is>
      </c>
      <c r="O38" s="22" t="inlineStr">
        <is>
          <t>50</t>
        </is>
      </c>
      <c r="P38" s="21" t="inlineStr"/>
      <c r="Q38" s="21" t="inlineStr"/>
      <c r="R38" s="21" t="n">
        <v>50</v>
      </c>
      <c r="S38" s="65" t="n">
        <v>0.5</v>
      </c>
      <c r="T38" s="65" t="n">
        <v>0.5</v>
      </c>
      <c r="U38" s="65" t="n">
        <v>0</v>
      </c>
    </row>
    <row r="39">
      <c r="A39" s="21" t="inlineStr">
        <is>
          <t xml:space="preserve">U062 </t>
        </is>
      </c>
      <c r="B39" s="21" t="inlineStr">
        <is>
          <t xml:space="preserve">ADM. I.U. DE INVESTIGACIÓN INFORMÁTICA </t>
        </is>
      </c>
      <c r="C39" s="21" t="inlineStr">
        <is>
          <t xml:space="preserve">DOCTORADO EN INFORMÁTICA </t>
        </is>
      </c>
      <c r="D39" s="21" t="inlineStr">
        <is>
          <t xml:space="preserve">Zapata Impatá, Brayan Stiven </t>
        </is>
      </c>
      <c r="E39" s="21" t="inlineStr">
        <is>
          <t xml:space="preserve">ROBOTIC MANIPULATION BASED ON VISUAL AND TACTILE PERCEPTION </t>
        </is>
      </c>
      <c r="F39" s="21" t="inlineStr">
        <is>
          <t xml:space="preserve">17/09/2020 </t>
        </is>
      </c>
      <c r="G39" s="21" t="inlineStr">
        <is>
          <t xml:space="preserve">52774982X </t>
        </is>
      </c>
      <c r="H39" s="21" t="inlineStr">
        <is>
          <t xml:space="preserve">Director de tesis </t>
        </is>
      </c>
      <c r="I39" s="21" t="inlineStr">
        <is>
          <t xml:space="preserve">B149 </t>
        </is>
      </c>
      <c r="J39" s="21" t="inlineStr">
        <is>
          <t xml:space="preserve">FISICA, INGENIERIA DE SISTEMAS Y TEORIA DE LA SEÑAL </t>
        </is>
      </c>
      <c r="K39" s="22" t="n">
        <v>1</v>
      </c>
      <c r="L39" s="21" t="inlineStr">
        <is>
          <t>B149</t>
        </is>
      </c>
      <c r="M39" s="22" t="n">
        <v>2019</v>
      </c>
      <c r="N39" s="21" t="inlineStr">
        <is>
          <t>10.19</t>
        </is>
      </c>
      <c r="O39" s="22" t="inlineStr">
        <is>
          <t>50</t>
        </is>
      </c>
      <c r="P39" s="21" t="inlineStr"/>
      <c r="Q39" s="21" t="inlineStr"/>
      <c r="R39" s="21" t="n">
        <v>50</v>
      </c>
      <c r="S39" s="65" t="n">
        <v>0.5</v>
      </c>
      <c r="T39" s="65" t="n">
        <v>0.5</v>
      </c>
      <c r="U39" s="65" t="n">
        <v>0</v>
      </c>
    </row>
    <row r="40">
      <c r="A40" s="21" t="inlineStr">
        <is>
          <t xml:space="preserve">U062 </t>
        </is>
      </c>
      <c r="B40" s="21" t="inlineStr">
        <is>
          <t xml:space="preserve">ADM. I.U. DE INVESTIGACIÓN INFORMÁTICA </t>
        </is>
      </c>
      <c r="C40" s="21" t="inlineStr">
        <is>
          <t xml:space="preserve">DOCTORADO EN INFORMÁTICA </t>
        </is>
      </c>
      <c r="D40" s="21" t="inlineStr">
        <is>
          <t xml:space="preserve">Kauffmann Incer, Erick </t>
        </is>
      </c>
      <c r="E40" s="21" t="inlineStr">
        <is>
          <t xml:space="preserve">ARQUITECTURA PARA ANALÍTICAS DE DATOS ORIENTADA A LA AYUDA DEL PROCESO DE LA TOMA DE DECISIONES </t>
        </is>
      </c>
      <c r="F40" s="21" t="inlineStr">
        <is>
          <t xml:space="preserve">16/01/2020 </t>
        </is>
      </c>
      <c r="G40" s="21" t="inlineStr">
        <is>
          <t xml:space="preserve">21488273V </t>
        </is>
      </c>
      <c r="H40" s="21" t="inlineStr">
        <is>
          <t xml:space="preserve">Codirector de tesis </t>
        </is>
      </c>
      <c r="I40" s="21" t="inlineStr">
        <is>
          <t xml:space="preserve">B158 </t>
        </is>
      </c>
      <c r="J40" s="21" t="inlineStr">
        <is>
          <t xml:space="preserve">LENGUAJES Y SISTEMAS INFORMÁTICOS </t>
        </is>
      </c>
      <c r="K40" s="22" t="n">
        <v>0.5</v>
      </c>
      <c r="L40" s="21" t="inlineStr">
        <is>
          <t>B158</t>
        </is>
      </c>
      <c r="M40" s="22" t="n">
        <v>2019</v>
      </c>
      <c r="N40" s="21" t="inlineStr">
        <is>
          <t>10.19</t>
        </is>
      </c>
      <c r="O40" s="22" t="inlineStr">
        <is>
          <t>20</t>
        </is>
      </c>
      <c r="P40" s="21" t="inlineStr"/>
      <c r="Q40" s="21" t="inlineStr"/>
      <c r="R40" s="21" t="n">
        <v>80</v>
      </c>
      <c r="S40" s="65" t="n">
        <v>0.4</v>
      </c>
      <c r="T40" s="65" t="n">
        <v>0.1</v>
      </c>
      <c r="U40" s="65" t="n">
        <v>0</v>
      </c>
    </row>
    <row r="41">
      <c r="A41" s="21" t="inlineStr">
        <is>
          <t xml:space="preserve">U062 </t>
        </is>
      </c>
      <c r="B41" s="21" t="inlineStr">
        <is>
          <t xml:space="preserve">ADM. I.U. DE INVESTIGACIÓN INFORMÁTICA </t>
        </is>
      </c>
      <c r="C41" s="21" t="inlineStr">
        <is>
          <t xml:space="preserve">DOCTORADO EN INFORMÁTICA </t>
        </is>
      </c>
      <c r="D41" s="21" t="inlineStr">
        <is>
          <t xml:space="preserve">Kauffmann Incer, Erick </t>
        </is>
      </c>
      <c r="E41" s="21" t="inlineStr">
        <is>
          <t xml:space="preserve">ARQUITECTURA PARA ANALÍTICAS DE DATOS ORIENTADA A LA AYUDA DEL PROCESO DE LA TOMA DE DECISIONES </t>
        </is>
      </c>
      <c r="F41" s="21" t="inlineStr">
        <is>
          <t xml:space="preserve">16/01/2020 </t>
        </is>
      </c>
      <c r="G41" s="21" t="inlineStr">
        <is>
          <t xml:space="preserve">50170678L </t>
        </is>
      </c>
      <c r="H41" s="21" t="inlineStr">
        <is>
          <t xml:space="preserve">Codirector de tesis </t>
        </is>
      </c>
      <c r="I41" s="21" t="inlineStr">
        <is>
          <t xml:space="preserve">B148 </t>
        </is>
      </c>
      <c r="J41" s="21" t="inlineStr">
        <is>
          <t xml:space="preserve">TECNOLOGÍA INFORMÁTICA Y COMPUTACIÓN </t>
        </is>
      </c>
      <c r="K41" s="22" t="n">
        <v>0.5</v>
      </c>
      <c r="L41" s="21" t="inlineStr">
        <is>
          <t>B148</t>
        </is>
      </c>
      <c r="M41" s="22" t="n">
        <v>2019</v>
      </c>
      <c r="N41" s="21" t="inlineStr">
        <is>
          <t>10.19</t>
        </is>
      </c>
      <c r="O41" s="22" t="inlineStr">
        <is>
          <t>20</t>
        </is>
      </c>
      <c r="P41" s="21" t="inlineStr"/>
      <c r="Q41" s="21" t="inlineStr"/>
      <c r="R41" s="21" t="n">
        <v>80</v>
      </c>
      <c r="S41" s="65" t="n">
        <v>0.4</v>
      </c>
      <c r="T41" s="65" t="n">
        <v>0.1</v>
      </c>
      <c r="U41" s="65" t="n">
        <v>0</v>
      </c>
    </row>
    <row r="42">
      <c r="A42" s="21" t="inlineStr">
        <is>
          <t xml:space="preserve">U044 </t>
        </is>
      </c>
      <c r="B42" s="21" t="inlineStr">
        <is>
          <t xml:space="preserve">ADM. FACULTAD DE CIENCIAS DE LA SALUD </t>
        </is>
      </c>
      <c r="C42" s="21" t="inlineStr">
        <is>
          <t xml:space="preserve">DOCTORADO EN CIENCIAS DE LA SALUD </t>
        </is>
      </c>
      <c r="D42" s="21" t="inlineStr">
        <is>
          <t xml:space="preserve">Mahiques Segura, Gerard </t>
        </is>
      </c>
      <c r="E42" s="21" t="inlineStr">
        <is>
          <t xml:space="preserve">Artroplastia total de cadera primaria con vástago no cementado y par de fricción cerámica-cerámica en pacientes menores de 40 años </t>
        </is>
      </c>
      <c r="F42" s="21" t="inlineStr">
        <is>
          <t xml:space="preserve">16/10/2020 </t>
        </is>
      </c>
      <c r="G42" s="21" t="inlineStr">
        <is>
          <t xml:space="preserve">21510925Z </t>
        </is>
      </c>
      <c r="H42" s="21" t="inlineStr">
        <is>
          <t xml:space="preserve">Codirector de tesis </t>
        </is>
      </c>
      <c r="I42" s="21" t="inlineStr">
        <is>
          <t xml:space="preserve">B134 </t>
        </is>
      </c>
      <c r="J42" s="21" t="inlineStr">
        <is>
          <t xml:space="preserve">ENFERMERIA </t>
        </is>
      </c>
      <c r="K42" s="22" t="n">
        <v>0.5</v>
      </c>
      <c r="L42" s="21" t="inlineStr">
        <is>
          <t>B134</t>
        </is>
      </c>
      <c r="M42" s="22" t="n">
        <v>2019</v>
      </c>
      <c r="N42" s="21" t="inlineStr">
        <is>
          <t>10.19</t>
        </is>
      </c>
      <c r="O42" s="22" t="n">
        <v>20</v>
      </c>
      <c r="P42" s="21" t="inlineStr"/>
      <c r="Q42" s="21" t="n">
        <v>0</v>
      </c>
      <c r="R42" s="21" t="n">
        <v>80</v>
      </c>
      <c r="S42" s="65" t="n">
        <v>0.4</v>
      </c>
      <c r="T42" s="65" t="n">
        <v>0.1</v>
      </c>
      <c r="U42" s="65" t="n">
        <v>0</v>
      </c>
    </row>
    <row r="43">
      <c r="A43" s="21" t="inlineStr">
        <is>
          <t xml:space="preserve">U044 </t>
        </is>
      </c>
      <c r="B43" s="21" t="inlineStr">
        <is>
          <t xml:space="preserve">ADM. FACULTAD DE CIENCIAS DE LA SALUD </t>
        </is>
      </c>
      <c r="C43" s="21" t="inlineStr">
        <is>
          <t xml:space="preserve">DOCTORADO EN CIENCIAS DE LA SALUD </t>
        </is>
      </c>
      <c r="D43" s="21" t="inlineStr">
        <is>
          <t xml:space="preserve">Asensio Pascual, Alfredo Elías </t>
        </is>
      </c>
      <c r="E43" s="21" t="inlineStr">
        <is>
          <t xml:space="preserve">Influencia de artroplastia total de cadera previa sobre la función de una subsecuente artropalstia total de rodilla ipsilateral </t>
        </is>
      </c>
      <c r="F43" s="21" t="inlineStr">
        <is>
          <t xml:space="preserve">06/10/2020 </t>
        </is>
      </c>
      <c r="G43" s="21" t="inlineStr">
        <is>
          <t xml:space="preserve">21510925Z </t>
        </is>
      </c>
      <c r="H43" s="21" t="inlineStr">
        <is>
          <t xml:space="preserve">Codirector de tesis </t>
        </is>
      </c>
      <c r="I43" s="21" t="inlineStr">
        <is>
          <t xml:space="preserve">B134 </t>
        </is>
      </c>
      <c r="J43" s="21" t="inlineStr">
        <is>
          <t xml:space="preserve">ENFERMERIA </t>
        </is>
      </c>
      <c r="K43" s="22" t="n">
        <v>0.5</v>
      </c>
      <c r="L43" s="21" t="inlineStr">
        <is>
          <t>B134</t>
        </is>
      </c>
      <c r="M43" s="22" t="n">
        <v>2019</v>
      </c>
      <c r="N43" s="21" t="inlineStr">
        <is>
          <t>10.19</t>
        </is>
      </c>
      <c r="O43" s="22" t="n">
        <v>20</v>
      </c>
      <c r="P43" s="21" t="inlineStr"/>
      <c r="Q43" s="21" t="n">
        <v>0</v>
      </c>
      <c r="R43" s="21" t="n">
        <v>80</v>
      </c>
      <c r="S43" s="65" t="n">
        <v>0.4</v>
      </c>
      <c r="T43" s="65" t="n">
        <v>0.1</v>
      </c>
      <c r="U43" s="65" t="n">
        <v>0</v>
      </c>
    </row>
    <row r="44">
      <c r="A44" s="21" t="inlineStr">
        <is>
          <t xml:space="preserve">U044 </t>
        </is>
      </c>
      <c r="B44" s="21" t="inlineStr">
        <is>
          <t xml:space="preserve">ADM. FACULTAD DE CIENCIAS DE LA SALUD </t>
        </is>
      </c>
      <c r="C44" s="21" t="inlineStr">
        <is>
          <t xml:space="preserve">DOCTORADO EN CIENCIAS DE LA SALUD </t>
        </is>
      </c>
      <c r="D44" s="21" t="inlineStr">
        <is>
          <t xml:space="preserve">Silva Barrera, Blanca Patricia </t>
        </is>
      </c>
      <c r="E44" s="21" t="inlineStr">
        <is>
          <t xml:space="preserve">ESTUDIO DESCRIPTIVO SOBRE LOS FACTORES DE VULNERABILIDAD QUE AFECTAN AL INGRESO DE PACIENTES EN UN HOSPITAL PSIQUIÁTRICO ALEMÁN (2001-2014) </t>
        </is>
      </c>
      <c r="F44" s="21" t="inlineStr">
        <is>
          <t xml:space="preserve">12/11/2020 </t>
        </is>
      </c>
      <c r="G44" s="21" t="inlineStr">
        <is>
          <t xml:space="preserve">21453179K </t>
        </is>
      </c>
      <c r="H44" s="21" t="inlineStr">
        <is>
          <t xml:space="preserve">Director de tesis </t>
        </is>
      </c>
      <c r="I44" s="21" t="inlineStr">
        <is>
          <t xml:space="preserve">B158 </t>
        </is>
      </c>
      <c r="J44" s="21" t="inlineStr">
        <is>
          <t xml:space="preserve">LENGUAJES Y SISTEMAS INFORMÁTICOS </t>
        </is>
      </c>
      <c r="K44" s="22" t="n">
        <v>1</v>
      </c>
      <c r="L44" s="21" t="inlineStr">
        <is>
          <t>B158</t>
        </is>
      </c>
      <c r="M44" s="22" t="n">
        <v>2019</v>
      </c>
      <c r="N44" s="21" t="inlineStr">
        <is>
          <t>10.19</t>
        </is>
      </c>
      <c r="O44" s="22" t="n">
        <v>20</v>
      </c>
      <c r="P44" s="21" t="inlineStr"/>
      <c r="Q44" s="21" t="n">
        <v>0</v>
      </c>
      <c r="R44" s="21" t="n">
        <v>80</v>
      </c>
      <c r="S44" s="65" t="n">
        <v>0.8</v>
      </c>
      <c r="T44" s="65" t="n">
        <v>0.2</v>
      </c>
      <c r="U44" s="65" t="n">
        <v>0</v>
      </c>
    </row>
    <row r="45">
      <c r="A45" s="21" t="inlineStr">
        <is>
          <t xml:space="preserve">U062 </t>
        </is>
      </c>
      <c r="B45" s="21" t="inlineStr">
        <is>
          <t xml:space="preserve">ADM. I.U. DE INVESTIGACIÓN INFORMÁTICA </t>
        </is>
      </c>
      <c r="C45" s="21" t="inlineStr">
        <is>
          <t xml:space="preserve">DOCTORADO EN INFORMÁTICA </t>
        </is>
      </c>
      <c r="D45" s="21" t="inlineStr">
        <is>
          <t xml:space="preserve">Zamora Hernández, Mauricio Andrés </t>
        </is>
      </c>
      <c r="E45" s="21" t="inlineStr">
        <is>
          <t xml:space="preserve">Arquitectura para el control visual de ensambles en Industria 4.0 basado en aprendizaje </t>
        </is>
      </c>
      <c r="F45" s="21" t="inlineStr">
        <is>
          <t xml:space="preserve">27/10/2020 </t>
        </is>
      </c>
      <c r="G45" s="21" t="inlineStr">
        <is>
          <t xml:space="preserve">21486541X </t>
        </is>
      </c>
      <c r="H45" s="21" t="inlineStr">
        <is>
          <t xml:space="preserve">Codirector de tesis </t>
        </is>
      </c>
      <c r="I45" s="21" t="inlineStr">
        <is>
          <t xml:space="preserve">B148 </t>
        </is>
      </c>
      <c r="J45" s="21" t="inlineStr">
        <is>
          <t xml:space="preserve">TECNOLOGÍA INFORMÁTICA Y COMPUTACIÓN </t>
        </is>
      </c>
      <c r="K45" s="22" t="n">
        <v>0.5</v>
      </c>
      <c r="L45" s="21" t="inlineStr">
        <is>
          <t>B148</t>
        </is>
      </c>
      <c r="M45" s="22" t="n">
        <v>2019</v>
      </c>
      <c r="N45" s="21" t="inlineStr">
        <is>
          <t>10.19</t>
        </is>
      </c>
      <c r="O45" s="22" t="n">
        <v>20</v>
      </c>
      <c r="P45" s="21" t="inlineStr"/>
      <c r="Q45" s="21" t="n">
        <v>0</v>
      </c>
      <c r="R45" s="21" t="n">
        <v>80</v>
      </c>
      <c r="S45" s="65" t="n">
        <v>0.4</v>
      </c>
      <c r="T45" s="65" t="n">
        <v>0.1</v>
      </c>
      <c r="U45" s="65" t="n">
        <v>0</v>
      </c>
    </row>
    <row r="46">
      <c r="A46" s="21" t="inlineStr">
        <is>
          <t xml:space="preserve">U062 </t>
        </is>
      </c>
      <c r="B46" s="21" t="inlineStr">
        <is>
          <t xml:space="preserve">ADM. I.U. DE INVESTIGACIÓN INFORMÁTICA </t>
        </is>
      </c>
      <c r="C46" s="21" t="inlineStr">
        <is>
          <t xml:space="preserve">DOCTORADO EN INFORMÁTICA </t>
        </is>
      </c>
      <c r="D46" s="21" t="inlineStr">
        <is>
          <t xml:space="preserve">Zamora Hernández, Mauricio Andrés </t>
        </is>
      </c>
      <c r="E46" s="21" t="inlineStr">
        <is>
          <t xml:space="preserve">Arquitectura para el control visual de ensambles en Industria 4.0 basado en aprendizaje </t>
        </is>
      </c>
      <c r="F46" s="21" t="inlineStr">
        <is>
          <t xml:space="preserve">27/10/2020 </t>
        </is>
      </c>
      <c r="G46" s="21" t="inlineStr">
        <is>
          <t xml:space="preserve">52764803C </t>
        </is>
      </c>
      <c r="H46" s="21" t="inlineStr">
        <is>
          <t xml:space="preserve">Codirector de tesis </t>
        </is>
      </c>
      <c r="I46" s="21" t="inlineStr">
        <is>
          <t xml:space="preserve">B148 </t>
        </is>
      </c>
      <c r="J46" s="21" t="inlineStr">
        <is>
          <t xml:space="preserve">TECNOLOGÍA INFORMÁTICA Y COMPUTACIÓN </t>
        </is>
      </c>
      <c r="K46" s="22" t="n">
        <v>0.5</v>
      </c>
      <c r="L46" s="21" t="inlineStr">
        <is>
          <t>B148</t>
        </is>
      </c>
      <c r="M46" s="22" t="n">
        <v>2019</v>
      </c>
      <c r="N46" s="21" t="inlineStr">
        <is>
          <t>10.19</t>
        </is>
      </c>
      <c r="O46" s="22" t="n">
        <v>50</v>
      </c>
      <c r="P46" s="21" t="inlineStr"/>
      <c r="Q46" s="21" t="n">
        <v>0</v>
      </c>
      <c r="R46" s="21" t="n">
        <v>50</v>
      </c>
      <c r="S46" s="65" t="n">
        <v>0.25</v>
      </c>
      <c r="T46" s="65" t="n">
        <v>0.25</v>
      </c>
      <c r="U46" s="65" t="n">
        <v>0</v>
      </c>
    </row>
    <row r="47">
      <c r="A47" s="21" t="inlineStr">
        <is>
          <t xml:space="preserve">U062 </t>
        </is>
      </c>
      <c r="B47" s="21" t="inlineStr">
        <is>
          <t xml:space="preserve">ADM. I.U. DE INVESTIGACIÓN INFORMÁTICA </t>
        </is>
      </c>
      <c r="C47" s="21" t="inlineStr">
        <is>
          <t xml:space="preserve">DOCTORADO EN INFORMÁTICA </t>
        </is>
      </c>
      <c r="D47" s="21" t="inlineStr">
        <is>
          <t xml:space="preserve">Herrera Flores, Boris Enrique </t>
        </is>
      </c>
      <c r="E47" s="21" t="inlineStr">
        <is>
          <t xml:space="preserve">Propuesta metodológica para el desarrollo de sistemas automáticos de evaluación </t>
        </is>
      </c>
      <c r="F47" s="21" t="inlineStr">
        <is>
          <t xml:space="preserve">26/10/2020 </t>
        </is>
      </c>
      <c r="G47" s="21" t="inlineStr">
        <is>
          <t xml:space="preserve">44759120Q </t>
        </is>
      </c>
      <c r="H47" s="21" t="inlineStr">
        <is>
          <t xml:space="preserve">Codirector de tesis </t>
        </is>
      </c>
      <c r="I47" s="21" t="inlineStr">
        <is>
          <t xml:space="preserve">B158 </t>
        </is>
      </c>
      <c r="J47" s="21" t="inlineStr">
        <is>
          <t xml:space="preserve">LENGUAJES Y SISTEMAS INFORMÁTICOS </t>
        </is>
      </c>
      <c r="K47" s="22" t="n">
        <v>0.5</v>
      </c>
      <c r="L47" s="21" t="inlineStr">
        <is>
          <t>B158</t>
        </is>
      </c>
      <c r="M47" s="22" t="n">
        <v>2019</v>
      </c>
      <c r="N47" s="21" t="inlineStr">
        <is>
          <t>10.19</t>
        </is>
      </c>
      <c r="O47" s="22" t="n">
        <v>20</v>
      </c>
      <c r="P47" s="21" t="inlineStr"/>
      <c r="Q47" s="21" t="n">
        <v>0</v>
      </c>
      <c r="R47" s="21" t="n">
        <v>80</v>
      </c>
      <c r="S47" s="65" t="n">
        <v>0.4</v>
      </c>
      <c r="T47" s="65" t="n">
        <v>0.1</v>
      </c>
      <c r="U47" s="65" t="n">
        <v>0</v>
      </c>
    </row>
    <row r="48">
      <c r="A48" s="21" t="inlineStr">
        <is>
          <t xml:space="preserve">U062 </t>
        </is>
      </c>
      <c r="B48" s="21" t="inlineStr">
        <is>
          <t xml:space="preserve">ADM. I.U. DE INVESTIGACIÓN INFORMÁTICA </t>
        </is>
      </c>
      <c r="C48" s="21" t="inlineStr">
        <is>
          <t xml:space="preserve">DOCTORADO EN INFORMÁTICA </t>
        </is>
      </c>
      <c r="D48" s="21" t="inlineStr">
        <is>
          <t xml:space="preserve">Herrera Flores, Boris Enrique </t>
        </is>
      </c>
      <c r="E48" s="21" t="inlineStr">
        <is>
          <t xml:space="preserve">Propuesta metodológica para el desarrollo de sistemas automáticos de evaluación </t>
        </is>
      </c>
      <c r="F48" s="21" t="inlineStr">
        <is>
          <t xml:space="preserve">26/10/2020 </t>
        </is>
      </c>
      <c r="G48" s="21" t="inlineStr">
        <is>
          <t xml:space="preserve">02380426H </t>
        </is>
      </c>
      <c r="H48" s="21" t="inlineStr">
        <is>
          <t xml:space="preserve">Codirector de tesis </t>
        </is>
      </c>
      <c r="I48" s="21" t="inlineStr">
        <is>
          <t xml:space="preserve">B158 </t>
        </is>
      </c>
      <c r="J48" s="21" t="inlineStr">
        <is>
          <t xml:space="preserve">LENGUAJES Y SISTEMAS INFORMÁTICOS </t>
        </is>
      </c>
      <c r="K48" s="22" t="n">
        <v>0.5</v>
      </c>
      <c r="L48" s="21" t="inlineStr">
        <is>
          <t>B158</t>
        </is>
      </c>
      <c r="M48" s="22" t="n">
        <v>2019</v>
      </c>
      <c r="N48" s="21" t="inlineStr">
        <is>
          <t>10.19</t>
        </is>
      </c>
      <c r="O48" s="22" t="n">
        <v>20</v>
      </c>
      <c r="P48" s="21" t="inlineStr"/>
      <c r="Q48" s="21" t="n">
        <v>0</v>
      </c>
      <c r="R48" s="21" t="n">
        <v>80</v>
      </c>
      <c r="S48" s="65" t="n">
        <v>0.4</v>
      </c>
      <c r="T48" s="65" t="n">
        <v>0.1</v>
      </c>
      <c r="U48" s="65" t="n">
        <v>0</v>
      </c>
    </row>
    <row r="49">
      <c r="A49" s="21" t="inlineStr">
        <is>
          <t xml:space="preserve">U062 </t>
        </is>
      </c>
      <c r="B49" s="21" t="inlineStr">
        <is>
          <t xml:space="preserve">ADM. I.U. DE INVESTIGACIÓN INFORMÁTICA </t>
        </is>
      </c>
      <c r="C49" s="21" t="inlineStr">
        <is>
          <t xml:space="preserve">DOCTORADO EN INFORMÁTICA </t>
        </is>
      </c>
      <c r="D49" s="21" t="inlineStr">
        <is>
          <t xml:space="preserve">Acosta Hurtado, Tania Aleyda </t>
        </is>
      </c>
      <c r="E49" s="21" t="inlineStr">
        <is>
          <t xml:space="preserve">LINEAMIENTOS PARA EL DISEÑO, PUBLICACIÓN Y EVALUACIÓN DEL CONTENIDO MULTIMEDIA ACCESIBLE EN LA WEB </t>
        </is>
      </c>
      <c r="F49" s="21" t="inlineStr">
        <is>
          <t xml:space="preserve">05/11/2020 </t>
        </is>
      </c>
      <c r="G49" s="21" t="inlineStr">
        <is>
          <t xml:space="preserve">21513360B </t>
        </is>
      </c>
      <c r="H49" s="21" t="inlineStr">
        <is>
          <t xml:space="preserve">Director de tesis </t>
        </is>
      </c>
      <c r="I49" s="21" t="inlineStr">
        <is>
          <t xml:space="preserve">B158 </t>
        </is>
      </c>
      <c r="J49" s="21" t="inlineStr">
        <is>
          <t xml:space="preserve">LENGUAJES Y SISTEMAS INFORMÁTICOS </t>
        </is>
      </c>
      <c r="K49" s="22" t="n">
        <v>1</v>
      </c>
      <c r="L49" s="21" t="inlineStr">
        <is>
          <t>B158</t>
        </is>
      </c>
      <c r="M49" s="22" t="n">
        <v>2019</v>
      </c>
      <c r="N49" s="21" t="inlineStr">
        <is>
          <t>10.19</t>
        </is>
      </c>
      <c r="O49" s="22" t="n">
        <v>20</v>
      </c>
      <c r="P49" s="21" t="inlineStr"/>
      <c r="Q49" s="21" t="n">
        <v>0</v>
      </c>
      <c r="R49" s="21" t="n">
        <v>80</v>
      </c>
      <c r="S49" s="65" t="n">
        <v>0.8</v>
      </c>
      <c r="T49" s="65" t="n">
        <v>0.2</v>
      </c>
      <c r="U49" s="65" t="n">
        <v>0</v>
      </c>
    </row>
    <row r="50">
      <c r="A50" s="21" t="inlineStr">
        <is>
          <t xml:space="preserve">U062 </t>
        </is>
      </c>
      <c r="B50" s="21" t="inlineStr">
        <is>
          <t xml:space="preserve">ADM. I.U. DE INVESTIGACIÓN INFORMÁTICA </t>
        </is>
      </c>
      <c r="C50" s="21" t="inlineStr">
        <is>
          <t xml:space="preserve">DOCTORADO EN INFORMÁTICA </t>
        </is>
      </c>
      <c r="D50" s="21" t="inlineStr">
        <is>
          <t xml:space="preserve">Serrano Cases, Alejandro </t>
        </is>
      </c>
      <c r="E50" s="21" t="inlineStr">
        <is>
          <t xml:space="preserve">Fault tolerance in critical aerospace embedded systems: Multi-threaded mitigation, non-intrusive compiler-guided hardening, and early prediction of proton and neutron induced soft errors </t>
        </is>
      </c>
      <c r="F50" s="21" t="inlineStr">
        <is>
          <t xml:space="preserve">30/10/2020 </t>
        </is>
      </c>
      <c r="G50" s="21" t="inlineStr">
        <is>
          <t xml:space="preserve">74653004H </t>
        </is>
      </c>
      <c r="H50" s="21" t="inlineStr">
        <is>
          <t xml:space="preserve">Director de tesis </t>
        </is>
      </c>
      <c r="I50" s="21" t="inlineStr">
        <is>
          <t xml:space="preserve">B148 </t>
        </is>
      </c>
      <c r="J50" s="21" t="inlineStr">
        <is>
          <t xml:space="preserve">TECNOLOGÍA INFORMÁTICA Y COMPUTACIÓN </t>
        </is>
      </c>
      <c r="K50" s="22" t="n">
        <v>1</v>
      </c>
      <c r="L50" s="21" t="inlineStr">
        <is>
          <t>B148</t>
        </is>
      </c>
      <c r="M50" s="22" t="n">
        <v>2019</v>
      </c>
      <c r="N50" s="21" t="inlineStr">
        <is>
          <t>10.19</t>
        </is>
      </c>
      <c r="O50" s="22" t="n">
        <v>20</v>
      </c>
      <c r="P50" s="21" t="inlineStr"/>
      <c r="Q50" s="21" t="n">
        <v>0</v>
      </c>
      <c r="R50" s="21" t="n">
        <v>80</v>
      </c>
      <c r="S50" s="65" t="n">
        <v>0.8</v>
      </c>
      <c r="T50" s="65" t="n">
        <v>0.2</v>
      </c>
      <c r="U50" s="65" t="n">
        <v>0</v>
      </c>
    </row>
    <row r="51">
      <c r="A51" s="21" t="inlineStr">
        <is>
          <t xml:space="preserve">U062 </t>
        </is>
      </c>
      <c r="B51" s="21" t="inlineStr">
        <is>
          <t xml:space="preserve">ADM. I.U. DE INVESTIGACIÓN INFORMÁTICA </t>
        </is>
      </c>
      <c r="C51" s="21" t="inlineStr">
        <is>
          <t xml:space="preserve">DOCTORADO EN INFORMÁTICA </t>
        </is>
      </c>
      <c r="D51" s="21" t="inlineStr">
        <is>
          <t xml:space="preserve">Duque Gomez, Henry </t>
        </is>
      </c>
      <c r="E51" s="21" t="inlineStr">
        <is>
          <t xml:space="preserve">ARQUITECTURAS INTELIGENTES PARA GESTIÓN DE SISTEMAS CIBERFÍSICOS EN AMBIENTES IoT </t>
        </is>
      </c>
      <c r="F51" s="21" t="inlineStr">
        <is>
          <t xml:space="preserve">27/10/2020 </t>
        </is>
      </c>
      <c r="G51" s="21" t="inlineStr">
        <is>
          <t xml:space="preserve">21486541X </t>
        </is>
      </c>
      <c r="H51" s="21" t="inlineStr">
        <is>
          <t xml:space="preserve">Codirector de tesis </t>
        </is>
      </c>
      <c r="I51" s="21" t="inlineStr">
        <is>
          <t xml:space="preserve">B148 </t>
        </is>
      </c>
      <c r="J51" s="21" t="inlineStr">
        <is>
          <t xml:space="preserve">TECNOLOGÍA INFORMÁTICA Y COMPUTACIÓN </t>
        </is>
      </c>
      <c r="K51" s="22" t="n">
        <v>0.5</v>
      </c>
      <c r="L51" s="21" t="inlineStr">
        <is>
          <t>B148</t>
        </is>
      </c>
      <c r="M51" s="22" t="n">
        <v>2019</v>
      </c>
      <c r="N51" s="21" t="inlineStr">
        <is>
          <t>10.19</t>
        </is>
      </c>
      <c r="O51" s="22" t="n">
        <v>20</v>
      </c>
      <c r="P51" s="21" t="inlineStr"/>
      <c r="Q51" s="21" t="n">
        <v>0</v>
      </c>
      <c r="R51" s="21" t="n">
        <v>80</v>
      </c>
      <c r="S51" s="65" t="n">
        <v>0.4</v>
      </c>
      <c r="T51" s="65" t="n">
        <v>0.1</v>
      </c>
      <c r="U51" s="65" t="n">
        <v>0</v>
      </c>
    </row>
    <row r="52">
      <c r="A52" s="21" t="inlineStr">
        <is>
          <t xml:space="preserve">U062 </t>
        </is>
      </c>
      <c r="B52" s="21" t="inlineStr">
        <is>
          <t xml:space="preserve">ADM. I.U. DE INVESTIGACIÓN INFORMÁTICA </t>
        </is>
      </c>
      <c r="C52" s="21" t="inlineStr">
        <is>
          <t xml:space="preserve">DOCTORADO EN INFORMÁTICA </t>
        </is>
      </c>
      <c r="D52" s="21" t="inlineStr">
        <is>
          <t xml:space="preserve">Duque Gomez, Henry </t>
        </is>
      </c>
      <c r="E52" s="21" t="inlineStr">
        <is>
          <t xml:space="preserve">ARQUITECTURAS INTELIGENTES PARA GESTIÓN DE SISTEMAS CIBERFÍSICOS EN AMBIENTES IoT </t>
        </is>
      </c>
      <c r="F52" s="21" t="inlineStr">
        <is>
          <t xml:space="preserve">27/10/2020 </t>
        </is>
      </c>
      <c r="G52" s="21" t="inlineStr">
        <is>
          <t xml:space="preserve">52764803C </t>
        </is>
      </c>
      <c r="H52" s="21" t="inlineStr">
        <is>
          <t xml:space="preserve">Codirector de tesis </t>
        </is>
      </c>
      <c r="I52" s="21" t="inlineStr">
        <is>
          <t xml:space="preserve">B148 </t>
        </is>
      </c>
      <c r="J52" s="21" t="inlineStr">
        <is>
          <t xml:space="preserve">TECNOLOGÍA INFORMÁTICA Y COMPUTACIÓN </t>
        </is>
      </c>
      <c r="K52" s="22" t="n">
        <v>0.5</v>
      </c>
      <c r="L52" s="21" t="inlineStr">
        <is>
          <t>B148</t>
        </is>
      </c>
      <c r="M52" s="22" t="n">
        <v>2019</v>
      </c>
      <c r="N52" s="21" t="inlineStr">
        <is>
          <t>10.19</t>
        </is>
      </c>
      <c r="O52" s="22" t="n">
        <v>50</v>
      </c>
      <c r="P52" s="21" t="inlineStr"/>
      <c r="Q52" s="21" t="n">
        <v>0</v>
      </c>
      <c r="R52" s="21" t="n">
        <v>50</v>
      </c>
      <c r="S52" s="65" t="n">
        <v>0.25</v>
      </c>
      <c r="T52" s="65" t="n">
        <v>0.25</v>
      </c>
      <c r="U52" s="65" t="n">
        <v>0</v>
      </c>
    </row>
    <row r="53">
      <c r="A53" s="21" t="inlineStr">
        <is>
          <t xml:space="preserve">B112 </t>
        </is>
      </c>
      <c r="B53" s="21" t="inlineStr">
        <is>
          <t xml:space="preserve">DIDACTICA GENERAL Y DIDÁCTICAS ESPECÍFICAS </t>
        </is>
      </c>
      <c r="C53" s="21" t="inlineStr">
        <is>
          <t xml:space="preserve">DOCTORADO EN INVESTIGACIÓN EDUCATIVA </t>
        </is>
      </c>
      <c r="D53" s="21" t="inlineStr">
        <is>
          <t xml:space="preserve">Sebastia Amat, Sergio </t>
        </is>
      </c>
      <c r="E53" s="21" t="inlineStr">
        <is>
          <t xml:space="preserve">Propuesta de evaluación motriz en personas com enfermedad de Parkinson / Motor evaluation proposal for people with Parkinson Disease </t>
        </is>
      </c>
      <c r="F53" s="21" t="inlineStr">
        <is>
          <t xml:space="preserve">20/07/2021 </t>
        </is>
      </c>
      <c r="G53" s="21" t="inlineStr">
        <is>
          <t xml:space="preserve">21506145H </t>
        </is>
      </c>
      <c r="H53" s="21" t="inlineStr">
        <is>
          <t xml:space="preserve">Codirector de tesis </t>
        </is>
      </c>
      <c r="I53" s="21" t="inlineStr">
        <is>
          <t xml:space="preserve">B112 </t>
        </is>
      </c>
      <c r="J53" s="21" t="inlineStr">
        <is>
          <t xml:space="preserve">DIDACTICA GENERAL Y DIDÁCTICAS ESPECÍFICAS </t>
        </is>
      </c>
      <c r="K53" s="22" t="n">
        <v>0.5</v>
      </c>
      <c r="L53" s="21" t="inlineStr">
        <is>
          <t>B112</t>
        </is>
      </c>
      <c r="M53" s="22" t="n">
        <v>2020</v>
      </c>
      <c r="N53" s="21" t="inlineStr">
        <is>
          <t>10.19</t>
        </is>
      </c>
      <c r="O53" s="22" t="n">
        <v>20</v>
      </c>
      <c r="P53" s="21" t="inlineStr"/>
      <c r="Q53" s="21" t="n">
        <v>0</v>
      </c>
      <c r="R53" s="21" t="n">
        <v>80</v>
      </c>
      <c r="S53" s="65" t="n">
        <v>0.4</v>
      </c>
      <c r="T53" s="65" t="n">
        <v>0.1</v>
      </c>
      <c r="U53" s="65" t="n">
        <v>0</v>
      </c>
    </row>
    <row r="54">
      <c r="A54" s="21" t="inlineStr">
        <is>
          <t xml:space="preserve">B112 </t>
        </is>
      </c>
      <c r="B54" s="21" t="inlineStr">
        <is>
          <t xml:space="preserve">DIDACTICA GENERAL Y DIDÁCTICAS ESPECÍFICAS </t>
        </is>
      </c>
      <c r="C54" s="21" t="inlineStr">
        <is>
          <t xml:space="preserve">DOCTORADO EN INVESTIGACIÓN EDUCATIVA </t>
        </is>
      </c>
      <c r="D54" s="21" t="inlineStr">
        <is>
          <t xml:space="preserve">Sánchez García, Luis Fermín </t>
        </is>
      </c>
      <c r="E54" s="21" t="inlineStr">
        <is>
          <t xml:space="preserve">Factores condicionales de rendimiento deportivo en corredores jóvenes de trail running </t>
        </is>
      </c>
      <c r="F54" s="21" t="inlineStr">
        <is>
          <t xml:space="preserve">15/06/2021 </t>
        </is>
      </c>
      <c r="G54" s="21" t="inlineStr">
        <is>
          <t xml:space="preserve">21506145H </t>
        </is>
      </c>
      <c r="H54" s="21" t="inlineStr">
        <is>
          <t xml:space="preserve">Codirector de tesis </t>
        </is>
      </c>
      <c r="I54" s="21" t="inlineStr">
        <is>
          <t xml:space="preserve">B112 </t>
        </is>
      </c>
      <c r="J54" s="21" t="inlineStr">
        <is>
          <t xml:space="preserve">DIDACTICA GENERAL Y DIDÁCTICAS ESPECÍFICAS </t>
        </is>
      </c>
      <c r="K54" s="22" t="n">
        <v>0.5</v>
      </c>
      <c r="L54" s="21" t="inlineStr">
        <is>
          <t>B112</t>
        </is>
      </c>
      <c r="M54" s="22" t="n">
        <v>2020</v>
      </c>
      <c r="N54" s="21" t="inlineStr">
        <is>
          <t>10.19</t>
        </is>
      </c>
      <c r="O54" s="22" t="n">
        <v>20</v>
      </c>
      <c r="P54" s="21" t="inlineStr"/>
      <c r="Q54" s="21" t="n">
        <v>0</v>
      </c>
      <c r="R54" s="21" t="n">
        <v>80</v>
      </c>
      <c r="S54" s="65" t="n">
        <v>0.4</v>
      </c>
      <c r="T54" s="65" t="n">
        <v>0.1</v>
      </c>
      <c r="U54" s="65" t="n">
        <v>0</v>
      </c>
    </row>
    <row r="55">
      <c r="A55" s="21" t="inlineStr">
        <is>
          <t xml:space="preserve">U022 </t>
        </is>
      </c>
      <c r="B55" s="21" t="inlineStr">
        <is>
          <t xml:space="preserve">ADM. FACULTAD DE CIENCIAS </t>
        </is>
      </c>
      <c r="C55" s="21" t="inlineStr">
        <is>
          <t xml:space="preserve">DOCTORADO EN CIENCIAS EXPERIMENTALES Y BIOSANITARIAS </t>
        </is>
      </c>
      <c r="D55" s="21" t="inlineStr">
        <is>
          <t xml:space="preserve">Trigueros Páez, Emilio </t>
        </is>
      </c>
      <c r="E55" s="21" t="inlineStr">
        <is>
          <t xml:space="preserve">MONOS: Multiplicity Of Northern O-type Spectroscopic systems </t>
        </is>
      </c>
      <c r="F55" s="21" t="inlineStr">
        <is>
          <t xml:space="preserve">30/07/2021 </t>
        </is>
      </c>
      <c r="G55" s="21" t="inlineStr">
        <is>
          <t xml:space="preserve">16568682B </t>
        </is>
      </c>
      <c r="H55" s="21" t="inlineStr">
        <is>
          <t xml:space="preserve">Codirector de tesis </t>
        </is>
      </c>
      <c r="I55" s="21" t="inlineStr">
        <is>
          <t xml:space="preserve">B117 </t>
        </is>
      </c>
      <c r="J55" s="21" t="inlineStr">
        <is>
          <t xml:space="preserve">FISICA APLICADA </t>
        </is>
      </c>
      <c r="K55" s="22" t="n">
        <v>0.5</v>
      </c>
      <c r="L55" s="21" t="inlineStr">
        <is>
          <t>B117</t>
        </is>
      </c>
      <c r="M55" s="22" t="n">
        <v>2020</v>
      </c>
      <c r="N55" s="21" t="inlineStr">
        <is>
          <t>10.19</t>
        </is>
      </c>
      <c r="O55" s="22" t="n">
        <v>15</v>
      </c>
      <c r="P55" s="21" t="inlineStr"/>
      <c r="Q55" s="21" t="n">
        <v>0</v>
      </c>
      <c r="R55" s="21" t="n">
        <v>85</v>
      </c>
      <c r="S55" s="65" t="n">
        <v>0.425</v>
      </c>
      <c r="T55" s="65" t="n">
        <v>0.075</v>
      </c>
      <c r="U55" s="65" t="n">
        <v>0</v>
      </c>
    </row>
    <row r="56">
      <c r="A56" s="21" t="inlineStr">
        <is>
          <t xml:space="preserve">U044 </t>
        </is>
      </c>
      <c r="B56" s="21" t="inlineStr">
        <is>
          <t xml:space="preserve">ADM. FACULTAD DE CIENCIAS DE LA SALUD </t>
        </is>
      </c>
      <c r="C56" s="21" t="inlineStr">
        <is>
          <t xml:space="preserve">DOCTORADO EN CIENCIAS DE LA SALUD </t>
        </is>
      </c>
      <c r="D56" s="21" t="inlineStr">
        <is>
          <t xml:space="preserve">Aguirre Pastor, Alfredo </t>
        </is>
      </c>
      <c r="E56" s="21" t="inlineStr">
        <is>
          <t xml:space="preserve">Influencia de la pseudopatela baja sobre la artroplastia de rodilla. </t>
        </is>
      </c>
      <c r="F56" s="21" t="inlineStr">
        <is>
          <t xml:space="preserve">29/07/2021 </t>
        </is>
      </c>
      <c r="G56" s="21" t="inlineStr">
        <is>
          <t xml:space="preserve">21510925Z </t>
        </is>
      </c>
      <c r="H56" s="21" t="inlineStr">
        <is>
          <t xml:space="preserve">Codirector de tesis </t>
        </is>
      </c>
      <c r="I56" s="21" t="inlineStr">
        <is>
          <t xml:space="preserve">B134 </t>
        </is>
      </c>
      <c r="J56" s="21" t="inlineStr">
        <is>
          <t xml:space="preserve">ENFERMERIA </t>
        </is>
      </c>
      <c r="K56" s="22" t="n">
        <v>0.5</v>
      </c>
      <c r="L56" s="21" t="inlineStr">
        <is>
          <t>B134</t>
        </is>
      </c>
      <c r="M56" s="22" t="n">
        <v>2020</v>
      </c>
      <c r="N56" s="21" t="inlineStr">
        <is>
          <t>10.19</t>
        </is>
      </c>
      <c r="O56" s="22" t="n">
        <v>20</v>
      </c>
      <c r="P56" s="21" t="inlineStr"/>
      <c r="Q56" s="21" t="n">
        <v>0</v>
      </c>
      <c r="R56" s="21" t="n">
        <v>80</v>
      </c>
      <c r="S56" s="65" t="n">
        <v>0.4</v>
      </c>
      <c r="T56" s="65" t="n">
        <v>0.1</v>
      </c>
      <c r="U56" s="65" t="n">
        <v>0</v>
      </c>
    </row>
    <row r="57">
      <c r="A57" s="21" t="inlineStr">
        <is>
          <t xml:space="preserve">U044 </t>
        </is>
      </c>
      <c r="B57" s="21" t="inlineStr">
        <is>
          <t xml:space="preserve">ADM. FACULTAD DE CIENCIAS DE LA SALUD </t>
        </is>
      </c>
      <c r="C57" s="21" t="inlineStr">
        <is>
          <t xml:space="preserve">DOCTORADO EN CIENCIAS DE LA SALUD </t>
        </is>
      </c>
      <c r="D57" s="21" t="inlineStr">
        <is>
          <t xml:space="preserve">Veracruz Gálvez, Eva María </t>
        </is>
      </c>
      <c r="E57" s="21" t="inlineStr">
        <is>
          <t xml:space="preserve">Influencia de la posición de los sesamoideos sobre el resultado funcional de la osteotomía del primer metatarsiano para hallux valgus </t>
        </is>
      </c>
      <c r="F57" s="21" t="inlineStr">
        <is>
          <t xml:space="preserve">16/06/2021 </t>
        </is>
      </c>
      <c r="G57" s="21" t="inlineStr">
        <is>
          <t xml:space="preserve">21510925Z </t>
        </is>
      </c>
      <c r="H57" s="21" t="inlineStr">
        <is>
          <t xml:space="preserve">Codirector de tesis </t>
        </is>
      </c>
      <c r="I57" s="21" t="inlineStr">
        <is>
          <t xml:space="preserve">B134 </t>
        </is>
      </c>
      <c r="J57" s="21" t="inlineStr">
        <is>
          <t xml:space="preserve">ENFERMERIA </t>
        </is>
      </c>
      <c r="K57" s="22" t="n">
        <v>0.5</v>
      </c>
      <c r="L57" s="21" t="inlineStr">
        <is>
          <t>B134</t>
        </is>
      </c>
      <c r="M57" s="22" t="n">
        <v>2020</v>
      </c>
      <c r="N57" s="21" t="inlineStr">
        <is>
          <t>10.19</t>
        </is>
      </c>
      <c r="O57" s="22" t="n">
        <v>20</v>
      </c>
      <c r="P57" s="21" t="inlineStr"/>
      <c r="Q57" s="21" t="n">
        <v>0</v>
      </c>
      <c r="R57" s="21" t="n">
        <v>80</v>
      </c>
      <c r="S57" s="65" t="n">
        <v>0.4</v>
      </c>
      <c r="T57" s="65" t="n">
        <v>0.1</v>
      </c>
      <c r="U57" s="65" t="n">
        <v>0</v>
      </c>
    </row>
    <row r="58">
      <c r="A58" s="21" t="inlineStr">
        <is>
          <t xml:space="preserve">U044 </t>
        </is>
      </c>
      <c r="B58" s="21" t="inlineStr">
        <is>
          <t xml:space="preserve">ADM. FACULTAD DE CIENCIAS DE LA SALUD </t>
        </is>
      </c>
      <c r="C58" s="21" t="inlineStr">
        <is>
          <t xml:space="preserve">DOCTORADO EN CIENCIAS DE LA SALUD </t>
        </is>
      </c>
      <c r="D58" s="21" t="inlineStr">
        <is>
          <t xml:space="preserve">de Juan Pérez, Alba Isabel </t>
        </is>
      </c>
      <c r="E58" s="21" t="inlineStr">
        <is>
          <t xml:space="preserve">"Presencia y distribución de neuroreceptores de serotonina, GABA y dopamina en el espermatozoide humano. Estudio con técnicas de microscopía de alta resolución y análisis de grafos" </t>
        </is>
      </c>
      <c r="F58" s="21" t="inlineStr">
        <is>
          <t xml:space="preserve">25/03/2021 </t>
        </is>
      </c>
      <c r="G58" s="21" t="inlineStr">
        <is>
          <t xml:space="preserve">21510925Z </t>
        </is>
      </c>
      <c r="H58" s="21" t="inlineStr">
        <is>
          <t xml:space="preserve">Codirector de tesis </t>
        </is>
      </c>
      <c r="I58" s="21" t="inlineStr">
        <is>
          <t xml:space="preserve">B134 </t>
        </is>
      </c>
      <c r="J58" s="21" t="inlineStr">
        <is>
          <t xml:space="preserve">ENFERMERIA </t>
        </is>
      </c>
      <c r="K58" s="22" t="n">
        <v>0.5</v>
      </c>
      <c r="L58" s="21" t="inlineStr">
        <is>
          <t>B134</t>
        </is>
      </c>
      <c r="M58" s="22" t="n">
        <v>2020</v>
      </c>
      <c r="N58" s="21" t="inlineStr">
        <is>
          <t>10.19</t>
        </is>
      </c>
      <c r="O58" s="22" t="n">
        <v>20</v>
      </c>
      <c r="P58" s="21" t="inlineStr"/>
      <c r="Q58" s="21" t="n">
        <v>0</v>
      </c>
      <c r="R58" s="21" t="n">
        <v>80</v>
      </c>
      <c r="S58" s="65" t="n">
        <v>0.4</v>
      </c>
      <c r="T58" s="65" t="n">
        <v>0.1</v>
      </c>
      <c r="U58" s="65" t="n">
        <v>0</v>
      </c>
    </row>
    <row r="59">
      <c r="A59" s="21" t="inlineStr">
        <is>
          <t xml:space="preserve">U044 </t>
        </is>
      </c>
      <c r="B59" s="21" t="inlineStr">
        <is>
          <t xml:space="preserve">ADM. FACULTAD DE CIENCIAS DE LA SALUD </t>
        </is>
      </c>
      <c r="C59" s="21" t="inlineStr">
        <is>
          <t xml:space="preserve">DOCTORADO EN CIENCIAS DE LA SALUD </t>
        </is>
      </c>
      <c r="D59" s="21" t="inlineStr">
        <is>
          <t xml:space="preserve">Jover Mendiola, Antonio Damián </t>
        </is>
      </c>
      <c r="E59" s="21" t="inlineStr">
        <is>
          <t xml:space="preserve">Efectividad de la artrodesis primaria posterior de columna lumbar con técnica mínimamente invasiva comparada a la cirugía abierta para potología degenerativa lumbar. </t>
        </is>
      </c>
      <c r="F59" s="21" t="inlineStr">
        <is>
          <t xml:space="preserve">25/05/2021 </t>
        </is>
      </c>
      <c r="G59" s="21" t="inlineStr">
        <is>
          <t xml:space="preserve">21510925Z </t>
        </is>
      </c>
      <c r="H59" s="21" t="inlineStr">
        <is>
          <t xml:space="preserve">Codirector de tesis </t>
        </is>
      </c>
      <c r="I59" s="21" t="inlineStr">
        <is>
          <t xml:space="preserve">B134 </t>
        </is>
      </c>
      <c r="J59" s="21" t="inlineStr">
        <is>
          <t xml:space="preserve">ENFERMERIA </t>
        </is>
      </c>
      <c r="K59" s="22" t="n">
        <v>0.5</v>
      </c>
      <c r="L59" s="21" t="inlineStr">
        <is>
          <t>B134</t>
        </is>
      </c>
      <c r="M59" s="22" t="n">
        <v>2020</v>
      </c>
      <c r="N59" s="21" t="inlineStr">
        <is>
          <t>10.19</t>
        </is>
      </c>
      <c r="O59" s="22" t="n">
        <v>20</v>
      </c>
      <c r="P59" s="21" t="inlineStr"/>
      <c r="Q59" s="21" t="n">
        <v>0</v>
      </c>
      <c r="R59" s="21" t="n">
        <v>80</v>
      </c>
      <c r="S59" s="65" t="n">
        <v>0.4</v>
      </c>
      <c r="T59" s="65" t="n">
        <v>0.1</v>
      </c>
      <c r="U59" s="65" t="n">
        <v>0</v>
      </c>
    </row>
    <row r="60">
      <c r="A60" s="21" t="inlineStr">
        <is>
          <t xml:space="preserve">U044 </t>
        </is>
      </c>
      <c r="B60" s="21" t="inlineStr">
        <is>
          <t xml:space="preserve">ADM. FACULTAD DE CIENCIAS DE LA SALUD </t>
        </is>
      </c>
      <c r="C60" s="21" t="inlineStr">
        <is>
          <t xml:space="preserve">DOCTORADO EN CIENCIAS DE LA SALUD </t>
        </is>
      </c>
      <c r="D60" s="21" t="inlineStr">
        <is>
          <t xml:space="preserve">Rubio Morales, Marta </t>
        </is>
      </c>
      <c r="E60" s="21" t="inlineStr">
        <is>
          <t xml:space="preserve">Beneficios clínicos de la prótesis inversa de hombro e influencia del diagnóstico. </t>
        </is>
      </c>
      <c r="F60" s="21" t="inlineStr">
        <is>
          <t xml:space="preserve">01/06/2021 </t>
        </is>
      </c>
      <c r="G60" s="21" t="inlineStr">
        <is>
          <t xml:space="preserve">21510925Z </t>
        </is>
      </c>
      <c r="H60" s="21" t="inlineStr">
        <is>
          <t xml:space="preserve">Codirector de tesis </t>
        </is>
      </c>
      <c r="I60" s="21" t="inlineStr">
        <is>
          <t xml:space="preserve">B134 </t>
        </is>
      </c>
      <c r="J60" s="21" t="inlineStr">
        <is>
          <t xml:space="preserve">ENFERMERIA </t>
        </is>
      </c>
      <c r="K60" s="22" t="n">
        <v>0.5</v>
      </c>
      <c r="L60" s="21" t="inlineStr">
        <is>
          <t>B134</t>
        </is>
      </c>
      <c r="M60" s="22" t="n">
        <v>2020</v>
      </c>
      <c r="N60" s="21" t="inlineStr">
        <is>
          <t>10.19</t>
        </is>
      </c>
      <c r="O60" s="22" t="n">
        <v>20</v>
      </c>
      <c r="P60" s="21" t="inlineStr"/>
      <c r="Q60" s="21" t="n">
        <v>0</v>
      </c>
      <c r="R60" s="21" t="n">
        <v>80</v>
      </c>
      <c r="S60" s="65" t="n">
        <v>0.4</v>
      </c>
      <c r="T60" s="65" t="n">
        <v>0.1</v>
      </c>
      <c r="U60" s="65" t="n">
        <v>0</v>
      </c>
    </row>
    <row r="61">
      <c r="A61" s="21" t="inlineStr">
        <is>
          <t xml:space="preserve">U044 </t>
        </is>
      </c>
      <c r="B61" s="21" t="inlineStr">
        <is>
          <t xml:space="preserve">ADM. FACULTAD DE CIENCIAS DE LA SALUD </t>
        </is>
      </c>
      <c r="C61" s="21" t="inlineStr">
        <is>
          <t xml:space="preserve">DOCTORADO EN CIENCIAS DE LA SALUD </t>
        </is>
      </c>
      <c r="D61" s="21" t="inlineStr">
        <is>
          <t xml:space="preserve">Startseva , Elena </t>
        </is>
      </c>
      <c r="E61" s="21" t="inlineStr">
        <is>
          <t xml:space="preserve">Líneas de investigación cibernética y biótica. Modelado y simulación de sistemas biológicos. Ingeniería de conocimiento para la mejora de la orientación académica. </t>
        </is>
      </c>
      <c r="F61" s="21" t="inlineStr">
        <is>
          <t xml:space="preserve">11/02/2021 </t>
        </is>
      </c>
      <c r="G61" s="21" t="inlineStr">
        <is>
          <t xml:space="preserve">21645638Q </t>
        </is>
      </c>
      <c r="H61" s="21" t="inlineStr">
        <is>
          <t xml:space="preserve">Director de tesis </t>
        </is>
      </c>
      <c r="I61" s="21" t="inlineStr">
        <is>
          <t xml:space="preserve">B158 </t>
        </is>
      </c>
      <c r="J61" s="21" t="inlineStr">
        <is>
          <t xml:space="preserve">LENGUAJES Y SISTEMAS INFORMÁTICOS </t>
        </is>
      </c>
      <c r="K61" s="22" t="n">
        <v>1</v>
      </c>
      <c r="L61" s="21" t="inlineStr">
        <is>
          <t>B158</t>
        </is>
      </c>
      <c r="M61" s="22" t="n">
        <v>2020</v>
      </c>
      <c r="N61" s="21" t="inlineStr">
        <is>
          <t>10.19</t>
        </is>
      </c>
      <c r="O61" s="22" t="n">
        <v>20</v>
      </c>
      <c r="P61" s="21" t="inlineStr"/>
      <c r="Q61" s="21" t="n">
        <v>0</v>
      </c>
      <c r="R61" s="21" t="n">
        <v>80</v>
      </c>
      <c r="S61" s="65" t="n">
        <v>0.8</v>
      </c>
      <c r="T61" s="65" t="n">
        <v>0.2</v>
      </c>
      <c r="U61" s="65" t="n">
        <v>0</v>
      </c>
    </row>
    <row r="62">
      <c r="A62" s="21" t="inlineStr">
        <is>
          <t xml:space="preserve">U062 </t>
        </is>
      </c>
      <c r="B62" s="21" t="inlineStr">
        <is>
          <t xml:space="preserve">ADM. I.U. DE INVESTIGACIÓN INFORMÁTICA </t>
        </is>
      </c>
      <c r="C62" s="21" t="inlineStr">
        <is>
          <t xml:space="preserve">DOCTORADO EN INFORMÁTICA </t>
        </is>
      </c>
      <c r="D62" s="21" t="inlineStr">
        <is>
          <t xml:space="preserve">Jiménez Álvarez, Luis Gonzalo </t>
        </is>
      </c>
      <c r="E62" s="21" t="inlineStr">
        <is>
          <t xml:space="preserve">Diseño y Especificación del ocio digital con fines de aprendizaje ODFA Subproblema: Ocio digital formativo en competencias ODFC para la UCE </t>
        </is>
      </c>
      <c r="F62" s="21" t="inlineStr">
        <is>
          <t xml:space="preserve">25/02/2021 </t>
        </is>
      </c>
      <c r="G62" s="21" t="inlineStr">
        <is>
          <t xml:space="preserve">21964202F </t>
        </is>
      </c>
      <c r="H62" s="21" t="inlineStr">
        <is>
          <t xml:space="preserve">Codirector de tesis </t>
        </is>
      </c>
      <c r="I62" s="21" t="inlineStr">
        <is>
          <t xml:space="preserve">B148 </t>
        </is>
      </c>
      <c r="J62" s="21" t="inlineStr">
        <is>
          <t xml:space="preserve">TECNOLOGÍA INFORMÁTICA Y COMPUTACIÓN </t>
        </is>
      </c>
      <c r="K62" s="22" t="n">
        <v>0.5</v>
      </c>
      <c r="L62" s="21" t="inlineStr">
        <is>
          <t>B148</t>
        </is>
      </c>
      <c r="M62" s="22" t="n">
        <v>2020</v>
      </c>
      <c r="N62" s="21" t="inlineStr">
        <is>
          <t>10.19</t>
        </is>
      </c>
      <c r="O62" s="22" t="n">
        <v>20</v>
      </c>
      <c r="P62" s="21" t="inlineStr">
        <is>
          <t>10.25</t>
        </is>
      </c>
      <c r="Q62" s="21" t="n">
        <v>10</v>
      </c>
      <c r="R62" s="21" t="n">
        <v>70</v>
      </c>
      <c r="S62" s="65" t="n">
        <v>0.35</v>
      </c>
      <c r="T62" s="65" t="n">
        <v>0.1</v>
      </c>
      <c r="U62" s="65" t="n">
        <v>0.05</v>
      </c>
    </row>
    <row r="63">
      <c r="A63" s="21" t="inlineStr">
        <is>
          <t xml:space="preserve">U062 </t>
        </is>
      </c>
      <c r="B63" s="21" t="inlineStr">
        <is>
          <t xml:space="preserve">ADM. I.U. DE INVESTIGACIÓN INFORMÁTICA </t>
        </is>
      </c>
      <c r="C63" s="21" t="inlineStr">
        <is>
          <t xml:space="preserve">DOCTORADO EN INFORMÁTICA </t>
        </is>
      </c>
      <c r="D63" s="21" t="inlineStr">
        <is>
          <t xml:space="preserve">Hochstetter Diez, Jorge Alberto </t>
        </is>
      </c>
      <c r="E63" s="21" t="inlineStr">
        <is>
          <t xml:space="preserve">Impacto de la calidad del documento de requisitos sobre el proceso de licitaciones públicas de proyectos de desarrollo software </t>
        </is>
      </c>
      <c r="F63" s="21" t="inlineStr">
        <is>
          <t xml:space="preserve">14/01/2021 </t>
        </is>
      </c>
      <c r="G63" s="21" t="inlineStr">
        <is>
          <t xml:space="preserve">33481301V </t>
        </is>
      </c>
      <c r="H63" s="21" t="inlineStr">
        <is>
          <t xml:space="preserve">Codirector de tesis </t>
        </is>
      </c>
      <c r="I63" s="21" t="inlineStr">
        <is>
          <t xml:space="preserve">B158 </t>
        </is>
      </c>
      <c r="J63" s="21" t="inlineStr">
        <is>
          <t xml:space="preserve">LENGUAJES Y SISTEMAS INFORMÁTICOS </t>
        </is>
      </c>
      <c r="K63" s="22" t="n">
        <v>0.5</v>
      </c>
      <c r="L63" s="21" t="inlineStr">
        <is>
          <t>B158</t>
        </is>
      </c>
      <c r="M63" s="22" t="n">
        <v>2020</v>
      </c>
      <c r="N63" s="21" t="inlineStr">
        <is>
          <t>10.19</t>
        </is>
      </c>
      <c r="O63" s="22" t="n">
        <v>20</v>
      </c>
      <c r="P63" s="21" t="inlineStr"/>
      <c r="Q63" s="21" t="n">
        <v>0</v>
      </c>
      <c r="R63" s="21" t="n">
        <v>80</v>
      </c>
      <c r="S63" s="65" t="n">
        <v>0.4</v>
      </c>
      <c r="T63" s="65" t="n">
        <v>0.1</v>
      </c>
      <c r="U63" s="65" t="n">
        <v>0</v>
      </c>
    </row>
    <row r="64">
      <c r="A64" s="21" t="inlineStr">
        <is>
          <t xml:space="preserve">U062 </t>
        </is>
      </c>
      <c r="B64" s="21" t="inlineStr">
        <is>
          <t xml:space="preserve">ADM. I.U. DE INVESTIGACIÓN INFORMÁTICA </t>
        </is>
      </c>
      <c r="C64" s="21" t="inlineStr">
        <is>
          <t xml:space="preserve">DOCTORADO EN INFORMÁTICA </t>
        </is>
      </c>
      <c r="D64" s="21" t="inlineStr">
        <is>
          <t xml:space="preserve">Naranjo Zeledón, Luis Carlos </t>
        </is>
      </c>
      <c r="E64" s="21" t="inlineStr">
        <is>
          <t xml:space="preserve">¿Arquitectura de componentes de refuerzo del aprendizaje de lengua de señas empleando proximidad fonológica¿ </t>
        </is>
      </c>
      <c r="F64" s="21" t="inlineStr">
        <is>
          <t xml:space="preserve">27/09/2021 </t>
        </is>
      </c>
      <c r="G64" s="21" t="inlineStr">
        <is>
          <t xml:space="preserve">21464202G </t>
        </is>
      </c>
      <c r="H64" s="21" t="inlineStr">
        <is>
          <t xml:space="preserve">Codirector de tesis </t>
        </is>
      </c>
      <c r="I64" s="21" t="inlineStr">
        <is>
          <t xml:space="preserve">B158 </t>
        </is>
      </c>
      <c r="J64" s="21" t="inlineStr">
        <is>
          <t xml:space="preserve">LENGUAJES Y SISTEMAS INFORMÁTICOS </t>
        </is>
      </c>
      <c r="K64" s="22" t="n">
        <v>0.5</v>
      </c>
      <c r="L64" s="21" t="inlineStr">
        <is>
          <t>B158</t>
        </is>
      </c>
      <c r="M64" s="22" t="n">
        <v>2020</v>
      </c>
      <c r="N64" s="21" t="inlineStr">
        <is>
          <t>10.19</t>
        </is>
      </c>
      <c r="O64" s="22" t="n">
        <v>20</v>
      </c>
      <c r="P64" s="21" t="inlineStr"/>
      <c r="Q64" s="21" t="n">
        <v>0</v>
      </c>
      <c r="R64" s="21" t="n">
        <v>80</v>
      </c>
      <c r="S64" s="65" t="n">
        <v>0.4</v>
      </c>
      <c r="T64" s="65" t="n">
        <v>0.1</v>
      </c>
      <c r="U64" s="65" t="n">
        <v>0</v>
      </c>
    </row>
    <row r="65">
      <c r="A65" s="21" t="inlineStr">
        <is>
          <t xml:space="preserve">U062 </t>
        </is>
      </c>
      <c r="B65" s="21" t="inlineStr">
        <is>
          <t xml:space="preserve">ADM. I.U. DE INVESTIGACIÓN INFORMÁTICA </t>
        </is>
      </c>
      <c r="C65" s="21" t="inlineStr">
        <is>
          <t xml:space="preserve">DOCTORADO EN INFORMÁTICA </t>
        </is>
      </c>
      <c r="D65" s="21" t="inlineStr">
        <is>
          <t xml:space="preserve">Naranjo Zeledón, Luis Carlos </t>
        </is>
      </c>
      <c r="E65" s="21" t="inlineStr">
        <is>
          <t xml:space="preserve">¿Arquitectura de componentes de refuerzo del aprendizaje de lengua de señas empleando proximidad fonológica¿ </t>
        </is>
      </c>
      <c r="F65" s="21" t="inlineStr">
        <is>
          <t xml:space="preserve">27/09/2021 </t>
        </is>
      </c>
      <c r="G65" s="21" t="inlineStr">
        <is>
          <t xml:space="preserve">21488273V </t>
        </is>
      </c>
      <c r="H65" s="21" t="inlineStr">
        <is>
          <t xml:space="preserve">Codirector de tesis </t>
        </is>
      </c>
      <c r="I65" s="21" t="inlineStr">
        <is>
          <t xml:space="preserve">B158 </t>
        </is>
      </c>
      <c r="J65" s="21" t="inlineStr">
        <is>
          <t xml:space="preserve">LENGUAJES Y SISTEMAS INFORMÁTICOS </t>
        </is>
      </c>
      <c r="K65" s="22" t="n">
        <v>0.5</v>
      </c>
      <c r="L65" s="21" t="inlineStr">
        <is>
          <t>B158</t>
        </is>
      </c>
      <c r="M65" s="22" t="n">
        <v>2020</v>
      </c>
      <c r="N65" s="21" t="inlineStr">
        <is>
          <t>10.19</t>
        </is>
      </c>
      <c r="O65" s="22" t="n">
        <v>20</v>
      </c>
      <c r="P65" s="21" t="inlineStr"/>
      <c r="Q65" s="21" t="n">
        <v>0</v>
      </c>
      <c r="R65" s="21" t="n">
        <v>80</v>
      </c>
      <c r="S65" s="65" t="n">
        <v>0.4</v>
      </c>
      <c r="T65" s="65" t="n">
        <v>0.1</v>
      </c>
      <c r="U65" s="65" t="n">
        <v>0</v>
      </c>
    </row>
    <row r="66">
      <c r="A66" s="21" t="inlineStr">
        <is>
          <t xml:space="preserve">U062 </t>
        </is>
      </c>
      <c r="B66" s="21" t="inlineStr">
        <is>
          <t xml:space="preserve">ADM. I.U. DE INVESTIGACIÓN INFORMÁTICA </t>
        </is>
      </c>
      <c r="C66" s="21" t="inlineStr">
        <is>
          <t xml:space="preserve">DOCTORADO EN INFORMÁTICA </t>
        </is>
      </c>
      <c r="D66" s="21" t="inlineStr">
        <is>
          <t xml:space="preserve">Morales Morales, Mario Raúl </t>
        </is>
      </c>
      <c r="E66" s="21" t="inlineStr">
        <is>
          <t xml:space="preserve">Criptomonedas de ámbito social como herramienta de gobierno electrónico para el desarrollo sostenible </t>
        </is>
      </c>
      <c r="F66" s="21" t="inlineStr">
        <is>
          <t xml:space="preserve">01/06/2021 </t>
        </is>
      </c>
      <c r="G66" s="21" t="inlineStr">
        <is>
          <t xml:space="preserve">33489374V </t>
        </is>
      </c>
      <c r="H66" s="21" t="inlineStr">
        <is>
          <t xml:space="preserve">Codirector de tesis </t>
        </is>
      </c>
      <c r="I66" s="21" t="inlineStr">
        <is>
          <t xml:space="preserve">B148 </t>
        </is>
      </c>
      <c r="J66" s="21" t="inlineStr">
        <is>
          <t xml:space="preserve">TECNOLOGÍA INFORMÁTICA Y COMPUTACIÓN </t>
        </is>
      </c>
      <c r="K66" s="22" t="n">
        <v>0.5</v>
      </c>
      <c r="L66" s="21" t="inlineStr">
        <is>
          <t>B148</t>
        </is>
      </c>
      <c r="M66" s="22" t="n">
        <v>2020</v>
      </c>
      <c r="N66" s="21" t="inlineStr">
        <is>
          <t>10.19</t>
        </is>
      </c>
      <c r="O66" s="22" t="n">
        <v>20</v>
      </c>
      <c r="P66" s="21" t="inlineStr"/>
      <c r="Q66" s="21" t="n">
        <v>0</v>
      </c>
      <c r="R66" s="21" t="n">
        <v>80</v>
      </c>
      <c r="S66" s="65" t="n">
        <v>0.4</v>
      </c>
      <c r="T66" s="65" t="n">
        <v>0.1</v>
      </c>
      <c r="U66" s="65" t="n">
        <v>0</v>
      </c>
    </row>
    <row r="67">
      <c r="A67" s="21" t="inlineStr">
        <is>
          <t xml:space="preserve">U062 </t>
        </is>
      </c>
      <c r="B67" s="21" t="inlineStr">
        <is>
          <t xml:space="preserve">ADM. I.U. DE INVESTIGACIÓN INFORMÁTICA </t>
        </is>
      </c>
      <c r="C67" s="21" t="inlineStr">
        <is>
          <t xml:space="preserve">DOCTORADO EN INFORMÁTICA </t>
        </is>
      </c>
      <c r="D67" s="21" t="inlineStr">
        <is>
          <t xml:space="preserve">Morales Morales, Mario Raúl </t>
        </is>
      </c>
      <c r="E67" s="21" t="inlineStr">
        <is>
          <t xml:space="preserve">Criptomonedas de ámbito social como herramienta de gobierno electrónico para el desarrollo sostenible </t>
        </is>
      </c>
      <c r="F67" s="21" t="inlineStr">
        <is>
          <t xml:space="preserve">01/06/2021 </t>
        </is>
      </c>
      <c r="G67" s="21" t="inlineStr">
        <is>
          <t xml:space="preserve">44752524K </t>
        </is>
      </c>
      <c r="H67" s="21" t="inlineStr">
        <is>
          <t xml:space="preserve">Codirector de tesis </t>
        </is>
      </c>
      <c r="I67" s="21" t="inlineStr">
        <is>
          <t xml:space="preserve">B148 </t>
        </is>
      </c>
      <c r="J67" s="21" t="inlineStr">
        <is>
          <t xml:space="preserve">TECNOLOGÍA INFORMÁTICA Y COMPUTACIÓN </t>
        </is>
      </c>
      <c r="K67" s="22" t="n">
        <v>0.5</v>
      </c>
      <c r="L67" s="21" t="inlineStr">
        <is>
          <t>B148</t>
        </is>
      </c>
      <c r="M67" s="22" t="n">
        <v>2020</v>
      </c>
      <c r="N67" s="21" t="inlineStr">
        <is>
          <t>10.19</t>
        </is>
      </c>
      <c r="O67" s="22" t="n">
        <v>20</v>
      </c>
      <c r="P67" s="21" t="inlineStr"/>
      <c r="Q67" s="21" t="n">
        <v>0</v>
      </c>
      <c r="R67" s="21" t="n">
        <v>80</v>
      </c>
      <c r="S67" s="65" t="n">
        <v>0.4</v>
      </c>
      <c r="T67" s="65" t="n">
        <v>0.1</v>
      </c>
      <c r="U67" s="65" t="n">
        <v>0</v>
      </c>
    </row>
    <row r="68">
      <c r="A68" s="21" t="inlineStr">
        <is>
          <t xml:space="preserve">U062 </t>
        </is>
      </c>
      <c r="B68" s="21" t="inlineStr">
        <is>
          <t xml:space="preserve">ADM. I.U. DE INVESTIGACIÓN INFORMÁTICA </t>
        </is>
      </c>
      <c r="C68" s="21" t="inlineStr">
        <is>
          <t xml:space="preserve">DOCTORADO EN INFORMÁTICA </t>
        </is>
      </c>
      <c r="D68" s="21" t="inlineStr">
        <is>
          <t xml:space="preserve">Salvador Ullauri, Luis Antonio </t>
        </is>
      </c>
      <c r="E68" s="21" t="inlineStr">
        <is>
          <t xml:space="preserve">Evaluación de la accesibilidad para personas con deficiencia visual en juegos serios basados en la web </t>
        </is>
      </c>
      <c r="F68" s="21" t="inlineStr">
        <is>
          <t xml:space="preserve">25/02/2021 </t>
        </is>
      </c>
      <c r="G68" s="21" t="inlineStr">
        <is>
          <t xml:space="preserve">21513360B </t>
        </is>
      </c>
      <c r="H68" s="21" t="inlineStr">
        <is>
          <t xml:space="preserve">Director de tesis </t>
        </is>
      </c>
      <c r="I68" s="21" t="inlineStr">
        <is>
          <t xml:space="preserve">B158 </t>
        </is>
      </c>
      <c r="J68" s="21" t="inlineStr">
        <is>
          <t xml:space="preserve">LENGUAJES Y SISTEMAS INFORMÁTICOS </t>
        </is>
      </c>
      <c r="K68" s="22" t="n">
        <v>1</v>
      </c>
      <c r="L68" s="21" t="inlineStr">
        <is>
          <t>B158</t>
        </is>
      </c>
      <c r="M68" s="22" t="n">
        <v>2020</v>
      </c>
      <c r="N68" s="21" t="inlineStr">
        <is>
          <t>10.19</t>
        </is>
      </c>
      <c r="O68" s="22" t="n">
        <v>20</v>
      </c>
      <c r="P68" s="21" t="inlineStr"/>
      <c r="Q68" s="21" t="n">
        <v>0</v>
      </c>
      <c r="R68" s="21" t="n">
        <v>80</v>
      </c>
      <c r="S68" s="65" t="n">
        <v>0.8</v>
      </c>
      <c r="T68" s="65" t="n">
        <v>0.2</v>
      </c>
      <c r="U68" s="65" t="n">
        <v>0</v>
      </c>
    </row>
    <row r="69">
      <c r="A69" s="21" t="inlineStr">
        <is>
          <t xml:space="preserve">U062 </t>
        </is>
      </c>
      <c r="B69" s="21" t="inlineStr">
        <is>
          <t xml:space="preserve">ADM. I.U. DE INVESTIGACIÓN INFORMÁTICA </t>
        </is>
      </c>
      <c r="C69" s="21" t="inlineStr">
        <is>
          <t xml:space="preserve">DOCTORADO EN INFORMÁTICA </t>
        </is>
      </c>
      <c r="D69" s="21" t="inlineStr">
        <is>
          <t xml:space="preserve">Criollo Caizaguano, Luis </t>
        </is>
      </c>
      <c r="E69" s="21" t="inlineStr">
        <is>
          <t xml:space="preserve">Propuesta de un conjunto de herramientas para el análisis y evaluación de prácticas educativas innovadoras en el aprendizaje electrónico móvil </t>
        </is>
      </c>
      <c r="F69" s="21" t="inlineStr">
        <is>
          <t xml:space="preserve">08/09/2021 </t>
        </is>
      </c>
      <c r="G69" s="21" t="inlineStr">
        <is>
          <t xml:space="preserve">21513360B </t>
        </is>
      </c>
      <c r="H69" s="21" t="inlineStr">
        <is>
          <t xml:space="preserve">Director de tesis </t>
        </is>
      </c>
      <c r="I69" s="21" t="inlineStr">
        <is>
          <t xml:space="preserve">B158 </t>
        </is>
      </c>
      <c r="J69" s="21" t="inlineStr">
        <is>
          <t xml:space="preserve">LENGUAJES Y SISTEMAS INFORMÁTICOS </t>
        </is>
      </c>
      <c r="K69" s="22" t="n">
        <v>1</v>
      </c>
      <c r="L69" s="21" t="inlineStr">
        <is>
          <t>B158</t>
        </is>
      </c>
      <c r="M69" s="22" t="n">
        <v>2020</v>
      </c>
      <c r="N69" s="21" t="inlineStr">
        <is>
          <t>10.19</t>
        </is>
      </c>
      <c r="O69" s="22" t="n">
        <v>20</v>
      </c>
      <c r="P69" s="21" t="inlineStr"/>
      <c r="Q69" s="21" t="n">
        <v>0</v>
      </c>
      <c r="R69" s="21" t="n">
        <v>80</v>
      </c>
      <c r="S69" s="65" t="n">
        <v>0.8</v>
      </c>
      <c r="T69" s="65" t="n">
        <v>0.2</v>
      </c>
      <c r="U69" s="65" t="n">
        <v>0</v>
      </c>
    </row>
    <row r="70">
      <c r="A70" s="21" t="inlineStr">
        <is>
          <t xml:space="preserve">U062 </t>
        </is>
      </c>
      <c r="B70" s="21" t="inlineStr">
        <is>
          <t xml:space="preserve">ADM. I.U. DE INVESTIGACIÓN INFORMÁTICA </t>
        </is>
      </c>
      <c r="C70" s="21" t="inlineStr">
        <is>
          <t xml:space="preserve">DOCTORADO EN INFORMÁTICA </t>
        </is>
      </c>
      <c r="D70" s="21" t="inlineStr">
        <is>
          <t xml:space="preserve">Mora Lizán, Francisco José </t>
        </is>
      </c>
      <c r="E70" s="21" t="inlineStr">
        <is>
          <t xml:space="preserve">Avances en modelado de sistemas multiagente. Propuesta de arquitectura híbrida multinivel </t>
        </is>
      </c>
      <c r="F70" s="21" t="inlineStr">
        <is>
          <t xml:space="preserve">26/01/2021 </t>
        </is>
      </c>
      <c r="G70" s="21" t="inlineStr">
        <is>
          <t xml:space="preserve">21672410Q </t>
        </is>
      </c>
      <c r="H70" s="21" t="inlineStr">
        <is>
          <t xml:space="preserve">Codirector de tesis </t>
        </is>
      </c>
      <c r="I70" s="21" t="inlineStr">
        <is>
          <t xml:space="preserve">B161 </t>
        </is>
      </c>
      <c r="J70" s="21" t="inlineStr">
        <is>
          <t xml:space="preserve">CIENCIA DE LA COMPUTACION E INTELIGENCIA ARTIFICIAL </t>
        </is>
      </c>
      <c r="K70" s="22" t="n">
        <v>0.5</v>
      </c>
      <c r="L70" s="21" t="inlineStr">
        <is>
          <t>B161</t>
        </is>
      </c>
      <c r="M70" s="22" t="n">
        <v>2020</v>
      </c>
      <c r="N70" s="21" t="inlineStr">
        <is>
          <t>10.19</t>
        </is>
      </c>
      <c r="O70" s="22" t="n">
        <v>20</v>
      </c>
      <c r="P70" s="21" t="inlineStr"/>
      <c r="Q70" s="21" t="n">
        <v>0</v>
      </c>
      <c r="R70" s="21" t="n">
        <v>80</v>
      </c>
      <c r="S70" s="65" t="n">
        <v>0.4</v>
      </c>
      <c r="T70" s="65" t="n">
        <v>0.1</v>
      </c>
      <c r="U70" s="65" t="n">
        <v>0</v>
      </c>
    </row>
    <row r="71">
      <c r="A71" s="21" t="inlineStr">
        <is>
          <t xml:space="preserve">U062 </t>
        </is>
      </c>
      <c r="B71" s="21" t="inlineStr">
        <is>
          <t xml:space="preserve">ADM. I.U. DE INVESTIGACIÓN INFORMÁTICA </t>
        </is>
      </c>
      <c r="C71" s="21" t="inlineStr">
        <is>
          <t xml:space="preserve">DOCTORADO EN INFORMÁTICA </t>
        </is>
      </c>
      <c r="D71" s="21" t="inlineStr">
        <is>
          <t xml:space="preserve">Nasri Mohammadshahi, Nadia </t>
        </is>
      </c>
      <c r="E71" s="21" t="inlineStr">
        <is>
          <t xml:space="preserve">Hand gesture recognition using sEMG and deep learning </t>
        </is>
      </c>
      <c r="F71" s="21" t="inlineStr">
        <is>
          <t xml:space="preserve">17/06/2021 </t>
        </is>
      </c>
      <c r="G71" s="21" t="inlineStr">
        <is>
          <t xml:space="preserve">53240321J </t>
        </is>
      </c>
      <c r="H71" s="21" t="inlineStr">
        <is>
          <t xml:space="preserve">Codirector de tesis </t>
        </is>
      </c>
      <c r="I71" s="21" t="inlineStr">
        <is>
          <t xml:space="preserve">B161 </t>
        </is>
      </c>
      <c r="J71" s="21" t="inlineStr">
        <is>
          <t xml:space="preserve">CIENCIA DE LA COMPUTACION E INTELIGENCIA ARTIFICIAL </t>
        </is>
      </c>
      <c r="K71" s="22" t="n">
        <v>0.5</v>
      </c>
      <c r="L71" s="21" t="inlineStr">
        <is>
          <t>B161</t>
        </is>
      </c>
      <c r="M71" s="22" t="n">
        <v>2020</v>
      </c>
      <c r="N71" s="21" t="inlineStr">
        <is>
          <t>10.19</t>
        </is>
      </c>
      <c r="O71" s="22" t="n">
        <v>20</v>
      </c>
      <c r="P71" s="21" t="inlineStr"/>
      <c r="Q71" s="21" t="n">
        <v>0</v>
      </c>
      <c r="R71" s="21" t="n">
        <v>80</v>
      </c>
      <c r="S71" s="65" t="n">
        <v>0.4</v>
      </c>
      <c r="T71" s="65" t="n">
        <v>0.1</v>
      </c>
      <c r="U71" s="65" t="n">
        <v>0</v>
      </c>
    </row>
    <row r="72">
      <c r="A72" s="21" t="inlineStr">
        <is>
          <t xml:space="preserve">U062 </t>
        </is>
      </c>
      <c r="B72" s="21" t="inlineStr">
        <is>
          <t xml:space="preserve">ADM. I.U. DE INVESTIGACIÓN INFORMÁTICA </t>
        </is>
      </c>
      <c r="C72" s="21" t="inlineStr">
        <is>
          <t xml:space="preserve">DOCTORADO EN INFORMÁTICA </t>
        </is>
      </c>
      <c r="D72" s="21" t="inlineStr">
        <is>
          <t xml:space="preserve">Nasri Mohammadshahi, Nadia </t>
        </is>
      </c>
      <c r="E72" s="21" t="inlineStr">
        <is>
          <t xml:space="preserve">Hand gesture recognition using sEMG and deep learning </t>
        </is>
      </c>
      <c r="F72" s="21" t="inlineStr">
        <is>
          <t xml:space="preserve">17/06/2021 </t>
        </is>
      </c>
      <c r="G72" s="21" t="inlineStr">
        <is>
          <t xml:space="preserve">21489731A </t>
        </is>
      </c>
      <c r="H72" s="21" t="inlineStr">
        <is>
          <t xml:space="preserve">Codirector de tesis </t>
        </is>
      </c>
      <c r="I72" s="21" t="inlineStr">
        <is>
          <t xml:space="preserve">B161 </t>
        </is>
      </c>
      <c r="J72" s="21" t="inlineStr">
        <is>
          <t xml:space="preserve">CIENCIA DE LA COMPUTACION E INTELIGENCIA ARTIFICIAL </t>
        </is>
      </c>
      <c r="K72" s="22" t="n">
        <v>0.5</v>
      </c>
      <c r="L72" s="21" t="inlineStr">
        <is>
          <t>B161</t>
        </is>
      </c>
      <c r="M72" s="22" t="n">
        <v>2020</v>
      </c>
      <c r="N72" s="21" t="inlineStr">
        <is>
          <t>10.19</t>
        </is>
      </c>
      <c r="O72" s="22" t="n">
        <v>50</v>
      </c>
      <c r="P72" s="21" t="inlineStr"/>
      <c r="Q72" s="21" t="n">
        <v>0</v>
      </c>
      <c r="R72" s="21" t="n">
        <v>50</v>
      </c>
      <c r="S72" s="65" t="n">
        <v>0.25</v>
      </c>
      <c r="T72" s="65" t="n">
        <v>0.25</v>
      </c>
      <c r="U72" s="65" t="n">
        <v>0</v>
      </c>
    </row>
    <row r="73">
      <c r="A73" s="21" t="inlineStr">
        <is>
          <t xml:space="preserve">U062 </t>
        </is>
      </c>
      <c r="B73" s="21" t="inlineStr">
        <is>
          <t xml:space="preserve">ADM. I.U. DE INVESTIGACIÓN INFORMÁTICA </t>
        </is>
      </c>
      <c r="C73" s="21" t="inlineStr">
        <is>
          <t xml:space="preserve">DOCTORADO EN INFORMÁTICA </t>
        </is>
      </c>
      <c r="D73" s="21" t="inlineStr">
        <is>
          <t xml:space="preserve">Cortés Blasco, Daniel </t>
        </is>
      </c>
      <c r="E73" s="21" t="inlineStr">
        <is>
          <t xml:space="preserve">Modelado y simulación para la predicción de explosiones en espacios confinados </t>
        </is>
      </c>
      <c r="F73" s="21" t="inlineStr">
        <is>
          <t xml:space="preserve">03/03/2021 </t>
        </is>
      </c>
      <c r="G73" s="21" t="inlineStr">
        <is>
          <t xml:space="preserve">52764803C </t>
        </is>
      </c>
      <c r="H73" s="21" t="inlineStr">
        <is>
          <t xml:space="preserve">Codirector de tesis </t>
        </is>
      </c>
      <c r="I73" s="21" t="inlineStr">
        <is>
          <t xml:space="preserve">B148 </t>
        </is>
      </c>
      <c r="J73" s="21" t="inlineStr">
        <is>
          <t xml:space="preserve">TECNOLOGÍA INFORMÁTICA Y COMPUTACIÓN </t>
        </is>
      </c>
      <c r="K73" s="22" t="n">
        <v>0.5</v>
      </c>
      <c r="L73" s="21" t="inlineStr">
        <is>
          <t>B148</t>
        </is>
      </c>
      <c r="M73" s="22" t="n">
        <v>2020</v>
      </c>
      <c r="N73" s="21" t="inlineStr">
        <is>
          <t>10.19</t>
        </is>
      </c>
      <c r="O73" s="22" t="n">
        <v>50</v>
      </c>
      <c r="P73" s="21" t="inlineStr"/>
      <c r="Q73" s="21" t="n">
        <v>0</v>
      </c>
      <c r="R73" s="21" t="n">
        <v>50</v>
      </c>
      <c r="S73" s="65" t="n">
        <v>0.25</v>
      </c>
      <c r="T73" s="65" t="n">
        <v>0.25</v>
      </c>
      <c r="U73" s="65" t="n">
        <v>0</v>
      </c>
    </row>
    <row r="74">
      <c r="A74" s="21" t="inlineStr">
        <is>
          <t xml:space="preserve">U062 </t>
        </is>
      </c>
      <c r="B74" s="21" t="inlineStr">
        <is>
          <t xml:space="preserve">ADM. I.U. DE INVESTIGACIÓN INFORMÁTICA </t>
        </is>
      </c>
      <c r="C74" s="21" t="inlineStr">
        <is>
          <t xml:space="preserve">DOCTORADO EN INFORMÁTICA </t>
        </is>
      </c>
      <c r="D74" s="21" t="inlineStr">
        <is>
          <t xml:space="preserve">Cortés Blasco, Daniel </t>
        </is>
      </c>
      <c r="E74" s="21" t="inlineStr">
        <is>
          <t xml:space="preserve">Modelado y simulación para la predicción de explosiones en espacios confinados </t>
        </is>
      </c>
      <c r="F74" s="21" t="inlineStr">
        <is>
          <t xml:space="preserve">03/03/2021 </t>
        </is>
      </c>
      <c r="G74" s="21" t="inlineStr">
        <is>
          <t xml:space="preserve">50170678L </t>
        </is>
      </c>
      <c r="H74" s="21" t="inlineStr">
        <is>
          <t xml:space="preserve">Codirector de tesis </t>
        </is>
      </c>
      <c r="I74" s="21" t="inlineStr">
        <is>
          <t xml:space="preserve">B148 </t>
        </is>
      </c>
      <c r="J74" s="21" t="inlineStr">
        <is>
          <t xml:space="preserve">TECNOLOGÍA INFORMÁTICA Y COMPUTACIÓN </t>
        </is>
      </c>
      <c r="K74" s="22" t="n">
        <v>0.5</v>
      </c>
      <c r="L74" s="21" t="inlineStr">
        <is>
          <t>B148</t>
        </is>
      </c>
      <c r="M74" s="22" t="n">
        <v>2020</v>
      </c>
      <c r="N74" s="21" t="inlineStr">
        <is>
          <t>10.19</t>
        </is>
      </c>
      <c r="O74" s="22" t="n">
        <v>20</v>
      </c>
      <c r="P74" s="21" t="inlineStr"/>
      <c r="Q74" s="21" t="n">
        <v>0</v>
      </c>
      <c r="R74" s="21" t="n">
        <v>80</v>
      </c>
      <c r="S74" s="65" t="n">
        <v>0.4</v>
      </c>
      <c r="T74" s="65" t="n">
        <v>0.1</v>
      </c>
      <c r="U74" s="65" t="n">
        <v>0</v>
      </c>
    </row>
    <row r="75">
      <c r="A75" s="21" t="inlineStr">
        <is>
          <t xml:space="preserve">U062 </t>
        </is>
      </c>
      <c r="B75" s="21" t="inlineStr">
        <is>
          <t xml:space="preserve">ADM. I.U. DE INVESTIGACIÓN INFORMÁTICA </t>
        </is>
      </c>
      <c r="C75" s="21" t="inlineStr">
        <is>
          <t xml:space="preserve">DOCTORADO EN INFORMÁTICA </t>
        </is>
      </c>
      <c r="D75" s="21" t="inlineStr">
        <is>
          <t xml:space="preserve">Del Pino Bastida, Iván </t>
        </is>
      </c>
      <c r="E75" s="21" t="inlineStr">
        <is>
          <t xml:space="preserve">Desarrollo de un sistema completo de navegación autónoma basado en GNSS y LiDAR para robots terrestres que operan en entornos dinámicos y no estructurados </t>
        </is>
      </c>
      <c r="F75" s="21" t="inlineStr">
        <is>
          <t xml:space="preserve">02/09/2021 </t>
        </is>
      </c>
      <c r="G75" s="21" t="inlineStr">
        <is>
          <t xml:space="preserve">24218798M </t>
        </is>
      </c>
      <c r="H75" s="21" t="inlineStr">
        <is>
          <t xml:space="preserve">Codirector de tesis </t>
        </is>
      </c>
      <c r="I75" s="21" t="inlineStr">
        <is>
          <t xml:space="preserve">B149 </t>
        </is>
      </c>
      <c r="J75" s="21" t="inlineStr">
        <is>
          <t xml:space="preserve">FISICA, INGENIERIA DE SISTEMAS Y TEORIA DE LA SEÑAL </t>
        </is>
      </c>
      <c r="K75" s="22" t="n">
        <v>0.5</v>
      </c>
      <c r="L75" s="21" t="inlineStr">
        <is>
          <t>B149</t>
        </is>
      </c>
      <c r="M75" s="22" t="n">
        <v>2020</v>
      </c>
      <c r="N75" s="21" t="inlineStr">
        <is>
          <t>10.19</t>
        </is>
      </c>
      <c r="O75" s="22" t="n">
        <v>50</v>
      </c>
      <c r="P75" s="21" t="inlineStr"/>
      <c r="Q75" s="21" t="n">
        <v>0</v>
      </c>
      <c r="R75" s="21" t="n">
        <v>50</v>
      </c>
      <c r="S75" s="65" t="n">
        <v>0.25</v>
      </c>
      <c r="T75" s="65" t="n">
        <v>0.25</v>
      </c>
      <c r="U75" s="65" t="n">
        <v>0</v>
      </c>
    </row>
    <row r="76">
      <c r="A76" s="21" t="inlineStr">
        <is>
          <t xml:space="preserve">U062 </t>
        </is>
      </c>
      <c r="B76" s="21" t="inlineStr">
        <is>
          <t xml:space="preserve">ADM. I.U. DE INVESTIGACIÓN INFORMÁTICA </t>
        </is>
      </c>
      <c r="C76" s="21" t="inlineStr">
        <is>
          <t xml:space="preserve">DOCTORADO EN INFORMÁTICA </t>
        </is>
      </c>
      <c r="D76" s="21" t="inlineStr">
        <is>
          <t xml:space="preserve">Lavalle López, Ana </t>
        </is>
      </c>
      <c r="E76" s="21" t="inlineStr">
        <is>
          <t xml:space="preserve">A methodology for the visual comprehension of Big Data </t>
        </is>
      </c>
      <c r="F76" s="21" t="inlineStr">
        <is>
          <t xml:space="preserve">15/07/2021 </t>
        </is>
      </c>
      <c r="G76" s="21" t="inlineStr">
        <is>
          <t xml:space="preserve">48558539L </t>
        </is>
      </c>
      <c r="H76" s="21" t="inlineStr">
        <is>
          <t xml:space="preserve">Codirector de tesis </t>
        </is>
      </c>
      <c r="I76" s="21" t="inlineStr">
        <is>
          <t xml:space="preserve">B158 </t>
        </is>
      </c>
      <c r="J76" s="21" t="inlineStr">
        <is>
          <t xml:space="preserve">LENGUAJES Y SISTEMAS INFORMÁTICOS </t>
        </is>
      </c>
      <c r="K76" s="22" t="n">
        <v>0.5</v>
      </c>
      <c r="L76" s="21" t="inlineStr">
        <is>
          <t>B158</t>
        </is>
      </c>
      <c r="M76" s="22" t="n">
        <v>2020</v>
      </c>
      <c r="N76" s="21" t="inlineStr">
        <is>
          <t>10.19</t>
        </is>
      </c>
      <c r="O76" s="22" t="n">
        <v>20</v>
      </c>
      <c r="P76" s="21" t="inlineStr"/>
      <c r="Q76" s="21" t="n">
        <v>0</v>
      </c>
      <c r="R76" s="21" t="n">
        <v>80</v>
      </c>
      <c r="S76" s="65" t="n">
        <v>0.4</v>
      </c>
      <c r="T76" s="65" t="n">
        <v>0.1</v>
      </c>
      <c r="U76" s="65" t="n">
        <v>0</v>
      </c>
    </row>
    <row r="77">
      <c r="A77" s="21" t="inlineStr">
        <is>
          <t xml:space="preserve">U062 </t>
        </is>
      </c>
      <c r="B77" s="21" t="inlineStr">
        <is>
          <t xml:space="preserve">ADM. I.U. DE INVESTIGACIÓN INFORMÁTICA </t>
        </is>
      </c>
      <c r="C77" s="21" t="inlineStr">
        <is>
          <t xml:space="preserve">DOCTORADO EN INFORMÁTICA </t>
        </is>
      </c>
      <c r="D77" s="21" t="inlineStr">
        <is>
          <t xml:space="preserve">Lavalle López, Ana </t>
        </is>
      </c>
      <c r="E77" s="21" t="inlineStr">
        <is>
          <t xml:space="preserve">A methodology for the visual comprehension of Big Data </t>
        </is>
      </c>
      <c r="F77" s="21" t="inlineStr">
        <is>
          <t xml:space="preserve">15/07/2021 </t>
        </is>
      </c>
      <c r="G77" s="21" t="inlineStr">
        <is>
          <t xml:space="preserve">21494991L </t>
        </is>
      </c>
      <c r="H77" s="21" t="inlineStr">
        <is>
          <t xml:space="preserve">Codirector de tesis </t>
        </is>
      </c>
      <c r="I77" s="21" t="inlineStr">
        <is>
          <t xml:space="preserve">B158 </t>
        </is>
      </c>
      <c r="J77" s="21" t="inlineStr">
        <is>
          <t xml:space="preserve">LENGUAJES Y SISTEMAS INFORMÁTICOS </t>
        </is>
      </c>
      <c r="K77" s="22" t="n">
        <v>0.5</v>
      </c>
      <c r="L77" s="21" t="inlineStr">
        <is>
          <t>B158</t>
        </is>
      </c>
      <c r="M77" s="22" t="n">
        <v>2020</v>
      </c>
      <c r="N77" s="21" t="inlineStr">
        <is>
          <t>10.19</t>
        </is>
      </c>
      <c r="O77" s="22" t="n">
        <v>20</v>
      </c>
      <c r="P77" s="21" t="inlineStr"/>
      <c r="Q77" s="21" t="n">
        <v>0</v>
      </c>
      <c r="R77" s="21" t="n">
        <v>80</v>
      </c>
      <c r="S77" s="65" t="n">
        <v>0.4</v>
      </c>
      <c r="T77" s="65" t="n">
        <v>0.1</v>
      </c>
      <c r="U77" s="65" t="n">
        <v>0</v>
      </c>
    </row>
    <row r="78">
      <c r="A78" s="21" t="inlineStr">
        <is>
          <t xml:space="preserve">U062 </t>
        </is>
      </c>
      <c r="B78" s="21" t="inlineStr">
        <is>
          <t xml:space="preserve">ADM. I.U. DE INVESTIGACIÓN INFORMÁTICA </t>
        </is>
      </c>
      <c r="C78" s="21" t="inlineStr">
        <is>
          <t xml:space="preserve">DOCTORADO EN INFORMÁTICA </t>
        </is>
      </c>
      <c r="D78" s="21" t="inlineStr">
        <is>
          <t xml:space="preserve">Escalona Moncholí, Félix </t>
        </is>
      </c>
      <c r="E78" s="21" t="inlineStr">
        <is>
          <t xml:space="preserve">Contributions to 3D data processing and social robotics </t>
        </is>
      </c>
      <c r="F78" s="21" t="inlineStr">
        <is>
          <t xml:space="preserve">30/09/2021 </t>
        </is>
      </c>
      <c r="G78" s="21" t="inlineStr">
        <is>
          <t xml:space="preserve">03120050P </t>
        </is>
      </c>
      <c r="H78" s="21" t="inlineStr">
        <is>
          <t xml:space="preserve">Codirector de tesis </t>
        </is>
      </c>
      <c r="I78" s="21" t="inlineStr">
        <is>
          <t xml:space="preserve">B161 </t>
        </is>
      </c>
      <c r="J78" s="21" t="inlineStr">
        <is>
          <t xml:space="preserve">CIENCIA DE LA COMPUTACION E INTELIGENCIA ARTIFICIAL </t>
        </is>
      </c>
      <c r="K78" s="22" t="n">
        <v>0.5</v>
      </c>
      <c r="L78" s="21" t="inlineStr">
        <is>
          <t>B161</t>
        </is>
      </c>
      <c r="M78" s="22" t="n">
        <v>2020</v>
      </c>
      <c r="N78" s="21" t="inlineStr">
        <is>
          <t>10.19</t>
        </is>
      </c>
      <c r="O78" s="22" t="n">
        <v>20</v>
      </c>
      <c r="P78" s="21" t="inlineStr"/>
      <c r="Q78" s="21" t="n">
        <v>0</v>
      </c>
      <c r="R78" s="21" t="n">
        <v>80</v>
      </c>
      <c r="S78" s="65" t="n">
        <v>0.4</v>
      </c>
      <c r="T78" s="65" t="n">
        <v>0.1</v>
      </c>
      <c r="U78" s="65" t="n">
        <v>0</v>
      </c>
    </row>
    <row r="79">
      <c r="A79" s="21" t="inlineStr">
        <is>
          <t xml:space="preserve">U062 </t>
        </is>
      </c>
      <c r="B79" s="21" t="inlineStr">
        <is>
          <t xml:space="preserve">ADM. I.U. DE INVESTIGACIÓN INFORMÁTICA </t>
        </is>
      </c>
      <c r="C79" s="21" t="inlineStr">
        <is>
          <t xml:space="preserve">DOCTORADO EN INFORMÁTICA </t>
        </is>
      </c>
      <c r="D79" s="21" t="inlineStr">
        <is>
          <t xml:space="preserve">Escalona Moncholí, Félix </t>
        </is>
      </c>
      <c r="E79" s="21" t="inlineStr">
        <is>
          <t xml:space="preserve">Contributions to 3D data processing and social robotics </t>
        </is>
      </c>
      <c r="F79" s="21" t="inlineStr">
        <is>
          <t xml:space="preserve">30/09/2021 </t>
        </is>
      </c>
      <c r="G79" s="21" t="inlineStr">
        <is>
          <t xml:space="preserve">21489731A </t>
        </is>
      </c>
      <c r="H79" s="21" t="inlineStr">
        <is>
          <t xml:space="preserve">Codirector de tesis </t>
        </is>
      </c>
      <c r="I79" s="21" t="inlineStr">
        <is>
          <t xml:space="preserve">B161 </t>
        </is>
      </c>
      <c r="J79" s="21" t="inlineStr">
        <is>
          <t xml:space="preserve">CIENCIA DE LA COMPUTACION E INTELIGENCIA ARTIFICIAL </t>
        </is>
      </c>
      <c r="K79" s="22" t="n">
        <v>0.5</v>
      </c>
      <c r="L79" s="21" t="inlineStr">
        <is>
          <t>B161</t>
        </is>
      </c>
      <c r="M79" s="22" t="n">
        <v>2020</v>
      </c>
      <c r="N79" s="21" t="inlineStr">
        <is>
          <t>10.19</t>
        </is>
      </c>
      <c r="O79" s="22" t="n">
        <v>50</v>
      </c>
      <c r="P79" s="21" t="inlineStr"/>
      <c r="Q79" s="21" t="n">
        <v>0</v>
      </c>
      <c r="R79" s="21" t="n">
        <v>50</v>
      </c>
      <c r="S79" s="65" t="n">
        <v>0.25</v>
      </c>
      <c r="T79" s="65" t="n">
        <v>0.25</v>
      </c>
      <c r="U79" s="65" t="n">
        <v>0</v>
      </c>
    </row>
    <row r="80">
      <c r="A80" s="21" t="inlineStr">
        <is>
          <t xml:space="preserve">U062 </t>
        </is>
      </c>
      <c r="B80" s="21" t="inlineStr">
        <is>
          <t xml:space="preserve">ADM. I.U. DE INVESTIGACIÓN INFORMÁTICA </t>
        </is>
      </c>
      <c r="C80" s="21" t="inlineStr">
        <is>
          <t xml:space="preserve">DOCTORADO EN INFORMÁTICA </t>
        </is>
      </c>
      <c r="D80" s="21" t="inlineStr">
        <is>
          <t xml:space="preserve">Romero Puig, Noelia </t>
        </is>
      </c>
      <c r="E80" s="21" t="inlineStr">
        <is>
          <t xml:space="preserve">Crop Monitoring by Satellite Polarimetric SAR Interferometry </t>
        </is>
      </c>
      <c r="F80" s="21" t="inlineStr">
        <is>
          <t xml:space="preserve">16/09/2021 </t>
        </is>
      </c>
      <c r="G80" s="21" t="inlineStr">
        <is>
          <t xml:space="preserve">21503683V </t>
        </is>
      </c>
      <c r="H80" s="21" t="inlineStr">
        <is>
          <t xml:space="preserve">Codirector de tesis </t>
        </is>
      </c>
      <c r="I80" s="21" t="inlineStr">
        <is>
          <t xml:space="preserve">B149 </t>
        </is>
      </c>
      <c r="J80" s="21" t="inlineStr">
        <is>
          <t xml:space="preserve">FISICA, INGENIERIA DE SISTEMAS Y TEORIA DE LA SEÑAL </t>
        </is>
      </c>
      <c r="K80" s="22" t="n">
        <v>0.5</v>
      </c>
      <c r="L80" s="21" t="inlineStr">
        <is>
          <t>B149</t>
        </is>
      </c>
      <c r="M80" s="22" t="n">
        <v>2020</v>
      </c>
      <c r="N80" s="21" t="inlineStr">
        <is>
          <t>10.19</t>
        </is>
      </c>
      <c r="O80" s="22" t="n">
        <v>50</v>
      </c>
      <c r="P80" s="21" t="inlineStr"/>
      <c r="Q80" s="21" t="n">
        <v>0</v>
      </c>
      <c r="R80" s="21" t="n">
        <v>50</v>
      </c>
      <c r="S80" s="65" t="n">
        <v>0.25</v>
      </c>
      <c r="T80" s="65" t="n">
        <v>0.25</v>
      </c>
      <c r="U80" s="65" t="n">
        <v>0</v>
      </c>
    </row>
    <row r="81">
      <c r="A81" s="21" t="inlineStr">
        <is>
          <t xml:space="preserve">U062 </t>
        </is>
      </c>
      <c r="B81" s="21" t="inlineStr">
        <is>
          <t xml:space="preserve">ADM. I.U. DE INVESTIGACIÓN INFORMÁTICA </t>
        </is>
      </c>
      <c r="C81" s="21" t="inlineStr">
        <is>
          <t xml:space="preserve">DOCTORADO EN INFORMÁTICA </t>
        </is>
      </c>
      <c r="D81" s="21" t="inlineStr">
        <is>
          <t xml:space="preserve">Romero Puig, Noelia </t>
        </is>
      </c>
      <c r="E81" s="21" t="inlineStr">
        <is>
          <t xml:space="preserve">Crop Monitoring by Satellite Polarimetric SAR Interferometry </t>
        </is>
      </c>
      <c r="F81" s="21" t="inlineStr">
        <is>
          <t xml:space="preserve">16/09/2021 </t>
        </is>
      </c>
      <c r="G81" s="21" t="inlineStr">
        <is>
          <t xml:space="preserve">21664897R </t>
        </is>
      </c>
      <c r="H81" s="21" t="inlineStr">
        <is>
          <t xml:space="preserve">Codirector de tesis </t>
        </is>
      </c>
      <c r="I81" s="21" t="inlineStr">
        <is>
          <t xml:space="preserve">B149 </t>
        </is>
      </c>
      <c r="J81" s="21" t="inlineStr">
        <is>
          <t xml:space="preserve">FISICA, INGENIERIA DE SISTEMAS Y TEORIA DE LA SEÑAL </t>
        </is>
      </c>
      <c r="K81" s="22" t="n">
        <v>0.5</v>
      </c>
      <c r="L81" s="21" t="inlineStr">
        <is>
          <t>B149</t>
        </is>
      </c>
      <c r="M81" s="22" t="n">
        <v>2020</v>
      </c>
      <c r="N81" s="21" t="inlineStr">
        <is>
          <t>10.19</t>
        </is>
      </c>
      <c r="O81" s="22" t="n">
        <v>20</v>
      </c>
      <c r="P81" s="21" t="inlineStr"/>
      <c r="Q81" s="21" t="n">
        <v>0</v>
      </c>
      <c r="R81" s="21" t="n">
        <v>80</v>
      </c>
      <c r="S81" s="65" t="n">
        <v>0.4</v>
      </c>
      <c r="T81" s="65" t="n">
        <v>0.1</v>
      </c>
      <c r="U81" s="65" t="n">
        <v>0</v>
      </c>
    </row>
    <row r="82">
      <c r="A82" s="21" t="inlineStr">
        <is>
          <t xml:space="preserve">U062 </t>
        </is>
      </c>
      <c r="B82" s="21" t="inlineStr">
        <is>
          <t xml:space="preserve">ADM. I.U. DE INVESTIGACIÓN INFORMÁTICA </t>
        </is>
      </c>
      <c r="C82" s="21" t="inlineStr">
        <is>
          <t xml:space="preserve">DOCTORADO EN INFORMÁTICA </t>
        </is>
      </c>
      <c r="D82" s="21" t="inlineStr">
        <is>
          <t xml:space="preserve">Ortega Bastida, Javier </t>
        </is>
      </c>
      <c r="E82" s="21" t="inlineStr">
        <is>
          <t xml:space="preserve">Aproximación de soluciones multimodales para aplicaciones Deep Learning. </t>
        </is>
      </c>
      <c r="F82" s="21" t="inlineStr">
        <is>
          <t xml:space="preserve">30/09/2021 </t>
        </is>
      </c>
      <c r="G82" s="21" t="inlineStr">
        <is>
          <t xml:space="preserve">48531956R </t>
        </is>
      </c>
      <c r="H82" s="21" t="inlineStr">
        <is>
          <t xml:space="preserve">Codirector de tesis </t>
        </is>
      </c>
      <c r="I82" s="21" t="inlineStr">
        <is>
          <t xml:space="preserve">B158 </t>
        </is>
      </c>
      <c r="J82" s="21" t="inlineStr">
        <is>
          <t xml:space="preserve">LENGUAJES Y SISTEMAS INFORMÁTICOS </t>
        </is>
      </c>
      <c r="K82" s="22" t="n">
        <v>0.5</v>
      </c>
      <c r="L82" s="21" t="inlineStr">
        <is>
          <t>B158</t>
        </is>
      </c>
      <c r="M82" s="22" t="n">
        <v>2020</v>
      </c>
      <c r="N82" s="21" t="inlineStr">
        <is>
          <t>10.19</t>
        </is>
      </c>
      <c r="O82" s="22" t="n">
        <v>20</v>
      </c>
      <c r="P82" s="21" t="inlineStr"/>
      <c r="Q82" s="21" t="n">
        <v>0</v>
      </c>
      <c r="R82" s="21" t="n">
        <v>80</v>
      </c>
      <c r="S82" s="65" t="n">
        <v>0.4</v>
      </c>
      <c r="T82" s="65" t="n">
        <v>0.1</v>
      </c>
      <c r="U82" s="65" t="n">
        <v>0</v>
      </c>
    </row>
    <row r="83">
      <c r="A83" s="21" t="inlineStr">
        <is>
          <t xml:space="preserve">U062 </t>
        </is>
      </c>
      <c r="B83" s="21" t="inlineStr">
        <is>
          <t xml:space="preserve">ADM. I.U. DE INVESTIGACIÓN INFORMÁTICA </t>
        </is>
      </c>
      <c r="C83" s="21" t="inlineStr">
        <is>
          <t xml:space="preserve">DOCTORADO EN INFORMÁTICA </t>
        </is>
      </c>
      <c r="D83" s="21" t="inlineStr">
        <is>
          <t xml:space="preserve">Ortega Bastida, Javier </t>
        </is>
      </c>
      <c r="E83" s="21" t="inlineStr">
        <is>
          <t xml:space="preserve">Aproximación de soluciones multimodales para aplicaciones Deep Learning. </t>
        </is>
      </c>
      <c r="F83" s="21" t="inlineStr">
        <is>
          <t xml:space="preserve">30/09/2021 </t>
        </is>
      </c>
      <c r="G83" s="21" t="inlineStr">
        <is>
          <t xml:space="preserve">73766251F </t>
        </is>
      </c>
      <c r="H83" s="21" t="inlineStr">
        <is>
          <t xml:space="preserve">Codirector de tesis </t>
        </is>
      </c>
      <c r="I83" s="21" t="inlineStr">
        <is>
          <t xml:space="preserve">B158 </t>
        </is>
      </c>
      <c r="J83" s="21" t="inlineStr">
        <is>
          <t xml:space="preserve">LENGUAJES Y SISTEMAS INFORMÁTICOS </t>
        </is>
      </c>
      <c r="K83" s="22" t="n">
        <v>0.5</v>
      </c>
      <c r="L83" s="21" t="inlineStr">
        <is>
          <t>B158</t>
        </is>
      </c>
      <c r="M83" s="22" t="n">
        <v>2020</v>
      </c>
      <c r="N83" s="21" t="inlineStr">
        <is>
          <t>10.19</t>
        </is>
      </c>
      <c r="O83" s="22" t="n">
        <v>20</v>
      </c>
      <c r="P83" s="21" t="inlineStr"/>
      <c r="Q83" s="21" t="n">
        <v>0</v>
      </c>
      <c r="R83" s="21" t="n">
        <v>80</v>
      </c>
      <c r="S83" s="65" t="n">
        <v>0.4</v>
      </c>
      <c r="T83" s="65" t="n">
        <v>0.1</v>
      </c>
      <c r="U83" s="65" t="n">
        <v>0</v>
      </c>
    </row>
    <row r="84">
      <c r="A84" s="21" t="inlineStr">
        <is>
          <t xml:space="preserve">U062 </t>
        </is>
      </c>
      <c r="B84" s="21" t="inlineStr">
        <is>
          <t xml:space="preserve">ADM. I.U. DE INVESTIGACIÓN INFORMÁTICA </t>
        </is>
      </c>
      <c r="C84" s="21" t="inlineStr">
        <is>
          <t xml:space="preserve">DOCTORADO EN INFORMÁTICA </t>
        </is>
      </c>
      <c r="D84" s="21" t="inlineStr">
        <is>
          <t xml:space="preserve">Tardio Olmos, Roberto </t>
        </is>
      </c>
      <c r="E84" s="21" t="inlineStr">
        <is>
          <t xml:space="preserve">Un método iterativo y alineado con los planes estratégicos para modelar, integrar y analizar datos en escenarios Big Data. </t>
        </is>
      </c>
      <c r="F84" s="21" t="inlineStr">
        <is>
          <t xml:space="preserve">19/07/2021 </t>
        </is>
      </c>
      <c r="G84" s="21" t="inlineStr">
        <is>
          <t xml:space="preserve">48558539L </t>
        </is>
      </c>
      <c r="H84" s="21" t="inlineStr">
        <is>
          <t xml:space="preserve">Codirector de tesis </t>
        </is>
      </c>
      <c r="I84" s="21" t="inlineStr">
        <is>
          <t xml:space="preserve">B158 </t>
        </is>
      </c>
      <c r="J84" s="21" t="inlineStr">
        <is>
          <t xml:space="preserve">LENGUAJES Y SISTEMAS INFORMÁTICOS </t>
        </is>
      </c>
      <c r="K84" s="22" t="n">
        <v>0.5</v>
      </c>
      <c r="L84" s="21" t="inlineStr">
        <is>
          <t>B158</t>
        </is>
      </c>
      <c r="M84" s="22" t="n">
        <v>2020</v>
      </c>
      <c r="N84" s="21" t="inlineStr">
        <is>
          <t>10.19</t>
        </is>
      </c>
      <c r="O84" s="22" t="n">
        <v>20</v>
      </c>
      <c r="P84" s="21" t="inlineStr"/>
      <c r="Q84" s="21" t="n">
        <v>0</v>
      </c>
      <c r="R84" s="21" t="n">
        <v>80</v>
      </c>
      <c r="S84" s="65" t="n">
        <v>0.4</v>
      </c>
      <c r="T84" s="65" t="n">
        <v>0.1</v>
      </c>
      <c r="U84" s="65" t="n">
        <v>0</v>
      </c>
    </row>
    <row r="85">
      <c r="A85" s="21" t="inlineStr">
        <is>
          <t xml:space="preserve">U062 </t>
        </is>
      </c>
      <c r="B85" s="21" t="inlineStr">
        <is>
          <t xml:space="preserve">ADM. I.U. DE INVESTIGACIÓN INFORMÁTICA </t>
        </is>
      </c>
      <c r="C85" s="21" t="inlineStr">
        <is>
          <t xml:space="preserve">DOCTORADO EN INFORMÁTICA </t>
        </is>
      </c>
      <c r="D85" s="21" t="inlineStr">
        <is>
          <t xml:space="preserve">Tardio Olmos, Roberto </t>
        </is>
      </c>
      <c r="E85" s="21" t="inlineStr">
        <is>
          <t xml:space="preserve">Un método iterativo y alineado con los planes estratégicos para modelar, integrar y analizar datos en escenarios Big Data. </t>
        </is>
      </c>
      <c r="F85" s="21" t="inlineStr">
        <is>
          <t xml:space="preserve">19/07/2021 </t>
        </is>
      </c>
      <c r="G85" s="21" t="inlineStr">
        <is>
          <t xml:space="preserve">21494991L </t>
        </is>
      </c>
      <c r="H85" s="21" t="inlineStr">
        <is>
          <t xml:space="preserve">Codirector de tesis </t>
        </is>
      </c>
      <c r="I85" s="21" t="inlineStr">
        <is>
          <t xml:space="preserve">B158 </t>
        </is>
      </c>
      <c r="J85" s="21" t="inlineStr">
        <is>
          <t xml:space="preserve">LENGUAJES Y SISTEMAS INFORMÁTICOS </t>
        </is>
      </c>
      <c r="K85" s="22" t="n">
        <v>0.5</v>
      </c>
      <c r="L85" s="21" t="inlineStr">
        <is>
          <t>B158</t>
        </is>
      </c>
      <c r="M85" s="22" t="n">
        <v>2020</v>
      </c>
      <c r="N85" s="21" t="inlineStr">
        <is>
          <t>10.19</t>
        </is>
      </c>
      <c r="O85" s="22" t="n">
        <v>20</v>
      </c>
      <c r="P85" s="21" t="inlineStr"/>
      <c r="Q85" s="21" t="n">
        <v>0</v>
      </c>
      <c r="R85" s="21" t="n">
        <v>80</v>
      </c>
      <c r="S85" s="65" t="n">
        <v>0.4</v>
      </c>
      <c r="T85" s="65" t="n">
        <v>0.1</v>
      </c>
      <c r="U85" s="65" t="n">
        <v>0</v>
      </c>
    </row>
    <row r="86">
      <c r="A86" s="21" t="inlineStr">
        <is>
          <t xml:space="preserve">U062 </t>
        </is>
      </c>
      <c r="B86" s="21" t="inlineStr">
        <is>
          <t xml:space="preserve">ADM. I.U. DE INVESTIGACIÓN INFORMÁTICA </t>
        </is>
      </c>
      <c r="C86" s="21" t="inlineStr">
        <is>
          <t xml:space="preserve">DOCTORADO EN INFORMÁTICA </t>
        </is>
      </c>
      <c r="D86" s="21" t="inlineStr">
        <is>
          <t xml:space="preserve">Román García, Miguel Ángel </t>
        </is>
      </c>
      <c r="E86" s="21" t="inlineStr">
        <is>
          <t xml:space="preserve">An End-to-End Framework for Audio to Score Music Transcription </t>
        </is>
      </c>
      <c r="F86" s="21" t="inlineStr">
        <is>
          <t xml:space="preserve">20/01/2021 </t>
        </is>
      </c>
      <c r="G86" s="21" t="inlineStr">
        <is>
          <t xml:space="preserve">48455569C </t>
        </is>
      </c>
      <c r="H86" s="21" t="inlineStr">
        <is>
          <t xml:space="preserve">Codirector de tesis </t>
        </is>
      </c>
      <c r="I86" s="21" t="inlineStr">
        <is>
          <t xml:space="preserve">B158 </t>
        </is>
      </c>
      <c r="J86" s="21" t="inlineStr">
        <is>
          <t xml:space="preserve">LENGUAJES Y SISTEMAS INFORMÁTICOS </t>
        </is>
      </c>
      <c r="K86" s="22" t="n">
        <v>0.5</v>
      </c>
      <c r="L86" s="21" t="inlineStr">
        <is>
          <t>B158</t>
        </is>
      </c>
      <c r="M86" s="22" t="n">
        <v>2020</v>
      </c>
      <c r="N86" s="21" t="inlineStr">
        <is>
          <t>10.19</t>
        </is>
      </c>
      <c r="O86" s="22" t="n">
        <v>50</v>
      </c>
      <c r="P86" s="21" t="inlineStr"/>
      <c r="Q86" s="21" t="n">
        <v>0</v>
      </c>
      <c r="R86" s="21" t="n">
        <v>50</v>
      </c>
      <c r="S86" s="65" t="n">
        <v>0.25</v>
      </c>
      <c r="T86" s="65" t="n">
        <v>0.25</v>
      </c>
      <c r="U86" s="65" t="n">
        <v>0</v>
      </c>
    </row>
    <row r="87">
      <c r="A87" s="21" t="inlineStr">
        <is>
          <t xml:space="preserve">U062 </t>
        </is>
      </c>
      <c r="B87" s="21" t="inlineStr">
        <is>
          <t xml:space="preserve">ADM. I.U. DE INVESTIGACIÓN INFORMÁTICA </t>
        </is>
      </c>
      <c r="C87" s="21" t="inlineStr">
        <is>
          <t xml:space="preserve">DOCTORADO EN INFORMÁTICA </t>
        </is>
      </c>
      <c r="D87" s="21" t="inlineStr">
        <is>
          <t xml:space="preserve">Román García, Miguel Ángel </t>
        </is>
      </c>
      <c r="E87" s="21" t="inlineStr">
        <is>
          <t xml:space="preserve">An End-to-End Framework for Audio to Score Music Transcription </t>
        </is>
      </c>
      <c r="F87" s="21" t="inlineStr">
        <is>
          <t xml:space="preserve">20/01/2021 </t>
        </is>
      </c>
      <c r="G87" s="21" t="inlineStr">
        <is>
          <t xml:space="preserve">74004743N </t>
        </is>
      </c>
      <c r="H87" s="21" t="inlineStr">
        <is>
          <t xml:space="preserve">Codirector de tesis </t>
        </is>
      </c>
      <c r="I87" s="21" t="inlineStr">
        <is>
          <t xml:space="preserve">B158 </t>
        </is>
      </c>
      <c r="J87" s="21" t="inlineStr">
        <is>
          <t xml:space="preserve">LENGUAJES Y SISTEMAS INFORMÁTICOS </t>
        </is>
      </c>
      <c r="K87" s="22" t="n">
        <v>0.5</v>
      </c>
      <c r="L87" s="21" t="inlineStr">
        <is>
          <t>B158</t>
        </is>
      </c>
      <c r="M87" s="22" t="n">
        <v>2020</v>
      </c>
      <c r="N87" s="21" t="inlineStr">
        <is>
          <t>10.19</t>
        </is>
      </c>
      <c r="O87" s="22" t="n">
        <v>20</v>
      </c>
      <c r="P87" s="21" t="inlineStr"/>
      <c r="Q87" s="21" t="n">
        <v>0</v>
      </c>
      <c r="R87" s="21" t="n">
        <v>80</v>
      </c>
      <c r="S87" s="65" t="n">
        <v>0.4</v>
      </c>
      <c r="T87" s="65" t="n">
        <v>0.1</v>
      </c>
      <c r="U87" s="65" t="n">
        <v>0</v>
      </c>
    </row>
    <row r="88">
      <c r="A88" s="21" t="inlineStr">
        <is>
          <t xml:space="preserve">U062 </t>
        </is>
      </c>
      <c r="B88" s="21" t="inlineStr">
        <is>
          <t xml:space="preserve">ADM. I.U. DE INVESTIGACIÓN INFORMÁTICA </t>
        </is>
      </c>
      <c r="C88" s="21" t="inlineStr">
        <is>
          <t xml:space="preserve">DOCTORADO EN INFORMÁTICA </t>
        </is>
      </c>
      <c r="D88" s="21" t="inlineStr">
        <is>
          <t xml:space="preserve">González Mora, César </t>
        </is>
      </c>
      <c r="E88" s="21" t="inlineStr">
        <is>
          <t xml:space="preserve">An APIfication Approach to Facilitate the Access and Reuse of Open Data </t>
        </is>
      </c>
      <c r="F88" s="21" t="inlineStr">
        <is>
          <t xml:space="preserve">10/09/2021 </t>
        </is>
      </c>
      <c r="G88" s="21" t="inlineStr">
        <is>
          <t xml:space="preserve">48351140B </t>
        </is>
      </c>
      <c r="H88" s="21" t="inlineStr">
        <is>
          <t xml:space="preserve">Codirector de tesis </t>
        </is>
      </c>
      <c r="I88" s="21" t="inlineStr">
        <is>
          <t xml:space="preserve">B158 </t>
        </is>
      </c>
      <c r="J88" s="21" t="inlineStr">
        <is>
          <t xml:space="preserve">LENGUAJES Y SISTEMAS INFORMÁTICOS </t>
        </is>
      </c>
      <c r="K88" s="22" t="n">
        <v>0.5</v>
      </c>
      <c r="L88" s="21" t="inlineStr">
        <is>
          <t>B158</t>
        </is>
      </c>
      <c r="M88" s="22" t="n">
        <v>2020</v>
      </c>
      <c r="N88" s="21" t="inlineStr">
        <is>
          <t>10.19</t>
        </is>
      </c>
      <c r="O88" s="22" t="n">
        <v>20</v>
      </c>
      <c r="P88" s="21" t="inlineStr"/>
      <c r="Q88" s="21" t="n">
        <v>0</v>
      </c>
      <c r="R88" s="21" t="n">
        <v>80</v>
      </c>
      <c r="S88" s="65" t="n">
        <v>0.4</v>
      </c>
      <c r="T88" s="65" t="n">
        <v>0.1</v>
      </c>
      <c r="U88" s="65" t="n">
        <v>0</v>
      </c>
    </row>
    <row r="89">
      <c r="A89" s="21" t="inlineStr">
        <is>
          <t xml:space="preserve">U062 </t>
        </is>
      </c>
      <c r="B89" s="21" t="inlineStr">
        <is>
          <t xml:space="preserve">ADM. I.U. DE INVESTIGACIÓN INFORMÁTICA </t>
        </is>
      </c>
      <c r="C89" s="21" t="inlineStr">
        <is>
          <t xml:space="preserve">DOCTORADO EN INFORMÁTICA </t>
        </is>
      </c>
      <c r="D89" s="21" t="inlineStr">
        <is>
          <t xml:space="preserve">Rosa de Rivera, Verónica Idalia </t>
        </is>
      </c>
      <c r="E89" s="21" t="inlineStr">
        <is>
          <t xml:space="preserve">Diseño causal de sistema piramidal para aprendizaje colaborativo de los lenguajes de programación </t>
        </is>
      </c>
      <c r="F89" s="21" t="inlineStr">
        <is>
          <t xml:space="preserve">21/07/2021 </t>
        </is>
      </c>
      <c r="G89" s="21" t="inlineStr">
        <is>
          <t xml:space="preserve">21964202F </t>
        </is>
      </c>
      <c r="H89" s="21" t="inlineStr">
        <is>
          <t xml:space="preserve">Director de tesis </t>
        </is>
      </c>
      <c r="I89" s="21" t="inlineStr">
        <is>
          <t xml:space="preserve">B148 </t>
        </is>
      </c>
      <c r="J89" s="21" t="inlineStr">
        <is>
          <t xml:space="preserve">TECNOLOGÍA INFORMÁTICA Y COMPUTACIÓN </t>
        </is>
      </c>
      <c r="K89" s="22" t="n">
        <v>1</v>
      </c>
      <c r="L89" s="21" t="inlineStr">
        <is>
          <t>B148</t>
        </is>
      </c>
      <c r="M89" s="22" t="n">
        <v>2020</v>
      </c>
      <c r="N89" s="21" t="inlineStr">
        <is>
          <t>10.19</t>
        </is>
      </c>
      <c r="O89" s="22" t="n">
        <v>20</v>
      </c>
      <c r="P89" s="21" t="inlineStr">
        <is>
          <t>10.25</t>
        </is>
      </c>
      <c r="Q89" s="21" t="n">
        <v>10</v>
      </c>
      <c r="R89" s="21" t="n">
        <v>70</v>
      </c>
      <c r="S89" s="65" t="n">
        <v>0.7</v>
      </c>
      <c r="T89" s="65" t="n">
        <v>0.2</v>
      </c>
      <c r="U89" s="65" t="n">
        <v>0.1</v>
      </c>
    </row>
    <row r="90">
      <c r="A90" s="21" t="inlineStr">
        <is>
          <t xml:space="preserve">U062 </t>
        </is>
      </c>
      <c r="B90" s="21" t="inlineStr">
        <is>
          <t xml:space="preserve">ADM. I.U. DE INVESTIGACIÓN INFORMÁTICA </t>
        </is>
      </c>
      <c r="C90" s="21" t="inlineStr">
        <is>
          <t xml:space="preserve">DOCTORADO EN INFORMÁTICA </t>
        </is>
      </c>
      <c r="D90" s="21" t="inlineStr">
        <is>
          <t xml:space="preserve">Aguirre Ayala, Carlos Antonio </t>
        </is>
      </c>
      <c r="E90" s="21" t="inlineStr">
        <is>
          <t xml:space="preserve">"Diseño causal de sistema piramidal para aprendizaje colaborativo sobre la ingeniería web". </t>
        </is>
      </c>
      <c r="F90" s="21" t="inlineStr">
        <is>
          <t xml:space="preserve">22/07/2021 </t>
        </is>
      </c>
      <c r="G90" s="21" t="inlineStr">
        <is>
          <t xml:space="preserve">21964202F </t>
        </is>
      </c>
      <c r="H90" s="21" t="inlineStr">
        <is>
          <t xml:space="preserve">Director de tesis </t>
        </is>
      </c>
      <c r="I90" s="21" t="inlineStr">
        <is>
          <t xml:space="preserve">B148 </t>
        </is>
      </c>
      <c r="J90" s="21" t="inlineStr">
        <is>
          <t xml:space="preserve">TECNOLOGÍA INFORMÁTICA Y COMPUTACIÓN </t>
        </is>
      </c>
      <c r="K90" s="22" t="n">
        <v>1</v>
      </c>
      <c r="L90" s="21" t="inlineStr">
        <is>
          <t>B148</t>
        </is>
      </c>
      <c r="M90" s="22" t="n">
        <v>2020</v>
      </c>
      <c r="N90" s="21" t="inlineStr">
        <is>
          <t>10.19</t>
        </is>
      </c>
      <c r="O90" s="22" t="n">
        <v>20</v>
      </c>
      <c r="P90" s="21" t="inlineStr">
        <is>
          <t>10.25</t>
        </is>
      </c>
      <c r="Q90" s="21" t="n">
        <v>10</v>
      </c>
      <c r="R90" s="21" t="n">
        <v>70</v>
      </c>
      <c r="S90" s="65" t="n">
        <v>0.7</v>
      </c>
      <c r="T90" s="65" t="n">
        <v>0.2</v>
      </c>
      <c r="U90" s="65" t="n">
        <v>0.1</v>
      </c>
    </row>
    <row r="91">
      <c r="A91" s="21" t="inlineStr">
        <is>
          <t xml:space="preserve">U062 </t>
        </is>
      </c>
      <c r="B91" s="21" t="inlineStr">
        <is>
          <t xml:space="preserve">ADM. I.U. DE INVESTIGACIÓN INFORMÁTICA </t>
        </is>
      </c>
      <c r="C91" s="21" t="inlineStr">
        <is>
          <t xml:space="preserve">DOCTORADO EN INFORMÁTICA </t>
        </is>
      </c>
      <c r="D91" s="21" t="inlineStr">
        <is>
          <t xml:space="preserve">Bauer , Zuria </t>
        </is>
      </c>
      <c r="E91" s="21" t="inlineStr">
        <is>
          <t xml:space="preserve">Monocular Depth Estimation: Datasets, Methods, and Applications. </t>
        </is>
      </c>
      <c r="F91" s="21" t="inlineStr">
        <is>
          <t xml:space="preserve">15/09/2021 </t>
        </is>
      </c>
      <c r="G91" s="21" t="inlineStr">
        <is>
          <t xml:space="preserve">53240321J </t>
        </is>
      </c>
      <c r="H91" s="21" t="inlineStr">
        <is>
          <t xml:space="preserve">Codirector de tesis </t>
        </is>
      </c>
      <c r="I91" s="21" t="inlineStr">
        <is>
          <t xml:space="preserve">B161 </t>
        </is>
      </c>
      <c r="J91" s="21" t="inlineStr">
        <is>
          <t xml:space="preserve">CIENCIA DE LA COMPUTACION E INTELIGENCIA ARTIFICIAL </t>
        </is>
      </c>
      <c r="K91" s="22" t="n">
        <v>0.5</v>
      </c>
      <c r="L91" s="21" t="inlineStr">
        <is>
          <t>B161</t>
        </is>
      </c>
      <c r="M91" s="22" t="n">
        <v>2020</v>
      </c>
      <c r="N91" s="21" t="inlineStr">
        <is>
          <t>10.19</t>
        </is>
      </c>
      <c r="O91" s="22" t="n">
        <v>20</v>
      </c>
      <c r="P91" s="21" t="inlineStr"/>
      <c r="Q91" s="21" t="n">
        <v>0</v>
      </c>
      <c r="R91" s="21" t="n">
        <v>80</v>
      </c>
      <c r="S91" s="65" t="n">
        <v>0.4</v>
      </c>
      <c r="T91" s="65" t="n">
        <v>0.1</v>
      </c>
      <c r="U91" s="65" t="n">
        <v>0</v>
      </c>
    </row>
    <row r="92">
      <c r="A92" s="21" t="inlineStr">
        <is>
          <t xml:space="preserve">U062 </t>
        </is>
      </c>
      <c r="B92" s="21" t="inlineStr">
        <is>
          <t xml:space="preserve">ADM. I.U. DE INVESTIGACIÓN INFORMÁTICA </t>
        </is>
      </c>
      <c r="C92" s="21" t="inlineStr">
        <is>
          <t xml:space="preserve">DOCTORADO EN INFORMÁTICA </t>
        </is>
      </c>
      <c r="D92" s="21" t="inlineStr">
        <is>
          <t xml:space="preserve">Bauer , Zuria </t>
        </is>
      </c>
      <c r="E92" s="21" t="inlineStr">
        <is>
          <t xml:space="preserve">Monocular Depth Estimation: Datasets, Methods, and Applications. </t>
        </is>
      </c>
      <c r="F92" s="21" t="inlineStr">
        <is>
          <t xml:space="preserve">15/09/2021 </t>
        </is>
      </c>
      <c r="G92" s="21" t="inlineStr">
        <is>
          <t xml:space="preserve">21489731A </t>
        </is>
      </c>
      <c r="H92" s="21" t="inlineStr">
        <is>
          <t xml:space="preserve">Codirector de tesis </t>
        </is>
      </c>
      <c r="I92" s="21" t="inlineStr">
        <is>
          <t xml:space="preserve">B161 </t>
        </is>
      </c>
      <c r="J92" s="21" t="inlineStr">
        <is>
          <t xml:space="preserve">CIENCIA DE LA COMPUTACION E INTELIGENCIA ARTIFICIAL </t>
        </is>
      </c>
      <c r="K92" s="22" t="n">
        <v>0.5</v>
      </c>
      <c r="L92" s="21" t="inlineStr">
        <is>
          <t>B161</t>
        </is>
      </c>
      <c r="M92" s="22" t="n">
        <v>2020</v>
      </c>
      <c r="N92" s="21" t="inlineStr">
        <is>
          <t>10.19</t>
        </is>
      </c>
      <c r="O92" s="22" t="n">
        <v>50</v>
      </c>
      <c r="P92" s="21" t="inlineStr"/>
      <c r="Q92" s="21" t="n">
        <v>0</v>
      </c>
      <c r="R92" s="21" t="n">
        <v>50</v>
      </c>
      <c r="S92" s="65" t="n">
        <v>0.25</v>
      </c>
      <c r="T92" s="65" t="n">
        <v>0.25</v>
      </c>
      <c r="U92" s="65" t="n">
        <v>0</v>
      </c>
    </row>
    <row r="93">
      <c r="A93" s="21" t="inlineStr">
        <is>
          <t xml:space="preserve">U062 </t>
        </is>
      </c>
      <c r="B93" s="21" t="inlineStr">
        <is>
          <t xml:space="preserve">ADM. I.U. DE INVESTIGACIÓN INFORMÁTICA </t>
        </is>
      </c>
      <c r="C93" s="21" t="inlineStr">
        <is>
          <t xml:space="preserve">DOCTORADO EN INFORMÁTICA </t>
        </is>
      </c>
      <c r="D93" s="21" t="inlineStr">
        <is>
          <t xml:space="preserve">Ortega , John Evan </t>
        </is>
      </c>
      <c r="E93" s="21" t="inlineStr">
        <is>
          <t xml:space="preserve">Fuzzy-match repair in computer-aided translation using black-box machine translation </t>
        </is>
      </c>
      <c r="F93" s="21" t="inlineStr">
        <is>
          <t xml:space="preserve">01/03/2021 </t>
        </is>
      </c>
      <c r="G93" s="21" t="inlineStr">
        <is>
          <t xml:space="preserve">21512592W </t>
        </is>
      </c>
      <c r="H93" s="21" t="inlineStr">
        <is>
          <t xml:space="preserve">Director de tesis </t>
        </is>
      </c>
      <c r="I93" s="21" t="inlineStr">
        <is>
          <t xml:space="preserve">B158 </t>
        </is>
      </c>
      <c r="J93" s="21" t="inlineStr">
        <is>
          <t xml:space="preserve">LENGUAJES Y SISTEMAS INFORMÁTICOS </t>
        </is>
      </c>
      <c r="K93" s="22" t="n">
        <v>1</v>
      </c>
      <c r="L93" s="21" t="inlineStr">
        <is>
          <t>B158</t>
        </is>
      </c>
      <c r="M93" s="22" t="n">
        <v>2020</v>
      </c>
      <c r="N93" s="21" t="inlineStr">
        <is>
          <t>10.19</t>
        </is>
      </c>
      <c r="O93" s="22" t="n">
        <v>20</v>
      </c>
      <c r="P93" s="21" t="inlineStr"/>
      <c r="Q93" s="21" t="n">
        <v>0</v>
      </c>
      <c r="R93" s="21" t="n">
        <v>80</v>
      </c>
      <c r="S93" s="65" t="n">
        <v>0.8</v>
      </c>
      <c r="T93" s="65" t="n">
        <v>0.2</v>
      </c>
      <c r="U93" s="65" t="n">
        <v>0</v>
      </c>
    </row>
    <row r="94">
      <c r="A94" s="21" t="inlineStr">
        <is>
          <t xml:space="preserve">U062 </t>
        </is>
      </c>
      <c r="B94" s="21" t="inlineStr">
        <is>
          <t xml:space="preserve">ADM. I.U. DE INVESTIGACIÓN INFORMÁTICA </t>
        </is>
      </c>
      <c r="C94" s="21" t="inlineStr">
        <is>
          <t xml:space="preserve">DOCTORADO EN INFORMÁTICA </t>
        </is>
      </c>
      <c r="D94" s="21" t="inlineStr">
        <is>
          <t xml:space="preserve">Xie , Qinghua </t>
        </is>
      </c>
      <c r="E94" s="21" t="inlineStr">
        <is>
          <t xml:space="preserve">Application of Polarimetric Model-based Decomposition for Crop Monitoring </t>
        </is>
      </c>
      <c r="F94" s="21" t="inlineStr">
        <is>
          <t xml:space="preserve">19/02/2021 </t>
        </is>
      </c>
      <c r="G94" s="21" t="inlineStr">
        <is>
          <t xml:space="preserve">21503683V </t>
        </is>
      </c>
      <c r="H94" s="21" t="inlineStr">
        <is>
          <t xml:space="preserve">Codirector de tesis </t>
        </is>
      </c>
      <c r="I94" s="21" t="inlineStr">
        <is>
          <t xml:space="preserve">B149 </t>
        </is>
      </c>
      <c r="J94" s="21" t="inlineStr">
        <is>
          <t xml:space="preserve">FISICA, INGENIERIA DE SISTEMAS Y TEORIA DE LA SEÑAL </t>
        </is>
      </c>
      <c r="K94" s="22" t="n">
        <v>0.5</v>
      </c>
      <c r="L94" s="21" t="inlineStr">
        <is>
          <t>B149</t>
        </is>
      </c>
      <c r="M94" s="22" t="n">
        <v>2020</v>
      </c>
      <c r="N94" s="21" t="inlineStr">
        <is>
          <t>10.19</t>
        </is>
      </c>
      <c r="O94" s="22" t="n">
        <v>50</v>
      </c>
      <c r="P94" s="21" t="inlineStr"/>
      <c r="Q94" s="21" t="n">
        <v>0</v>
      </c>
      <c r="R94" s="21" t="n">
        <v>50</v>
      </c>
      <c r="S94" s="65" t="n">
        <v>0.25</v>
      </c>
      <c r="T94" s="65" t="n">
        <v>0.25</v>
      </c>
      <c r="U94" s="65" t="n">
        <v>0</v>
      </c>
    </row>
    <row r="95">
      <c r="A95" s="21" t="inlineStr">
        <is>
          <t xml:space="preserve">U062 </t>
        </is>
      </c>
      <c r="B95" s="21" t="inlineStr">
        <is>
          <t xml:space="preserve">ADM. I.U. DE INVESTIGACIÓN INFORMÁTICA </t>
        </is>
      </c>
      <c r="C95" s="21" t="inlineStr">
        <is>
          <t xml:space="preserve">DOCTORADO EN INFORMÁTICA </t>
        </is>
      </c>
      <c r="D95" s="21" t="inlineStr">
        <is>
          <t xml:space="preserve">Xie , Qinghua </t>
        </is>
      </c>
      <c r="E95" s="21" t="inlineStr">
        <is>
          <t xml:space="preserve">Application of Polarimetric Model-based Decomposition for Crop Monitoring </t>
        </is>
      </c>
      <c r="F95" s="21" t="inlineStr">
        <is>
          <t xml:space="preserve">19/02/2021 </t>
        </is>
      </c>
      <c r="G95" s="21" t="inlineStr">
        <is>
          <t xml:space="preserve">21664897R </t>
        </is>
      </c>
      <c r="H95" s="21" t="inlineStr">
        <is>
          <t xml:space="preserve">Codirector de tesis </t>
        </is>
      </c>
      <c r="I95" s="21" t="inlineStr">
        <is>
          <t xml:space="preserve">B149 </t>
        </is>
      </c>
      <c r="J95" s="21" t="inlineStr">
        <is>
          <t xml:space="preserve">FISICA, INGENIERIA DE SISTEMAS Y TEORIA DE LA SEÑAL </t>
        </is>
      </c>
      <c r="K95" s="22" t="n">
        <v>0.5</v>
      </c>
      <c r="L95" s="21" t="inlineStr">
        <is>
          <t>B149</t>
        </is>
      </c>
      <c r="M95" s="22" t="n">
        <v>2020</v>
      </c>
      <c r="N95" s="21" t="inlineStr">
        <is>
          <t>10.19</t>
        </is>
      </c>
      <c r="O95" s="22" t="n">
        <v>20</v>
      </c>
      <c r="P95" s="21" t="inlineStr"/>
      <c r="Q95" s="21" t="n">
        <v>0</v>
      </c>
      <c r="R95" s="21" t="n">
        <v>80</v>
      </c>
      <c r="S95" s="65" t="n">
        <v>0.4</v>
      </c>
      <c r="T95" s="65" t="n">
        <v>0.1</v>
      </c>
      <c r="U95" s="65" t="n">
        <v>0</v>
      </c>
    </row>
    <row r="96">
      <c r="A96" s="21" t="inlineStr">
        <is>
          <t xml:space="preserve">U044 </t>
        </is>
      </c>
      <c r="B96" s="21" t="inlineStr">
        <is>
          <t xml:space="preserve">ADM. FACULTAD DE CIENCIAS DE LA SALUD </t>
        </is>
      </c>
      <c r="C96" s="21" t="inlineStr">
        <is>
          <t xml:space="preserve">DOCTORADO EN CIENCIAS DE LA SALUD </t>
        </is>
      </c>
      <c r="D96" s="21" t="inlineStr">
        <is>
          <t xml:space="preserve">Ruiz Lozano, Matías </t>
        </is>
      </c>
      <c r="E96" s="21" t="inlineStr">
        <is>
          <t xml:space="preserve">Influencia del portal femoral artroscópico sobre el resultado de la reconstrucción del ligamento cruzado anterior. </t>
        </is>
      </c>
      <c r="F96" s="21" t="inlineStr">
        <is>
          <t xml:space="preserve">08/04/2022 </t>
        </is>
      </c>
      <c r="G96" s="21" t="inlineStr">
        <is>
          <t xml:space="preserve">21510925Z </t>
        </is>
      </c>
      <c r="H96" s="21" t="inlineStr">
        <is>
          <t xml:space="preserve">Codirector de tesis </t>
        </is>
      </c>
      <c r="I96" s="21" t="inlineStr">
        <is>
          <t xml:space="preserve">B134 </t>
        </is>
      </c>
      <c r="J96" s="21" t="inlineStr">
        <is>
          <t xml:space="preserve">ENFERMERIA </t>
        </is>
      </c>
      <c r="K96" s="22" t="n">
        <v>0.5</v>
      </c>
      <c r="L96" s="21" t="inlineStr">
        <is>
          <t>B134</t>
        </is>
      </c>
      <c r="M96" s="22" t="n">
        <v>2021</v>
      </c>
      <c r="N96" s="21" t="inlineStr">
        <is>
          <t>10.19</t>
        </is>
      </c>
      <c r="O96" s="22" t="n">
        <v>20</v>
      </c>
      <c r="P96" s="21" t="inlineStr"/>
      <c r="Q96" s="21" t="n">
        <v>0</v>
      </c>
      <c r="R96" s="21" t="n">
        <v>80</v>
      </c>
      <c r="S96" s="65" t="n">
        <v>0.4</v>
      </c>
      <c r="T96" s="65" t="n">
        <v>0.1</v>
      </c>
      <c r="U96" s="65" t="n">
        <v>0</v>
      </c>
    </row>
    <row r="97">
      <c r="A97" s="21" t="inlineStr">
        <is>
          <t xml:space="preserve">U044 </t>
        </is>
      </c>
      <c r="B97" s="21" t="inlineStr">
        <is>
          <t xml:space="preserve">ADM. FACULTAD DE CIENCIAS DE LA SALUD </t>
        </is>
      </c>
      <c r="C97" s="21" t="inlineStr">
        <is>
          <t xml:space="preserve">DOCTORADO EN CIENCIAS DE LA SALUD </t>
        </is>
      </c>
      <c r="D97" s="21" t="inlineStr">
        <is>
          <t xml:space="preserve">Martín Grandes, María del Rosario </t>
        </is>
      </c>
      <c r="E97" s="21" t="inlineStr">
        <is>
          <t xml:space="preserve">Efectividad del ácido tranexámico para reducir las pérdidas sanguíneas en pacientes con fracturas de cadera. </t>
        </is>
      </c>
      <c r="F97" s="21" t="inlineStr">
        <is>
          <t xml:space="preserve">13/06/2022 </t>
        </is>
      </c>
      <c r="G97" s="21" t="inlineStr">
        <is>
          <t xml:space="preserve">21510925Z </t>
        </is>
      </c>
      <c r="H97" s="21" t="inlineStr">
        <is>
          <t xml:space="preserve">Codirector de tesis </t>
        </is>
      </c>
      <c r="I97" s="21" t="inlineStr">
        <is>
          <t xml:space="preserve">B134 </t>
        </is>
      </c>
      <c r="J97" s="21" t="inlineStr">
        <is>
          <t xml:space="preserve">ENFERMERIA </t>
        </is>
      </c>
      <c r="K97" s="22" t="n">
        <v>0.5</v>
      </c>
      <c r="L97" s="21" t="inlineStr">
        <is>
          <t>B134</t>
        </is>
      </c>
      <c r="M97" s="22" t="n">
        <v>2021</v>
      </c>
      <c r="N97" s="21" t="inlineStr">
        <is>
          <t>10.19</t>
        </is>
      </c>
      <c r="O97" s="22" t="n">
        <v>20</v>
      </c>
      <c r="P97" s="21" t="inlineStr"/>
      <c r="Q97" s="21" t="n">
        <v>0</v>
      </c>
      <c r="R97" s="21" t="n">
        <v>80</v>
      </c>
      <c r="S97" s="65" t="n">
        <v>0.4</v>
      </c>
      <c r="T97" s="65" t="n">
        <v>0.1</v>
      </c>
      <c r="U97" s="65" t="n">
        <v>0</v>
      </c>
    </row>
    <row r="98">
      <c r="A98" s="21" t="inlineStr">
        <is>
          <t xml:space="preserve">U062 </t>
        </is>
      </c>
      <c r="B98" s="21" t="inlineStr">
        <is>
          <t xml:space="preserve">ADM. I.U. DE INVESTIGACIÓN INFORMÁTICA </t>
        </is>
      </c>
      <c r="C98" s="21" t="inlineStr">
        <is>
          <t xml:space="preserve">DOCTORADO EN INFORMÁTICA </t>
        </is>
      </c>
      <c r="D98" s="21" t="inlineStr">
        <is>
          <t xml:space="preserve">Diéguez Rebolledo, Mauricio Rubén </t>
        </is>
      </c>
      <c r="E98" s="21" t="inlineStr">
        <is>
          <t xml:space="preserve">Enfoque metodológico para la selección de controles de seguridad de la información </t>
        </is>
      </c>
      <c r="F98" s="21" t="inlineStr">
        <is>
          <t xml:space="preserve">18/02/2022 </t>
        </is>
      </c>
      <c r="G98" s="21" t="inlineStr">
        <is>
          <t xml:space="preserve">33481301V </t>
        </is>
      </c>
      <c r="H98" s="21" t="inlineStr">
        <is>
          <t xml:space="preserve">Codirector de tesis </t>
        </is>
      </c>
      <c r="I98" s="21" t="inlineStr">
        <is>
          <t xml:space="preserve">B158 </t>
        </is>
      </c>
      <c r="J98" s="21" t="inlineStr">
        <is>
          <t xml:space="preserve">LENGUAJES Y SISTEMAS INFORMÁTICOS </t>
        </is>
      </c>
      <c r="K98" s="22" t="n">
        <v>0.5</v>
      </c>
      <c r="L98" s="21" t="inlineStr">
        <is>
          <t>B158</t>
        </is>
      </c>
      <c r="M98" s="22" t="n">
        <v>2021</v>
      </c>
      <c r="N98" s="21" t="inlineStr">
        <is>
          <t>10.19</t>
        </is>
      </c>
      <c r="O98" s="22" t="n">
        <v>20</v>
      </c>
      <c r="P98" s="21" t="inlineStr"/>
      <c r="Q98" s="21" t="n">
        <v>0</v>
      </c>
      <c r="R98" s="21" t="n">
        <v>80</v>
      </c>
      <c r="S98" s="65" t="n">
        <v>0.4</v>
      </c>
      <c r="T98" s="65" t="n">
        <v>0.1</v>
      </c>
      <c r="U98" s="65" t="n">
        <v>0</v>
      </c>
    </row>
    <row r="99">
      <c r="A99" s="21" t="inlineStr">
        <is>
          <t xml:space="preserve">U062 </t>
        </is>
      </c>
      <c r="B99" s="21" t="inlineStr">
        <is>
          <t xml:space="preserve">ADM. I.U. DE INVESTIGACIÓN INFORMÁTICA </t>
        </is>
      </c>
      <c r="C99" s="21" t="inlineStr">
        <is>
          <t xml:space="preserve">DOCTORADO EN INFORMÁTICA </t>
        </is>
      </c>
      <c r="D99" s="21" t="inlineStr">
        <is>
          <t xml:space="preserve">Larco Ampudia, Enrique Andrés </t>
        </is>
      </c>
      <c r="E99" s="21" t="inlineStr">
        <is>
          <t xml:space="preserve">Desarrollo de software basado en experiencia de usuario y prototipado para personas con discapacidad </t>
        </is>
      </c>
      <c r="F99" s="21" t="inlineStr">
        <is>
          <t xml:space="preserve">23/02/2022 </t>
        </is>
      </c>
      <c r="G99" s="21" t="inlineStr">
        <is>
          <t xml:space="preserve">21513360B </t>
        </is>
      </c>
      <c r="H99" s="21" t="inlineStr">
        <is>
          <t xml:space="preserve">Director de tesis </t>
        </is>
      </c>
      <c r="I99" s="21" t="inlineStr">
        <is>
          <t xml:space="preserve">B158 </t>
        </is>
      </c>
      <c r="J99" s="21" t="inlineStr">
        <is>
          <t xml:space="preserve">LENGUAJES Y SISTEMAS INFORMÁTICOS </t>
        </is>
      </c>
      <c r="K99" s="22" t="n">
        <v>1</v>
      </c>
      <c r="L99" s="21" t="inlineStr">
        <is>
          <t>B158</t>
        </is>
      </c>
      <c r="M99" s="22" t="n">
        <v>2021</v>
      </c>
      <c r="N99" s="21" t="inlineStr">
        <is>
          <t>10.19</t>
        </is>
      </c>
      <c r="O99" s="22" t="n">
        <v>20</v>
      </c>
      <c r="P99" s="21" t="inlineStr"/>
      <c r="Q99" s="21" t="n">
        <v>0</v>
      </c>
      <c r="R99" s="21" t="n">
        <v>80</v>
      </c>
      <c r="S99" s="65" t="n">
        <v>0.8</v>
      </c>
      <c r="T99" s="65" t="n">
        <v>0.2</v>
      </c>
      <c r="U99" s="65" t="n">
        <v>0</v>
      </c>
    </row>
    <row r="100">
      <c r="A100" s="21" t="inlineStr">
        <is>
          <t xml:space="preserve">U062 </t>
        </is>
      </c>
      <c r="B100" s="21" t="inlineStr">
        <is>
          <t xml:space="preserve">ADM. I.U. DE INVESTIGACIÓN INFORMÁTICA </t>
        </is>
      </c>
      <c r="C100" s="21" t="inlineStr">
        <is>
          <t xml:space="preserve">DOCTORADO EN INFORMÁTICA </t>
        </is>
      </c>
      <c r="D100" s="21" t="inlineStr">
        <is>
          <t xml:space="preserve">Jaramillo Alcázar, Ángel Gabriel </t>
        </is>
      </c>
      <c r="E100" s="21" t="inlineStr">
        <is>
          <t xml:space="preserve">PROPUESTA DE UN MÉTODO PARA EL DESARROLLO DE VIDEOJUEGOS SERIOS </t>
        </is>
      </c>
      <c r="F100" s="21" t="inlineStr">
        <is>
          <t xml:space="preserve">08/06/2022 </t>
        </is>
      </c>
      <c r="G100" s="21" t="inlineStr">
        <is>
          <t xml:space="preserve">21513360B </t>
        </is>
      </c>
      <c r="H100" s="21" t="inlineStr">
        <is>
          <t xml:space="preserve">Director de tesis </t>
        </is>
      </c>
      <c r="I100" s="21" t="inlineStr">
        <is>
          <t xml:space="preserve">B158 </t>
        </is>
      </c>
      <c r="J100" s="21" t="inlineStr">
        <is>
          <t xml:space="preserve">LENGUAJES Y SISTEMAS INFORMÁTICOS </t>
        </is>
      </c>
      <c r="K100" s="22" t="n">
        <v>1</v>
      </c>
      <c r="L100" s="21" t="inlineStr">
        <is>
          <t>B158</t>
        </is>
      </c>
      <c r="M100" s="22" t="n">
        <v>2021</v>
      </c>
      <c r="N100" s="21" t="inlineStr">
        <is>
          <t>10.19</t>
        </is>
      </c>
      <c r="O100" s="22" t="n">
        <v>20</v>
      </c>
      <c r="P100" s="21" t="inlineStr"/>
      <c r="Q100" s="21" t="n">
        <v>0</v>
      </c>
      <c r="R100" s="21" t="n">
        <v>80</v>
      </c>
      <c r="S100" s="65" t="n">
        <v>0.8</v>
      </c>
      <c r="T100" s="65" t="n">
        <v>0.2</v>
      </c>
      <c r="U100" s="65" t="n">
        <v>0</v>
      </c>
    </row>
    <row r="101">
      <c r="A101" s="21" t="inlineStr">
        <is>
          <t xml:space="preserve">U062 </t>
        </is>
      </c>
      <c r="B101" s="21" t="inlineStr">
        <is>
          <t xml:space="preserve">ADM. I.U. DE INVESTIGACIÓN INFORMÁTICA </t>
        </is>
      </c>
      <c r="C101" s="21" t="inlineStr">
        <is>
          <t xml:space="preserve">DOCTORADO EN INFORMÁTICA </t>
        </is>
      </c>
      <c r="D101" s="21" t="inlineStr">
        <is>
          <t xml:space="preserve">Martínez Mosquera, Silvia Diana </t>
        </is>
      </c>
      <c r="E101" s="21" t="inlineStr">
        <is>
          <t xml:space="preserve">Big data-driven optimization for performance management in mobile networks. </t>
        </is>
      </c>
      <c r="F101" s="21" t="inlineStr">
        <is>
          <t xml:space="preserve">15/11/2021 </t>
        </is>
      </c>
      <c r="G101" s="21" t="inlineStr">
        <is>
          <t xml:space="preserve">21513360B </t>
        </is>
      </c>
      <c r="H101" s="21" t="inlineStr">
        <is>
          <t xml:space="preserve">Director de tesis </t>
        </is>
      </c>
      <c r="I101" s="21" t="inlineStr">
        <is>
          <t xml:space="preserve">B158 </t>
        </is>
      </c>
      <c r="J101" s="21" t="inlineStr">
        <is>
          <t xml:space="preserve">LENGUAJES Y SISTEMAS INFORMÁTICOS </t>
        </is>
      </c>
      <c r="K101" s="22" t="n">
        <v>1</v>
      </c>
      <c r="L101" s="21" t="inlineStr">
        <is>
          <t>B158</t>
        </is>
      </c>
      <c r="M101" s="22" t="n">
        <v>2021</v>
      </c>
      <c r="N101" s="21" t="inlineStr">
        <is>
          <t>10.19</t>
        </is>
      </c>
      <c r="O101" s="22" t="n">
        <v>20</v>
      </c>
      <c r="P101" s="21" t="inlineStr"/>
      <c r="Q101" s="21" t="n">
        <v>0</v>
      </c>
      <c r="R101" s="21" t="n">
        <v>80</v>
      </c>
      <c r="S101" s="65" t="n">
        <v>0.8</v>
      </c>
      <c r="T101" s="65" t="n">
        <v>0.2</v>
      </c>
      <c r="U101" s="65" t="n">
        <v>0</v>
      </c>
    </row>
    <row r="102">
      <c r="A102" s="21" t="inlineStr">
        <is>
          <t xml:space="preserve">U062 </t>
        </is>
      </c>
      <c r="B102" s="21" t="inlineStr">
        <is>
          <t xml:space="preserve">ADM. I.U. DE INVESTIGACIÓN INFORMÁTICA </t>
        </is>
      </c>
      <c r="C102" s="21" t="inlineStr">
        <is>
          <t xml:space="preserve">DOCTORADO EN INFORMÁTICA </t>
        </is>
      </c>
      <c r="D102" s="21" t="inlineStr">
        <is>
          <t xml:space="preserve">Bernabeu Lledó, María Luisa </t>
        </is>
      </c>
      <c r="E102" s="21" t="inlineStr">
        <is>
          <t xml:space="preserve">Búsqueda de imágenes similares usando técnicas de aprendizaje automático </t>
        </is>
      </c>
      <c r="F102" s="21" t="inlineStr">
        <is>
          <t xml:space="preserve">15/07/2022 </t>
        </is>
      </c>
      <c r="G102" s="21" t="inlineStr">
        <is>
          <t xml:space="preserve">48455569C </t>
        </is>
      </c>
      <c r="H102" s="21" t="inlineStr">
        <is>
          <t xml:space="preserve">Codirector de tesis </t>
        </is>
      </c>
      <c r="I102" s="21" t="inlineStr">
        <is>
          <t xml:space="preserve">B158 </t>
        </is>
      </c>
      <c r="J102" s="21" t="inlineStr">
        <is>
          <t xml:space="preserve">LENGUAJES Y SISTEMAS INFORMÁTICOS </t>
        </is>
      </c>
      <c r="K102" s="22" t="n">
        <v>0.5</v>
      </c>
      <c r="L102" s="21" t="inlineStr">
        <is>
          <t>B158</t>
        </is>
      </c>
      <c r="M102" s="22" t="n">
        <v>2021</v>
      </c>
      <c r="N102" s="21" t="inlineStr">
        <is>
          <t>10.19</t>
        </is>
      </c>
      <c r="O102" s="22" t="n">
        <v>50</v>
      </c>
      <c r="P102" s="21" t="inlineStr"/>
      <c r="Q102" s="21" t="n">
        <v>0</v>
      </c>
      <c r="R102" s="21" t="n">
        <v>50</v>
      </c>
      <c r="S102" s="65" t="n">
        <v>0.25</v>
      </c>
      <c r="T102" s="65" t="n">
        <v>0.25</v>
      </c>
      <c r="U102" s="65" t="n">
        <v>0</v>
      </c>
    </row>
    <row r="103">
      <c r="A103" s="21" t="inlineStr">
        <is>
          <t xml:space="preserve">U062 </t>
        </is>
      </c>
      <c r="B103" s="21" t="inlineStr">
        <is>
          <t xml:space="preserve">ADM. I.U. DE INVESTIGACIÓN INFORMÁTICA </t>
        </is>
      </c>
      <c r="C103" s="21" t="inlineStr">
        <is>
          <t xml:space="preserve">DOCTORADO EN INFORMÁTICA </t>
        </is>
      </c>
      <c r="D103" s="21" t="inlineStr">
        <is>
          <t xml:space="preserve">Bernabeu Lledó, María Luisa </t>
        </is>
      </c>
      <c r="E103" s="21" t="inlineStr">
        <is>
          <t xml:space="preserve">Búsqueda de imágenes similares usando técnicas de aprendizaje automático </t>
        </is>
      </c>
      <c r="F103" s="21" t="inlineStr">
        <is>
          <t xml:space="preserve">15/07/2022 </t>
        </is>
      </c>
      <c r="G103" s="21" t="inlineStr">
        <is>
          <t xml:space="preserve">48531956R </t>
        </is>
      </c>
      <c r="H103" s="21" t="inlineStr">
        <is>
          <t xml:space="preserve">Codirector de tesis </t>
        </is>
      </c>
      <c r="I103" s="21" t="inlineStr">
        <is>
          <t xml:space="preserve">B158 </t>
        </is>
      </c>
      <c r="J103" s="21" t="inlineStr">
        <is>
          <t xml:space="preserve">LENGUAJES Y SISTEMAS INFORMÁTICOS </t>
        </is>
      </c>
      <c r="K103" s="22" t="n">
        <v>0.5</v>
      </c>
      <c r="L103" s="21" t="inlineStr">
        <is>
          <t>B158</t>
        </is>
      </c>
      <c r="M103" s="22" t="n">
        <v>2021</v>
      </c>
      <c r="N103" s="21" t="inlineStr">
        <is>
          <t>10.19</t>
        </is>
      </c>
      <c r="O103" s="22" t="n">
        <v>20</v>
      </c>
      <c r="P103" s="21" t="inlineStr"/>
      <c r="Q103" s="21" t="n">
        <v>0</v>
      </c>
      <c r="R103" s="21" t="n">
        <v>80</v>
      </c>
      <c r="S103" s="65" t="n">
        <v>0.4</v>
      </c>
      <c r="T103" s="65" t="n">
        <v>0.1</v>
      </c>
      <c r="U103" s="65" t="n">
        <v>0</v>
      </c>
    </row>
    <row r="104">
      <c r="A104" s="21" t="inlineStr">
        <is>
          <t xml:space="preserve">U062 </t>
        </is>
      </c>
      <c r="B104" s="21" t="inlineStr">
        <is>
          <t xml:space="preserve">ADM. I.U. DE INVESTIGACIÓN INFORMÁTICA </t>
        </is>
      </c>
      <c r="C104" s="21" t="inlineStr">
        <is>
          <t xml:space="preserve">DOCTORADO EN INFORMÁTICA </t>
        </is>
      </c>
      <c r="D104" s="21" t="inlineStr">
        <is>
          <t xml:space="preserve">Vicente Moreno, Esther Marta </t>
        </is>
      </c>
      <c r="E104" s="21" t="inlineStr">
        <is>
          <t xml:space="preserve">A Discourse-aware Macroplanning Approach for Text Generation and Beyond </t>
        </is>
      </c>
      <c r="F104" s="21" t="inlineStr">
        <is>
          <t xml:space="preserve">16/12/2021 </t>
        </is>
      </c>
      <c r="G104" s="21" t="inlineStr">
        <is>
          <t xml:space="preserve">53232971T </t>
        </is>
      </c>
      <c r="H104" s="21" t="inlineStr">
        <is>
          <t xml:space="preserve">Director de tesis </t>
        </is>
      </c>
      <c r="I104" s="21" t="inlineStr">
        <is>
          <t xml:space="preserve">B158 </t>
        </is>
      </c>
      <c r="J104" s="21" t="inlineStr">
        <is>
          <t xml:space="preserve">LENGUAJES Y SISTEMAS INFORMÁTICOS </t>
        </is>
      </c>
      <c r="K104" s="22" t="n">
        <v>1</v>
      </c>
      <c r="L104" s="21" t="inlineStr">
        <is>
          <t>B158</t>
        </is>
      </c>
      <c r="M104" s="22" t="n">
        <v>2021</v>
      </c>
      <c r="N104" s="21" t="inlineStr">
        <is>
          <t>10.19</t>
        </is>
      </c>
      <c r="O104" s="22" t="n">
        <v>20</v>
      </c>
      <c r="P104" s="21" t="inlineStr"/>
      <c r="Q104" s="21" t="n">
        <v>0</v>
      </c>
      <c r="R104" s="21" t="n">
        <v>80</v>
      </c>
      <c r="S104" s="65" t="n">
        <v>0.8</v>
      </c>
      <c r="T104" s="65" t="n">
        <v>0.2</v>
      </c>
      <c r="U104" s="65" t="n">
        <v>0</v>
      </c>
    </row>
    <row r="105">
      <c r="A105" s="21" t="inlineStr">
        <is>
          <t xml:space="preserve">U062 </t>
        </is>
      </c>
      <c r="B105" s="21" t="inlineStr">
        <is>
          <t xml:space="preserve">ADM. I.U. DE INVESTIGACIÓN INFORMÁTICA </t>
        </is>
      </c>
      <c r="C105" s="21" t="inlineStr">
        <is>
          <t xml:space="preserve">DOCTORADO EN INFORMÁTICA </t>
        </is>
      </c>
      <c r="D105" s="21" t="inlineStr">
        <is>
          <t xml:space="preserve">Rico García, Héctor </t>
        </is>
      </c>
      <c r="E105" s="21" t="inlineStr">
        <is>
          <t xml:space="preserve">APLICACIÓN DE TÉCNICAS DE COMPUTACIÓN PARALELA PARA ACELERACIÓN DE ALGORITMOS EN INGENIERÍA </t>
        </is>
      </c>
      <c r="F105" s="21" t="inlineStr">
        <is>
          <t xml:space="preserve">02/12/2021 </t>
        </is>
      </c>
      <c r="G105" s="21" t="inlineStr">
        <is>
          <t xml:space="preserve">29011916S </t>
        </is>
      </c>
      <c r="H105" s="21" t="inlineStr">
        <is>
          <t xml:space="preserve">Codirector de tesis </t>
        </is>
      </c>
      <c r="I105" s="21" t="inlineStr">
        <is>
          <t xml:space="preserve">B148 </t>
        </is>
      </c>
      <c r="J105" s="21" t="inlineStr">
        <is>
          <t xml:space="preserve">TECNOLOGÍA INFORMÁTICA Y COMPUTACIÓN </t>
        </is>
      </c>
      <c r="K105" s="22" t="n">
        <v>0.5</v>
      </c>
      <c r="L105" s="21" t="inlineStr">
        <is>
          <t>B148</t>
        </is>
      </c>
      <c r="M105" s="22" t="n">
        <v>2021</v>
      </c>
      <c r="N105" s="21" t="inlineStr">
        <is>
          <t>10.19</t>
        </is>
      </c>
      <c r="O105" s="22" t="n">
        <v>20</v>
      </c>
      <c r="P105" s="21" t="inlineStr"/>
      <c r="Q105" s="21" t="n">
        <v>0</v>
      </c>
      <c r="R105" s="21" t="n">
        <v>80</v>
      </c>
      <c r="S105" s="65" t="n">
        <v>0.4</v>
      </c>
      <c r="T105" s="65" t="n">
        <v>0.1</v>
      </c>
      <c r="U105" s="65" t="n">
        <v>0</v>
      </c>
    </row>
    <row r="106">
      <c r="A106" s="21" t="inlineStr">
        <is>
          <t xml:space="preserve">U062 </t>
        </is>
      </c>
      <c r="B106" s="21" t="inlineStr">
        <is>
          <t xml:space="preserve">ADM. I.U. DE INVESTIGACIÓN INFORMÁTICA </t>
        </is>
      </c>
      <c r="C106" s="21" t="inlineStr">
        <is>
          <t xml:space="preserve">DOCTORADO EN INFORMÁTICA </t>
        </is>
      </c>
      <c r="D106" s="21" t="inlineStr">
        <is>
          <t xml:space="preserve">Rico García, Héctor </t>
        </is>
      </c>
      <c r="E106" s="21" t="inlineStr">
        <is>
          <t xml:space="preserve">APLICACIÓN DE TÉCNICAS DE COMPUTACIÓN PARALELA PARA ACELERACIÓN DE ALGORITMOS EN INGENIERÍA </t>
        </is>
      </c>
      <c r="F106" s="21" t="inlineStr">
        <is>
          <t xml:space="preserve">02/12/2021 </t>
        </is>
      </c>
      <c r="G106" s="21" t="inlineStr">
        <is>
          <t xml:space="preserve">33485105A </t>
        </is>
      </c>
      <c r="H106" s="21" t="inlineStr">
        <is>
          <t xml:space="preserve">Codirector de tesis </t>
        </is>
      </c>
      <c r="I106" s="21" t="inlineStr">
        <is>
          <t xml:space="preserve">B148 </t>
        </is>
      </c>
      <c r="J106" s="21" t="inlineStr">
        <is>
          <t xml:space="preserve">TECNOLOGÍA INFORMÁTICA Y COMPUTACIÓN </t>
        </is>
      </c>
      <c r="K106" s="22" t="n">
        <v>0.5</v>
      </c>
      <c r="L106" s="21" t="inlineStr">
        <is>
          <t>B148</t>
        </is>
      </c>
      <c r="M106" s="22" t="n">
        <v>2021</v>
      </c>
      <c r="N106" s="21" t="inlineStr">
        <is>
          <t>10.19</t>
        </is>
      </c>
      <c r="O106" s="22" t="n">
        <v>20</v>
      </c>
      <c r="P106" s="21" t="inlineStr"/>
      <c r="Q106" s="21" t="n">
        <v>0</v>
      </c>
      <c r="R106" s="21" t="n">
        <v>80</v>
      </c>
      <c r="S106" s="65" t="n">
        <v>0.4</v>
      </c>
      <c r="T106" s="65" t="n">
        <v>0.1</v>
      </c>
      <c r="U106" s="65" t="n">
        <v>0</v>
      </c>
    </row>
    <row r="107">
      <c r="A107" s="21" t="inlineStr">
        <is>
          <t xml:space="preserve">U062 </t>
        </is>
      </c>
      <c r="B107" s="21" t="inlineStr">
        <is>
          <t xml:space="preserve">ADM. I.U. DE INVESTIGACIÓN INFORMÁTICA </t>
        </is>
      </c>
      <c r="C107" s="21" t="inlineStr">
        <is>
          <t xml:space="preserve">DOCTORADO EN INFORMÁTICA </t>
        </is>
      </c>
      <c r="D107" s="21" t="inlineStr">
        <is>
          <t xml:space="preserve">Real Fernández, Alberto </t>
        </is>
      </c>
      <c r="E107" s="21" t="inlineStr">
        <is>
          <t xml:space="preserve">CALM: un modelo de aprendizaje adaptativo y personalizado </t>
        </is>
      </c>
      <c r="F107" s="21" t="inlineStr">
        <is>
          <t xml:space="preserve">18/07/2022 </t>
        </is>
      </c>
      <c r="G107" s="21" t="inlineStr">
        <is>
          <t xml:space="preserve">21637322A </t>
        </is>
      </c>
      <c r="H107" s="21" t="inlineStr">
        <is>
          <t xml:space="preserve">Codirector de tesis </t>
        </is>
      </c>
      <c r="I107" s="21" t="inlineStr">
        <is>
          <t xml:space="preserve">B161 </t>
        </is>
      </c>
      <c r="J107" s="21" t="inlineStr">
        <is>
          <t xml:space="preserve">CIENCIA DE LA COMPUTACION E INTELIGENCIA ARTIFICIAL </t>
        </is>
      </c>
      <c r="K107" s="22" t="n">
        <v>0.5</v>
      </c>
      <c r="L107" s="21" t="inlineStr">
        <is>
          <t>B161</t>
        </is>
      </c>
      <c r="M107" s="22" t="n">
        <v>2021</v>
      </c>
      <c r="N107" s="21" t="inlineStr">
        <is>
          <t>10.19</t>
        </is>
      </c>
      <c r="O107" s="22" t="n">
        <v>20</v>
      </c>
      <c r="P107" s="21" t="inlineStr"/>
      <c r="Q107" s="21" t="n">
        <v>0</v>
      </c>
      <c r="R107" s="21" t="n">
        <v>80</v>
      </c>
      <c r="S107" s="65" t="n">
        <v>0.4</v>
      </c>
      <c r="T107" s="65" t="n">
        <v>0.1</v>
      </c>
      <c r="U107" s="65" t="n">
        <v>0</v>
      </c>
    </row>
    <row r="108">
      <c r="A108" s="21" t="inlineStr">
        <is>
          <t xml:space="preserve">U062 </t>
        </is>
      </c>
      <c r="B108" s="21" t="inlineStr">
        <is>
          <t xml:space="preserve">ADM. I.U. DE INVESTIGACIÓN INFORMÁTICA </t>
        </is>
      </c>
      <c r="C108" s="21" t="inlineStr">
        <is>
          <t xml:space="preserve">DOCTORADO EN INFORMÁTICA </t>
        </is>
      </c>
      <c r="D108" s="21" t="inlineStr">
        <is>
          <t xml:space="preserve">Real Fernández, Alberto </t>
        </is>
      </c>
      <c r="E108" s="21" t="inlineStr">
        <is>
          <t xml:space="preserve">CALM: un modelo de aprendizaje adaptativo y personalizado </t>
        </is>
      </c>
      <c r="F108" s="21" t="inlineStr">
        <is>
          <t xml:space="preserve">18/07/2022 </t>
        </is>
      </c>
      <c r="G108" s="21" t="inlineStr">
        <is>
          <t xml:space="preserve">22135596M </t>
        </is>
      </c>
      <c r="H108" s="21" t="inlineStr">
        <is>
          <t xml:space="preserve">Codirector de tesis </t>
        </is>
      </c>
      <c r="I108" s="21" t="inlineStr">
        <is>
          <t xml:space="preserve">B161 </t>
        </is>
      </c>
      <c r="J108" s="21" t="inlineStr">
        <is>
          <t xml:space="preserve">CIENCIA DE LA COMPUTACION E INTELIGENCIA ARTIFICIAL </t>
        </is>
      </c>
      <c r="K108" s="22" t="n">
        <v>0.5</v>
      </c>
      <c r="L108" s="21" t="inlineStr">
        <is>
          <t>B161</t>
        </is>
      </c>
      <c r="M108" s="22" t="n">
        <v>2021</v>
      </c>
      <c r="N108" s="21" t="inlineStr">
        <is>
          <t>10.19</t>
        </is>
      </c>
      <c r="O108" s="22" t="n">
        <v>20</v>
      </c>
      <c r="P108" s="21" t="inlineStr"/>
      <c r="Q108" s="21" t="n">
        <v>0</v>
      </c>
      <c r="R108" s="21" t="n">
        <v>80</v>
      </c>
      <c r="S108" s="65" t="n">
        <v>0.4</v>
      </c>
      <c r="T108" s="65" t="n">
        <v>0.1</v>
      </c>
      <c r="U108" s="65" t="n">
        <v>0</v>
      </c>
    </row>
    <row r="109">
      <c r="A109" s="21" t="inlineStr">
        <is>
          <t xml:space="preserve">U062 </t>
        </is>
      </c>
      <c r="B109" s="21" t="inlineStr">
        <is>
          <t xml:space="preserve">ADM. I.U. DE INVESTIGACIÓN INFORMÁTICA </t>
        </is>
      </c>
      <c r="C109" s="21" t="inlineStr">
        <is>
          <t xml:space="preserve">DOCTORADO EN INFORMÁTICA </t>
        </is>
      </c>
      <c r="D109" s="21" t="inlineStr">
        <is>
          <t xml:space="preserve">Vives Boix, Víctor </t>
        </is>
      </c>
      <c r="E109" s="21" t="inlineStr">
        <is>
          <t xml:space="preserve">¿Modelos neuronales basados en la metaplasticidad para la ayuda al diagnóstico clínico¿ </t>
        </is>
      </c>
      <c r="F109" s="21" t="inlineStr">
        <is>
          <t xml:space="preserve">03/12/2021 </t>
        </is>
      </c>
      <c r="G109" s="21" t="inlineStr">
        <is>
          <t xml:space="preserve">21510176R </t>
        </is>
      </c>
      <c r="H109" s="21" t="inlineStr">
        <is>
          <t xml:space="preserve">Director de tesis </t>
        </is>
      </c>
      <c r="I109" s="21" t="inlineStr">
        <is>
          <t xml:space="preserve">B148 </t>
        </is>
      </c>
      <c r="J109" s="21" t="inlineStr">
        <is>
          <t xml:space="preserve">TECNOLOGÍA INFORMÁTICA Y COMPUTACIÓN </t>
        </is>
      </c>
      <c r="K109" s="22" t="n">
        <v>1</v>
      </c>
      <c r="L109" s="21" t="inlineStr">
        <is>
          <t>B148</t>
        </is>
      </c>
      <c r="M109" s="22" t="n">
        <v>2021</v>
      </c>
      <c r="N109" s="21" t="inlineStr">
        <is>
          <t>10.19</t>
        </is>
      </c>
      <c r="O109" s="22" t="n">
        <v>20</v>
      </c>
      <c r="P109" s="21" t="inlineStr"/>
      <c r="Q109" s="21" t="n">
        <v>0</v>
      </c>
      <c r="R109" s="21" t="n">
        <v>80</v>
      </c>
      <c r="S109" s="65" t="n">
        <v>0.8</v>
      </c>
      <c r="T109" s="65" t="n">
        <v>0.2</v>
      </c>
      <c r="U109" s="65" t="n">
        <v>0</v>
      </c>
    </row>
    <row r="110">
      <c r="A110" s="21" t="inlineStr">
        <is>
          <t xml:space="preserve">U062 </t>
        </is>
      </c>
      <c r="B110" s="21" t="inlineStr">
        <is>
          <t xml:space="preserve">ADM. I.U. DE INVESTIGACIÓN INFORMÁTICA </t>
        </is>
      </c>
      <c r="C110" s="21" t="inlineStr">
        <is>
          <t xml:space="preserve">DOCTORADO EN INFORMÁTICA </t>
        </is>
      </c>
      <c r="D110" s="21" t="inlineStr">
        <is>
          <t xml:space="preserve">Piad Morffis, Alejandro </t>
        </is>
      </c>
      <c r="E110" s="21" t="inlineStr">
        <is>
          <t xml:space="preserve">Ecosistema para el Descubrimiento de Conocimiento en Lenguaje Natural </t>
        </is>
      </c>
      <c r="F110" s="21" t="inlineStr">
        <is>
          <t xml:space="preserve">16/12/2021 </t>
        </is>
      </c>
      <c r="G110" s="21" t="inlineStr">
        <is>
          <t xml:space="preserve">02380426H </t>
        </is>
      </c>
      <c r="H110" s="21" t="inlineStr">
        <is>
          <t xml:space="preserve">Codirector de tesis </t>
        </is>
      </c>
      <c r="I110" s="21" t="inlineStr">
        <is>
          <t xml:space="preserve">B158 </t>
        </is>
      </c>
      <c r="J110" s="21" t="inlineStr">
        <is>
          <t xml:space="preserve">LENGUAJES Y SISTEMAS INFORMÁTICOS </t>
        </is>
      </c>
      <c r="K110" s="22" t="n">
        <v>0.3333333333333333</v>
      </c>
      <c r="L110" s="21" t="inlineStr">
        <is>
          <t>B158</t>
        </is>
      </c>
      <c r="M110" s="22" t="n">
        <v>2021</v>
      </c>
      <c r="N110" s="21" t="inlineStr">
        <is>
          <t>10.19</t>
        </is>
      </c>
      <c r="O110" s="22" t="n">
        <v>20</v>
      </c>
      <c r="P110" s="21" t="inlineStr"/>
      <c r="Q110" s="21" t="n">
        <v>0</v>
      </c>
      <c r="R110" s="21" t="n">
        <v>80</v>
      </c>
      <c r="S110" s="65" t="n">
        <v>0.2666666666666667</v>
      </c>
      <c r="T110" s="65" t="n">
        <v>0.06666666666666667</v>
      </c>
      <c r="U110" s="65" t="n">
        <v>0</v>
      </c>
    </row>
    <row r="111">
      <c r="A111" s="21" t="inlineStr">
        <is>
          <t xml:space="preserve">U062 </t>
        </is>
      </c>
      <c r="B111" s="21" t="inlineStr">
        <is>
          <t xml:space="preserve">ADM. I.U. DE INVESTIGACIÓN INFORMÁTICA </t>
        </is>
      </c>
      <c r="C111" s="21" t="inlineStr">
        <is>
          <t xml:space="preserve">DOCTORADO EN INFORMÁTICA </t>
        </is>
      </c>
      <c r="D111" s="21" t="inlineStr">
        <is>
          <t xml:space="preserve">Piad Morffis, Alejandro </t>
        </is>
      </c>
      <c r="E111" s="21" t="inlineStr">
        <is>
          <t xml:space="preserve">Ecosistema para el Descubrimiento de Conocimiento en Lenguaje Natural </t>
        </is>
      </c>
      <c r="F111" s="21" t="inlineStr">
        <is>
          <t xml:space="preserve">16/12/2021 </t>
        </is>
      </c>
      <c r="G111" s="21" t="inlineStr">
        <is>
          <t xml:space="preserve">21467137H </t>
        </is>
      </c>
      <c r="H111" s="21" t="inlineStr">
        <is>
          <t xml:space="preserve">Codirector de tesis </t>
        </is>
      </c>
      <c r="I111" s="21" t="inlineStr">
        <is>
          <t xml:space="preserve">B158 </t>
        </is>
      </c>
      <c r="J111" s="21" t="inlineStr">
        <is>
          <t xml:space="preserve">LENGUAJES Y SISTEMAS INFORMÁTICOS </t>
        </is>
      </c>
      <c r="K111" s="22" t="n">
        <v>0.3333333333333333</v>
      </c>
      <c r="L111" s="21" t="inlineStr">
        <is>
          <t>B158</t>
        </is>
      </c>
      <c r="M111" s="22" t="n">
        <v>2021</v>
      </c>
      <c r="N111" s="21" t="inlineStr">
        <is>
          <t>10.19</t>
        </is>
      </c>
      <c r="O111" s="22" t="n">
        <v>20</v>
      </c>
      <c r="P111" s="21" t="inlineStr"/>
      <c r="Q111" s="21" t="n">
        <v>0</v>
      </c>
      <c r="R111" s="21" t="n">
        <v>80</v>
      </c>
      <c r="S111" s="65" t="n">
        <v>0.2666666666666667</v>
      </c>
      <c r="T111" s="65" t="n">
        <v>0.06666666666666667</v>
      </c>
      <c r="U111" s="65" t="n">
        <v>0</v>
      </c>
    </row>
    <row r="112">
      <c r="A112" s="21" t="inlineStr">
        <is>
          <t xml:space="preserve">U062 </t>
        </is>
      </c>
      <c r="B112" s="21" t="inlineStr">
        <is>
          <t xml:space="preserve">ADM. I.U. DE INVESTIGACIÓN INFORMÁTICA </t>
        </is>
      </c>
      <c r="C112" s="21" t="inlineStr">
        <is>
          <t xml:space="preserve">DOCTORADO EN INFORMÁTICA </t>
        </is>
      </c>
      <c r="D112" s="21" t="inlineStr">
        <is>
          <t xml:space="preserve">Estévez Velarde, Suilan </t>
        </is>
      </c>
      <c r="E112" s="21" t="inlineStr">
        <is>
          <t xml:space="preserve">Descubrimiento Automático de Flujos de Aprendizaje de Máquina basado en Gramáticas Probabilísticas </t>
        </is>
      </c>
      <c r="F112" s="21" t="inlineStr">
        <is>
          <t xml:space="preserve">02/12/2021 </t>
        </is>
      </c>
      <c r="G112" s="21" t="inlineStr">
        <is>
          <t xml:space="preserve">02380426H </t>
        </is>
      </c>
      <c r="H112" s="21" t="inlineStr">
        <is>
          <t xml:space="preserve">Codirector de tesis </t>
        </is>
      </c>
      <c r="I112" s="21" t="inlineStr">
        <is>
          <t xml:space="preserve">B158 </t>
        </is>
      </c>
      <c r="J112" s="21" t="inlineStr">
        <is>
          <t xml:space="preserve">LENGUAJES Y SISTEMAS INFORMÁTICOS </t>
        </is>
      </c>
      <c r="K112" s="22" t="n">
        <v>0.3333333333333333</v>
      </c>
      <c r="L112" s="21" t="inlineStr">
        <is>
          <t>B158</t>
        </is>
      </c>
      <c r="M112" s="22" t="n">
        <v>2021</v>
      </c>
      <c r="N112" s="21" t="inlineStr">
        <is>
          <t>10.19</t>
        </is>
      </c>
      <c r="O112" s="22" t="n">
        <v>20</v>
      </c>
      <c r="P112" s="21" t="inlineStr"/>
      <c r="Q112" s="21" t="n">
        <v>0</v>
      </c>
      <c r="R112" s="21" t="n">
        <v>80</v>
      </c>
      <c r="S112" s="65" t="n">
        <v>0.2666666666666667</v>
      </c>
      <c r="T112" s="65" t="n">
        <v>0.06666666666666667</v>
      </c>
      <c r="U112" s="65" t="n">
        <v>0</v>
      </c>
    </row>
    <row r="113">
      <c r="A113" s="21" t="inlineStr">
        <is>
          <t xml:space="preserve">U062 </t>
        </is>
      </c>
      <c r="B113" s="21" t="inlineStr">
        <is>
          <t xml:space="preserve">ADM. I.U. DE INVESTIGACIÓN INFORMÁTICA </t>
        </is>
      </c>
      <c r="C113" s="21" t="inlineStr">
        <is>
          <t xml:space="preserve">DOCTORADO EN INFORMÁTICA </t>
        </is>
      </c>
      <c r="D113" s="21" t="inlineStr">
        <is>
          <t xml:space="preserve">Estévez Velarde, Suilan </t>
        </is>
      </c>
      <c r="E113" s="21" t="inlineStr">
        <is>
          <t xml:space="preserve">Descubrimiento Automático de Flujos de Aprendizaje de Máquina basado en Gramáticas Probabilísticas </t>
        </is>
      </c>
      <c r="F113" s="21" t="inlineStr">
        <is>
          <t xml:space="preserve">02/12/2021 </t>
        </is>
      </c>
      <c r="G113" s="21" t="inlineStr">
        <is>
          <t xml:space="preserve">21453179K </t>
        </is>
      </c>
      <c r="H113" s="21" t="inlineStr">
        <is>
          <t xml:space="preserve">Codirector de tesis </t>
        </is>
      </c>
      <c r="I113" s="21" t="inlineStr">
        <is>
          <t xml:space="preserve">B158 </t>
        </is>
      </c>
      <c r="J113" s="21" t="inlineStr">
        <is>
          <t xml:space="preserve">LENGUAJES Y SISTEMAS INFORMÁTICOS </t>
        </is>
      </c>
      <c r="K113" s="22" t="n">
        <v>0.3333333333333333</v>
      </c>
      <c r="L113" s="21" t="inlineStr">
        <is>
          <t>B158</t>
        </is>
      </c>
      <c r="M113" s="22" t="n">
        <v>2021</v>
      </c>
      <c r="N113" s="21" t="inlineStr">
        <is>
          <t>10.19</t>
        </is>
      </c>
      <c r="O113" s="22" t="n">
        <v>20</v>
      </c>
      <c r="P113" s="21" t="inlineStr"/>
      <c r="Q113" s="21" t="n">
        <v>0</v>
      </c>
      <c r="R113" s="21" t="n">
        <v>80</v>
      </c>
      <c r="S113" s="65" t="n">
        <v>0.2666666666666667</v>
      </c>
      <c r="T113" s="65" t="n">
        <v>0.06666666666666667</v>
      </c>
      <c r="U113" s="65" t="n">
        <v>0</v>
      </c>
    </row>
    <row r="114">
      <c r="A114" s="21" t="inlineStr">
        <is>
          <t xml:space="preserve">U062 </t>
        </is>
      </c>
      <c r="B114" s="21" t="inlineStr">
        <is>
          <t xml:space="preserve">ADM. I.U. DE INVESTIGACIÓN INFORMÁTICA </t>
        </is>
      </c>
      <c r="C114" s="21" t="inlineStr">
        <is>
          <t xml:space="preserve">DOCTORADO EN INFORMÁTICA </t>
        </is>
      </c>
      <c r="D114" s="21" t="inlineStr">
        <is>
          <t xml:space="preserve">Alashhab , Samer Refat Hamzeh </t>
        </is>
      </c>
      <c r="E114" s="21" t="inlineStr">
        <is>
          <t xml:space="preserve">Aplicaciones de Visión Artificial para Ayuda a Personas con Dificultades Visuales </t>
        </is>
      </c>
      <c r="F114" s="21" t="inlineStr">
        <is>
          <t xml:space="preserve">01/07/2022 </t>
        </is>
      </c>
      <c r="G114" s="21" t="inlineStr">
        <is>
          <t xml:space="preserve">48531413X </t>
        </is>
      </c>
      <c r="H114" s="21" t="inlineStr">
        <is>
          <t xml:space="preserve">Codirector de tesis </t>
        </is>
      </c>
      <c r="I114" s="21" t="inlineStr">
        <is>
          <t xml:space="preserve">B161 </t>
        </is>
      </c>
      <c r="J114" s="21" t="inlineStr">
        <is>
          <t xml:space="preserve">CIENCIA DE LA COMPUTACION E INTELIGENCIA ARTIFICIAL </t>
        </is>
      </c>
      <c r="K114" s="22" t="n">
        <v>0.5</v>
      </c>
      <c r="L114" s="21" t="inlineStr">
        <is>
          <t>B161</t>
        </is>
      </c>
      <c r="M114" s="22" t="n">
        <v>2021</v>
      </c>
      <c r="N114" s="21" t="inlineStr">
        <is>
          <t>10.19</t>
        </is>
      </c>
      <c r="O114" s="22" t="n">
        <v>20</v>
      </c>
      <c r="P114" s="21" t="inlineStr"/>
      <c r="Q114" s="21" t="n">
        <v>0</v>
      </c>
      <c r="R114" s="21" t="n">
        <v>80</v>
      </c>
      <c r="S114" s="65" t="n">
        <v>0.4</v>
      </c>
      <c r="T114" s="65" t="n">
        <v>0.1</v>
      </c>
      <c r="U114" s="65" t="n">
        <v>0</v>
      </c>
    </row>
    <row r="115">
      <c r="A115" s="21" t="inlineStr">
        <is>
          <t xml:space="preserve">U062 </t>
        </is>
      </c>
      <c r="B115" s="21" t="inlineStr">
        <is>
          <t xml:space="preserve">ADM. I.U. DE INVESTIGACIÓN INFORMÁTICA </t>
        </is>
      </c>
      <c r="C115" s="21" t="inlineStr">
        <is>
          <t xml:space="preserve">DOCTORADO EN INFORMÁTICA </t>
        </is>
      </c>
      <c r="D115" s="21" t="inlineStr">
        <is>
          <t xml:space="preserve">Alashhab , Samer Refat Hamzeh </t>
        </is>
      </c>
      <c r="E115" s="21" t="inlineStr">
        <is>
          <t xml:space="preserve">Aplicaciones de Visión Artificial para Ayuda a Personas con Dificultades Visuales </t>
        </is>
      </c>
      <c r="F115" s="21" t="inlineStr">
        <is>
          <t xml:space="preserve">01/07/2022 </t>
        </is>
      </c>
      <c r="G115" s="21" t="inlineStr">
        <is>
          <t xml:space="preserve">48531956R </t>
        </is>
      </c>
      <c r="H115" s="21" t="inlineStr">
        <is>
          <t xml:space="preserve">Codirector de tesis </t>
        </is>
      </c>
      <c r="I115" s="21" t="inlineStr">
        <is>
          <t xml:space="preserve">B158 </t>
        </is>
      </c>
      <c r="J115" s="21" t="inlineStr">
        <is>
          <t xml:space="preserve">LENGUAJES Y SISTEMAS INFORMÁTICOS </t>
        </is>
      </c>
      <c r="K115" s="22" t="n">
        <v>0.5</v>
      </c>
      <c r="L115" s="21" t="inlineStr">
        <is>
          <t>B158</t>
        </is>
      </c>
      <c r="M115" s="22" t="n">
        <v>2021</v>
      </c>
      <c r="N115" s="21" t="inlineStr">
        <is>
          <t>10.19</t>
        </is>
      </c>
      <c r="O115" s="22" t="n">
        <v>20</v>
      </c>
      <c r="P115" s="21" t="inlineStr"/>
      <c r="Q115" s="21" t="n">
        <v>0</v>
      </c>
      <c r="R115" s="21" t="n">
        <v>80</v>
      </c>
      <c r="S115" s="65" t="n">
        <v>0.4</v>
      </c>
      <c r="T115" s="65" t="n">
        <v>0.1</v>
      </c>
      <c r="U115" s="65" t="n">
        <v>0</v>
      </c>
    </row>
    <row r="116">
      <c r="A116" s="21" t="inlineStr">
        <is>
          <t xml:space="preserve">U062 </t>
        </is>
      </c>
      <c r="B116" s="21" t="inlineStr">
        <is>
          <t xml:space="preserve">ADM. I.U. DE INVESTIGACIÓN INFORMÁTICA </t>
        </is>
      </c>
      <c r="C116" s="21" t="inlineStr">
        <is>
          <t xml:space="preserve">DOCTORADO EN INFORMÁTICA </t>
        </is>
      </c>
      <c r="D116" s="21" t="inlineStr">
        <is>
          <t xml:space="preserve">Sepúlveda Torres, Robiert </t>
        </is>
      </c>
      <c r="E116" s="21" t="inlineStr">
        <is>
          <t xml:space="preserve">¿Detección de información engañosa mediante Tecnologías del Lenguaje Humano e Inteligencia Artificial¿ </t>
        </is>
      </c>
      <c r="F116" s="21" t="inlineStr">
        <is>
          <t xml:space="preserve">18/03/2022 </t>
        </is>
      </c>
      <c r="G116" s="21" t="inlineStr">
        <is>
          <t xml:space="preserve">52778169T </t>
        </is>
      </c>
      <c r="H116" s="21" t="inlineStr">
        <is>
          <t xml:space="preserve">Director de tesis </t>
        </is>
      </c>
      <c r="I116" s="21" t="inlineStr">
        <is>
          <t xml:space="preserve">B158 </t>
        </is>
      </c>
      <c r="J116" s="21" t="inlineStr">
        <is>
          <t xml:space="preserve">LENGUAJES Y SISTEMAS INFORMÁTICOS </t>
        </is>
      </c>
      <c r="K116" s="22" t="n">
        <v>1</v>
      </c>
      <c r="L116" s="21" t="inlineStr">
        <is>
          <t>B158</t>
        </is>
      </c>
      <c r="M116" s="22" t="n">
        <v>2021</v>
      </c>
      <c r="N116" s="21" t="inlineStr">
        <is>
          <t>10.19</t>
        </is>
      </c>
      <c r="O116" s="22" t="n">
        <v>20</v>
      </c>
      <c r="P116" s="21" t="inlineStr"/>
      <c r="Q116" s="21" t="n">
        <v>0</v>
      </c>
      <c r="R116" s="21" t="n">
        <v>80</v>
      </c>
      <c r="S116" s="65" t="n">
        <v>0.8</v>
      </c>
      <c r="T116" s="65" t="n">
        <v>0.2</v>
      </c>
      <c r="U116" s="65" t="n">
        <v>0</v>
      </c>
    </row>
    <row r="117">
      <c r="A117" s="21" t="inlineStr">
        <is>
          <t xml:space="preserve">U062 </t>
        </is>
      </c>
      <c r="B117" s="21" t="inlineStr">
        <is>
          <t xml:space="preserve">I.U. DE INVESTIGACIÓN INFORMÁTICA (10.19) </t>
        </is>
      </c>
      <c r="C117" s="21" t="inlineStr">
        <is>
          <t xml:space="preserve">DOCTORADO EN INFORMÁTICA </t>
        </is>
      </c>
      <c r="D117" s="21" t="inlineStr">
        <is>
          <t xml:space="preserve">Sánchez Torres, Fulgencio </t>
        </is>
      </c>
      <c r="E117" s="21" t="inlineStr">
        <is>
          <t xml:space="preserve">Data science como soporte al modelado del conocimiento para el análisis de costes en la empresa 4.0: la entidad turística </t>
        </is>
      </c>
      <c r="F117" s="21" t="inlineStr">
        <is>
          <t xml:space="preserve">22/09/2022 </t>
        </is>
      </c>
      <c r="G117" s="21" t="inlineStr">
        <is>
          <t xml:space="preserve">21964202F </t>
        </is>
      </c>
      <c r="H117" s="21" t="inlineStr">
        <is>
          <t xml:space="preserve">Codirector de tesis </t>
        </is>
      </c>
      <c r="I117" s="21" t="inlineStr">
        <is>
          <t xml:space="preserve">B148 </t>
        </is>
      </c>
      <c r="J117" s="21" t="inlineStr">
        <is>
          <t xml:space="preserve">TECNOLOGÍA INFORMÁTICA Y COMPUTACIÓN </t>
        </is>
      </c>
      <c r="K117" s="22" t="n">
        <v>0.5</v>
      </c>
      <c r="L117" s="21" t="inlineStr">
        <is>
          <t>B148</t>
        </is>
      </c>
      <c r="M117" s="22" t="n">
        <v>2021</v>
      </c>
      <c r="N117" s="21" t="inlineStr">
        <is>
          <t>10.19</t>
        </is>
      </c>
      <c r="O117" s="22" t="n">
        <v>20</v>
      </c>
      <c r="P117" s="21" t="inlineStr">
        <is>
          <t>10.25</t>
        </is>
      </c>
      <c r="Q117" s="21" t="n">
        <v>10</v>
      </c>
      <c r="R117" s="21" t="n">
        <v>70</v>
      </c>
      <c r="S117" s="65" t="n">
        <v>0.35</v>
      </c>
      <c r="T117" s="65" t="n">
        <v>0.1</v>
      </c>
      <c r="U117" s="65" t="n">
        <v>0.05</v>
      </c>
    </row>
    <row r="118">
      <c r="A118" s="21" t="inlineStr">
        <is>
          <t xml:space="preserve">U062 </t>
        </is>
      </c>
      <c r="B118" s="21" t="inlineStr">
        <is>
          <t xml:space="preserve">I.U. DE INVESTIGACIÓN INFORMÁTICA (10.19) </t>
        </is>
      </c>
      <c r="C118" s="21" t="inlineStr">
        <is>
          <t xml:space="preserve">DOCTORADO EN INFORMÁTICA </t>
        </is>
      </c>
      <c r="D118" s="21" t="inlineStr">
        <is>
          <t xml:space="preserve">Oprea , Sergiu Ovidiu </t>
        </is>
      </c>
      <c r="E118" s="21" t="inlineStr">
        <is>
          <t xml:space="preserve">Deep Predictive Learning: Understanding Interaction Dynamics from Synthetic Data </t>
        </is>
      </c>
      <c r="F118" s="21" t="inlineStr">
        <is>
          <t xml:space="preserve">26/09/2022 </t>
        </is>
      </c>
      <c r="G118" s="21" t="inlineStr">
        <is>
          <t xml:space="preserve">21486541X </t>
        </is>
      </c>
      <c r="H118" s="21" t="inlineStr">
        <is>
          <t xml:space="preserve">Codirector de tesis </t>
        </is>
      </c>
      <c r="I118" s="21" t="inlineStr">
        <is>
          <t xml:space="preserve">B148 </t>
        </is>
      </c>
      <c r="J118" s="21" t="inlineStr">
        <is>
          <t xml:space="preserve">TECNOLOGÍA INFORMÁTICA Y COMPUTACIÓN </t>
        </is>
      </c>
      <c r="K118" s="22" t="n">
        <v>0.5</v>
      </c>
      <c r="L118" s="21" t="inlineStr">
        <is>
          <t>B148</t>
        </is>
      </c>
      <c r="M118" s="22" t="n">
        <v>2021</v>
      </c>
      <c r="N118" s="21" t="inlineStr">
        <is>
          <t>10.19</t>
        </is>
      </c>
      <c r="O118" s="22" t="n">
        <v>20</v>
      </c>
      <c r="P118" s="21" t="inlineStr"/>
      <c r="Q118" s="21" t="n">
        <v>0</v>
      </c>
      <c r="R118" s="21" t="n">
        <v>80</v>
      </c>
      <c r="S118" s="65" t="n">
        <v>0.4</v>
      </c>
      <c r="T118" s="65" t="n">
        <v>0.1</v>
      </c>
      <c r="U118" s="65" t="n">
        <v>0</v>
      </c>
    </row>
    <row r="119">
      <c r="A119" s="21" t="inlineStr">
        <is>
          <t xml:space="preserve">U062 </t>
        </is>
      </c>
      <c r="B119" s="21" t="inlineStr">
        <is>
          <t xml:space="preserve">I.U. DE INVESTIGACIÓN INFORMÁTICA (10.19) </t>
        </is>
      </c>
      <c r="C119" s="21" t="inlineStr">
        <is>
          <t xml:space="preserve">DOCTORADO EN INFORMÁTICA </t>
        </is>
      </c>
      <c r="D119" s="21" t="inlineStr">
        <is>
          <t xml:space="preserve">Oprea , Sergiu Ovidiu </t>
        </is>
      </c>
      <c r="E119" s="21" t="inlineStr">
        <is>
          <t xml:space="preserve">Deep Predictive Learning: Understanding Interaction Dynamics from Synthetic Data </t>
        </is>
      </c>
      <c r="F119" s="21" t="inlineStr">
        <is>
          <t xml:space="preserve">26/09/2022 </t>
        </is>
      </c>
      <c r="G119" s="21" t="inlineStr">
        <is>
          <t xml:space="preserve">53240321J </t>
        </is>
      </c>
      <c r="H119" s="21" t="inlineStr">
        <is>
          <t xml:space="preserve">Codirector de tesis </t>
        </is>
      </c>
      <c r="I119" s="21" t="inlineStr">
        <is>
          <t xml:space="preserve">B161 </t>
        </is>
      </c>
      <c r="J119" s="21" t="inlineStr">
        <is>
          <t xml:space="preserve">CIENCIA DE LA COMPUTACION E INTELIGENCIA ARTIFICIAL </t>
        </is>
      </c>
      <c r="K119" s="22" t="n">
        <v>0.5</v>
      </c>
      <c r="L119" s="21" t="inlineStr">
        <is>
          <t>B161</t>
        </is>
      </c>
      <c r="M119" s="22" t="n">
        <v>2021</v>
      </c>
      <c r="N119" s="21" t="inlineStr">
        <is>
          <t>10.19</t>
        </is>
      </c>
      <c r="O119" s="22" t="n">
        <v>20</v>
      </c>
      <c r="P119" s="21" t="inlineStr"/>
      <c r="Q119" s="21" t="n">
        <v>0</v>
      </c>
      <c r="R119" s="21" t="n">
        <v>80</v>
      </c>
      <c r="S119" s="65" t="n">
        <v>0.4</v>
      </c>
      <c r="T119" s="65" t="n">
        <v>0.1</v>
      </c>
      <c r="U119" s="65" t="n">
        <v>0</v>
      </c>
    </row>
    <row r="120">
      <c r="A120" s="21" t="inlineStr">
        <is>
          <t xml:space="preserve">U044 </t>
        </is>
      </c>
      <c r="B120" s="21" t="inlineStr">
        <is>
          <t xml:space="preserve">ADM. FACULTAD DE CIENCIAS DE LA SALUD </t>
        </is>
      </c>
      <c r="C120" s="21" t="inlineStr">
        <is>
          <t xml:space="preserve">DOCTORADO EN CIENCIAS DE LA SALUD </t>
        </is>
      </c>
      <c r="D120" s="21" t="inlineStr">
        <is>
          <t>Moril Peñalver, Lorena</t>
        </is>
      </c>
      <c r="E120" s="21" t="inlineStr">
        <is>
          <t xml:space="preserve">Osteotomía distal lineal percutánea vs. osteotomía en scarf para hallux valgus moderadosevero. </t>
        </is>
      </c>
      <c r="F120" s="21" t="inlineStr">
        <is>
          <t xml:space="preserve">08/05/2023 </t>
        </is>
      </c>
      <c r="G120" s="21" t="inlineStr">
        <is>
          <t xml:space="preserve">21510925Z </t>
        </is>
      </c>
      <c r="H120" s="21" t="inlineStr">
        <is>
          <t xml:space="preserve">Codirector de tesis </t>
        </is>
      </c>
      <c r="I120" s="21" t="inlineStr">
        <is>
          <t xml:space="preserve">B134 </t>
        </is>
      </c>
      <c r="J120" s="21" t="inlineStr">
        <is>
          <t xml:space="preserve">ENFERMERIA </t>
        </is>
      </c>
      <c r="K120" s="22" t="n">
        <v>0.5</v>
      </c>
      <c r="L120" s="21" t="inlineStr">
        <is>
          <t>B134</t>
        </is>
      </c>
      <c r="M120" s="22" t="n">
        <v>2022</v>
      </c>
      <c r="N120" s="21" t="inlineStr">
        <is>
          <t>10.19</t>
        </is>
      </c>
      <c r="O120" s="22" t="n">
        <v>20</v>
      </c>
      <c r="P120" s="21" t="inlineStr"/>
      <c r="Q120" s="21" t="n">
        <v>0</v>
      </c>
      <c r="R120" s="21" t="n">
        <v>80</v>
      </c>
      <c r="S120" s="65" t="n">
        <v>0.4</v>
      </c>
      <c r="T120" s="65" t="n">
        <v>0.1</v>
      </c>
      <c r="U120" s="65" t="n">
        <v>0</v>
      </c>
    </row>
    <row r="121">
      <c r="A121" s="21" t="inlineStr">
        <is>
          <t xml:space="preserve">U044 </t>
        </is>
      </c>
      <c r="B121" s="21" t="inlineStr">
        <is>
          <t xml:space="preserve">ADM. FACULTAD DE CIENCIAS DE LA SALUD </t>
        </is>
      </c>
      <c r="C121" s="21" t="inlineStr">
        <is>
          <t xml:space="preserve">DOCTORADO EN CIENCIAS DE LA SALUD </t>
        </is>
      </c>
      <c r="D121" s="21" t="inlineStr">
        <is>
          <t>Bello Tejeda, Laíz Lissette</t>
        </is>
      </c>
      <c r="E121" s="21" t="inlineStr">
        <is>
          <t xml:space="preserve">Influencia de la magnitud del desplazamiento lateral de la cabeza metatarsiana tras la osteotomía en chevron para hallux valgus sobre el resultado reportado por el paciente </t>
        </is>
      </c>
      <c r="F121" s="21" t="inlineStr">
        <is>
          <t xml:space="preserve">09/03/2023 </t>
        </is>
      </c>
      <c r="G121" s="21" t="inlineStr">
        <is>
          <t xml:space="preserve">21510925Z </t>
        </is>
      </c>
      <c r="H121" s="21" t="inlineStr">
        <is>
          <t xml:space="preserve">Codirector de tesis </t>
        </is>
      </c>
      <c r="I121" s="21" t="inlineStr">
        <is>
          <t xml:space="preserve">B134 </t>
        </is>
      </c>
      <c r="J121" s="21" t="inlineStr">
        <is>
          <t xml:space="preserve">ENFERMERIA </t>
        </is>
      </c>
      <c r="K121" s="22" t="n">
        <v>0.5</v>
      </c>
      <c r="L121" s="21" t="inlineStr">
        <is>
          <t>B134</t>
        </is>
      </c>
      <c r="M121" s="22" t="n">
        <v>2022</v>
      </c>
      <c r="N121" s="21" t="inlineStr">
        <is>
          <t>10.19</t>
        </is>
      </c>
      <c r="O121" s="22" t="n">
        <v>20</v>
      </c>
      <c r="P121" s="21" t="inlineStr"/>
      <c r="Q121" s="21" t="n">
        <v>0</v>
      </c>
      <c r="R121" s="21" t="n">
        <v>80</v>
      </c>
      <c r="S121" s="65" t="n">
        <v>0.4</v>
      </c>
      <c r="T121" s="65" t="n">
        <v>0.1</v>
      </c>
      <c r="U121" s="65" t="n">
        <v>0</v>
      </c>
    </row>
    <row r="122">
      <c r="A122" s="21" t="inlineStr">
        <is>
          <t xml:space="preserve">U044 </t>
        </is>
      </c>
      <c r="B122" s="21" t="inlineStr">
        <is>
          <t xml:space="preserve">ADM. FACULTAD DE CIENCIAS DE LA SALUD </t>
        </is>
      </c>
      <c r="C122" s="21" t="inlineStr">
        <is>
          <t xml:space="preserve">DOCTORADO EN CIENCIAS DE LA SALUD </t>
        </is>
      </c>
      <c r="D122" s="21" t="inlineStr">
        <is>
          <t>Fayos Jordán, Juan Luis</t>
        </is>
      </c>
      <c r="E122" s="21" t="inlineStr">
        <is>
          <t xml:space="preserve">La relajación distal del deltoides como alternativa para la rotura del manguito en pacientes con baja demanda. </t>
        </is>
      </c>
      <c r="F122" s="21" t="inlineStr">
        <is>
          <t xml:space="preserve">19/06/2023 </t>
        </is>
      </c>
      <c r="G122" s="21" t="inlineStr">
        <is>
          <t xml:space="preserve">21510925Z </t>
        </is>
      </c>
      <c r="H122" s="21" t="inlineStr">
        <is>
          <t xml:space="preserve">Codirector de tesis </t>
        </is>
      </c>
      <c r="I122" s="21" t="inlineStr">
        <is>
          <t xml:space="preserve">B134 </t>
        </is>
      </c>
      <c r="J122" s="21" t="inlineStr">
        <is>
          <t xml:space="preserve">ENFERMERIA </t>
        </is>
      </c>
      <c r="K122" s="22" t="n">
        <v>0.5</v>
      </c>
      <c r="L122" s="21" t="inlineStr">
        <is>
          <t>B134</t>
        </is>
      </c>
      <c r="M122" s="22" t="n">
        <v>2022</v>
      </c>
      <c r="N122" s="21" t="inlineStr">
        <is>
          <t>10.19</t>
        </is>
      </c>
      <c r="O122" s="22" t="n">
        <v>20</v>
      </c>
      <c r="P122" s="21" t="inlineStr"/>
      <c r="Q122" s="21" t="n">
        <v>0</v>
      </c>
      <c r="R122" s="21" t="n">
        <v>80</v>
      </c>
      <c r="S122" s="65" t="n">
        <v>0.4</v>
      </c>
      <c r="T122" s="65" t="n">
        <v>0.1</v>
      </c>
      <c r="U122" s="65" t="n">
        <v>0</v>
      </c>
    </row>
    <row r="123">
      <c r="A123" s="21" t="inlineStr">
        <is>
          <t xml:space="preserve">U062 </t>
        </is>
      </c>
      <c r="B123" s="21" t="inlineStr">
        <is>
          <t xml:space="preserve">I.U. DE INVESTIGACIÓN INFORMÁTICA (10.19) </t>
        </is>
      </c>
      <c r="C123" s="21" t="inlineStr">
        <is>
          <t xml:space="preserve">DOCTORADO EN INFORMÁTICA </t>
        </is>
      </c>
      <c r="D123" s="21" t="inlineStr">
        <is>
          <t>Pilaluisa Quinatoa, Jose Ramiro</t>
        </is>
      </c>
      <c r="E123" s="21" t="inlineStr">
        <is>
          <t xml:space="preserve">Modelos de lenguaje contextuales para la búsqueda e integración de datos tabulares </t>
        </is>
      </c>
      <c r="F123" s="21" t="inlineStr">
        <is>
          <t xml:space="preserve">19/01/2023 </t>
        </is>
      </c>
      <c r="G123" s="21" t="inlineStr">
        <is>
          <t xml:space="preserve">44759120Q </t>
        </is>
      </c>
      <c r="H123" s="21" t="inlineStr">
        <is>
          <t xml:space="preserve">Director de tesis </t>
        </is>
      </c>
      <c r="I123" s="21" t="inlineStr">
        <is>
          <t xml:space="preserve">B158 </t>
        </is>
      </c>
      <c r="J123" s="21" t="inlineStr">
        <is>
          <t xml:space="preserve">LENGUAJES Y SISTEMAS INFORMÁTICOS </t>
        </is>
      </c>
      <c r="K123" s="22" t="n">
        <v>1</v>
      </c>
      <c r="L123" s="21" t="inlineStr">
        <is>
          <t>B158</t>
        </is>
      </c>
      <c r="M123" s="22" t="n">
        <v>2022</v>
      </c>
      <c r="N123" s="21" t="inlineStr">
        <is>
          <t>10.19</t>
        </is>
      </c>
      <c r="O123" s="22" t="n">
        <v>20</v>
      </c>
      <c r="P123" s="21" t="inlineStr"/>
      <c r="Q123" s="21" t="n">
        <v>0</v>
      </c>
      <c r="R123" s="21" t="n">
        <v>80</v>
      </c>
      <c r="S123" s="65" t="n">
        <v>0.8</v>
      </c>
      <c r="T123" s="65" t="n">
        <v>0.2</v>
      </c>
      <c r="U123" s="65" t="n">
        <v>0</v>
      </c>
    </row>
    <row r="124">
      <c r="A124" s="21" t="inlineStr">
        <is>
          <t xml:space="preserve">U062 </t>
        </is>
      </c>
      <c r="B124" s="21" t="inlineStr">
        <is>
          <t xml:space="preserve">I.U. DE INVESTIGACIÓN INFORMÁTICA (10.19) </t>
        </is>
      </c>
      <c r="C124" s="21" t="inlineStr">
        <is>
          <t xml:space="preserve">DOCTORADO EN INFORMÁTICA </t>
        </is>
      </c>
      <c r="D124" s="21" t="inlineStr">
        <is>
          <t>Hernández Blanco, Antonio Jesús</t>
        </is>
      </c>
      <c r="E124" s="21" t="inlineStr">
        <is>
          <t xml:space="preserve">Diseño y evaluación de un modelo de generación de secuencias de lectura para el </t>
        </is>
      </c>
      <c r="F124" s="21" t="inlineStr">
        <is>
          <t xml:space="preserve">25/09/2023 </t>
        </is>
      </c>
      <c r="G124" s="21" t="inlineStr">
        <is>
          <t xml:space="preserve">52776534K </t>
        </is>
      </c>
      <c r="H124" s="21" t="inlineStr">
        <is>
          <t xml:space="preserve">Codirector de tesis </t>
        </is>
      </c>
      <c r="I124" s="21" t="inlineStr">
        <is>
          <t xml:space="preserve">B158 </t>
        </is>
      </c>
      <c r="J124" s="21" t="inlineStr">
        <is>
          <t xml:space="preserve">LENGUAJES Y SISTEMAS INFORMÁTICOS </t>
        </is>
      </c>
      <c r="K124" s="22" t="n">
        <v>0.5</v>
      </c>
      <c r="L124" s="21" t="inlineStr">
        <is>
          <t>B158</t>
        </is>
      </c>
      <c r="M124" s="22" t="n">
        <v>2022</v>
      </c>
      <c r="N124" s="21" t="inlineStr">
        <is>
          <t>10.19</t>
        </is>
      </c>
      <c r="O124" s="22" t="n">
        <v>20</v>
      </c>
      <c r="P124" s="21" t="inlineStr"/>
      <c r="Q124" s="21" t="n">
        <v>0</v>
      </c>
      <c r="R124" s="21" t="n">
        <v>80</v>
      </c>
      <c r="S124" s="65" t="n">
        <v>0.4</v>
      </c>
      <c r="T124" s="65" t="n">
        <v>0.1</v>
      </c>
      <c r="U124" s="65" t="n">
        <v>0</v>
      </c>
    </row>
    <row r="125">
      <c r="A125" s="21" t="inlineStr">
        <is>
          <t xml:space="preserve">U062 </t>
        </is>
      </c>
      <c r="B125" s="21" t="inlineStr">
        <is>
          <t xml:space="preserve">I.U. DE INVESTIGACIÓN INFORMÁTICA (10.19) </t>
        </is>
      </c>
      <c r="C125" s="21" t="inlineStr">
        <is>
          <t xml:space="preserve">DOCTORADO EN INFORMÁTICA </t>
        </is>
      </c>
      <c r="D125" s="21" t="inlineStr">
        <is>
          <t>Hernández Blanco, Antonio Jesús</t>
        </is>
      </c>
      <c r="E125" s="21" t="inlineStr">
        <is>
          <t xml:space="preserve">Diseño y evaluación de un modelo de generación de secuencias de lectura para el </t>
        </is>
      </c>
      <c r="F125" s="21" t="inlineStr">
        <is>
          <t xml:space="preserve">25/09/2023 </t>
        </is>
      </c>
      <c r="G125" s="21" t="inlineStr">
        <is>
          <t xml:space="preserve">44759120Q </t>
        </is>
      </c>
      <c r="H125" s="21" t="inlineStr">
        <is>
          <t xml:space="preserve">Codirector de tesis </t>
        </is>
      </c>
      <c r="I125" s="21" t="inlineStr">
        <is>
          <t xml:space="preserve">B158 </t>
        </is>
      </c>
      <c r="J125" s="21" t="inlineStr">
        <is>
          <t xml:space="preserve">LENGUAJES Y SISTEMAS INFORMÁTICOS </t>
        </is>
      </c>
      <c r="K125" s="22" t="n">
        <v>0.5</v>
      </c>
      <c r="L125" s="21" t="inlineStr">
        <is>
          <t>B158</t>
        </is>
      </c>
      <c r="M125" s="22" t="n">
        <v>2022</v>
      </c>
      <c r="N125" s="21" t="inlineStr">
        <is>
          <t>10.19</t>
        </is>
      </c>
      <c r="O125" s="22" t="n">
        <v>20</v>
      </c>
      <c r="P125" s="21" t="inlineStr"/>
      <c r="Q125" s="21" t="n">
        <v>0</v>
      </c>
      <c r="R125" s="21" t="n">
        <v>80</v>
      </c>
      <c r="S125" s="65" t="n">
        <v>0.4</v>
      </c>
      <c r="T125" s="65" t="n">
        <v>0.1</v>
      </c>
      <c r="U125" s="65" t="n">
        <v>0</v>
      </c>
    </row>
    <row r="126">
      <c r="A126" s="21" t="inlineStr">
        <is>
          <t xml:space="preserve">U062 </t>
        </is>
      </c>
      <c r="B126" s="21" t="inlineStr">
        <is>
          <t xml:space="preserve">I.U. DE INVESTIGACIÓN INFORMÁTICA (10.19) </t>
        </is>
      </c>
      <c r="C126" s="21" t="inlineStr">
        <is>
          <t xml:space="preserve">DOCTORADO EN INFORMÁTICA </t>
        </is>
      </c>
      <c r="D126" s="21" t="inlineStr">
        <is>
          <t>Bonet Jover, Alba</t>
        </is>
      </c>
      <c r="E126" s="21" t="inlineStr">
        <is>
          <t xml:space="preserve">Abordando el tratamiento automático de la desinformación: modelado de la confiabilidad en noticias mediante Procesamiento del Lenguaje Natural </t>
        </is>
      </c>
      <c r="F126" s="21" t="inlineStr">
        <is>
          <t xml:space="preserve">20/03/2023 </t>
        </is>
      </c>
      <c r="G126" s="21" t="inlineStr">
        <is>
          <t xml:space="preserve">21473652R </t>
        </is>
      </c>
      <c r="H126" s="21" t="inlineStr">
        <is>
          <t xml:space="preserve">Codirector de tesis </t>
        </is>
      </c>
      <c r="I126" s="21" t="inlineStr">
        <is>
          <t xml:space="preserve">B158 </t>
        </is>
      </c>
      <c r="J126" s="21" t="inlineStr">
        <is>
          <t xml:space="preserve">LENGUAJES Y SISTEMAS INFORMÁTICOS </t>
        </is>
      </c>
      <c r="K126" s="22" t="n">
        <v>0.5</v>
      </c>
      <c r="L126" s="21" t="inlineStr">
        <is>
          <t>B158</t>
        </is>
      </c>
      <c r="M126" s="22" t="n">
        <v>2022</v>
      </c>
      <c r="N126" s="21" t="inlineStr">
        <is>
          <t>10.19</t>
        </is>
      </c>
      <c r="O126" s="22" t="n">
        <v>50</v>
      </c>
      <c r="P126" s="21" t="inlineStr"/>
      <c r="Q126" s="21" t="n">
        <v>0</v>
      </c>
      <c r="R126" s="21" t="n">
        <v>50</v>
      </c>
      <c r="S126" s="65" t="n">
        <v>0.25</v>
      </c>
      <c r="T126" s="65" t="n">
        <v>0.25</v>
      </c>
      <c r="U126" s="65" t="n">
        <v>0</v>
      </c>
    </row>
    <row r="127">
      <c r="A127" s="21" t="inlineStr">
        <is>
          <t xml:space="preserve">U062 </t>
        </is>
      </c>
      <c r="B127" s="21" t="inlineStr">
        <is>
          <t xml:space="preserve">I.U. DE INVESTIGACIÓN INFORMÁTICA (10.19) </t>
        </is>
      </c>
      <c r="C127" s="21" t="inlineStr">
        <is>
          <t xml:space="preserve">DOCTORADO EN INFORMÁTICA </t>
        </is>
      </c>
      <c r="D127" s="21" t="inlineStr">
        <is>
          <t>Bonet Jover, Alba</t>
        </is>
      </c>
      <c r="E127" s="21" t="inlineStr">
        <is>
          <t xml:space="preserve">Abordando el tratamiento automático de la desinformación: modelado de la confiabilidad en noticias mediante Procesamiento del Lenguaje Natural </t>
        </is>
      </c>
      <c r="F127" s="21" t="inlineStr">
        <is>
          <t xml:space="preserve">20/03/2023 </t>
        </is>
      </c>
      <c r="G127" s="21" t="inlineStr">
        <is>
          <t xml:space="preserve">52778169T </t>
        </is>
      </c>
      <c r="H127" s="21" t="inlineStr">
        <is>
          <t xml:space="preserve">Codirector de tesis </t>
        </is>
      </c>
      <c r="I127" s="21" t="inlineStr">
        <is>
          <t xml:space="preserve">B158 </t>
        </is>
      </c>
      <c r="J127" s="21" t="inlineStr">
        <is>
          <t xml:space="preserve">LENGUAJES Y SISTEMAS INFORMÁTICOS </t>
        </is>
      </c>
      <c r="K127" s="22" t="n">
        <v>0.5</v>
      </c>
      <c r="L127" s="21" t="inlineStr">
        <is>
          <t>B158</t>
        </is>
      </c>
      <c r="M127" s="22" t="n">
        <v>2022</v>
      </c>
      <c r="N127" s="21" t="inlineStr">
        <is>
          <t>10.19</t>
        </is>
      </c>
      <c r="O127" s="22" t="n">
        <v>20</v>
      </c>
      <c r="P127" s="21" t="inlineStr"/>
      <c r="Q127" s="21" t="n">
        <v>0</v>
      </c>
      <c r="R127" s="21" t="n">
        <v>80</v>
      </c>
      <c r="S127" s="65" t="n">
        <v>0.4</v>
      </c>
      <c r="T127" s="65" t="n">
        <v>0.1</v>
      </c>
      <c r="U127" s="65" t="n">
        <v>0</v>
      </c>
    </row>
    <row r="128">
      <c r="A128" s="21" t="inlineStr">
        <is>
          <t xml:space="preserve">U062 </t>
        </is>
      </c>
      <c r="B128" s="21" t="inlineStr">
        <is>
          <t xml:space="preserve">I.U. DE INVESTIGACIÓN INFORMÁTICA (10.19) </t>
        </is>
      </c>
      <c r="C128" s="21" t="inlineStr">
        <is>
          <t xml:space="preserve">DOCTORADO EN INFORMÁTICA </t>
        </is>
      </c>
      <c r="D128" s="21" t="inlineStr">
        <is>
          <t>Esteve Brotons, Miguel Jose</t>
        </is>
      </c>
      <c r="E128" s="21" t="inlineStr">
        <is>
          <t xml:space="preserve">Analysis and extraction of features in video streaming </t>
        </is>
      </c>
      <c r="F128" s="21" t="inlineStr">
        <is>
          <t xml:space="preserve">14/07/2023 </t>
        </is>
      </c>
      <c r="G128" s="21" t="inlineStr">
        <is>
          <t xml:space="preserve">21486541X </t>
        </is>
      </c>
      <c r="H128" s="21" t="inlineStr">
        <is>
          <t xml:space="preserve">Director de tesis </t>
        </is>
      </c>
      <c r="I128" s="21" t="inlineStr">
        <is>
          <t xml:space="preserve">B148 </t>
        </is>
      </c>
      <c r="J128" s="21" t="inlineStr">
        <is>
          <t xml:space="preserve">TECNOLOGÍA INFORMÁTICA Y COMPUTACIÓN </t>
        </is>
      </c>
      <c r="K128" s="22" t="n">
        <v>1</v>
      </c>
      <c r="L128" s="21" t="inlineStr">
        <is>
          <t>B148</t>
        </is>
      </c>
      <c r="M128" s="22" t="n">
        <v>2022</v>
      </c>
      <c r="N128" s="21" t="inlineStr">
        <is>
          <t>10.19</t>
        </is>
      </c>
      <c r="O128" s="22" t="n">
        <v>20</v>
      </c>
      <c r="P128" s="21" t="inlineStr"/>
      <c r="Q128" s="21" t="n">
        <v>0</v>
      </c>
      <c r="R128" s="21" t="n">
        <v>80</v>
      </c>
      <c r="S128" s="65" t="n">
        <v>0.8</v>
      </c>
      <c r="T128" s="65" t="n">
        <v>0.2</v>
      </c>
      <c r="U128" s="65" t="n">
        <v>0</v>
      </c>
    </row>
    <row r="129">
      <c r="A129" s="21" t="inlineStr">
        <is>
          <t xml:space="preserve">U062 </t>
        </is>
      </c>
      <c r="B129" s="21" t="inlineStr">
        <is>
          <t xml:space="preserve">I.U. DE INVESTIGACIÓN INFORMÁTICA (10.19) </t>
        </is>
      </c>
      <c r="C129" s="21" t="inlineStr">
        <is>
          <t xml:space="preserve">DOCTORADO EN INFORMÁTICA </t>
        </is>
      </c>
      <c r="D129" s="21" t="inlineStr">
        <is>
          <t>Busquier Martínez, Mario</t>
        </is>
      </c>
      <c r="E129" s="21" t="inlineStr">
        <is>
          <t xml:space="preserve">Contribution of New Types of Radar Data to Land Cover and Crop Classification in Remote Sensing </t>
        </is>
      </c>
      <c r="F129" s="21" t="inlineStr">
        <is>
          <t xml:space="preserve">20/07/2023 </t>
        </is>
      </c>
      <c r="G129" s="21" t="inlineStr">
        <is>
          <t xml:space="preserve">21503683V </t>
        </is>
      </c>
      <c r="H129" s="21" t="inlineStr">
        <is>
          <t xml:space="preserve">Director de tesis </t>
        </is>
      </c>
      <c r="I129" s="21" t="inlineStr">
        <is>
          <t xml:space="preserve">B149 </t>
        </is>
      </c>
      <c r="J129" s="21" t="inlineStr">
        <is>
          <t xml:space="preserve">FISICA, INGENIERIA DE SISTEMAS Y TEORIA DE LA SEÑAL </t>
        </is>
      </c>
      <c r="K129" s="22" t="n">
        <v>1</v>
      </c>
      <c r="L129" s="21" t="inlineStr">
        <is>
          <t>B149</t>
        </is>
      </c>
      <c r="M129" s="22" t="n">
        <v>2022</v>
      </c>
      <c r="N129" s="21" t="inlineStr">
        <is>
          <t>10.19</t>
        </is>
      </c>
      <c r="O129" s="22" t="n">
        <v>50</v>
      </c>
      <c r="P129" s="21" t="inlineStr"/>
      <c r="Q129" s="21" t="n">
        <v>0</v>
      </c>
      <c r="R129" s="21" t="n">
        <v>50</v>
      </c>
      <c r="S129" s="65" t="n">
        <v>0.5</v>
      </c>
      <c r="T129" s="65" t="n">
        <v>0.5</v>
      </c>
      <c r="U129" s="65" t="n">
        <v>0</v>
      </c>
    </row>
    <row r="130">
      <c r="A130" s="21" t="inlineStr">
        <is>
          <t xml:space="preserve">U062 </t>
        </is>
      </c>
      <c r="B130" s="21" t="inlineStr">
        <is>
          <t xml:space="preserve">I.U. DE INVESTIGACIÓN INFORMÁTICA (10.19) </t>
        </is>
      </c>
      <c r="C130" s="21" t="inlineStr">
        <is>
          <t xml:space="preserve">DOCTORADO EN INFORMÁTICA </t>
        </is>
      </c>
      <c r="D130" s="21" t="inlineStr">
        <is>
          <t>Lucas Ibañez, Luis</t>
        </is>
      </c>
      <c r="E130" s="21" t="inlineStr">
        <is>
          <t xml:space="preserve">Procesamiento multimodal de datos extraídos de redes sociales mediante técnicas de inteligencia artificial. Aplicaciones al turismo </t>
        </is>
      </c>
      <c r="F130" s="21" t="inlineStr">
        <is>
          <t xml:space="preserve">19/01/2023 </t>
        </is>
      </c>
      <c r="G130" s="21" t="inlineStr">
        <is>
          <t xml:space="preserve">21486541X </t>
        </is>
      </c>
      <c r="H130" s="21" t="inlineStr">
        <is>
          <t xml:space="preserve">Codirector de tesis </t>
        </is>
      </c>
      <c r="I130" s="21" t="inlineStr">
        <is>
          <t xml:space="preserve">B148 </t>
        </is>
      </c>
      <c r="J130" s="21" t="inlineStr">
        <is>
          <t xml:space="preserve">TECNOLOGÍA INFORMÁTICA Y COMPUTACIÓN </t>
        </is>
      </c>
      <c r="K130" s="22" t="n">
        <v>0.5</v>
      </c>
      <c r="L130" s="21" t="inlineStr">
        <is>
          <t>B148</t>
        </is>
      </c>
      <c r="M130" s="22" t="n">
        <v>2022</v>
      </c>
      <c r="N130" s="21" t="inlineStr">
        <is>
          <t>10.19</t>
        </is>
      </c>
      <c r="O130" s="22" t="n">
        <v>20</v>
      </c>
      <c r="P130" s="21" t="inlineStr"/>
      <c r="Q130" s="21" t="n">
        <v>0</v>
      </c>
      <c r="R130" s="21" t="n">
        <v>80</v>
      </c>
      <c r="S130" s="65" t="n">
        <v>0.4</v>
      </c>
      <c r="T130" s="65" t="n">
        <v>0.1</v>
      </c>
      <c r="U130" s="65" t="n">
        <v>0</v>
      </c>
    </row>
    <row r="131">
      <c r="A131" s="21" t="inlineStr">
        <is>
          <t xml:space="preserve">U062 </t>
        </is>
      </c>
      <c r="B131" s="21" t="inlineStr">
        <is>
          <t xml:space="preserve">I.U. DE INVESTIGACIÓN INFORMÁTICA (10.19) </t>
        </is>
      </c>
      <c r="C131" s="21" t="inlineStr">
        <is>
          <t xml:space="preserve">DOCTORADO EN INFORMÁTICA </t>
        </is>
      </c>
      <c r="D131" s="21" t="inlineStr">
        <is>
          <t>Lucas Ibañez, Luis</t>
        </is>
      </c>
      <c r="E131" s="21" t="inlineStr">
        <is>
          <t xml:space="preserve">Procesamiento multimodal de datos extraídos de redes sociales mediante técnicas de inteligencia artificial. Aplicaciones al turismo </t>
        </is>
      </c>
      <c r="F131" s="21" t="inlineStr">
        <is>
          <t xml:space="preserve">19/01/2023 </t>
        </is>
      </c>
      <c r="G131" s="21" t="inlineStr">
        <is>
          <t xml:space="preserve">44759120Q </t>
        </is>
      </c>
      <c r="H131" s="21" t="inlineStr">
        <is>
          <t xml:space="preserve">Codirector de tesis </t>
        </is>
      </c>
      <c r="I131" s="21" t="inlineStr">
        <is>
          <t xml:space="preserve">B158 </t>
        </is>
      </c>
      <c r="J131" s="21" t="inlineStr">
        <is>
          <t xml:space="preserve">LENGUAJES Y SISTEMAS INFORMÁTICOS </t>
        </is>
      </c>
      <c r="K131" s="22" t="n">
        <v>0.5</v>
      </c>
      <c r="L131" s="21" t="inlineStr">
        <is>
          <t>B158</t>
        </is>
      </c>
      <c r="M131" s="22" t="n">
        <v>2022</v>
      </c>
      <c r="N131" s="21" t="inlineStr">
        <is>
          <t>10.19</t>
        </is>
      </c>
      <c r="O131" s="22" t="n">
        <v>20</v>
      </c>
      <c r="P131" s="21" t="inlineStr"/>
      <c r="Q131" s="21" t="n">
        <v>0</v>
      </c>
      <c r="R131" s="21" t="n">
        <v>80</v>
      </c>
      <c r="S131" s="65" t="n">
        <v>0.4</v>
      </c>
      <c r="T131" s="65" t="n">
        <v>0.1</v>
      </c>
      <c r="U131" s="65" t="n">
        <v>0</v>
      </c>
    </row>
    <row r="132">
      <c r="A132" s="21" t="inlineStr">
        <is>
          <t xml:space="preserve">U062 </t>
        </is>
      </c>
      <c r="B132" s="21" t="inlineStr">
        <is>
          <t xml:space="preserve">I.U. DE INVESTIGACIÓN INFORMÁTICA (10.19) </t>
        </is>
      </c>
      <c r="C132" s="21" t="inlineStr">
        <is>
          <t xml:space="preserve">DOCTORADO EN INFORMÁTICA </t>
        </is>
      </c>
      <c r="D132" s="21" t="inlineStr">
        <is>
          <t>Martínez González, Pablo</t>
        </is>
      </c>
      <c r="E132" s="21" t="inlineStr">
        <is>
          <t xml:space="preserve">Synthetic Data Generation for 6D Object Pose and Grasping Estimation </t>
        </is>
      </c>
      <c r="F132" s="21" t="inlineStr">
        <is>
          <t xml:space="preserve">16/03/2023 </t>
        </is>
      </c>
      <c r="G132" s="21" t="inlineStr">
        <is>
          <t xml:space="preserve">21486541X </t>
        </is>
      </c>
      <c r="H132" s="21" t="inlineStr">
        <is>
          <t xml:space="preserve">Codirector de tesis </t>
        </is>
      </c>
      <c r="I132" s="21" t="inlineStr">
        <is>
          <t xml:space="preserve">B148 </t>
        </is>
      </c>
      <c r="J132" s="21" t="inlineStr">
        <is>
          <t xml:space="preserve">TECNOLOGÍA INFORMÁTICA Y COMPUTACIÓN </t>
        </is>
      </c>
      <c r="K132" s="22" t="n">
        <v>0.5</v>
      </c>
      <c r="L132" s="21" t="inlineStr">
        <is>
          <t>B148</t>
        </is>
      </c>
      <c r="M132" s="22" t="n">
        <v>2022</v>
      </c>
      <c r="N132" s="21" t="inlineStr">
        <is>
          <t>10.19</t>
        </is>
      </c>
      <c r="O132" s="22" t="n">
        <v>20</v>
      </c>
      <c r="P132" s="21" t="inlineStr"/>
      <c r="Q132" s="21" t="n">
        <v>0</v>
      </c>
      <c r="R132" s="21" t="n">
        <v>80</v>
      </c>
      <c r="S132" s="65" t="n">
        <v>0.4</v>
      </c>
      <c r="T132" s="65" t="n">
        <v>0.1</v>
      </c>
      <c r="U132" s="65" t="n">
        <v>0</v>
      </c>
    </row>
    <row r="133">
      <c r="A133" s="21" t="inlineStr">
        <is>
          <t xml:space="preserve">U062 </t>
        </is>
      </c>
      <c r="B133" s="21" t="inlineStr">
        <is>
          <t xml:space="preserve">I.U. DE INVESTIGACIÓN INFORMÁTICA (10.19) </t>
        </is>
      </c>
      <c r="C133" s="21" t="inlineStr">
        <is>
          <t xml:space="preserve">DOCTORADO EN INFORMÁTICA </t>
        </is>
      </c>
      <c r="D133" s="21" t="inlineStr">
        <is>
          <t>Martínez González, Pablo</t>
        </is>
      </c>
      <c r="E133" s="21" t="inlineStr">
        <is>
          <t xml:space="preserve">Synthetic Data Generation for 6D Object Pose and Grasping Estimation </t>
        </is>
      </c>
      <c r="F133" s="21" t="inlineStr">
        <is>
          <t xml:space="preserve">16/03/2023 </t>
        </is>
      </c>
      <c r="G133" s="21" t="inlineStr">
        <is>
          <t xml:space="preserve">53240321J </t>
        </is>
      </c>
      <c r="H133" s="21" t="inlineStr">
        <is>
          <t xml:space="preserve">Codirector de tesis </t>
        </is>
      </c>
      <c r="I133" s="21" t="inlineStr">
        <is>
          <t xml:space="preserve">B161 </t>
        </is>
      </c>
      <c r="J133" s="21" t="inlineStr">
        <is>
          <t xml:space="preserve">CIENCIA DE LA COMPUTACION E INTELIGENCIA ARTIFICIAL </t>
        </is>
      </c>
      <c r="K133" s="22" t="n">
        <v>0.5</v>
      </c>
      <c r="L133" s="21" t="inlineStr">
        <is>
          <t>B161</t>
        </is>
      </c>
      <c r="M133" s="22" t="n">
        <v>2022</v>
      </c>
      <c r="N133" s="21" t="inlineStr">
        <is>
          <t>10.19</t>
        </is>
      </c>
      <c r="O133" s="22" t="n">
        <v>20</v>
      </c>
      <c r="P133" s="21" t="inlineStr"/>
      <c r="Q133" s="21" t="n">
        <v>0</v>
      </c>
      <c r="R133" s="21" t="n">
        <v>80</v>
      </c>
      <c r="S133" s="65" t="n">
        <v>0.4</v>
      </c>
      <c r="T133" s="65" t="n">
        <v>0.1</v>
      </c>
      <c r="U133" s="65" t="n">
        <v>0</v>
      </c>
    </row>
    <row r="134">
      <c r="A134" s="21" t="inlineStr">
        <is>
          <t xml:space="preserve">U062 </t>
        </is>
      </c>
      <c r="B134" s="21" t="inlineStr">
        <is>
          <t xml:space="preserve">I.U. DE INVESTIGACIÓN INFORMÁTICA (10.19) </t>
        </is>
      </c>
      <c r="C134" s="21" t="inlineStr">
        <is>
          <t xml:space="preserve">DOCTORADO EN INFORMÁTICA </t>
        </is>
      </c>
      <c r="D134" s="21" t="inlineStr">
        <is>
          <t>Castro Vargas, John Alejandro</t>
        </is>
      </c>
      <c r="E134" s="21" t="inlineStr">
        <is>
          <t xml:space="preserve">Contributions on 3D Human Computer-Interaction using Deep approaches </t>
        </is>
      </c>
      <c r="F134" s="21" t="inlineStr">
        <is>
          <t xml:space="preserve">16/03/2023 </t>
        </is>
      </c>
      <c r="G134" s="21" t="inlineStr">
        <is>
          <t xml:space="preserve">21486541X </t>
        </is>
      </c>
      <c r="H134" s="21" t="inlineStr">
        <is>
          <t xml:space="preserve">Codirector de tesis </t>
        </is>
      </c>
      <c r="I134" s="21" t="inlineStr">
        <is>
          <t xml:space="preserve">B148 </t>
        </is>
      </c>
      <c r="J134" s="21" t="inlineStr">
        <is>
          <t xml:space="preserve">TECNOLOGÍA INFORMÁTICA Y COMPUTACIÓN </t>
        </is>
      </c>
      <c r="K134" s="22" t="n">
        <v>0.5</v>
      </c>
      <c r="L134" s="21" t="inlineStr">
        <is>
          <t>B148</t>
        </is>
      </c>
      <c r="M134" s="22" t="n">
        <v>2022</v>
      </c>
      <c r="N134" s="21" t="inlineStr">
        <is>
          <t>10.19</t>
        </is>
      </c>
      <c r="O134" s="22" t="n">
        <v>20</v>
      </c>
      <c r="P134" s="21" t="inlineStr"/>
      <c r="Q134" s="21" t="n">
        <v>0</v>
      </c>
      <c r="R134" s="21" t="n">
        <v>80</v>
      </c>
      <c r="S134" s="65" t="n">
        <v>0.4</v>
      </c>
      <c r="T134" s="65" t="n">
        <v>0.1</v>
      </c>
      <c r="U134" s="65" t="n">
        <v>0</v>
      </c>
    </row>
    <row r="135">
      <c r="A135" s="21" t="inlineStr">
        <is>
          <t xml:space="preserve">U062 </t>
        </is>
      </c>
      <c r="B135" s="21" t="inlineStr">
        <is>
          <t xml:space="preserve">I.U. DE INVESTIGACIÓN INFORMÁTICA (10.19) </t>
        </is>
      </c>
      <c r="C135" s="21" t="inlineStr">
        <is>
          <t xml:space="preserve">DOCTORADO EN INFORMÁTICA </t>
        </is>
      </c>
      <c r="D135" s="21" t="inlineStr">
        <is>
          <t>Castellanos Regalado, Francisco José</t>
        </is>
      </c>
      <c r="E135" s="21" t="inlineStr">
        <is>
          <t xml:space="preserve">Contributions to Document Image Analysis: Application to Music Score Images </t>
        </is>
      </c>
      <c r="F135" s="21" t="inlineStr">
        <is>
          <t xml:space="preserve">25/11/2022 </t>
        </is>
      </c>
      <c r="G135" s="21" t="inlineStr">
        <is>
          <t xml:space="preserve">74004743N </t>
        </is>
      </c>
      <c r="H135" s="21" t="inlineStr">
        <is>
          <t xml:space="preserve">Codirector de tesis </t>
        </is>
      </c>
      <c r="I135" s="21" t="inlineStr">
        <is>
          <t xml:space="preserve">B158 </t>
        </is>
      </c>
      <c r="J135" s="21" t="inlineStr">
        <is>
          <t xml:space="preserve">LENGUAJES Y SISTEMAS INFORMÁTICOS </t>
        </is>
      </c>
      <c r="K135" s="22" t="n">
        <v>0.5</v>
      </c>
      <c r="L135" s="21" t="inlineStr">
        <is>
          <t>B158</t>
        </is>
      </c>
      <c r="M135" s="22" t="n">
        <v>2022</v>
      </c>
      <c r="N135" s="21" t="inlineStr">
        <is>
          <t>10.19</t>
        </is>
      </c>
      <c r="O135" s="22" t="n">
        <v>20</v>
      </c>
      <c r="P135" s="21" t="inlineStr"/>
      <c r="Q135" s="21" t="n">
        <v>0</v>
      </c>
      <c r="R135" s="21" t="n">
        <v>80</v>
      </c>
      <c r="S135" s="65" t="n">
        <v>0.4</v>
      </c>
      <c r="T135" s="65" t="n">
        <v>0.1</v>
      </c>
      <c r="U135" s="65" t="n">
        <v>0</v>
      </c>
    </row>
    <row r="136">
      <c r="A136" s="21" t="inlineStr">
        <is>
          <t xml:space="preserve">U062 </t>
        </is>
      </c>
      <c r="B136" s="21" t="inlineStr">
        <is>
          <t xml:space="preserve">I.U. DE INVESTIGACIÓN INFORMÁTICA (10.19) </t>
        </is>
      </c>
      <c r="C136" s="21" t="inlineStr">
        <is>
          <t xml:space="preserve">DOCTORADO EN INFORMÁTICA </t>
        </is>
      </c>
      <c r="D136" s="21" t="inlineStr">
        <is>
          <t>Castellanos Regalado, Francisco José</t>
        </is>
      </c>
      <c r="E136" s="21" t="inlineStr">
        <is>
          <t xml:space="preserve">Contributions to Document Image Analysis: Application to Music Score Images </t>
        </is>
      </c>
      <c r="F136" s="21" t="inlineStr">
        <is>
          <t xml:space="preserve">25/11/2022 </t>
        </is>
      </c>
      <c r="G136" s="21" t="inlineStr">
        <is>
          <t xml:space="preserve">21439614A </t>
        </is>
      </c>
      <c r="H136" s="21" t="inlineStr">
        <is>
          <t xml:space="preserve">Codirector de tesis </t>
        </is>
      </c>
      <c r="I136" s="21" t="inlineStr">
        <is>
          <t xml:space="preserve">B158 </t>
        </is>
      </c>
      <c r="J136" s="21" t="inlineStr">
        <is>
          <t xml:space="preserve">LENGUAJES Y SISTEMAS INFORMÁTICOS </t>
        </is>
      </c>
      <c r="K136" s="22" t="n">
        <v>0.5</v>
      </c>
      <c r="L136" s="21" t="inlineStr">
        <is>
          <t>B158</t>
        </is>
      </c>
      <c r="M136" s="22" t="n">
        <v>2022</v>
      </c>
      <c r="N136" s="21" t="inlineStr">
        <is>
          <t>10.19</t>
        </is>
      </c>
      <c r="O136" s="22" t="n">
        <v>20</v>
      </c>
      <c r="P136" s="21" t="inlineStr"/>
      <c r="Q136" s="21" t="n">
        <v>0</v>
      </c>
      <c r="R136" s="21" t="n">
        <v>80</v>
      </c>
      <c r="S136" s="65" t="n">
        <v>0.4</v>
      </c>
      <c r="T136" s="65" t="n">
        <v>0.1</v>
      </c>
      <c r="U136" s="65" t="n">
        <v>0</v>
      </c>
    </row>
    <row r="137">
      <c r="A137" s="21" t="inlineStr">
        <is>
          <t xml:space="preserve">U062 </t>
        </is>
      </c>
      <c r="B137" s="21" t="inlineStr">
        <is>
          <t xml:space="preserve">I.U. DE INVESTIGACIÓN INFORMÁTICA (10.19) </t>
        </is>
      </c>
      <c r="C137" s="21" t="inlineStr">
        <is>
          <t xml:space="preserve">DOCTORADO EN INFORMÁTICA </t>
        </is>
      </c>
      <c r="D137" s="21" t="inlineStr">
        <is>
          <t>Súcar Segarra, Luis Beltrán</t>
        </is>
      </c>
      <c r="E137" s="21" t="inlineStr">
        <is>
          <t xml:space="preserve">Métodos paralelos para el filtrado de imágenes digitales con aplicación médica </t>
        </is>
      </c>
      <c r="F137" s="21" t="inlineStr">
        <is>
          <t xml:space="preserve">24/02/2023 </t>
        </is>
      </c>
      <c r="G137" s="21" t="inlineStr">
        <is>
          <t xml:space="preserve">52793369C </t>
        </is>
      </c>
      <c r="H137" s="21" t="inlineStr">
        <is>
          <t xml:space="preserve">Director de tesis </t>
        </is>
      </c>
      <c r="I137" s="21" t="inlineStr">
        <is>
          <t xml:space="preserve">B161 </t>
        </is>
      </c>
      <c r="J137" s="21" t="inlineStr">
        <is>
          <t xml:space="preserve">CIENCIA DE LA COMPUTACION E INTELIGENCIA ARTIFICIAL </t>
        </is>
      </c>
      <c r="K137" s="22" t="n">
        <v>1</v>
      </c>
      <c r="L137" s="21" t="inlineStr">
        <is>
          <t>B161</t>
        </is>
      </c>
      <c r="M137" s="22" t="n">
        <v>2022</v>
      </c>
      <c r="N137" s="21" t="inlineStr">
        <is>
          <t>10.19</t>
        </is>
      </c>
      <c r="O137" s="22" t="n">
        <v>20</v>
      </c>
      <c r="P137" s="21" t="inlineStr"/>
      <c r="Q137" s="21" t="n">
        <v>0</v>
      </c>
      <c r="R137" s="21" t="n">
        <v>80</v>
      </c>
      <c r="S137" s="65" t="n">
        <v>0.8</v>
      </c>
      <c r="T137" s="65" t="n">
        <v>0.2</v>
      </c>
      <c r="U137" s="65" t="n">
        <v>0</v>
      </c>
    </row>
    <row r="138">
      <c r="A138" s="21" t="inlineStr">
        <is>
          <t xml:space="preserve">U062 </t>
        </is>
      </c>
      <c r="B138" s="21" t="inlineStr">
        <is>
          <t xml:space="preserve">I.U. DE INVESTIGACIÓN INFORMÁTICA (10.19) </t>
        </is>
      </c>
      <c r="C138" s="21" t="inlineStr">
        <is>
          <t xml:space="preserve">DOCTORADO EN INFORMÁTICA </t>
        </is>
      </c>
      <c r="D138" s="21" t="inlineStr">
        <is>
          <t>Muñoz Bañon, Miguel Angel</t>
        </is>
      </c>
      <c r="E138" s="21" t="inlineStr">
        <is>
          <t xml:space="preserve">Navegación Autónoma Basada en Mapas Públicos Geo-Referenciados </t>
        </is>
      </c>
      <c r="F138" s="21" t="inlineStr">
        <is>
          <t xml:space="preserve">07/12/2022 </t>
        </is>
      </c>
      <c r="G138" s="21" t="inlineStr">
        <is>
          <t xml:space="preserve">24218798M </t>
        </is>
      </c>
      <c r="H138" s="21" t="inlineStr">
        <is>
          <t xml:space="preserve">Codirector de tesis </t>
        </is>
      </c>
      <c r="I138" s="21" t="inlineStr">
        <is>
          <t xml:space="preserve">B149 </t>
        </is>
      </c>
      <c r="J138" s="21" t="inlineStr">
        <is>
          <t xml:space="preserve">FISICA, INGENIERIA DE SISTEMAS Y TEORIA DE LA SEÑAL </t>
        </is>
      </c>
      <c r="K138" s="22" t="n">
        <v>0.5</v>
      </c>
      <c r="L138" s="21" t="inlineStr">
        <is>
          <t>B149</t>
        </is>
      </c>
      <c r="M138" s="22" t="n">
        <v>2022</v>
      </c>
      <c r="N138" s="21" t="inlineStr">
        <is>
          <t>10.19</t>
        </is>
      </c>
      <c r="O138" s="22" t="n">
        <v>50</v>
      </c>
      <c r="P138" s="21" t="inlineStr"/>
      <c r="Q138" s="21" t="n">
        <v>0</v>
      </c>
      <c r="R138" s="21" t="n">
        <v>50</v>
      </c>
      <c r="S138" s="65" t="n">
        <v>0.25</v>
      </c>
      <c r="T138" s="65" t="n">
        <v>0.25</v>
      </c>
      <c r="U138" s="65" t="n">
        <v>0</v>
      </c>
    </row>
    <row r="139">
      <c r="A139" s="21" t="inlineStr">
        <is>
          <t xml:space="preserve">U062 </t>
        </is>
      </c>
      <c r="B139" s="21" t="inlineStr">
        <is>
          <t xml:space="preserve">I.U. DE INVESTIGACIÓN INFORMÁTICA (10.19) </t>
        </is>
      </c>
      <c r="C139" s="21" t="inlineStr">
        <is>
          <t xml:space="preserve">DOCTORADO EN INFORMÁTICA </t>
        </is>
      </c>
      <c r="D139" s="21" t="inlineStr">
        <is>
          <t>Muñoz Bañon, Miguel Angel</t>
        </is>
      </c>
      <c r="E139" s="21" t="inlineStr">
        <is>
          <t xml:space="preserve">Navegación Autónoma Basada en Mapas Públicos Geo-Referenciados </t>
        </is>
      </c>
      <c r="F139" s="21" t="inlineStr">
        <is>
          <t xml:space="preserve">07/12/2022 </t>
        </is>
      </c>
      <c r="G139" s="21" t="inlineStr">
        <is>
          <t xml:space="preserve">52773069Y </t>
        </is>
      </c>
      <c r="H139" s="21" t="inlineStr">
        <is>
          <t xml:space="preserve">Codirector de tesis </t>
        </is>
      </c>
      <c r="I139" s="21" t="inlineStr">
        <is>
          <t xml:space="preserve">B149 </t>
        </is>
      </c>
      <c r="J139" s="21" t="inlineStr">
        <is>
          <t xml:space="preserve">FISICA, INGENIERIA DE SISTEMAS Y TEORIA DE LA SEÑAL </t>
        </is>
      </c>
      <c r="K139" s="22" t="n">
        <v>0.5</v>
      </c>
      <c r="L139" s="21" t="inlineStr">
        <is>
          <t>B149</t>
        </is>
      </c>
      <c r="M139" s="22" t="n">
        <v>2022</v>
      </c>
      <c r="N139" s="21" t="inlineStr">
        <is>
          <t>10.19</t>
        </is>
      </c>
      <c r="O139" s="22" t="n">
        <v>20</v>
      </c>
      <c r="P139" s="21" t="inlineStr"/>
      <c r="Q139" s="21" t="n">
        <v>0</v>
      </c>
      <c r="R139" s="21" t="n">
        <v>80</v>
      </c>
      <c r="S139" s="65" t="n">
        <v>0.4</v>
      </c>
      <c r="T139" s="65" t="n">
        <v>0.1</v>
      </c>
      <c r="U139" s="65" t="n">
        <v>0</v>
      </c>
    </row>
    <row r="140">
      <c r="A140" s="21" t="inlineStr">
        <is>
          <t xml:space="preserve">U062 </t>
        </is>
      </c>
      <c r="B140" s="21" t="inlineStr">
        <is>
          <t xml:space="preserve">I.U. DE INVESTIGACIÓN INFORMÁTICA (10.19) </t>
        </is>
      </c>
      <c r="C140" s="21" t="inlineStr">
        <is>
          <t xml:space="preserve">DOCTORADO EN INFORMÁTICA </t>
        </is>
      </c>
      <c r="D140" s="21" t="inlineStr">
        <is>
          <t>Alfaro Contreras, María</t>
        </is>
      </c>
      <c r="E140" s="21" t="inlineStr">
        <is>
          <t xml:space="preserve">New Approaches to Optical Music Recognition </t>
        </is>
      </c>
      <c r="F140" s="21" t="inlineStr">
        <is>
          <t xml:space="preserve">22/09/2023 </t>
        </is>
      </c>
      <c r="G140" s="21" t="inlineStr">
        <is>
          <t xml:space="preserve">74004743N </t>
        </is>
      </c>
      <c r="H140" s="21" t="inlineStr">
        <is>
          <t xml:space="preserve">Codirector de tesis </t>
        </is>
      </c>
      <c r="I140" s="21" t="inlineStr">
        <is>
          <t xml:space="preserve">B158 </t>
        </is>
      </c>
      <c r="J140" s="21" t="inlineStr">
        <is>
          <t xml:space="preserve">LENGUAJES Y SISTEMAS INFORMÁTICOS </t>
        </is>
      </c>
      <c r="K140" s="22" t="n">
        <v>0.5</v>
      </c>
      <c r="L140" s="21" t="inlineStr">
        <is>
          <t>B158</t>
        </is>
      </c>
      <c r="M140" s="22" t="n">
        <v>2022</v>
      </c>
      <c r="N140" s="21" t="inlineStr">
        <is>
          <t>10.19</t>
        </is>
      </c>
      <c r="O140" s="22" t="n">
        <v>20</v>
      </c>
      <c r="P140" s="21" t="inlineStr"/>
      <c r="Q140" s="21" t="n">
        <v>0</v>
      </c>
      <c r="R140" s="21" t="n">
        <v>80</v>
      </c>
      <c r="S140" s="65" t="n">
        <v>0.4</v>
      </c>
      <c r="T140" s="65" t="n">
        <v>0.1</v>
      </c>
      <c r="U140" s="65" t="n">
        <v>0</v>
      </c>
    </row>
    <row r="141">
      <c r="A141" s="21" t="inlineStr">
        <is>
          <t xml:space="preserve">U062 </t>
        </is>
      </c>
      <c r="B141" s="21" t="inlineStr">
        <is>
          <t xml:space="preserve">I.U. DE INVESTIGACIÓN INFORMÁTICA (10.19) </t>
        </is>
      </c>
      <c r="C141" s="21" t="inlineStr">
        <is>
          <t xml:space="preserve">DOCTORADO EN INFORMÁTICA </t>
        </is>
      </c>
      <c r="D141" s="21" t="inlineStr">
        <is>
          <t>Alfaro Contreras, María</t>
        </is>
      </c>
      <c r="E141" s="21" t="inlineStr">
        <is>
          <t xml:space="preserve">New Approaches to Optical Music Recognition </t>
        </is>
      </c>
      <c r="F141" s="21" t="inlineStr">
        <is>
          <t xml:space="preserve">22/09/2023 </t>
        </is>
      </c>
      <c r="G141" s="21" t="inlineStr">
        <is>
          <t xml:space="preserve">21439614A </t>
        </is>
      </c>
      <c r="H141" s="21" t="inlineStr">
        <is>
          <t xml:space="preserve">Codirector de tesis </t>
        </is>
      </c>
      <c r="I141" s="21" t="inlineStr">
        <is>
          <t xml:space="preserve">B158 </t>
        </is>
      </c>
      <c r="J141" s="21" t="inlineStr">
        <is>
          <t xml:space="preserve">LENGUAJES Y SISTEMAS INFORMÁTICOS </t>
        </is>
      </c>
      <c r="K141" s="22" t="n">
        <v>0.5</v>
      </c>
      <c r="L141" s="21" t="inlineStr">
        <is>
          <t>B158</t>
        </is>
      </c>
      <c r="M141" s="22" t="n">
        <v>2022</v>
      </c>
      <c r="N141" s="21" t="inlineStr">
        <is>
          <t>10.19</t>
        </is>
      </c>
      <c r="O141" s="22" t="n">
        <v>20</v>
      </c>
      <c r="P141" s="21" t="inlineStr"/>
      <c r="Q141" s="21" t="n">
        <v>0</v>
      </c>
      <c r="R141" s="21" t="n">
        <v>80</v>
      </c>
      <c r="S141" s="65" t="n">
        <v>0.4</v>
      </c>
      <c r="T141" s="65" t="n">
        <v>0.1</v>
      </c>
      <c r="U141" s="65" t="n">
        <v>0</v>
      </c>
    </row>
    <row r="142">
      <c r="A142" s="21" t="inlineStr">
        <is>
          <t xml:space="preserve">U062 </t>
        </is>
      </c>
      <c r="B142" s="21" t="inlineStr">
        <is>
          <t xml:space="preserve">I.U. DE INVESTIGACIÓN INFORMÁTICA (10.19) </t>
        </is>
      </c>
      <c r="C142" s="21" t="inlineStr">
        <is>
          <t xml:space="preserve">DOCTORADO EN INFORMÁTICA </t>
        </is>
      </c>
      <c r="D142" s="21" t="inlineStr">
        <is>
          <t>Varela Guzmán, Erick Giovanni</t>
        </is>
      </c>
      <c r="E142" s="21" t="inlineStr">
        <is>
          <t xml:space="preserve">Modelos de gestión impulsados por la tecnología para el desarrollo de sociedades inteligentes </t>
        </is>
      </c>
      <c r="F142" s="21" t="inlineStr">
        <is>
          <t xml:space="preserve">08/09/2023 </t>
        </is>
      </c>
      <c r="G142" s="21" t="inlineStr">
        <is>
          <t xml:space="preserve">33489374V </t>
        </is>
      </c>
      <c r="H142" s="21" t="inlineStr">
        <is>
          <t xml:space="preserve">Codirector de tesis </t>
        </is>
      </c>
      <c r="I142" s="21" t="inlineStr">
        <is>
          <t xml:space="preserve">B148 </t>
        </is>
      </c>
      <c r="J142" s="21" t="inlineStr">
        <is>
          <t xml:space="preserve">TECNOLOGÍA INFORMÁTICA Y COMPUTACIÓN </t>
        </is>
      </c>
      <c r="K142" s="22" t="n">
        <v>0.5</v>
      </c>
      <c r="L142" s="21" t="inlineStr">
        <is>
          <t>B148</t>
        </is>
      </c>
      <c r="M142" s="22" t="n">
        <v>2022</v>
      </c>
      <c r="N142" s="21" t="inlineStr">
        <is>
          <t>10.19</t>
        </is>
      </c>
      <c r="O142" s="22" t="n">
        <v>20</v>
      </c>
      <c r="P142" s="21" t="inlineStr"/>
      <c r="Q142" s="21" t="n">
        <v>0</v>
      </c>
      <c r="R142" s="21" t="n">
        <v>80</v>
      </c>
      <c r="S142" s="65" t="n">
        <v>0.4</v>
      </c>
      <c r="T142" s="65" t="n">
        <v>0.1</v>
      </c>
      <c r="U142" s="65" t="n">
        <v>0</v>
      </c>
    </row>
    <row r="143">
      <c r="A143" s="21" t="inlineStr">
        <is>
          <t xml:space="preserve">U062 </t>
        </is>
      </c>
      <c r="B143" s="21" t="inlineStr">
        <is>
          <t xml:space="preserve">I.U. DE INVESTIGACIÓN INFORMÁTICA (10.19) </t>
        </is>
      </c>
      <c r="C143" s="21" t="inlineStr">
        <is>
          <t xml:space="preserve">DOCTORADO EN INFORMÁTICA </t>
        </is>
      </c>
      <c r="D143" s="21" t="inlineStr">
        <is>
          <t>Bedón Chamorro, César Arturo</t>
        </is>
      </c>
      <c r="E143" s="21" t="inlineStr">
        <is>
          <t xml:space="preserve">Modelo Causal y Análisis de Factores para la Adopción del Teletrabajo en la Era de la Industria 4.0 y 5.0 </t>
        </is>
      </c>
      <c r="F143" s="21" t="inlineStr">
        <is>
          <t xml:space="preserve">17/07/2023 </t>
        </is>
      </c>
      <c r="G143" s="21" t="inlineStr">
        <is>
          <t xml:space="preserve">44752524K </t>
        </is>
      </c>
      <c r="H143" s="21" t="inlineStr">
        <is>
          <t xml:space="preserve">Director de tesis </t>
        </is>
      </c>
      <c r="I143" s="21" t="inlineStr">
        <is>
          <t xml:space="preserve">B148 </t>
        </is>
      </c>
      <c r="J143" s="21" t="inlineStr">
        <is>
          <t xml:space="preserve">TECNOLOGÍA INFORMÁTICA Y COMPUTACIÓN </t>
        </is>
      </c>
      <c r="K143" s="22" t="n">
        <v>1</v>
      </c>
      <c r="L143" s="21" t="inlineStr">
        <is>
          <t>B148</t>
        </is>
      </c>
      <c r="M143" s="22" t="n">
        <v>2022</v>
      </c>
      <c r="N143" s="21" t="inlineStr">
        <is>
          <t>10.19</t>
        </is>
      </c>
      <c r="O143" s="22" t="n">
        <v>20</v>
      </c>
      <c r="P143" s="21" t="inlineStr"/>
      <c r="Q143" s="21" t="n">
        <v>0</v>
      </c>
      <c r="R143" s="21" t="n">
        <v>80</v>
      </c>
      <c r="S143" s="65" t="n">
        <v>0.8</v>
      </c>
      <c r="T143" s="65" t="n">
        <v>0.2</v>
      </c>
      <c r="U143" s="65" t="n">
        <v>0</v>
      </c>
    </row>
    <row r="144">
      <c r="A144" s="21" t="inlineStr">
        <is>
          <t xml:space="preserve">U062 </t>
        </is>
      </c>
      <c r="B144" s="21" t="inlineStr">
        <is>
          <t xml:space="preserve">I.U. DE INVESTIGACIÓN INFORMÁTICA (10.19) </t>
        </is>
      </c>
      <c r="C144" s="21" t="inlineStr">
        <is>
          <t xml:space="preserve">DOCTORADO EN INFORMÁTICA </t>
        </is>
      </c>
      <c r="D144" s="21" t="inlineStr">
        <is>
          <t>Guerrero Rodríguez, Byron Vicente</t>
        </is>
      </c>
      <c r="E144" s="21" t="inlineStr">
        <is>
          <t xml:space="preserve">Predicción de deslizamientos aplicando técnicas de aprendizaje automático </t>
        </is>
      </c>
      <c r="F144" s="21" t="inlineStr">
        <is>
          <t xml:space="preserve">09/06/2023 </t>
        </is>
      </c>
      <c r="G144" s="21" t="inlineStr">
        <is>
          <t xml:space="preserve">21486541X </t>
        </is>
      </c>
      <c r="H144" s="21" t="inlineStr">
        <is>
          <t xml:space="preserve">Codirector de tesis </t>
        </is>
      </c>
      <c r="I144" s="21" t="inlineStr">
        <is>
          <t xml:space="preserve">B148 </t>
        </is>
      </c>
      <c r="J144" s="21" t="inlineStr">
        <is>
          <t xml:space="preserve">TECNOLOGÍA INFORMÁTICA Y COMPUTACIÓN </t>
        </is>
      </c>
      <c r="K144" s="22" t="n">
        <v>0.5</v>
      </c>
      <c r="L144" s="21" t="inlineStr">
        <is>
          <t>B148</t>
        </is>
      </c>
      <c r="M144" s="22" t="n">
        <v>2022</v>
      </c>
      <c r="N144" s="21" t="inlineStr">
        <is>
          <t>10.19</t>
        </is>
      </c>
      <c r="O144" s="22" t="n">
        <v>20</v>
      </c>
      <c r="P144" s="21" t="inlineStr"/>
      <c r="Q144" s="21" t="n">
        <v>0</v>
      </c>
      <c r="R144" s="21" t="n">
        <v>80</v>
      </c>
      <c r="S144" s="65" t="n">
        <v>0.4</v>
      </c>
      <c r="T144" s="65" t="n">
        <v>0.1</v>
      </c>
      <c r="U144" s="65" t="n">
        <v>0</v>
      </c>
    </row>
    <row r="145">
      <c r="A145" s="21" t="inlineStr">
        <is>
          <t xml:space="preserve">U062 </t>
        </is>
      </c>
      <c r="B145" s="21" t="inlineStr">
        <is>
          <t xml:space="preserve">I.U. DE INVESTIGACIÓN INFORMÁTICA (10.19) </t>
        </is>
      </c>
      <c r="C145" s="21" t="inlineStr">
        <is>
          <t xml:space="preserve">DOCTORADO EN INFORMÁTICA </t>
        </is>
      </c>
      <c r="D145" s="21" t="inlineStr">
        <is>
          <t>Mejía Escobar, Christian</t>
        </is>
      </c>
      <c r="E145" s="21" t="inlineStr">
        <is>
          <t xml:space="preserve">Aplicación de técnicas de Deep Learning para el reconocimiento de páginas Web y emociones faciales: Un estudio comparativo y experimental </t>
        </is>
      </c>
      <c r="F145" s="21" t="inlineStr">
        <is>
          <t xml:space="preserve">03/07/2023 </t>
        </is>
      </c>
      <c r="G145" s="21" t="inlineStr">
        <is>
          <t xml:space="preserve">21489731A </t>
        </is>
      </c>
      <c r="H145" s="21" t="inlineStr">
        <is>
          <t xml:space="preserve">Codirector de tesis </t>
        </is>
      </c>
      <c r="I145" s="21" t="inlineStr">
        <is>
          <t xml:space="preserve">B161 </t>
        </is>
      </c>
      <c r="J145" s="21" t="inlineStr">
        <is>
          <t xml:space="preserve">CIENCIA DE LA COMPUTACION E INTELIGENCIA ARTIFICIAL </t>
        </is>
      </c>
      <c r="K145" s="22" t="n">
        <v>0.5</v>
      </c>
      <c r="L145" s="21" t="inlineStr">
        <is>
          <t>B161</t>
        </is>
      </c>
      <c r="M145" s="22" t="n">
        <v>2022</v>
      </c>
      <c r="N145" s="21" t="inlineStr">
        <is>
          <t>10.19</t>
        </is>
      </c>
      <c r="O145" s="22" t="n">
        <v>50</v>
      </c>
      <c r="P145" s="21" t="inlineStr"/>
      <c r="Q145" s="21" t="n">
        <v>0</v>
      </c>
      <c r="R145" s="21" t="n">
        <v>50</v>
      </c>
      <c r="S145" s="65" t="n">
        <v>0.25</v>
      </c>
      <c r="T145" s="65" t="n">
        <v>0.25</v>
      </c>
      <c r="U145" s="65" t="n">
        <v>0</v>
      </c>
    </row>
    <row r="146">
      <c r="A146" s="21" t="inlineStr">
        <is>
          <t xml:space="preserve">U062 </t>
        </is>
      </c>
      <c r="B146" s="21" t="inlineStr">
        <is>
          <t xml:space="preserve">I.U. DE INVESTIGACIÓN INFORMÁTICA (10.19) </t>
        </is>
      </c>
      <c r="C146" s="21" t="inlineStr">
        <is>
          <t xml:space="preserve">DOCTORADO EN INFORMÁTICA </t>
        </is>
      </c>
      <c r="D146" s="21" t="inlineStr">
        <is>
          <t>Mejía Escobar, Christian</t>
        </is>
      </c>
      <c r="E146" s="21" t="inlineStr">
        <is>
          <t xml:space="preserve">Aplicación de técnicas de Deep Learning para el reconocimiento de páginas Web y emociones faciales: Un estudio comparativo y experimental </t>
        </is>
      </c>
      <c r="F146" s="21" t="inlineStr">
        <is>
          <t xml:space="preserve">03/07/2023 </t>
        </is>
      </c>
      <c r="G146" s="21" t="inlineStr">
        <is>
          <t xml:space="preserve">53227471C </t>
        </is>
      </c>
      <c r="H146" s="21" t="inlineStr">
        <is>
          <t xml:space="preserve">Codirector de tesis </t>
        </is>
      </c>
      <c r="I146" s="21" t="inlineStr">
        <is>
          <t xml:space="preserve">B161 </t>
        </is>
      </c>
      <c r="J146" s="21" t="inlineStr">
        <is>
          <t xml:space="preserve">CIENCIA DE LA COMPUTACION E INTELIGENCIA ARTIFICIAL </t>
        </is>
      </c>
      <c r="K146" s="22" t="n">
        <v>0.5</v>
      </c>
      <c r="L146" s="21" t="inlineStr">
        <is>
          <t>B161</t>
        </is>
      </c>
      <c r="M146" s="22" t="n">
        <v>2022</v>
      </c>
      <c r="N146" s="21" t="inlineStr">
        <is>
          <t>10.19</t>
        </is>
      </c>
      <c r="O146" s="22" t="n">
        <v>20</v>
      </c>
      <c r="P146" s="21" t="inlineStr"/>
      <c r="Q146" s="21" t="n">
        <v>0</v>
      </c>
      <c r="R146" s="21" t="n">
        <v>80</v>
      </c>
      <c r="S146" s="65" t="n">
        <v>0.4</v>
      </c>
      <c r="T146" s="65" t="n">
        <v>0.1</v>
      </c>
      <c r="U146" s="65" t="n">
        <v>0</v>
      </c>
    </row>
    <row r="147">
      <c r="A147" s="21" t="inlineStr">
        <is>
          <t xml:space="preserve">U075 </t>
        </is>
      </c>
      <c r="B147" s="21" t="inlineStr">
        <is>
          <t xml:space="preserve">I.U.INVESTIGACIÓN DE ESTUDIOS SOCIALES DE AMÉRICA LATINA (10.25) </t>
        </is>
      </c>
      <c r="C147" s="21" t="inlineStr">
        <is>
          <t xml:space="preserve">DOCTORADO EN HUMANIDADES Y ESTUDIOS SOCIALES DE AMÉRICA LATINA </t>
        </is>
      </c>
      <c r="D147" s="21" t="inlineStr">
        <is>
          <t>García Chamizo, Juan Manuel</t>
        </is>
      </c>
      <c r="E147" s="21" t="inlineStr">
        <is>
          <t xml:space="preserve">Cine y turismo en la provincia de Alicante: las oportunidades perdidas para la creación de productos de turismo cinematográfico. </t>
        </is>
      </c>
      <c r="F147" s="21" t="inlineStr">
        <is>
          <t xml:space="preserve">24/11/2022 </t>
        </is>
      </c>
      <c r="G147" s="21" t="inlineStr">
        <is>
          <t xml:space="preserve">22135677V </t>
        </is>
      </c>
      <c r="H147" s="21" t="inlineStr">
        <is>
          <t xml:space="preserve">Codirector de tesis </t>
        </is>
      </c>
      <c r="I147" s="21" t="inlineStr">
        <is>
          <t xml:space="preserve">B148 </t>
        </is>
      </c>
      <c r="J147" s="21" t="inlineStr">
        <is>
          <t xml:space="preserve">TECNOLOGÍA INFORMÁTICA Y COMPUTACIÓN </t>
        </is>
      </c>
      <c r="K147" s="22" t="n">
        <v>0.5</v>
      </c>
      <c r="L147" s="21" t="inlineStr">
        <is>
          <t>B148</t>
        </is>
      </c>
      <c r="M147" s="22" t="n">
        <v>2022</v>
      </c>
      <c r="N147" s="21" t="inlineStr">
        <is>
          <t>10.19</t>
        </is>
      </c>
      <c r="O147" s="22" t="n">
        <v>20</v>
      </c>
      <c r="P147" s="21" t="inlineStr"/>
      <c r="Q147" s="21" t="n">
        <v>0</v>
      </c>
      <c r="R147" s="21" t="n">
        <v>80</v>
      </c>
      <c r="S147" s="65" t="n">
        <v>0.4</v>
      </c>
      <c r="T147" s="65" t="n">
        <v>0.1</v>
      </c>
      <c r="U147" s="65" t="n">
        <v>0</v>
      </c>
    </row>
    <row r="148">
      <c r="A148" s="21" t="inlineStr">
        <is>
          <t xml:space="preserve">U044 </t>
        </is>
      </c>
      <c r="B148" s="21" t="inlineStr">
        <is>
          <t>ADM. FACULTAD DE CIENCIAS DE LA SALUD</t>
        </is>
      </c>
      <c r="C148" s="21" t="inlineStr">
        <is>
          <t>DOCTORADO EN CIENCIAS DE LA SALUD</t>
        </is>
      </c>
      <c r="D148" s="21" t="inlineStr">
        <is>
          <t>González Casanueva, Julia</t>
        </is>
      </c>
      <c r="E148" s="21" t="inlineStr">
        <is>
          <t>EFECTIVIDAD A LO LARGO DEL TIEMPO DE LA PRÓTESIS INVERSA DE HOMBRO POR FRACTURA AGUDA</t>
        </is>
      </c>
      <c r="F148" s="21" t="inlineStr">
        <is>
          <t>25/09/2023</t>
        </is>
      </c>
      <c r="G148" s="21" t="inlineStr">
        <is>
          <t xml:space="preserve">21510925Z </t>
        </is>
      </c>
      <c r="H148" s="21" t="inlineStr">
        <is>
          <t>Codirector de tesis</t>
        </is>
      </c>
      <c r="I148" s="21" t="inlineStr">
        <is>
          <t>B134</t>
        </is>
      </c>
      <c r="J148" s="21" t="inlineStr">
        <is>
          <t>ENFERMERIA</t>
        </is>
      </c>
      <c r="K148" s="22" t="n">
        <v>0.5</v>
      </c>
      <c r="L148" s="21" t="inlineStr">
        <is>
          <t>B134</t>
        </is>
      </c>
      <c r="M148" s="22" t="n">
        <v>2022</v>
      </c>
      <c r="N148" s="21" t="inlineStr">
        <is>
          <t>10.19</t>
        </is>
      </c>
      <c r="O148" s="22" t="n">
        <v>20</v>
      </c>
      <c r="P148" s="21" t="inlineStr"/>
      <c r="Q148" s="21" t="n">
        <v>0</v>
      </c>
      <c r="R148" s="21" t="n">
        <v>80</v>
      </c>
      <c r="S148" s="65" t="n">
        <v>0.4</v>
      </c>
      <c r="T148" s="65" t="n">
        <v>0.1</v>
      </c>
      <c r="U148" s="65" t="n">
        <v>0</v>
      </c>
    </row>
    <row r="149">
      <c r="A149" s="21" t="inlineStr">
        <is>
          <t>B177</t>
        </is>
      </c>
      <c r="B149" s="21" t="inlineStr">
        <is>
          <t>PSICOLOGÍA EVOLUTIVA Y DIDÁCTICA</t>
        </is>
      </c>
      <c r="C149" s="21" t="inlineStr">
        <is>
          <t>DOCTORADO EN INVESTIGACIÓN EDUCATIVA</t>
        </is>
      </c>
      <c r="D149" s="21" t="inlineStr">
        <is>
          <t>Martínez Roig, Rosabel</t>
        </is>
      </c>
      <c r="E149" s="21" t="inlineStr">
        <is>
          <t>La integración de la robótica social y la Música como elemento transversal en los procesos de enseñanza-aprendizaje en el contexto de la Inteligencia Artificial</t>
        </is>
      </c>
      <c r="F149" s="21" t="inlineStr">
        <is>
          <t>28/06/2024</t>
        </is>
      </c>
      <c r="G149" s="21" t="inlineStr">
        <is>
          <t>21489731A</t>
        </is>
      </c>
      <c r="H149" s="21" t="inlineStr">
        <is>
          <t>Codirector de tesis</t>
        </is>
      </c>
      <c r="I149" s="21" t="inlineStr">
        <is>
          <t>B161</t>
        </is>
      </c>
      <c r="J149" s="21" t="inlineStr">
        <is>
          <t>CIENCIA DE LA COMPUTACION E INTELIGENCIA ARTIFICIAL</t>
        </is>
      </c>
      <c r="K149" s="22" t="n">
        <v>0.5</v>
      </c>
      <c r="L149" s="21" t="inlineStr">
        <is>
          <t>B161</t>
        </is>
      </c>
      <c r="M149" s="22" t="n">
        <v>2023</v>
      </c>
      <c r="N149" s="21" t="inlineStr">
        <is>
          <t>10.19</t>
        </is>
      </c>
      <c r="O149" s="22" t="inlineStr">
        <is>
          <t>50</t>
        </is>
      </c>
      <c r="P149" s="21" t="inlineStr"/>
      <c r="Q149" s="21" t="inlineStr"/>
      <c r="R149" s="21" t="n">
        <v>50</v>
      </c>
      <c r="S149" s="65" t="n">
        <v>0.25</v>
      </c>
      <c r="T149" s="66" t="n">
        <v>0.25</v>
      </c>
      <c r="U149" s="65" t="n">
        <v>0</v>
      </c>
    </row>
    <row r="150">
      <c r="A150" s="21" t="inlineStr">
        <is>
          <t>U044</t>
        </is>
      </c>
      <c r="B150" s="21" t="inlineStr">
        <is>
          <t>ADM. FACULTAD DE CIENCIAS DE LA SALUD</t>
        </is>
      </c>
      <c r="C150" s="21" t="inlineStr">
        <is>
          <t>DOCTORADO EN CIENCIAS DE LA SALUD</t>
        </is>
      </c>
      <c r="D150" s="21" t="inlineStr">
        <is>
          <t>Ferragut Bria, Juan Carlos</t>
        </is>
      </c>
      <c r="E150" s="21" t="inlineStr">
        <is>
          <t>Seguridad y efectividad del alta rápida tras la artroplastia total de cadera</t>
        </is>
      </c>
      <c r="F150" s="21" t="inlineStr">
        <is>
          <t>22/03/2024</t>
        </is>
      </c>
      <c r="G150" s="21" t="inlineStr">
        <is>
          <t>21510925Z</t>
        </is>
      </c>
      <c r="H150" s="21" t="inlineStr">
        <is>
          <t>Codirector de tesis</t>
        </is>
      </c>
      <c r="I150" s="21" t="inlineStr">
        <is>
          <t>B134</t>
        </is>
      </c>
      <c r="J150" s="21" t="inlineStr">
        <is>
          <t>ENFERMERIA</t>
        </is>
      </c>
      <c r="K150" s="22" t="n">
        <v>0.5</v>
      </c>
      <c r="L150" s="21" t="inlineStr">
        <is>
          <t>B134</t>
        </is>
      </c>
      <c r="M150" s="22" t="n">
        <v>2023</v>
      </c>
      <c r="N150" s="21" t="inlineStr">
        <is>
          <t>10.19</t>
        </is>
      </c>
      <c r="O150" s="22" t="inlineStr">
        <is>
          <t>20</t>
        </is>
      </c>
      <c r="P150" s="21" t="inlineStr"/>
      <c r="Q150" s="21" t="inlineStr"/>
      <c r="R150" s="21" t="n">
        <v>80</v>
      </c>
      <c r="S150" s="65" t="n">
        <v>0.4</v>
      </c>
      <c r="T150" s="66" t="n">
        <v>0.1</v>
      </c>
      <c r="U150" s="65" t="n">
        <v>0</v>
      </c>
    </row>
    <row r="151" customFormat="1" s="39">
      <c r="A151" s="37" t="inlineStr">
        <is>
          <t>U044</t>
        </is>
      </c>
      <c r="B151" s="37" t="inlineStr">
        <is>
          <t>ADM. FACULTAD DE CIENCIAS DE LA SALUD</t>
        </is>
      </c>
      <c r="C151" s="37" t="inlineStr">
        <is>
          <t>DOCTORADO EN CIENCIAS DE LA SALUD</t>
        </is>
      </c>
      <c r="D151" s="37" t="inlineStr">
        <is>
          <t>Jiménez García, Segundo</t>
        </is>
      </c>
      <c r="E151" s="37" t="inlineStr">
        <is>
          <t>Seguridad y salud laboral de las enfermeras en la crisis sanitaria por pandemia COVID-19 en la Comunidad Valenciana</t>
        </is>
      </c>
      <c r="F151" s="37" t="inlineStr">
        <is>
          <t>09/09/2024</t>
        </is>
      </c>
      <c r="G151" s="37" t="inlineStr">
        <is>
          <t>21510925Z</t>
        </is>
      </c>
      <c r="H151" s="37" t="inlineStr">
        <is>
          <t>Codirector de tesis</t>
        </is>
      </c>
      <c r="I151" s="37" t="inlineStr">
        <is>
          <t>B134</t>
        </is>
      </c>
      <c r="J151" s="37" t="inlineStr">
        <is>
          <t>ENFERMERIA</t>
        </is>
      </c>
      <c r="K151" s="38" t="n">
        <v>0.5</v>
      </c>
      <c r="L151" s="37" t="inlineStr">
        <is>
          <t>B134</t>
        </is>
      </c>
      <c r="M151" s="38" t="n">
        <v>2023</v>
      </c>
      <c r="N151" s="37" t="inlineStr">
        <is>
          <t>10.19</t>
        </is>
      </c>
      <c r="O151" s="38" t="inlineStr">
        <is>
          <t>20</t>
        </is>
      </c>
      <c r="P151" s="37" t="inlineStr"/>
      <c r="Q151" s="37" t="inlineStr"/>
      <c r="R151" s="37" t="n">
        <v>80</v>
      </c>
      <c r="S151" s="67" t="n">
        <v>0.4</v>
      </c>
      <c r="T151" s="66" t="n">
        <v>0.1</v>
      </c>
      <c r="U151" s="67" t="n">
        <v>0</v>
      </c>
    </row>
    <row r="152">
      <c r="A152" s="21" t="inlineStr">
        <is>
          <t>U058</t>
        </is>
      </c>
      <c r="B152" s="21" t="inlineStr">
        <is>
          <t>I.U. DE INVESTIGACIONES TURÍSTICAS (10.17)</t>
        </is>
      </c>
      <c r="C152" s="21" t="inlineStr">
        <is>
          <t>DOCTORADO EN TURISMO</t>
        </is>
      </c>
      <c r="D152" s="21" t="inlineStr">
        <is>
          <t>Glass , Elke Marianne</t>
        </is>
      </c>
      <c r="E152" s="21" t="inlineStr">
        <is>
          <t>ESTRUCTURA Y ORGANIZACIÓN DEL TURISMO DE SALUD EN LA PROVINCIA DE ALICANTE</t>
        </is>
      </c>
      <c r="F152" s="21" t="inlineStr">
        <is>
          <t>09/02/2024</t>
        </is>
      </c>
      <c r="G152" s="21" t="inlineStr">
        <is>
          <t>74176634R</t>
        </is>
      </c>
      <c r="H152" s="21" t="inlineStr">
        <is>
          <t>Director de tesis</t>
        </is>
      </c>
      <c r="I152" s="21" t="inlineStr">
        <is>
          <t>B173</t>
        </is>
      </c>
      <c r="J152" s="21" t="inlineStr">
        <is>
          <t>ANÁLISIS GEOGRÁFICO REGIONAL Y GEOGRAFÍA FÍSICA</t>
        </is>
      </c>
      <c r="K152" s="22" t="n">
        <v>1</v>
      </c>
      <c r="L152" s="21" t="inlineStr">
        <is>
          <t>B173</t>
        </is>
      </c>
      <c r="M152" s="22" t="n">
        <v>2023</v>
      </c>
      <c r="N152" s="21" t="inlineStr">
        <is>
          <t>10.19</t>
        </is>
      </c>
      <c r="O152" s="22" t="inlineStr">
        <is>
          <t>20</t>
        </is>
      </c>
      <c r="P152" s="21" t="inlineStr"/>
      <c r="Q152" s="21" t="inlineStr"/>
      <c r="R152" s="21" t="n">
        <v>80</v>
      </c>
      <c r="S152" s="65" t="n">
        <v>0.8</v>
      </c>
      <c r="T152" s="66" t="n">
        <v>0.2</v>
      </c>
      <c r="U152" s="65" t="n">
        <v>0</v>
      </c>
    </row>
    <row r="153">
      <c r="A153" s="21" t="inlineStr">
        <is>
          <t>U062</t>
        </is>
      </c>
      <c r="B153" s="21" t="inlineStr">
        <is>
          <t>I.U. DE INVESTIGACIÓN INFORMÁTICA (10.19)</t>
        </is>
      </c>
      <c r="C153" s="21" t="inlineStr">
        <is>
          <t>DOCTORADO EN INFORMÁTICA</t>
        </is>
      </c>
      <c r="D153" s="21" t="inlineStr">
        <is>
          <t>Consuegra Ayala, Juan Pablo</t>
        </is>
      </c>
      <c r="E153" s="21" t="inlineStr">
        <is>
          <t>Mitigación de Sesgos para la Automatización Justa de Tareas de Clasificación</t>
        </is>
      </c>
      <c r="F153" s="21" t="inlineStr">
        <is>
          <t>19/01/2024</t>
        </is>
      </c>
      <c r="G153" s="21" t="inlineStr">
        <is>
          <t>02380426H</t>
        </is>
      </c>
      <c r="H153" s="21" t="inlineStr">
        <is>
          <t>Codirector de tesis</t>
        </is>
      </c>
      <c r="I153" s="21" t="inlineStr">
        <is>
          <t>B158</t>
        </is>
      </c>
      <c r="J153" s="21" t="inlineStr">
        <is>
          <t>LENGUAJES Y SISTEMAS INFORMÁTICOS</t>
        </is>
      </c>
      <c r="K153" s="22" t="n">
        <v>0.3333333333333333</v>
      </c>
      <c r="L153" s="21" t="inlineStr">
        <is>
          <t>B158</t>
        </is>
      </c>
      <c r="M153" s="22" t="n">
        <v>2023</v>
      </c>
      <c r="N153" s="21" t="inlineStr">
        <is>
          <t>10.19</t>
        </is>
      </c>
      <c r="O153" s="22" t="inlineStr">
        <is>
          <t>20</t>
        </is>
      </c>
      <c r="P153" s="21" t="inlineStr"/>
      <c r="Q153" s="21" t="inlineStr"/>
      <c r="R153" s="21" t="n">
        <v>80</v>
      </c>
      <c r="S153" s="65" t="n">
        <v>0.2666666666666667</v>
      </c>
      <c r="T153" s="66" t="n">
        <v>0.06666666666666667</v>
      </c>
      <c r="U153" s="65" t="n">
        <v>0</v>
      </c>
    </row>
    <row r="154">
      <c r="A154" s="21" t="inlineStr">
        <is>
          <t>U062</t>
        </is>
      </c>
      <c r="B154" s="21" t="inlineStr">
        <is>
          <t>I.U. DE INVESTIGACIÓN INFORMÁTICA (10.19)</t>
        </is>
      </c>
      <c r="C154" s="21" t="inlineStr">
        <is>
          <t>DOCTORADO EN INFORMÁTICA</t>
        </is>
      </c>
      <c r="D154" s="21" t="inlineStr">
        <is>
          <t>Consuegra Ayala, Juan Pablo</t>
        </is>
      </c>
      <c r="E154" s="21" t="inlineStr">
        <is>
          <t>Mitigación de Sesgos para la Automatización Justa de Tareas de Clasificación</t>
        </is>
      </c>
      <c r="F154" s="21" t="inlineStr">
        <is>
          <t>19/01/2024</t>
        </is>
      </c>
      <c r="G154" s="21" t="inlineStr">
        <is>
          <t>20413324L</t>
        </is>
      </c>
      <c r="H154" s="21" t="inlineStr">
        <is>
          <t>Codirector de tesis</t>
        </is>
      </c>
      <c r="I154" s="21" t="inlineStr">
        <is>
          <t>B158</t>
        </is>
      </c>
      <c r="J154" s="21" t="inlineStr">
        <is>
          <t>LENGUAJES Y SISTEMAS INFORMÁTICOS</t>
        </is>
      </c>
      <c r="K154" s="22" t="n">
        <v>0.3333333333333333</v>
      </c>
      <c r="L154" s="21" t="inlineStr">
        <is>
          <t>B158</t>
        </is>
      </c>
      <c r="M154" s="22" t="n">
        <v>2023</v>
      </c>
      <c r="N154" s="21" t="inlineStr">
        <is>
          <t>10.19</t>
        </is>
      </c>
      <c r="O154" s="22" t="inlineStr">
        <is>
          <t>50</t>
        </is>
      </c>
      <c r="P154" s="21" t="inlineStr"/>
      <c r="Q154" s="21" t="inlineStr"/>
      <c r="R154" s="21" t="n">
        <v>50</v>
      </c>
      <c r="S154" s="65" t="n">
        <v>0.1666666666666666</v>
      </c>
      <c r="T154" s="66" t="n">
        <v>0.1666666666666666</v>
      </c>
      <c r="U154" s="65" t="n">
        <v>0</v>
      </c>
    </row>
    <row r="155">
      <c r="A155" s="21" t="inlineStr">
        <is>
          <t>U062</t>
        </is>
      </c>
      <c r="B155" s="21" t="inlineStr">
        <is>
          <t>I.U. DE INVESTIGACIÓN INFORMÁTICA (10.19)</t>
        </is>
      </c>
      <c r="C155" s="21" t="inlineStr">
        <is>
          <t>DOCTORADO EN INFORMÁTICA</t>
        </is>
      </c>
      <c r="D155" s="21" t="inlineStr">
        <is>
          <t>Fernández Martínez, Javier</t>
        </is>
      </c>
      <c r="E155" s="21" t="inlineStr">
        <is>
          <t>Análisis de sentimientos supervisado utilizando skipgrams y su aplicación a medios sociales</t>
        </is>
      </c>
      <c r="F155" s="21" t="inlineStr">
        <is>
          <t>28/02/2024</t>
        </is>
      </c>
      <c r="G155" s="21" t="inlineStr">
        <is>
          <t>02380426H</t>
        </is>
      </c>
      <c r="H155" s="21" t="inlineStr">
        <is>
          <t>Codirector de tesis</t>
        </is>
      </c>
      <c r="I155" s="21" t="inlineStr">
        <is>
          <t>B158</t>
        </is>
      </c>
      <c r="J155" s="21" t="inlineStr">
        <is>
          <t>LENGUAJES Y SISTEMAS INFORMÁTICOS</t>
        </is>
      </c>
      <c r="K155" s="22" t="n">
        <v>0.5</v>
      </c>
      <c r="L155" s="21" t="inlineStr">
        <is>
          <t>B158</t>
        </is>
      </c>
      <c r="M155" s="22" t="n">
        <v>2023</v>
      </c>
      <c r="N155" s="21" t="inlineStr">
        <is>
          <t>10.19</t>
        </is>
      </c>
      <c r="O155" s="22" t="inlineStr">
        <is>
          <t>20</t>
        </is>
      </c>
      <c r="P155" s="21" t="inlineStr"/>
      <c r="Q155" s="21" t="inlineStr"/>
      <c r="R155" s="21" t="n">
        <v>80</v>
      </c>
      <c r="S155" s="65" t="n">
        <v>0.4</v>
      </c>
      <c r="T155" s="66" t="n">
        <v>0.1</v>
      </c>
      <c r="U155" s="65" t="n">
        <v>0</v>
      </c>
    </row>
    <row r="156">
      <c r="A156" s="21" t="inlineStr">
        <is>
          <t>U062</t>
        </is>
      </c>
      <c r="B156" s="21" t="inlineStr">
        <is>
          <t>I.U. DE INVESTIGACIÓN INFORMÁTICA (10.19)</t>
        </is>
      </c>
      <c r="C156" s="21" t="inlineStr">
        <is>
          <t>DOCTORADO EN INFORMÁTICA</t>
        </is>
      </c>
      <c r="D156" s="21" t="inlineStr">
        <is>
          <t>Fernández Martínez, Javier</t>
        </is>
      </c>
      <c r="E156" s="21" t="inlineStr">
        <is>
          <t>Análisis de sentimientos supervisado utilizando skipgrams y su aplicación a medios sociales</t>
        </is>
      </c>
      <c r="F156" s="21" t="inlineStr">
        <is>
          <t>28/02/2024</t>
        </is>
      </c>
      <c r="G156" s="21" t="inlineStr">
        <is>
          <t>21473652R</t>
        </is>
      </c>
      <c r="H156" s="21" t="inlineStr">
        <is>
          <t>Codirector de tesis</t>
        </is>
      </c>
      <c r="I156" s="21" t="inlineStr">
        <is>
          <t>B158</t>
        </is>
      </c>
      <c r="J156" s="21" t="inlineStr">
        <is>
          <t>LENGUAJES Y SISTEMAS INFORMÁTICOS</t>
        </is>
      </c>
      <c r="K156" s="22" t="n">
        <v>0.5</v>
      </c>
      <c r="L156" s="21" t="inlineStr">
        <is>
          <t>B158</t>
        </is>
      </c>
      <c r="M156" s="22" t="n">
        <v>2023</v>
      </c>
      <c r="N156" s="21" t="inlineStr">
        <is>
          <t>10.19</t>
        </is>
      </c>
      <c r="O156" s="22" t="inlineStr">
        <is>
          <t>50</t>
        </is>
      </c>
      <c r="P156" s="21" t="inlineStr"/>
      <c r="Q156" s="21" t="inlineStr"/>
      <c r="R156" s="21" t="n">
        <v>50</v>
      </c>
      <c r="S156" s="65" t="n">
        <v>0.25</v>
      </c>
      <c r="T156" s="66" t="n">
        <v>0.25</v>
      </c>
      <c r="U156" s="65" t="n">
        <v>0</v>
      </c>
    </row>
    <row r="157">
      <c r="A157" s="21" t="inlineStr">
        <is>
          <t>U062</t>
        </is>
      </c>
      <c r="B157" s="21" t="inlineStr">
        <is>
          <t>I.U. DE INVESTIGACIÓN INFORMÁTICA (10.19)</t>
        </is>
      </c>
      <c r="C157" s="21" t="inlineStr">
        <is>
          <t>DOCTORADO EN INFORMÁTICA</t>
        </is>
      </c>
      <c r="D157" s="21" t="inlineStr">
        <is>
          <t>Elouali , Aya</t>
        </is>
      </c>
      <c r="E157" s="21" t="inlineStr">
        <is>
          <t>Distributed Architectures for Enhancing Artificial Intelligence of Things Systems A Cloud Collaborative Model</t>
        </is>
      </c>
      <c r="F157" s="21" t="inlineStr">
        <is>
          <t>23/11/2023</t>
        </is>
      </c>
      <c r="G157" s="21" t="inlineStr">
        <is>
          <t>33489374V</t>
        </is>
      </c>
      <c r="H157" s="21" t="inlineStr">
        <is>
          <t>Codirector de tesis</t>
        </is>
      </c>
      <c r="I157" s="21" t="inlineStr">
        <is>
          <t>B148</t>
        </is>
      </c>
      <c r="J157" s="21" t="inlineStr">
        <is>
          <t>TECNOLOGÍA INFORMÁTICA Y COMPUTACIÓN</t>
        </is>
      </c>
      <c r="K157" s="22" t="n">
        <v>0.5</v>
      </c>
      <c r="L157" s="21" t="inlineStr">
        <is>
          <t>B148</t>
        </is>
      </c>
      <c r="M157" s="22" t="n">
        <v>2023</v>
      </c>
      <c r="N157" s="21" t="inlineStr">
        <is>
          <t>10.19</t>
        </is>
      </c>
      <c r="O157" s="22" t="inlineStr">
        <is>
          <t>20</t>
        </is>
      </c>
      <c r="P157" s="21" t="inlineStr"/>
      <c r="Q157" s="21" t="inlineStr"/>
      <c r="R157" s="21" t="n">
        <v>80</v>
      </c>
      <c r="S157" s="65" t="n">
        <v>0.4</v>
      </c>
      <c r="T157" s="66" t="n">
        <v>0.1</v>
      </c>
      <c r="U157" s="65" t="n">
        <v>0</v>
      </c>
    </row>
    <row r="158">
      <c r="A158" s="21" t="inlineStr">
        <is>
          <t>U062</t>
        </is>
      </c>
      <c r="B158" s="21" t="inlineStr">
        <is>
          <t>I.U. DE INVESTIGACIÓN INFORMÁTICA (10.19)</t>
        </is>
      </c>
      <c r="C158" s="21" t="inlineStr">
        <is>
          <t>DOCTORADO EN INFORMÁTICA</t>
        </is>
      </c>
      <c r="D158" s="21" t="inlineStr">
        <is>
          <t>Sánchez Ribes, Victor</t>
        </is>
      </c>
      <c r="E158" s="21" t="inlineStr">
        <is>
          <t>Arquitecturas para la computación de altas prestaciones en la nube. Aplicación a procesos de geometría computacional</t>
        </is>
      </c>
      <c r="F158" s="21" t="inlineStr">
        <is>
          <t>01/03/2024</t>
        </is>
      </c>
      <c r="G158" s="21" t="inlineStr">
        <is>
          <t>33489374V</t>
        </is>
      </c>
      <c r="H158" s="21" t="inlineStr">
        <is>
          <t>Codirector de tesis</t>
        </is>
      </c>
      <c r="I158" s="21" t="inlineStr">
        <is>
          <t>B148</t>
        </is>
      </c>
      <c r="J158" s="21" t="inlineStr">
        <is>
          <t>TECNOLOGÍA INFORMÁTICA Y COMPUTACIÓN</t>
        </is>
      </c>
      <c r="K158" s="22" t="n">
        <v>0.5</v>
      </c>
      <c r="L158" s="21" t="inlineStr">
        <is>
          <t>B148</t>
        </is>
      </c>
      <c r="M158" s="22" t="n">
        <v>2023</v>
      </c>
      <c r="N158" s="21" t="inlineStr">
        <is>
          <t>10.19</t>
        </is>
      </c>
      <c r="O158" s="22" t="inlineStr">
        <is>
          <t>20</t>
        </is>
      </c>
      <c r="P158" s="21" t="inlineStr"/>
      <c r="Q158" s="21" t="inlineStr"/>
      <c r="R158" s="21" t="n">
        <v>80</v>
      </c>
      <c r="S158" s="65" t="n">
        <v>0.4</v>
      </c>
      <c r="T158" s="66" t="n">
        <v>0.1</v>
      </c>
      <c r="U158" s="65" t="n">
        <v>0</v>
      </c>
    </row>
    <row r="159">
      <c r="A159" s="21" t="inlineStr">
        <is>
          <t>U062</t>
        </is>
      </c>
      <c r="B159" s="21" t="inlineStr">
        <is>
          <t>I.U. DE INVESTIGACIÓN INFORMÁTICA (10.19)</t>
        </is>
      </c>
      <c r="C159" s="21" t="inlineStr">
        <is>
          <t>DOCTORADO EN INFORMÁTICA</t>
        </is>
      </c>
      <c r="D159" s="21" t="inlineStr">
        <is>
          <t>Sánchez Ribes, Victor</t>
        </is>
      </c>
      <c r="E159" s="21" t="inlineStr">
        <is>
          <t>Arquitecturas para la computación de altas prestaciones en la nube. Aplicación a procesos de geometría computacional</t>
        </is>
      </c>
      <c r="F159" s="21" t="inlineStr">
        <is>
          <t>01/03/2024</t>
        </is>
      </c>
      <c r="G159" s="21" t="inlineStr">
        <is>
          <t>29011916S</t>
        </is>
      </c>
      <c r="H159" s="21" t="inlineStr">
        <is>
          <t>Codirector de tesis</t>
        </is>
      </c>
      <c r="I159" s="21" t="inlineStr">
        <is>
          <t>B148</t>
        </is>
      </c>
      <c r="J159" s="21" t="inlineStr">
        <is>
          <t>TECNOLOGÍA INFORMÁTICA Y COMPUTACIÓN</t>
        </is>
      </c>
      <c r="K159" s="22" t="n">
        <v>0.5</v>
      </c>
      <c r="L159" s="21" t="inlineStr">
        <is>
          <t>B148</t>
        </is>
      </c>
      <c r="M159" s="22" t="n">
        <v>2023</v>
      </c>
      <c r="N159" s="21" t="inlineStr">
        <is>
          <t>10.19</t>
        </is>
      </c>
      <c r="O159" s="22" t="inlineStr">
        <is>
          <t>20</t>
        </is>
      </c>
      <c r="P159" s="21" t="inlineStr"/>
      <c r="Q159" s="21" t="inlineStr"/>
      <c r="R159" s="21" t="n">
        <v>80</v>
      </c>
      <c r="S159" s="65" t="n">
        <v>0.4</v>
      </c>
      <c r="T159" s="66" t="n">
        <v>0.1</v>
      </c>
      <c r="U159" s="65" t="n">
        <v>0</v>
      </c>
    </row>
    <row r="160">
      <c r="A160" s="21" t="inlineStr">
        <is>
          <t>U062</t>
        </is>
      </c>
      <c r="B160" s="21" t="inlineStr">
        <is>
          <t>I.U. DE INVESTIGACIÓN INFORMÁTICA (10.19)</t>
        </is>
      </c>
      <c r="C160" s="21" t="inlineStr">
        <is>
          <t>DOCTORADO EN INFORMÁTICA</t>
        </is>
      </c>
      <c r="D160" s="21" t="inlineStr">
        <is>
          <t>Torres Mendoza, Manuel</t>
        </is>
      </c>
      <c r="E160" s="21" t="inlineStr">
        <is>
          <t>AVANCES EN LA DETECCIÓN DE MALWARE MEDIANTE APRENDIZAJE PROFUNDO: UN ENFOQUE BASADO EN EL COMPORTAMIENTO DEL SOFTWARE</t>
        </is>
      </c>
      <c r="F160" s="21" t="inlineStr">
        <is>
          <t>11/07/2024</t>
        </is>
      </c>
      <c r="G160" s="21" t="inlineStr">
        <is>
          <t>53231432W</t>
        </is>
      </c>
      <c r="H160" s="21" t="inlineStr">
        <is>
          <t>Codirector de tesis</t>
        </is>
      </c>
      <c r="I160" s="21" t="inlineStr">
        <is>
          <t>B161</t>
        </is>
      </c>
      <c r="J160" s="21" t="inlineStr">
        <is>
          <t>CIENCIA DE LA COMPUTACION E INTELIGENCIA ARTIFICIAL</t>
        </is>
      </c>
      <c r="K160" s="22" t="n">
        <v>0.5</v>
      </c>
      <c r="L160" s="21" t="inlineStr">
        <is>
          <t>B161</t>
        </is>
      </c>
      <c r="M160" s="22" t="n">
        <v>2023</v>
      </c>
      <c r="N160" s="21" t="inlineStr">
        <is>
          <t>10.19</t>
        </is>
      </c>
      <c r="O160" s="22" t="inlineStr">
        <is>
          <t>20</t>
        </is>
      </c>
      <c r="P160" s="21" t="inlineStr"/>
      <c r="Q160" s="21" t="inlineStr"/>
      <c r="R160" s="21" t="n">
        <v>80</v>
      </c>
      <c r="S160" s="65" t="n">
        <v>0.4</v>
      </c>
      <c r="T160" s="66" t="n">
        <v>0.1</v>
      </c>
      <c r="U160" s="65" t="n">
        <v>0</v>
      </c>
    </row>
    <row r="161">
      <c r="A161" s="21" t="inlineStr">
        <is>
          <t>U062</t>
        </is>
      </c>
      <c r="B161" s="21" t="inlineStr">
        <is>
          <t>I.U. DE INVESTIGACIÓN INFORMÁTICA (10.19)</t>
        </is>
      </c>
      <c r="C161" s="21" t="inlineStr">
        <is>
          <t>DOCTORADO EN INFORMÁTICA</t>
        </is>
      </c>
      <c r="D161" s="21" t="inlineStr">
        <is>
          <t>Torres Mendoza, Manuel</t>
        </is>
      </c>
      <c r="E161" s="21" t="inlineStr">
        <is>
          <t>AVANCES EN LA DETECCIÓN DE MALWARE MEDIANTE APRENDIZAJE PROFUNDO: UN ENFOQUE BASADO EN EL COMPORTAMIENTO DEL SOFTWARE</t>
        </is>
      </c>
      <c r="F161" s="21" t="inlineStr">
        <is>
          <t>11/07/2024</t>
        </is>
      </c>
      <c r="G161" s="21" t="inlineStr">
        <is>
          <t>21489731A</t>
        </is>
      </c>
      <c r="H161" s="21" t="inlineStr">
        <is>
          <t>Codirector de tesis</t>
        </is>
      </c>
      <c r="I161" s="21" t="inlineStr">
        <is>
          <t>B161</t>
        </is>
      </c>
      <c r="J161" s="21" t="inlineStr">
        <is>
          <t>CIENCIA DE LA COMPUTACION E INTELIGENCIA ARTIFICIAL</t>
        </is>
      </c>
      <c r="K161" s="22" t="n">
        <v>0.5</v>
      </c>
      <c r="L161" s="21" t="inlineStr">
        <is>
          <t>B161</t>
        </is>
      </c>
      <c r="M161" s="22" t="n">
        <v>2023</v>
      </c>
      <c r="N161" s="21" t="inlineStr">
        <is>
          <t>10.19</t>
        </is>
      </c>
      <c r="O161" s="22" t="inlineStr">
        <is>
          <t>50</t>
        </is>
      </c>
      <c r="P161" s="21" t="inlineStr"/>
      <c r="Q161" s="21" t="inlineStr"/>
      <c r="R161" s="21" t="n">
        <v>50</v>
      </c>
      <c r="S161" s="65" t="n">
        <v>0.25</v>
      </c>
      <c r="T161" s="66" t="n">
        <v>0.25</v>
      </c>
      <c r="U161" s="65" t="n">
        <v>0</v>
      </c>
    </row>
    <row r="162">
      <c r="A162" s="21" t="inlineStr">
        <is>
          <t>U062</t>
        </is>
      </c>
      <c r="B162" s="21" t="inlineStr">
        <is>
          <t>I.U. DE INVESTIGACIÓN INFORMÁTICA (10.19)</t>
        </is>
      </c>
      <c r="C162" s="21" t="inlineStr">
        <is>
          <t>DOCTORADO EN INFORMÁTICA</t>
        </is>
      </c>
      <c r="D162" s="21" t="inlineStr">
        <is>
          <t>Calabuig Barbero, Eduardo</t>
        </is>
      </c>
      <c r="E162" s="21" t="inlineStr">
        <is>
          <t>Investigación industrial en técnicas avanzadas de modelado por computador para la adaptación del diseño de calzado al paradigma de la Industria 4.0</t>
        </is>
      </c>
      <c r="F162" s="21" t="inlineStr">
        <is>
          <t>11/06/2024</t>
        </is>
      </c>
      <c r="G162" s="21" t="inlineStr">
        <is>
          <t>33489374V</t>
        </is>
      </c>
      <c r="H162" s="21" t="inlineStr">
        <is>
          <t>Codirector de tesis</t>
        </is>
      </c>
      <c r="I162" s="21" t="inlineStr">
        <is>
          <t>B148</t>
        </is>
      </c>
      <c r="J162" s="21" t="inlineStr">
        <is>
          <t>TECNOLOGÍA INFORMÁTICA Y COMPUTACIÓN</t>
        </is>
      </c>
      <c r="K162" s="22" t="n">
        <v>0.5</v>
      </c>
      <c r="L162" s="21" t="inlineStr">
        <is>
          <t>B148</t>
        </is>
      </c>
      <c r="M162" s="22" t="n">
        <v>2023</v>
      </c>
      <c r="N162" s="21" t="inlineStr">
        <is>
          <t>10.19</t>
        </is>
      </c>
      <c r="O162" s="22" t="inlineStr">
        <is>
          <t>20</t>
        </is>
      </c>
      <c r="P162" s="21" t="inlineStr"/>
      <c r="Q162" s="21" t="inlineStr"/>
      <c r="R162" s="21" t="n">
        <v>80</v>
      </c>
      <c r="S162" s="65" t="n">
        <v>0.4</v>
      </c>
      <c r="T162" s="66" t="n">
        <v>0.1</v>
      </c>
      <c r="U162" s="65" t="n">
        <v>0</v>
      </c>
    </row>
    <row r="163">
      <c r="A163" s="21" t="inlineStr">
        <is>
          <t>U062</t>
        </is>
      </c>
      <c r="B163" s="21" t="inlineStr">
        <is>
          <t>I.U. DE INVESTIGACIÓN INFORMÁTICA (10.19)</t>
        </is>
      </c>
      <c r="C163" s="21" t="inlineStr">
        <is>
          <t>DOCTORADO EN INFORMÁTICA</t>
        </is>
      </c>
      <c r="D163" s="21" t="inlineStr">
        <is>
          <t>Calabuig Barbero, Eduardo</t>
        </is>
      </c>
      <c r="E163" s="21" t="inlineStr">
        <is>
          <t>Investigación industrial en técnicas avanzadas de modelado por computador para la adaptación del diseño de calzado al paradigma de la Industria 4.0</t>
        </is>
      </c>
      <c r="F163" s="21" t="inlineStr">
        <is>
          <t>11/06/2024</t>
        </is>
      </c>
      <c r="G163" s="21" t="inlineStr">
        <is>
          <t>29011916S</t>
        </is>
      </c>
      <c r="H163" s="21" t="inlineStr">
        <is>
          <t>Codirector de tesis</t>
        </is>
      </c>
      <c r="I163" s="21" t="inlineStr">
        <is>
          <t>B148</t>
        </is>
      </c>
      <c r="J163" s="21" t="inlineStr">
        <is>
          <t>TECNOLOGÍA INFORMÁTICA Y COMPUTACIÓN</t>
        </is>
      </c>
      <c r="K163" s="22" t="n">
        <v>0.5</v>
      </c>
      <c r="L163" s="21" t="inlineStr">
        <is>
          <t>B148</t>
        </is>
      </c>
      <c r="M163" s="22" t="n">
        <v>2023</v>
      </c>
      <c r="N163" s="21" t="inlineStr">
        <is>
          <t>10.19</t>
        </is>
      </c>
      <c r="O163" s="22" t="inlineStr">
        <is>
          <t>20</t>
        </is>
      </c>
      <c r="P163" s="21" t="inlineStr"/>
      <c r="Q163" s="21" t="inlineStr"/>
      <c r="R163" s="21" t="n">
        <v>80</v>
      </c>
      <c r="S163" s="65" t="n">
        <v>0.4</v>
      </c>
      <c r="T163" s="66" t="n">
        <v>0.1</v>
      </c>
      <c r="U163" s="65" t="n">
        <v>0</v>
      </c>
    </row>
    <row r="164">
      <c r="A164" s="21" t="inlineStr">
        <is>
          <t>U062</t>
        </is>
      </c>
      <c r="B164" s="21" t="inlineStr">
        <is>
          <t>I.U. DE INVESTIGACIÓN INFORMÁTICA (10.19)</t>
        </is>
      </c>
      <c r="C164" s="21" t="inlineStr">
        <is>
          <t>DOCTORADO EN INFORMÁTICA</t>
        </is>
      </c>
      <c r="D164" s="21" t="inlineStr">
        <is>
          <t>Barrera Arroyo, Jose Manuel</t>
        </is>
      </c>
      <c r="E164" s="21" t="inlineStr">
        <is>
          <t>Machine Learning: Requisitos y nuevas técnicas para la aplicación en entornos industriales e Internet of Things</t>
        </is>
      </c>
      <c r="F164" s="21" t="inlineStr">
        <is>
          <t>23/01/2024</t>
        </is>
      </c>
      <c r="G164" s="21" t="inlineStr">
        <is>
          <t>48558539L</t>
        </is>
      </c>
      <c r="H164" s="21" t="inlineStr">
        <is>
          <t>Codirector de tesis</t>
        </is>
      </c>
      <c r="I164" s="21" t="inlineStr">
        <is>
          <t>B158</t>
        </is>
      </c>
      <c r="J164" s="21" t="inlineStr">
        <is>
          <t>LENGUAJES Y SISTEMAS INFORMÁTICOS</t>
        </is>
      </c>
      <c r="K164" s="22" t="n">
        <v>0.5</v>
      </c>
      <c r="L164" s="21" t="inlineStr">
        <is>
          <t>B158</t>
        </is>
      </c>
      <c r="M164" s="22" t="n">
        <v>2023</v>
      </c>
      <c r="N164" s="21" t="inlineStr">
        <is>
          <t>10.19</t>
        </is>
      </c>
      <c r="O164" s="22" t="inlineStr">
        <is>
          <t>20</t>
        </is>
      </c>
      <c r="P164" s="21" t="inlineStr"/>
      <c r="Q164" s="21" t="inlineStr"/>
      <c r="R164" s="21" t="n">
        <v>80</v>
      </c>
      <c r="S164" s="65" t="n">
        <v>0.4</v>
      </c>
      <c r="T164" s="66" t="n">
        <v>0.1</v>
      </c>
      <c r="U164" s="65" t="n">
        <v>0</v>
      </c>
    </row>
    <row r="165">
      <c r="A165" s="21" t="inlineStr">
        <is>
          <t>U062</t>
        </is>
      </c>
      <c r="B165" s="21" t="inlineStr">
        <is>
          <t>I.U. DE INVESTIGACIÓN INFORMÁTICA (10.19)</t>
        </is>
      </c>
      <c r="C165" s="21" t="inlineStr">
        <is>
          <t>DOCTORADO EN INFORMÁTICA</t>
        </is>
      </c>
      <c r="D165" s="21" t="inlineStr">
        <is>
          <t>Barrera Arroyo, Jose Manuel</t>
        </is>
      </c>
      <c r="E165" s="21" t="inlineStr">
        <is>
          <t>Machine Learning: Requisitos y nuevas técnicas para la aplicación en entornos industriales e Internet of Things</t>
        </is>
      </c>
      <c r="F165" s="21" t="inlineStr">
        <is>
          <t>23/01/2024</t>
        </is>
      </c>
      <c r="G165" s="21" t="inlineStr">
        <is>
          <t>21494991L</t>
        </is>
      </c>
      <c r="H165" s="21" t="inlineStr">
        <is>
          <t>Codirector de tesis</t>
        </is>
      </c>
      <c r="I165" s="21" t="inlineStr">
        <is>
          <t>B158</t>
        </is>
      </c>
      <c r="J165" s="21" t="inlineStr">
        <is>
          <t>LENGUAJES Y SISTEMAS INFORMÁTICOS</t>
        </is>
      </c>
      <c r="K165" s="22" t="n">
        <v>0.5</v>
      </c>
      <c r="L165" s="21" t="inlineStr">
        <is>
          <t>B158</t>
        </is>
      </c>
      <c r="M165" s="22" t="n">
        <v>2023</v>
      </c>
      <c r="N165" s="21" t="inlineStr">
        <is>
          <t>10.19</t>
        </is>
      </c>
      <c r="O165" s="22" t="inlineStr">
        <is>
          <t>20</t>
        </is>
      </c>
      <c r="P165" s="21" t="inlineStr"/>
      <c r="Q165" s="21" t="inlineStr"/>
      <c r="R165" s="21" t="n">
        <v>80</v>
      </c>
      <c r="S165" s="65" t="n">
        <v>0.4</v>
      </c>
      <c r="T165" s="66" t="n">
        <v>0.1</v>
      </c>
      <c r="U165" s="65" t="n">
        <v>0</v>
      </c>
    </row>
    <row r="166">
      <c r="A166" s="21" t="inlineStr">
        <is>
          <t>U062</t>
        </is>
      </c>
      <c r="B166" s="21" t="inlineStr">
        <is>
          <t>I.U. DE INVESTIGACIÓN INFORMÁTICA (10.19)</t>
        </is>
      </c>
      <c r="C166" s="21" t="inlineStr">
        <is>
          <t>DOCTORADO EN INFORMÁTICA</t>
        </is>
      </c>
      <c r="D166" s="21" t="inlineStr">
        <is>
          <t>Álvarez Keskinen, Enrique</t>
        </is>
      </c>
      <c r="E166" s="21" t="inlineStr">
        <is>
          <t>Ataques adversarios en redes neuronales: análisis de transferabilidad y generación de imágenes adversarias mediante modelos difusos</t>
        </is>
      </c>
      <c r="F166" s="21" t="inlineStr">
        <is>
          <t>12/07/2024</t>
        </is>
      </c>
      <c r="G166" s="21" t="inlineStr">
        <is>
          <t>53231432W</t>
        </is>
      </c>
      <c r="H166" s="21" t="inlineStr">
        <is>
          <t>Codirector de tesis</t>
        </is>
      </c>
      <c r="I166" s="21" t="inlineStr">
        <is>
          <t>B161</t>
        </is>
      </c>
      <c r="J166" s="21" t="inlineStr">
        <is>
          <t>CIENCIA DE LA COMPUTACION E INTELIGENCIA ARTIFICIAL</t>
        </is>
      </c>
      <c r="K166" s="22" t="n">
        <v>0.5</v>
      </c>
      <c r="L166" s="21" t="inlineStr">
        <is>
          <t>B161</t>
        </is>
      </c>
      <c r="M166" s="22" t="n">
        <v>2023</v>
      </c>
      <c r="N166" s="21" t="inlineStr">
        <is>
          <t>10.19</t>
        </is>
      </c>
      <c r="O166" s="22" t="inlineStr">
        <is>
          <t>20</t>
        </is>
      </c>
      <c r="P166" s="21" t="inlineStr"/>
      <c r="Q166" s="21" t="inlineStr"/>
      <c r="R166" s="21" t="n">
        <v>80</v>
      </c>
      <c r="S166" s="65" t="n">
        <v>0.4</v>
      </c>
      <c r="T166" s="66" t="n">
        <v>0.1</v>
      </c>
      <c r="U166" s="65" t="n">
        <v>0</v>
      </c>
    </row>
    <row r="167">
      <c r="A167" s="21" t="inlineStr">
        <is>
          <t>U062</t>
        </is>
      </c>
      <c r="B167" s="21" t="inlineStr">
        <is>
          <t>I.U. DE INVESTIGACIÓN INFORMÁTICA (10.19)</t>
        </is>
      </c>
      <c r="C167" s="21" t="inlineStr">
        <is>
          <t>DOCTORADO EN INFORMÁTICA</t>
        </is>
      </c>
      <c r="D167" s="21" t="inlineStr">
        <is>
          <t>Álvarez Keskinen, Enrique</t>
        </is>
      </c>
      <c r="E167" s="21" t="inlineStr">
        <is>
          <t>Ataques adversarios en redes neuronales: análisis de transferabilidad y generación de imágenes adversarias mediante modelos difusos</t>
        </is>
      </c>
      <c r="F167" s="21" t="inlineStr">
        <is>
          <t>12/07/2024</t>
        </is>
      </c>
      <c r="G167" s="21" t="inlineStr">
        <is>
          <t>21489731A</t>
        </is>
      </c>
      <c r="H167" s="21" t="inlineStr">
        <is>
          <t>Codirector de tesis</t>
        </is>
      </c>
      <c r="I167" s="21" t="inlineStr">
        <is>
          <t>B161</t>
        </is>
      </c>
      <c r="J167" s="21" t="inlineStr">
        <is>
          <t>CIENCIA DE LA COMPUTACION E INTELIGENCIA ARTIFICIAL</t>
        </is>
      </c>
      <c r="K167" s="22" t="n">
        <v>0.5</v>
      </c>
      <c r="L167" s="21" t="inlineStr">
        <is>
          <t>B161</t>
        </is>
      </c>
      <c r="M167" s="22" t="n">
        <v>2023</v>
      </c>
      <c r="N167" s="21" t="inlineStr">
        <is>
          <t>10.19</t>
        </is>
      </c>
      <c r="O167" s="22" t="inlineStr">
        <is>
          <t>50</t>
        </is>
      </c>
      <c r="P167" s="21" t="inlineStr"/>
      <c r="Q167" s="21" t="inlineStr"/>
      <c r="R167" s="21" t="n">
        <v>50</v>
      </c>
      <c r="S167" s="65" t="n">
        <v>0.25</v>
      </c>
      <c r="T167" s="66" t="n">
        <v>0.25</v>
      </c>
      <c r="U167" s="65" t="n">
        <v>0</v>
      </c>
    </row>
    <row r="168">
      <c r="A168" s="21" t="inlineStr">
        <is>
          <t>U062</t>
        </is>
      </c>
      <c r="B168" s="21" t="inlineStr">
        <is>
          <t>I.U. DE INVESTIGACIÓN INFORMÁTICA (10.19)</t>
        </is>
      </c>
      <c r="C168" s="21" t="inlineStr">
        <is>
          <t>DOCTORADO EN INFORMÁTICA</t>
        </is>
      </c>
      <c r="D168" s="21" t="inlineStr">
        <is>
          <t>Francés Hernández, Olga</t>
        </is>
      </c>
      <c r="E168" s="21" t="inlineStr">
        <is>
          <t>Desarrollo de tecnologías basadas en Inteligencia Artificial para el análisis y la toma de decisiones en Parques Científicos y Tecnológicos</t>
        </is>
      </c>
      <c r="F168" s="21" t="inlineStr">
        <is>
          <t>09/02/2024</t>
        </is>
      </c>
      <c r="G168" s="21" t="inlineStr">
        <is>
          <t>02380426H</t>
        </is>
      </c>
      <c r="H168" s="21" t="inlineStr">
        <is>
          <t>Codirector de tesis</t>
        </is>
      </c>
      <c r="I168" s="21" t="inlineStr">
        <is>
          <t>B158</t>
        </is>
      </c>
      <c r="J168" s="21" t="inlineStr">
        <is>
          <t>LENGUAJES Y SISTEMAS INFORMÁTICOS</t>
        </is>
      </c>
      <c r="K168" s="22" t="n">
        <v>0.5</v>
      </c>
      <c r="L168" s="21" t="inlineStr">
        <is>
          <t>B158</t>
        </is>
      </c>
      <c r="M168" s="22" t="n">
        <v>2023</v>
      </c>
      <c r="N168" s="21" t="inlineStr">
        <is>
          <t>10.19</t>
        </is>
      </c>
      <c r="O168" s="22" t="inlineStr">
        <is>
          <t>20</t>
        </is>
      </c>
      <c r="P168" s="21" t="inlineStr"/>
      <c r="Q168" s="21" t="inlineStr"/>
      <c r="R168" s="21" t="n">
        <v>80</v>
      </c>
      <c r="S168" s="65" t="n">
        <v>0.4</v>
      </c>
      <c r="T168" s="66" t="n">
        <v>0.1</v>
      </c>
      <c r="U168" s="65" t="n">
        <v>0</v>
      </c>
    </row>
    <row r="169">
      <c r="A169" s="21" t="inlineStr">
        <is>
          <t>U062</t>
        </is>
      </c>
      <c r="B169" s="21" t="inlineStr">
        <is>
          <t>I.U. DE INVESTIGACIÓN INFORMÁTICA (10.19)</t>
        </is>
      </c>
      <c r="C169" s="21" t="inlineStr">
        <is>
          <t>DOCTORADO EN INFORMÁTICA</t>
        </is>
      </c>
      <c r="D169" s="21" t="inlineStr">
        <is>
          <t>Francés Hernández, Olga</t>
        </is>
      </c>
      <c r="E169" s="21" t="inlineStr">
        <is>
          <t>Desarrollo de tecnologías basadas en Inteligencia Artificial para el análisis y la toma de decisiones en Parques Científicos y Tecnológicos</t>
        </is>
      </c>
      <c r="F169" s="21" t="inlineStr">
        <is>
          <t>09/02/2024</t>
        </is>
      </c>
      <c r="G169" s="21" t="inlineStr">
        <is>
          <t>20413324L</t>
        </is>
      </c>
      <c r="H169" s="21" t="inlineStr">
        <is>
          <t>Codirector de tesis</t>
        </is>
      </c>
      <c r="I169" s="21" t="inlineStr">
        <is>
          <t>B158</t>
        </is>
      </c>
      <c r="J169" s="21" t="inlineStr">
        <is>
          <t>LENGUAJES Y SISTEMAS INFORMÁTICOS</t>
        </is>
      </c>
      <c r="K169" s="22" t="n">
        <v>0.5</v>
      </c>
      <c r="L169" s="21" t="inlineStr">
        <is>
          <t>B158</t>
        </is>
      </c>
      <c r="M169" s="22" t="n">
        <v>2023</v>
      </c>
      <c r="N169" s="21" t="inlineStr">
        <is>
          <t>10.19</t>
        </is>
      </c>
      <c r="O169" s="22" t="inlineStr">
        <is>
          <t>50</t>
        </is>
      </c>
      <c r="P169" s="21" t="inlineStr"/>
      <c r="Q169" s="21" t="inlineStr"/>
      <c r="R169" s="21" t="n">
        <v>50</v>
      </c>
      <c r="S169" s="65" t="n">
        <v>0.25</v>
      </c>
      <c r="T169" s="66" t="n">
        <v>0.25</v>
      </c>
      <c r="U169" s="65" t="n">
        <v>0</v>
      </c>
    </row>
    <row r="170">
      <c r="A170" s="21" t="inlineStr">
        <is>
          <t>U062</t>
        </is>
      </c>
      <c r="B170" s="21" t="inlineStr">
        <is>
          <t>I.U. DE INVESTIGACIÓN INFORMÁTICA (10.19)</t>
        </is>
      </c>
      <c r="C170" s="21" t="inlineStr">
        <is>
          <t>DOCTORADO EN INFORMÁTICA</t>
        </is>
      </c>
      <c r="D170" s="21" t="inlineStr">
        <is>
          <t>Botella Gil, Beatriz</t>
        </is>
      </c>
      <c r="E170" s="21" t="inlineStr">
        <is>
          <t>LAS TECNOLOGÍAS DEL LENGUAJE HUMANO COMO HERRAMIENTA DE MITIGACIÓN DE LA VIOLENCIA EN REDES SOCIALES</t>
        </is>
      </c>
      <c r="F170" s="21" t="inlineStr">
        <is>
          <t>16/02/2024</t>
        </is>
      </c>
      <c r="G170" s="21" t="inlineStr">
        <is>
          <t>21473652R</t>
        </is>
      </c>
      <c r="H170" s="21" t="inlineStr">
        <is>
          <t>Codirector de tesis</t>
        </is>
      </c>
      <c r="I170" s="21" t="inlineStr">
        <is>
          <t>B158</t>
        </is>
      </c>
      <c r="J170" s="21" t="inlineStr">
        <is>
          <t>LENGUAJES Y SISTEMAS INFORMÁTICOS</t>
        </is>
      </c>
      <c r="K170" s="22" t="n">
        <v>0.5</v>
      </c>
      <c r="L170" s="21" t="inlineStr">
        <is>
          <t>B158</t>
        </is>
      </c>
      <c r="M170" s="22" t="n">
        <v>2023</v>
      </c>
      <c r="N170" s="21" t="inlineStr">
        <is>
          <t>10.19</t>
        </is>
      </c>
      <c r="O170" s="22" t="inlineStr">
        <is>
          <t>50</t>
        </is>
      </c>
      <c r="P170" s="21" t="inlineStr"/>
      <c r="Q170" s="21" t="inlineStr"/>
      <c r="R170" s="21" t="n">
        <v>50</v>
      </c>
      <c r="S170" s="65" t="n">
        <v>0.25</v>
      </c>
      <c r="T170" s="66" t="n">
        <v>0.25</v>
      </c>
      <c r="U170" s="65" t="n">
        <v>0</v>
      </c>
    </row>
    <row r="171">
      <c r="A171" s="21" t="inlineStr">
        <is>
          <t>U062</t>
        </is>
      </c>
      <c r="B171" s="21" t="inlineStr">
        <is>
          <t>I.U. DE INVESTIGACIÓN INFORMÁTICA (10.19)</t>
        </is>
      </c>
      <c r="C171" s="21" t="inlineStr">
        <is>
          <t>DOCTORADO EN INFORMÁTICA</t>
        </is>
      </c>
      <c r="D171" s="21" t="inlineStr">
        <is>
          <t>Botella Gil, Beatriz</t>
        </is>
      </c>
      <c r="E171" s="21" t="inlineStr">
        <is>
          <t>LAS TECNOLOGÍAS DEL LENGUAJE HUMANO COMO HERRAMIENTA DE MITIGACIÓN DE LA VIOLENCIA EN REDES SOCIALES</t>
        </is>
      </c>
      <c r="F171" s="21" t="inlineStr">
        <is>
          <t>16/02/2024</t>
        </is>
      </c>
      <c r="G171" s="21" t="inlineStr">
        <is>
          <t>52778169T</t>
        </is>
      </c>
      <c r="H171" s="21" t="inlineStr">
        <is>
          <t>Codirector de tesis</t>
        </is>
      </c>
      <c r="I171" s="21" t="inlineStr">
        <is>
          <t>B158</t>
        </is>
      </c>
      <c r="J171" s="21" t="inlineStr">
        <is>
          <t>LENGUAJES Y SISTEMAS INFORMÁTICOS</t>
        </is>
      </c>
      <c r="K171" s="22" t="n">
        <v>0.5</v>
      </c>
      <c r="L171" s="21" t="inlineStr">
        <is>
          <t>B158</t>
        </is>
      </c>
      <c r="M171" s="22" t="n">
        <v>2023</v>
      </c>
      <c r="N171" s="21" t="inlineStr">
        <is>
          <t>10.19</t>
        </is>
      </c>
      <c r="O171" s="22" t="inlineStr">
        <is>
          <t>20</t>
        </is>
      </c>
      <c r="P171" s="21" t="inlineStr"/>
      <c r="Q171" s="21" t="inlineStr"/>
      <c r="R171" s="21" t="n">
        <v>80</v>
      </c>
      <c r="S171" s="65" t="n">
        <v>0.4</v>
      </c>
      <c r="T171" s="66" t="n">
        <v>0.1</v>
      </c>
      <c r="U171" s="65" t="n">
        <v>0</v>
      </c>
    </row>
    <row r="172">
      <c r="A172" s="21" t="inlineStr">
        <is>
          <t>U062</t>
        </is>
      </c>
      <c r="B172" s="21" t="inlineStr">
        <is>
          <t>I.U. DE INVESTIGACIÓN INFORMÁTICA (10.19)</t>
        </is>
      </c>
      <c r="C172" s="21" t="inlineStr">
        <is>
          <t>DOCTORADO EN INFORMÁTICA</t>
        </is>
      </c>
      <c r="D172" s="21" t="inlineStr">
        <is>
          <t>Reina Reina, Alejandro</t>
        </is>
      </c>
      <c r="E172" s="21" t="inlineStr">
        <is>
          <t>Requirements Analysis and Machine Learning for Diagnosis in eHealth</t>
        </is>
      </c>
      <c r="F172" s="21" t="inlineStr">
        <is>
          <t>16/01/2024</t>
        </is>
      </c>
      <c r="G172" s="21" t="inlineStr">
        <is>
          <t>48558539L</t>
        </is>
      </c>
      <c r="H172" s="21" t="inlineStr">
        <is>
          <t>Codirector de tesis</t>
        </is>
      </c>
      <c r="I172" s="21" t="inlineStr">
        <is>
          <t>B158</t>
        </is>
      </c>
      <c r="J172" s="21" t="inlineStr">
        <is>
          <t>LENGUAJES Y SISTEMAS INFORMÁTICOS</t>
        </is>
      </c>
      <c r="K172" s="22" t="n">
        <v>0.5</v>
      </c>
      <c r="L172" s="21" t="inlineStr">
        <is>
          <t>B158</t>
        </is>
      </c>
      <c r="M172" s="22" t="n">
        <v>2023</v>
      </c>
      <c r="N172" s="21" t="inlineStr">
        <is>
          <t>10.19</t>
        </is>
      </c>
      <c r="O172" s="22" t="inlineStr">
        <is>
          <t>20</t>
        </is>
      </c>
      <c r="P172" s="21" t="inlineStr"/>
      <c r="Q172" s="21" t="inlineStr"/>
      <c r="R172" s="21" t="n">
        <v>80</v>
      </c>
      <c r="S172" s="65" t="n">
        <v>0.4</v>
      </c>
      <c r="T172" s="66" t="n">
        <v>0.1</v>
      </c>
      <c r="U172" s="65" t="n">
        <v>0</v>
      </c>
    </row>
    <row r="173">
      <c r="A173" s="21" t="inlineStr">
        <is>
          <t>U062</t>
        </is>
      </c>
      <c r="B173" s="21" t="inlineStr">
        <is>
          <t>I.U. DE INVESTIGACIÓN INFORMÁTICA (10.19)</t>
        </is>
      </c>
      <c r="C173" s="21" t="inlineStr">
        <is>
          <t>DOCTORADO EN INFORMÁTICA</t>
        </is>
      </c>
      <c r="D173" s="21" t="inlineStr">
        <is>
          <t>Reina Reina, Alejandro</t>
        </is>
      </c>
      <c r="E173" s="21" t="inlineStr">
        <is>
          <t>Requirements Analysis and Machine Learning for Diagnosis in eHealth</t>
        </is>
      </c>
      <c r="F173" s="21" t="inlineStr">
        <is>
          <t>16/01/2024</t>
        </is>
      </c>
      <c r="G173" s="21" t="inlineStr">
        <is>
          <t>21494991L</t>
        </is>
      </c>
      <c r="H173" s="21" t="inlineStr">
        <is>
          <t>Codirector de tesis</t>
        </is>
      </c>
      <c r="I173" s="21" t="inlineStr">
        <is>
          <t>B158</t>
        </is>
      </c>
      <c r="J173" s="21" t="inlineStr">
        <is>
          <t>LENGUAJES Y SISTEMAS INFORMÁTICOS</t>
        </is>
      </c>
      <c r="K173" s="22" t="n">
        <v>0.5</v>
      </c>
      <c r="L173" s="21" t="inlineStr">
        <is>
          <t>B158</t>
        </is>
      </c>
      <c r="M173" s="22" t="n">
        <v>2023</v>
      </c>
      <c r="N173" s="21" t="inlineStr">
        <is>
          <t>10.19</t>
        </is>
      </c>
      <c r="O173" s="22" t="inlineStr">
        <is>
          <t>20</t>
        </is>
      </c>
      <c r="P173" s="21" t="inlineStr"/>
      <c r="Q173" s="21" t="inlineStr"/>
      <c r="R173" s="21" t="n">
        <v>80</v>
      </c>
      <c r="S173" s="65" t="n">
        <v>0.4</v>
      </c>
      <c r="T173" s="66" t="n">
        <v>0.1</v>
      </c>
      <c r="U173" s="65" t="n">
        <v>0</v>
      </c>
    </row>
    <row r="174" customFormat="1" s="64">
      <c r="A174" s="61" t="inlineStr">
        <is>
          <t>U062</t>
        </is>
      </c>
      <c r="B174" s="61" t="inlineStr">
        <is>
          <t>I.U. DE INVESTIGACIÓN INFORMÁTICA (10.19)</t>
        </is>
      </c>
      <c r="C174" s="61" t="inlineStr">
        <is>
          <t>DOCTORADO EN INFORMÁTICA</t>
        </is>
      </c>
      <c r="D174" s="61" t="inlineStr">
        <is>
          <t>Ríos Vila, Antonio</t>
        </is>
      </c>
      <c r="E174" s="61" t="inlineStr">
        <is>
          <t>End-to-end Optical Music Recognition Beyond Staff-Level Transcription</t>
        </is>
      </c>
      <c r="F174" s="61" t="inlineStr">
        <is>
          <t>04/07/2024</t>
        </is>
      </c>
      <c r="G174" s="61" t="inlineStr">
        <is>
          <t>74004743N</t>
        </is>
      </c>
      <c r="H174" s="61" t="inlineStr">
        <is>
          <t>Codirector de tesis</t>
        </is>
      </c>
      <c r="I174" s="61" t="inlineStr">
        <is>
          <t>B158</t>
        </is>
      </c>
      <c r="J174" s="61" t="inlineStr">
        <is>
          <t>LENGUAJES Y SISTEMAS INFORMÁTICOS</t>
        </is>
      </c>
      <c r="K174" s="62" t="n">
        <v>0.5</v>
      </c>
      <c r="L174" s="61" t="inlineStr">
        <is>
          <t>B158</t>
        </is>
      </c>
      <c r="M174" s="62" t="n">
        <v>2023</v>
      </c>
      <c r="N174" s="61" t="inlineStr">
        <is>
          <t>10.19</t>
        </is>
      </c>
      <c r="O174" s="62" t="n">
        <v>50</v>
      </c>
      <c r="P174" s="61" t="inlineStr"/>
      <c r="Q174" s="61" t="inlineStr"/>
      <c r="R174" s="61" t="n">
        <v>50</v>
      </c>
      <c r="S174" s="68" t="n">
        <v>0.25</v>
      </c>
      <c r="T174" s="68" t="n">
        <v>0.25</v>
      </c>
      <c r="U174" s="68" t="n">
        <v>0</v>
      </c>
    </row>
    <row r="175">
      <c r="A175" s="21" t="inlineStr">
        <is>
          <t>U062</t>
        </is>
      </c>
      <c r="B175" s="21" t="inlineStr">
        <is>
          <t>I.U. DE INVESTIGACIÓN INFORMÁTICA (10.19)</t>
        </is>
      </c>
      <c r="C175" s="21" t="inlineStr">
        <is>
          <t>DOCTORADO EN INFORMÁTICA</t>
        </is>
      </c>
      <c r="D175" s="21" t="inlineStr">
        <is>
          <t>Ríos Vila, Antonio</t>
        </is>
      </c>
      <c r="E175" s="21" t="inlineStr">
        <is>
          <t>End-to-end Optical Music Recognition Beyond Staff-Level Transcription</t>
        </is>
      </c>
      <c r="F175" s="21" t="inlineStr">
        <is>
          <t>04/07/2024</t>
        </is>
      </c>
      <c r="G175" s="21" t="inlineStr">
        <is>
          <t>21439614A</t>
        </is>
      </c>
      <c r="H175" s="21" t="inlineStr">
        <is>
          <t>Codirector de tesis</t>
        </is>
      </c>
      <c r="I175" s="21" t="inlineStr">
        <is>
          <t>B158</t>
        </is>
      </c>
      <c r="J175" s="21" t="inlineStr">
        <is>
          <t>LENGUAJES Y SISTEMAS INFORMÁTICOS</t>
        </is>
      </c>
      <c r="K175" s="22" t="n">
        <v>0.5</v>
      </c>
      <c r="L175" s="21" t="inlineStr">
        <is>
          <t>B158</t>
        </is>
      </c>
      <c r="M175" s="22" t="n">
        <v>2023</v>
      </c>
      <c r="N175" s="21" t="inlineStr">
        <is>
          <t>10.19</t>
        </is>
      </c>
      <c r="O175" s="22" t="inlineStr">
        <is>
          <t>20</t>
        </is>
      </c>
      <c r="P175" s="21" t="inlineStr"/>
      <c r="Q175" s="21" t="inlineStr"/>
      <c r="R175" s="21" t="n">
        <v>80</v>
      </c>
      <c r="S175" s="65" t="n">
        <v>0.4</v>
      </c>
      <c r="T175" s="67" t="n">
        <v>0.1</v>
      </c>
      <c r="U175" s="65" t="n">
        <v>0</v>
      </c>
    </row>
    <row r="176">
      <c r="A176" s="21" t="inlineStr">
        <is>
          <t>U062</t>
        </is>
      </c>
      <c r="B176" s="21" t="inlineStr">
        <is>
          <t>I.U. DE INVESTIGACIÓN INFORMÁTICA (10.19)</t>
        </is>
      </c>
      <c r="C176" s="21" t="inlineStr">
        <is>
          <t>DOCTORADO EN INFORMÁTICA</t>
        </is>
      </c>
      <c r="D176" s="21" t="inlineStr">
        <is>
          <t>Gómez Hernández, José Francisco</t>
        </is>
      </c>
      <c r="E176" s="21" t="inlineStr">
        <is>
          <t>Investigación industrial orientada a la adecuación del paradigma de la Industria 4.0 a los procesos de fabricación del calzado</t>
        </is>
      </c>
      <c r="F176" s="21" t="inlineStr">
        <is>
          <t>05/06/2024</t>
        </is>
      </c>
      <c r="G176" s="21" t="inlineStr">
        <is>
          <t>29011916S</t>
        </is>
      </c>
      <c r="H176" s="21" t="inlineStr">
        <is>
          <t>Codirector de tesis</t>
        </is>
      </c>
      <c r="I176" s="21" t="inlineStr">
        <is>
          <t>B148</t>
        </is>
      </c>
      <c r="J176" s="21" t="inlineStr">
        <is>
          <t>TECNOLOGÍA INFORMÁTICA Y COMPUTACIÓN</t>
        </is>
      </c>
      <c r="K176" s="22" t="n">
        <v>0.5</v>
      </c>
      <c r="L176" s="21" t="inlineStr">
        <is>
          <t>B148</t>
        </is>
      </c>
      <c r="M176" s="22" t="n">
        <v>2023</v>
      </c>
      <c r="N176" s="21" t="inlineStr">
        <is>
          <t>10.19</t>
        </is>
      </c>
      <c r="O176" s="22" t="inlineStr">
        <is>
          <t>20</t>
        </is>
      </c>
      <c r="P176" s="21" t="inlineStr"/>
      <c r="Q176" s="21" t="inlineStr"/>
      <c r="R176" s="21" t="n">
        <v>80</v>
      </c>
      <c r="S176" s="65" t="n">
        <v>0.4</v>
      </c>
      <c r="T176" s="67" t="n">
        <v>0.1</v>
      </c>
      <c r="U176" s="65" t="n">
        <v>0</v>
      </c>
    </row>
    <row r="177">
      <c r="A177" s="21" t="inlineStr">
        <is>
          <t>U062</t>
        </is>
      </c>
      <c r="B177" s="21" t="inlineStr">
        <is>
          <t>I.U. DE INVESTIGACIÓN INFORMÁTICA (10.19)</t>
        </is>
      </c>
      <c r="C177" s="21" t="inlineStr">
        <is>
          <t>DOCTORADO EN INFORMÁTICA</t>
        </is>
      </c>
      <c r="D177" s="21" t="inlineStr">
        <is>
          <t>Gómez Hernández, José Francisco</t>
        </is>
      </c>
      <c r="E177" s="21" t="inlineStr">
        <is>
          <t>Investigación industrial orientada a la adecuación del paradigma de la Industria 4.0 a los procesos de fabricación del calzado</t>
        </is>
      </c>
      <c r="F177" s="21" t="inlineStr">
        <is>
          <t>05/06/2024</t>
        </is>
      </c>
      <c r="G177" s="21" t="inlineStr">
        <is>
          <t>33485105A</t>
        </is>
      </c>
      <c r="H177" s="21" t="inlineStr">
        <is>
          <t>Codirector de tesis</t>
        </is>
      </c>
      <c r="I177" s="21" t="inlineStr">
        <is>
          <t>B148</t>
        </is>
      </c>
      <c r="J177" s="21" t="inlineStr">
        <is>
          <t>TECNOLOGÍA INFORMÁTICA Y COMPUTACIÓN</t>
        </is>
      </c>
      <c r="K177" s="22" t="n">
        <v>0.5</v>
      </c>
      <c r="L177" s="21" t="inlineStr">
        <is>
          <t>B148</t>
        </is>
      </c>
      <c r="M177" s="22" t="n">
        <v>2023</v>
      </c>
      <c r="N177" s="21" t="inlineStr">
        <is>
          <t>10.19</t>
        </is>
      </c>
      <c r="O177" s="22" t="inlineStr">
        <is>
          <t>20</t>
        </is>
      </c>
      <c r="P177" s="21" t="inlineStr"/>
      <c r="Q177" s="21" t="inlineStr"/>
      <c r="R177" s="21" t="n">
        <v>80</v>
      </c>
      <c r="S177" s="65" t="n">
        <v>0.4</v>
      </c>
      <c r="T177" s="67" t="n">
        <v>0.1</v>
      </c>
      <c r="U177" s="65" t="n">
        <v>0</v>
      </c>
    </row>
    <row r="178">
      <c r="A178" s="21" t="inlineStr">
        <is>
          <t>U062</t>
        </is>
      </c>
      <c r="B178" s="21" t="inlineStr">
        <is>
          <t>I.U. DE INVESTIGACIÓN INFORMÁTICA (10.19)</t>
        </is>
      </c>
      <c r="C178" s="21" t="inlineStr">
        <is>
          <t>DOCTORADO EN INFORMÁTICA</t>
        </is>
      </c>
      <c r="D178" s="21" t="inlineStr">
        <is>
          <t>Pérez-Sala García-Plata, Luis</t>
        </is>
      </c>
      <c r="E178" s="21" t="inlineStr">
        <is>
          <t>Predicción de asistencia en accidentes de tráfico con un modelo de aprendizaje profundo</t>
        </is>
      </c>
      <c r="F178" s="21" t="inlineStr">
        <is>
          <t>13/09/2024</t>
        </is>
      </c>
      <c r="G178" s="21" t="inlineStr">
        <is>
          <t>21453332J</t>
        </is>
      </c>
      <c r="H178" s="21" t="inlineStr">
        <is>
          <t>Codirector de tesis</t>
        </is>
      </c>
      <c r="I178" s="21" t="inlineStr">
        <is>
          <t>B161</t>
        </is>
      </c>
      <c r="J178" s="21" t="inlineStr">
        <is>
          <t>CIENCIA DE LA COMPUTACION E INTELIGENCIA ARTIFICIAL</t>
        </is>
      </c>
      <c r="K178" s="22" t="n">
        <v>0.5</v>
      </c>
      <c r="L178" s="21" t="inlineStr">
        <is>
          <t>B161</t>
        </is>
      </c>
      <c r="M178" s="22" t="n">
        <v>2023</v>
      </c>
      <c r="N178" s="21" t="inlineStr">
        <is>
          <t>10.19</t>
        </is>
      </c>
      <c r="O178" s="22" t="inlineStr">
        <is>
          <t>20</t>
        </is>
      </c>
      <c r="P178" s="21" t="inlineStr"/>
      <c r="Q178" s="21" t="inlineStr"/>
      <c r="R178" s="21" t="n">
        <v>80</v>
      </c>
      <c r="S178" s="65" t="n">
        <v>0.4</v>
      </c>
      <c r="T178" s="67" t="n">
        <v>0.1</v>
      </c>
      <c r="U178" s="65" t="n">
        <v>0</v>
      </c>
    </row>
    <row r="179">
      <c r="A179" s="21" t="inlineStr">
        <is>
          <t>U062</t>
        </is>
      </c>
      <c r="B179" s="21" t="inlineStr">
        <is>
          <t>I.U. DE INVESTIGACIÓN INFORMÁTICA (10.19)</t>
        </is>
      </c>
      <c r="C179" s="21" t="inlineStr">
        <is>
          <t>DOCTORADO EN INFORMÁTICA</t>
        </is>
      </c>
      <c r="D179" s="21" t="inlineStr">
        <is>
          <t>Teterja , Dmitrij</t>
        </is>
      </c>
      <c r="E179" s="21" t="inlineStr">
        <is>
          <t>Mosaic-Based Deep Learning Approach for Bird Species Identification and Behavior Recognition</t>
        </is>
      </c>
      <c r="F179" s="21" t="inlineStr">
        <is>
          <t>19/07/2024</t>
        </is>
      </c>
      <c r="G179" s="21" t="inlineStr">
        <is>
          <t>21486541X</t>
        </is>
      </c>
      <c r="H179" s="21" t="inlineStr">
        <is>
          <t>Codirector de tesis</t>
        </is>
      </c>
      <c r="I179" s="21" t="inlineStr">
        <is>
          <t>B148</t>
        </is>
      </c>
      <c r="J179" s="21" t="inlineStr">
        <is>
          <t>TECNOLOGÍA INFORMÁTICA Y COMPUTACIÓN</t>
        </is>
      </c>
      <c r="K179" s="22" t="n">
        <v>0.5</v>
      </c>
      <c r="L179" s="21" t="inlineStr">
        <is>
          <t>B148</t>
        </is>
      </c>
      <c r="M179" s="22" t="n">
        <v>2023</v>
      </c>
      <c r="N179" s="21" t="inlineStr">
        <is>
          <t>10.19</t>
        </is>
      </c>
      <c r="O179" s="22" t="inlineStr">
        <is>
          <t>20</t>
        </is>
      </c>
      <c r="P179" s="21" t="inlineStr"/>
      <c r="Q179" s="21" t="inlineStr"/>
      <c r="R179" s="21" t="n">
        <v>80</v>
      </c>
      <c r="S179" s="65" t="n">
        <v>0.4</v>
      </c>
      <c r="T179" s="67" t="n">
        <v>0.1</v>
      </c>
      <c r="U179" s="65" t="n">
        <v>0</v>
      </c>
    </row>
    <row r="180">
      <c r="A180" s="21" t="inlineStr">
        <is>
          <t>U062</t>
        </is>
      </c>
      <c r="B180" s="21" t="inlineStr">
        <is>
          <t>I.U. DE INVESTIGACIÓN INFORMÁTICA (10.19)</t>
        </is>
      </c>
      <c r="C180" s="21" t="inlineStr">
        <is>
          <t>DOCTORADO EN INFORMÁTICA</t>
        </is>
      </c>
      <c r="D180" s="21" t="inlineStr">
        <is>
          <t>Teterja , Dmitrij</t>
        </is>
      </c>
      <c r="E180" s="21" t="inlineStr">
        <is>
          <t>Mosaic-Based Deep Learning Approach for Bird Species Identification and Behavior Recognition</t>
        </is>
      </c>
      <c r="F180" s="21" t="inlineStr">
        <is>
          <t>19/07/2024</t>
        </is>
      </c>
      <c r="G180" s="21" t="inlineStr">
        <is>
          <t>52764803C</t>
        </is>
      </c>
      <c r="H180" s="21" t="inlineStr">
        <is>
          <t>Codirector de tesis</t>
        </is>
      </c>
      <c r="I180" s="21" t="inlineStr">
        <is>
          <t>B148</t>
        </is>
      </c>
      <c r="J180" s="21" t="inlineStr">
        <is>
          <t>TECNOLOGÍA INFORMÁTICA Y COMPUTACIÓN</t>
        </is>
      </c>
      <c r="K180" s="22" t="n">
        <v>0.5</v>
      </c>
      <c r="L180" s="21" t="inlineStr">
        <is>
          <t>B148</t>
        </is>
      </c>
      <c r="M180" s="22" t="n">
        <v>2023</v>
      </c>
      <c r="N180" s="21" t="inlineStr">
        <is>
          <t>10.19</t>
        </is>
      </c>
      <c r="O180" s="22" t="inlineStr">
        <is>
          <t>50</t>
        </is>
      </c>
      <c r="P180" s="21" t="inlineStr"/>
      <c r="Q180" s="21" t="inlineStr"/>
      <c r="R180" s="21" t="n">
        <v>50</v>
      </c>
      <c r="S180" s="65" t="n">
        <v>0.25</v>
      </c>
      <c r="T180" s="67" t="n">
        <v>0.25</v>
      </c>
      <c r="U180" s="65" t="n">
        <v>0</v>
      </c>
    </row>
    <row r="181">
      <c r="A181" s="21" t="inlineStr">
        <is>
          <t>U062</t>
        </is>
      </c>
      <c r="B181" s="21" t="inlineStr">
        <is>
          <t>I.U. DE INVESTIGACIÓN INFORMÁTICA (10.19)</t>
        </is>
      </c>
      <c r="C181" s="21" t="inlineStr">
        <is>
          <t>DOCTORADO EN INFORMÁTICA</t>
        </is>
      </c>
      <c r="D181" s="21" t="inlineStr">
        <is>
          <t>Luo , Jiayin</t>
        </is>
      </c>
      <c r="E181" s="21" t="inlineStr">
        <is>
          <t>Processing and Exploitation of Multi-temporal Polarimetric and Interferometric SAR Data</t>
        </is>
      </c>
      <c r="F181" s="21" t="inlineStr">
        <is>
          <t>13/06/2024</t>
        </is>
      </c>
      <c r="G181" s="21" t="inlineStr">
        <is>
          <t>21503683V</t>
        </is>
      </c>
      <c r="H181" s="21" t="inlineStr">
        <is>
          <t>Director de tesis</t>
        </is>
      </c>
      <c r="I181" s="21" t="inlineStr">
        <is>
          <t>B149</t>
        </is>
      </c>
      <c r="J181" s="21" t="inlineStr">
        <is>
          <t>FISICA, INGENIERIA DE SISTEMAS Y TEORIA DE LA SEÑAL</t>
        </is>
      </c>
      <c r="K181" s="22" t="n">
        <v>1</v>
      </c>
      <c r="L181" s="21" t="inlineStr">
        <is>
          <t>B149</t>
        </is>
      </c>
      <c r="M181" s="22" t="n">
        <v>2023</v>
      </c>
      <c r="N181" s="21" t="inlineStr">
        <is>
          <t>10.19</t>
        </is>
      </c>
      <c r="O181" s="22" t="inlineStr">
        <is>
          <t>50</t>
        </is>
      </c>
      <c r="P181" s="21" t="inlineStr"/>
      <c r="Q181" s="21" t="inlineStr"/>
      <c r="R181" s="21" t="n">
        <v>50</v>
      </c>
      <c r="S181" s="65" t="n">
        <v>0.5</v>
      </c>
      <c r="T181" s="67" t="n">
        <v>0.5</v>
      </c>
      <c r="U181" s="65" t="n">
        <v>0</v>
      </c>
    </row>
    <row r="182">
      <c r="A182" s="21" t="inlineStr">
        <is>
          <t>U062</t>
        </is>
      </c>
      <c r="B182" s="21" t="inlineStr">
        <is>
          <t>I.U. DE INVESTIGACIÓN INFORMÁTICA (10.19)</t>
        </is>
      </c>
      <c r="C182" s="21" t="inlineStr">
        <is>
          <t>DOCTORADO EN INFORMÁTICA</t>
        </is>
      </c>
      <c r="D182" s="21" t="inlineStr">
        <is>
          <t>Güemes Esperón, Alejandro Miguel</t>
        </is>
      </c>
      <c r="E182" s="21" t="inlineStr">
        <is>
          <t>Modelo de generación de suites de pruebas efectivas a partir de requisitos para aplicaciones en entornos distribuidos</t>
        </is>
      </c>
      <c r="F182" s="21" t="inlineStr">
        <is>
          <t>23/07/2024</t>
        </is>
      </c>
      <c r="G182" s="21" t="inlineStr">
        <is>
          <t>48375795X</t>
        </is>
      </c>
      <c r="H182" s="21" t="inlineStr">
        <is>
          <t>Codirector de tesis</t>
        </is>
      </c>
      <c r="I182" s="21" t="inlineStr">
        <is>
          <t>B148</t>
        </is>
      </c>
      <c r="J182" s="21" t="inlineStr">
        <is>
          <t>TECNOLOGÍA INFORMÁTICA Y COMPUTACIÓN</t>
        </is>
      </c>
      <c r="K182" s="22" t="n">
        <v>0.3333333333333333</v>
      </c>
      <c r="L182" s="21" t="inlineStr">
        <is>
          <t>B148</t>
        </is>
      </c>
      <c r="M182" s="22" t="n">
        <v>2023</v>
      </c>
      <c r="N182" s="21" t="inlineStr">
        <is>
          <t>10.19</t>
        </is>
      </c>
      <c r="O182" s="22" t="inlineStr">
        <is>
          <t>20</t>
        </is>
      </c>
      <c r="P182" s="21" t="inlineStr"/>
      <c r="Q182" s="21" t="inlineStr"/>
      <c r="R182" s="21" t="n">
        <v>80</v>
      </c>
      <c r="S182" s="65" t="n">
        <v>0.2666666666666667</v>
      </c>
      <c r="T182" s="67" t="n">
        <v>0.06666666666666667</v>
      </c>
      <c r="U182" s="65" t="n">
        <v>0</v>
      </c>
    </row>
    <row r="183">
      <c r="A183" s="21" t="inlineStr">
        <is>
          <t>U062</t>
        </is>
      </c>
      <c r="B183" s="21" t="inlineStr">
        <is>
          <t>I.U. DE INVESTIGACIÓN INFORMÁTICA (10.19)</t>
        </is>
      </c>
      <c r="C183" s="21" t="inlineStr">
        <is>
          <t>DOCTORADO EN INFORMÁTICA</t>
        </is>
      </c>
      <c r="D183" s="21" t="inlineStr">
        <is>
          <t>Güemes Esperón, Alejandro Miguel</t>
        </is>
      </c>
      <c r="E183" s="21" t="inlineStr">
        <is>
          <t>Modelo de generación de suites de pruebas efectivas a partir de requisitos para aplicaciones en entornos distribuidos</t>
        </is>
      </c>
      <c r="F183" s="21" t="inlineStr">
        <is>
          <t>23/07/2024</t>
        </is>
      </c>
      <c r="G183" s="21" t="inlineStr">
        <is>
          <t>21474037H</t>
        </is>
      </c>
      <c r="H183" s="21" t="inlineStr">
        <is>
          <t>Codirector de tesis</t>
        </is>
      </c>
      <c r="I183" s="21" t="inlineStr">
        <is>
          <t>B148</t>
        </is>
      </c>
      <c r="J183" s="21" t="inlineStr">
        <is>
          <t>TECNOLOGÍA INFORMÁTICA Y COMPUTACIÓN</t>
        </is>
      </c>
      <c r="K183" s="22" t="n">
        <v>0.3333333333333333</v>
      </c>
      <c r="L183" s="21" t="inlineStr">
        <is>
          <t>B148</t>
        </is>
      </c>
      <c r="M183" s="22" t="n">
        <v>2023</v>
      </c>
      <c r="N183" s="21" t="inlineStr">
        <is>
          <t>10.19</t>
        </is>
      </c>
      <c r="O183" s="22" t="inlineStr">
        <is>
          <t>20</t>
        </is>
      </c>
      <c r="P183" s="21" t="inlineStr"/>
      <c r="Q183" s="21" t="inlineStr"/>
      <c r="R183" s="21" t="n">
        <v>80</v>
      </c>
      <c r="S183" s="65" t="n">
        <v>0.2666666666666667</v>
      </c>
      <c r="T183" s="67" t="n">
        <v>0.06666666666666667</v>
      </c>
      <c r="U183" s="65" t="n">
        <v>0</v>
      </c>
    </row>
    <row r="184">
      <c r="A184" s="21" t="inlineStr">
        <is>
          <t xml:space="preserve">U062 </t>
        </is>
      </c>
      <c r="B184" s="21" t="inlineStr">
        <is>
          <t xml:space="preserve">ADM. I.U. DE INVESTIGACIÓN INFORMÁTICA </t>
        </is>
      </c>
      <c r="C184" s="21" t="inlineStr">
        <is>
          <t xml:space="preserve">DOCTORADO EN INFORMÁTICA </t>
        </is>
      </c>
      <c r="D184" s="21" t="inlineStr">
        <is>
          <t xml:space="preserve">Escobar Esteban, María Pilar </t>
        </is>
      </c>
      <c r="E184" s="21" t="inlineStr">
        <is>
          <t xml:space="preserve">UN ENFOQUE MULTIDIMENSIONAL BASADO EN RDF PARA LA PUBLICACIÓN DE LINKED OPEN DATA </t>
        </is>
      </c>
      <c r="F184" s="21" t="inlineStr">
        <is>
          <t xml:space="preserve">07/07/2020 </t>
        </is>
      </c>
      <c r="G184" s="21" t="inlineStr">
        <is>
          <t xml:space="preserve">21395951V </t>
        </is>
      </c>
      <c r="H184" s="21" t="inlineStr">
        <is>
          <t xml:space="preserve">Codirector de tesis </t>
        </is>
      </c>
      <c r="I184" s="21" t="inlineStr">
        <is>
          <t xml:space="preserve">B158 </t>
        </is>
      </c>
      <c r="J184" s="21" t="inlineStr">
        <is>
          <t xml:space="preserve">LENGUAJES Y SISTEMAS INFORMÁTICOS </t>
        </is>
      </c>
      <c r="K184" s="22" t="n">
        <v>0.5</v>
      </c>
      <c r="L184" s="21" t="inlineStr">
        <is>
          <t>B158</t>
        </is>
      </c>
      <c r="M184" s="22" t="n">
        <v>2019</v>
      </c>
      <c r="N184" s="21" t="inlineStr">
        <is>
          <t>10.06</t>
        </is>
      </c>
      <c r="O184" s="22" t="inlineStr">
        <is>
          <t>10</t>
        </is>
      </c>
      <c r="P184" s="21" t="inlineStr">
        <is>
          <t>10.19</t>
        </is>
      </c>
      <c r="Q184" s="21" t="inlineStr">
        <is>
          <t>10</t>
        </is>
      </c>
      <c r="R184" s="21" t="n">
        <v>80</v>
      </c>
      <c r="S184" s="65" t="n">
        <v>0.4</v>
      </c>
      <c r="T184" s="65" t="n">
        <v>0.05</v>
      </c>
      <c r="U184" s="65" t="n">
        <v>0.05</v>
      </c>
    </row>
    <row r="185">
      <c r="A185" s="21" t="inlineStr">
        <is>
          <t xml:space="preserve">U062 </t>
        </is>
      </c>
      <c r="B185" s="21" t="inlineStr">
        <is>
          <t xml:space="preserve">ADM. I.U. DE INVESTIGACIÓN INFORMÁTICA </t>
        </is>
      </c>
      <c r="C185" s="21" t="inlineStr">
        <is>
          <t xml:space="preserve">DOCTORADO EN INFORMÁTICA </t>
        </is>
      </c>
      <c r="D185" s="21" t="inlineStr">
        <is>
          <t xml:space="preserve">Bravo Fuentes, Paloma </t>
        </is>
      </c>
      <c r="E185" s="21" t="inlineStr">
        <is>
          <t xml:space="preserve">Propuesta metodológica para la enseñanza de la flauta dulce en educación primaria mediante el soporte de complementos tecnológicos para el aprendizaje autónomo. </t>
        </is>
      </c>
      <c r="F185" s="21" t="inlineStr">
        <is>
          <t xml:space="preserve">29/07/2021 </t>
        </is>
      </c>
      <c r="G185" s="21" t="inlineStr">
        <is>
          <t xml:space="preserve">09371918Q </t>
        </is>
      </c>
      <c r="H185" s="21" t="inlineStr">
        <is>
          <t xml:space="preserve">Codirector de tesis </t>
        </is>
      </c>
      <c r="I185" s="21" t="inlineStr">
        <is>
          <t xml:space="preserve">B148 </t>
        </is>
      </c>
      <c r="J185" s="21" t="inlineStr">
        <is>
          <t xml:space="preserve">TECNOLOGÍA INFORMÁTICA Y COMPUTACIÓN </t>
        </is>
      </c>
      <c r="K185" s="22" t="n">
        <v>0.5</v>
      </c>
      <c r="L185" s="21" t="inlineStr">
        <is>
          <t>B148</t>
        </is>
      </c>
      <c r="M185" s="22" t="n">
        <v>2020</v>
      </c>
      <c r="N185" s="21" t="inlineStr">
        <is>
          <t>10.25</t>
        </is>
      </c>
      <c r="O185" s="22" t="n">
        <v>10</v>
      </c>
      <c r="P185" s="21" t="inlineStr">
        <is>
          <t>10.19</t>
        </is>
      </c>
      <c r="Q185" s="21" t="n">
        <v>10</v>
      </c>
      <c r="R185" s="21" t="n">
        <v>80</v>
      </c>
      <c r="S185" s="65" t="n">
        <v>0.4</v>
      </c>
      <c r="T185" s="65" t="n">
        <v>0.05</v>
      </c>
      <c r="U185" s="65" t="n">
        <v>0.05</v>
      </c>
    </row>
    <row r="186">
      <c r="A186" s="21" t="inlineStr">
        <is>
          <t xml:space="preserve">U062 </t>
        </is>
      </c>
      <c r="B186" s="21" t="inlineStr">
        <is>
          <t xml:space="preserve">ADM. I.U. DE INVESTIGACIÓN INFORMÁTICA </t>
        </is>
      </c>
      <c r="C186" s="21" t="inlineStr">
        <is>
          <t xml:space="preserve">DOCTORADO EN INFORMÁTICA </t>
        </is>
      </c>
      <c r="D186" s="21" t="inlineStr">
        <is>
          <t xml:space="preserve">González Mora, César </t>
        </is>
      </c>
      <c r="E186" s="21" t="inlineStr">
        <is>
          <t xml:space="preserve">An APIfication Approach to Facilitate the Access and Reuse of Open Data </t>
        </is>
      </c>
      <c r="F186" s="21" t="inlineStr">
        <is>
          <t xml:space="preserve">10/09/2021 </t>
        </is>
      </c>
      <c r="G186" s="21" t="inlineStr">
        <is>
          <t xml:space="preserve">48560510N </t>
        </is>
      </c>
      <c r="H186" s="21" t="inlineStr">
        <is>
          <t xml:space="preserve">Codirector de tesis </t>
        </is>
      </c>
      <c r="I186" s="21" t="inlineStr">
        <is>
          <t xml:space="preserve">B171 </t>
        </is>
      </c>
      <c r="J186" s="21" t="inlineStr">
        <is>
          <t xml:space="preserve">CIENCIAS DEL MAR Y BIOLOGÍA APLICADA </t>
        </is>
      </c>
      <c r="K186" s="22" t="n">
        <v>0.5</v>
      </c>
      <c r="L186" s="21" t="inlineStr">
        <is>
          <t>B171</t>
        </is>
      </c>
      <c r="M186" s="22" t="n">
        <v>2020</v>
      </c>
      <c r="N186" s="21" t="inlineStr">
        <is>
          <t>10.16</t>
        </is>
      </c>
      <c r="O186" s="22" t="n">
        <v>10</v>
      </c>
      <c r="P186" s="21" t="inlineStr">
        <is>
          <t>10.19</t>
        </is>
      </c>
      <c r="Q186" s="21" t="n">
        <v>10</v>
      </c>
      <c r="R186" s="21" t="n">
        <v>80</v>
      </c>
      <c r="S186" s="65" t="n">
        <v>0.4</v>
      </c>
      <c r="T186" s="65" t="n">
        <v>0.05</v>
      </c>
      <c r="U186" s="65" t="n">
        <v>0.05</v>
      </c>
    </row>
    <row r="187">
      <c r="A187" s="21" t="inlineStr">
        <is>
          <t xml:space="preserve">U062 </t>
        </is>
      </c>
      <c r="B187" s="21" t="inlineStr">
        <is>
          <t xml:space="preserve">ADM. I.U. DE INVESTIGACIÓN INFORMÁTICA </t>
        </is>
      </c>
      <c r="C187" s="21" t="inlineStr">
        <is>
          <t xml:space="preserve">DOCTORADO EN INFORMÁTICA </t>
        </is>
      </c>
      <c r="D187" s="21" t="inlineStr">
        <is>
          <t xml:space="preserve">Arrebola Moreno, Clara </t>
        </is>
      </c>
      <c r="E187" s="21" t="inlineStr">
        <is>
          <t xml:space="preserve">Tecnologías aplicadas al proceso de enseñanza-aprendizaje del repertorio del Canto Lírico </t>
        </is>
      </c>
      <c r="F187" s="21" t="inlineStr">
        <is>
          <t xml:space="preserve">19/11/2021 </t>
        </is>
      </c>
      <c r="G187" s="21" t="inlineStr">
        <is>
          <t xml:space="preserve">09371918Q </t>
        </is>
      </c>
      <c r="H187" s="21" t="inlineStr">
        <is>
          <t xml:space="preserve">Codirector de tesis </t>
        </is>
      </c>
      <c r="I187" s="21" t="inlineStr">
        <is>
          <t xml:space="preserve">B148 </t>
        </is>
      </c>
      <c r="J187" s="21" t="inlineStr">
        <is>
          <t xml:space="preserve">TECNOLOGÍA INFORMÁTICA Y COMPUTACIÓN </t>
        </is>
      </c>
      <c r="K187" s="22" t="n">
        <v>0.5</v>
      </c>
      <c r="L187" s="21" t="inlineStr">
        <is>
          <t>B148</t>
        </is>
      </c>
      <c r="M187" s="22" t="n">
        <v>2021</v>
      </c>
      <c r="N187" s="21" t="inlineStr">
        <is>
          <t>10.25</t>
        </is>
      </c>
      <c r="O187" s="22" t="n">
        <v>10</v>
      </c>
      <c r="P187" s="21" t="inlineStr">
        <is>
          <t>10.19</t>
        </is>
      </c>
      <c r="Q187" s="21" t="n">
        <v>10</v>
      </c>
      <c r="R187" s="21" t="n">
        <v>80</v>
      </c>
      <c r="S187" s="65" t="n">
        <v>0.4</v>
      </c>
      <c r="T187" s="65" t="n">
        <v>0.05</v>
      </c>
      <c r="U187" s="65" t="n">
        <v>0.05</v>
      </c>
    </row>
    <row r="188">
      <c r="A188" s="21" t="inlineStr">
        <is>
          <t xml:space="preserve">U075 </t>
        </is>
      </c>
      <c r="B188" s="21" t="inlineStr">
        <is>
          <t xml:space="preserve">I.U.INVESTIGACIÓN DE ESTUDIOS SOCIALES DE AMÉRICA LATINA (10.25) </t>
        </is>
      </c>
      <c r="C188" s="21" t="inlineStr">
        <is>
          <t xml:space="preserve">DOCTORADO EN HUMANIDADES Y ESTUDIOS SOCIALES DE AMÉRICA LATINA </t>
        </is>
      </c>
      <c r="D188" s="21" t="inlineStr">
        <is>
          <t>García Chamizo, Juan Manuel</t>
        </is>
      </c>
      <c r="E188" s="21" t="inlineStr">
        <is>
          <t xml:space="preserve">Cine y turismo en la provincia de Alicante: las oportunidades perdidas para la creación de productos de turismo cinematográfico. </t>
        </is>
      </c>
      <c r="F188" s="21" t="inlineStr">
        <is>
          <t xml:space="preserve">24/11/2022 </t>
        </is>
      </c>
      <c r="G188" s="21" t="inlineStr">
        <is>
          <t xml:space="preserve">09371918Q </t>
        </is>
      </c>
      <c r="H188" s="21" t="inlineStr">
        <is>
          <t xml:space="preserve">Codirector de tesis </t>
        </is>
      </c>
      <c r="I188" s="21" t="inlineStr">
        <is>
          <t xml:space="preserve">B148 </t>
        </is>
      </c>
      <c r="J188" s="21" t="inlineStr">
        <is>
          <t xml:space="preserve">TECNOLOGÍA INFORMÁTICA Y COMPUTACIÓN </t>
        </is>
      </c>
      <c r="K188" s="22" t="n">
        <v>0.5</v>
      </c>
      <c r="L188" s="21" t="inlineStr">
        <is>
          <t>B148</t>
        </is>
      </c>
      <c r="M188" s="22" t="n">
        <v>2022</v>
      </c>
      <c r="N188" s="21" t="inlineStr">
        <is>
          <t>10.25</t>
        </is>
      </c>
      <c r="O188" s="22" t="n">
        <v>10</v>
      </c>
      <c r="P188" s="21" t="inlineStr">
        <is>
          <t>10.19</t>
        </is>
      </c>
      <c r="Q188" s="21" t="n">
        <v>10</v>
      </c>
      <c r="R188" s="21" t="n">
        <v>80</v>
      </c>
      <c r="S188" s="65" t="n">
        <v>0.4</v>
      </c>
      <c r="T188" s="65" t="n">
        <v>0.05</v>
      </c>
      <c r="U188" s="65" t="n">
        <v>0.05</v>
      </c>
    </row>
    <row r="189">
      <c r="A189" s="21" t="inlineStr">
        <is>
          <t>U044</t>
        </is>
      </c>
      <c r="B189" s="21" t="inlineStr">
        <is>
          <t>ADM. FACULTAD DE CIENCIAS DE LA SALUD</t>
        </is>
      </c>
      <c r="C189" s="21" t="inlineStr">
        <is>
          <t>DOCTORADO EN CIENCIAS DE LA SALUD</t>
        </is>
      </c>
      <c r="D189" s="21" t="inlineStr">
        <is>
          <t>Mujirishvili , Tamar</t>
        </is>
      </c>
      <c r="E189" s="21" t="inlineStr">
        <is>
          <t>Perceptions of personal safety and privacy in older adults and their caregivers in the context of video-based lifelogging technologies</t>
        </is>
      </c>
      <c r="F189" s="21" t="inlineStr">
        <is>
          <t>13/09/2024</t>
        </is>
      </c>
      <c r="G189" s="21" t="inlineStr">
        <is>
          <t>33476663W</t>
        </is>
      </c>
      <c r="H189" s="21" t="inlineStr">
        <is>
          <t>Codirector de tesis</t>
        </is>
      </c>
      <c r="I189" s="21" t="inlineStr">
        <is>
          <t>B148</t>
        </is>
      </c>
      <c r="J189" s="21" t="inlineStr">
        <is>
          <t>TECNOLOGIA INFORMATICA Y COMPUTACION</t>
        </is>
      </c>
      <c r="K189" s="22" t="n">
        <v>0.3333333333333333</v>
      </c>
      <c r="L189" s="21" t="inlineStr">
        <is>
          <t>B148</t>
        </is>
      </c>
      <c r="M189" s="22" t="n">
        <v>2023</v>
      </c>
      <c r="N189" s="21" t="inlineStr">
        <is>
          <t>10.19</t>
        </is>
      </c>
      <c r="O189" s="22" t="inlineStr">
        <is>
          <t>20</t>
        </is>
      </c>
      <c r="P189" s="21" t="inlineStr"/>
      <c r="Q189" s="21" t="inlineStr"/>
      <c r="R189" s="21" t="n">
        <v>80</v>
      </c>
      <c r="S189" s="65" t="n">
        <v>0.2666666666666667</v>
      </c>
      <c r="T189" s="66" t="n">
        <v>0.06666666666666667</v>
      </c>
      <c r="U189" s="65" t="n">
        <v>0</v>
      </c>
    </row>
    <row r="190">
      <c r="A190" s="21" t="inlineStr">
        <is>
          <t>U062</t>
        </is>
      </c>
      <c r="B190" s="21" t="inlineStr">
        <is>
          <t>I.U. DE INVESTIGACIÓN INFORMÁTICA (10.19)</t>
        </is>
      </c>
      <c r="C190" s="21" t="inlineStr">
        <is>
          <t>DOCTORADO EN INFORMÁTICA</t>
        </is>
      </c>
      <c r="D190" s="21" t="inlineStr">
        <is>
          <t>Boters Pitarch, Joan</t>
        </is>
      </c>
      <c r="E190" s="21" t="inlineStr">
        <is>
          <t>Modelo computacional de expansión en eventos influidos por el viento. El caso de los incendios forestales</t>
        </is>
      </c>
      <c r="F190" s="21" t="inlineStr">
        <is>
          <t>23/09/2024</t>
        </is>
      </c>
      <c r="G190" s="21" t="inlineStr">
        <is>
          <t>33489374V</t>
        </is>
      </c>
      <c r="H190" s="21" t="inlineStr">
        <is>
          <t>Codirector de tesis</t>
        </is>
      </c>
      <c r="I190" s="21" t="inlineStr">
        <is>
          <t>B148</t>
        </is>
      </c>
      <c r="J190" s="21" t="inlineStr">
        <is>
          <t>TECNOLOGIA INFORMATICA Y COMPUTACION</t>
        </is>
      </c>
      <c r="K190" s="22" t="n">
        <v>0.5</v>
      </c>
      <c r="L190" s="21" t="inlineStr">
        <is>
          <t>B148</t>
        </is>
      </c>
      <c r="M190" s="22" t="n">
        <v>2023</v>
      </c>
      <c r="N190" s="21" t="inlineStr">
        <is>
          <t>10.19</t>
        </is>
      </c>
      <c r="O190" s="22" t="inlineStr">
        <is>
          <t>20</t>
        </is>
      </c>
      <c r="P190" s="21" t="inlineStr"/>
      <c r="Q190" s="21" t="inlineStr"/>
      <c r="R190" s="21" t="n">
        <v>80</v>
      </c>
      <c r="S190" s="65" t="n">
        <v>0.4</v>
      </c>
      <c r="T190" s="67" t="n">
        <v>0.1</v>
      </c>
      <c r="U190" s="65" t="n">
        <v>0</v>
      </c>
    </row>
    <row r="191">
      <c r="A191" s="21" t="inlineStr">
        <is>
          <t>U062</t>
        </is>
      </c>
      <c r="B191" s="21" t="inlineStr">
        <is>
          <t>I.U. DE INVESTIGACIÓN INFORMÁTICA (10.19)</t>
        </is>
      </c>
      <c r="C191" s="21" t="inlineStr">
        <is>
          <t>DOCTORADO EN INFORMÁTICA</t>
        </is>
      </c>
      <c r="D191" s="21" t="inlineStr">
        <is>
          <t>Hojas Mazo, Wenny</t>
        </is>
      </c>
      <c r="E191" s="21" t="inlineStr">
        <is>
          <t>Clasificación inteligente de flujos no estacionarios de correos electrónicos: Un enfoque proactivo basado en metas</t>
        </is>
      </c>
      <c r="F191" s="21" t="inlineStr">
        <is>
          <t>06/09/2024</t>
        </is>
      </c>
      <c r="G191" s="21" t="inlineStr">
        <is>
          <t>48375795X</t>
        </is>
      </c>
      <c r="H191" s="21" t="inlineStr">
        <is>
          <t>Codirector de tesis</t>
        </is>
      </c>
      <c r="I191" s="21" t="inlineStr">
        <is>
          <t>B148</t>
        </is>
      </c>
      <c r="J191" s="21" t="inlineStr">
        <is>
          <t>TECNOLOGIA INFORMATICA Y COMPUTACION</t>
        </is>
      </c>
      <c r="K191" s="22" t="n">
        <v>0.3333333333333333</v>
      </c>
      <c r="L191" s="21" t="inlineStr">
        <is>
          <t>B148</t>
        </is>
      </c>
      <c r="M191" s="22" t="n">
        <v>2023</v>
      </c>
      <c r="N191" s="21" t="inlineStr">
        <is>
          <t>10.19</t>
        </is>
      </c>
      <c r="O191" s="22" t="inlineStr">
        <is>
          <t>20</t>
        </is>
      </c>
      <c r="P191" s="21" t="inlineStr"/>
      <c r="Q191" s="21" t="inlineStr"/>
      <c r="R191" s="21" t="n">
        <v>80</v>
      </c>
      <c r="S191" s="65" t="n">
        <v>0.2666666666666667</v>
      </c>
      <c r="T191" s="67" t="n">
        <v>0.06666666666666667</v>
      </c>
      <c r="U191" s="65" t="n">
        <v>0</v>
      </c>
    </row>
    <row r="192">
      <c r="A192" s="21" t="inlineStr">
        <is>
          <t>U062</t>
        </is>
      </c>
      <c r="B192" s="21" t="inlineStr">
        <is>
          <t>I.U. DE INVESTIGACIÓN INFORMÁTICA (10.19)</t>
        </is>
      </c>
      <c r="C192" s="21" t="inlineStr">
        <is>
          <t>DOCTORADO EN INFORMÁTICA</t>
        </is>
      </c>
      <c r="D192" s="21" t="inlineStr">
        <is>
          <t>Hojas Mazo, Wenny</t>
        </is>
      </c>
      <c r="E192" s="21" t="inlineStr">
        <is>
          <t>Clasificación inteligente de flujos no estacionarios de correos electrónicos: Un enfoque proactivo basado en metas</t>
        </is>
      </c>
      <c r="F192" s="21" t="inlineStr">
        <is>
          <t>06/09/2024</t>
        </is>
      </c>
      <c r="G192" s="21" t="inlineStr">
        <is>
          <t>21474037H</t>
        </is>
      </c>
      <c r="H192" s="21" t="inlineStr">
        <is>
          <t>Codirector de tesis</t>
        </is>
      </c>
      <c r="I192" s="21" t="inlineStr">
        <is>
          <t>B148</t>
        </is>
      </c>
      <c r="J192" s="21" t="inlineStr">
        <is>
          <t>TECNOLOGIA INFORMATICA Y COMPUTACION</t>
        </is>
      </c>
      <c r="K192" s="22" t="n">
        <v>0.3333333333333333</v>
      </c>
      <c r="L192" s="21" t="inlineStr">
        <is>
          <t>B148</t>
        </is>
      </c>
      <c r="M192" s="22" t="n">
        <v>2023</v>
      </c>
      <c r="N192" s="21" t="inlineStr">
        <is>
          <t>10.19</t>
        </is>
      </c>
      <c r="O192" s="22" t="inlineStr">
        <is>
          <t>20</t>
        </is>
      </c>
      <c r="P192" s="21" t="inlineStr"/>
      <c r="Q192" s="21" t="inlineStr"/>
      <c r="R192" s="21" t="n">
        <v>80</v>
      </c>
      <c r="S192" s="65" t="n">
        <v>0.2666666666666667</v>
      </c>
      <c r="T192" s="67" t="n">
        <v>0.06666666666666667</v>
      </c>
      <c r="U192" s="65" t="n">
        <v>0</v>
      </c>
    </row>
    <row r="193">
      <c r="A193" s="21" t="inlineStr">
        <is>
          <t>U062</t>
        </is>
      </c>
      <c r="B193" s="21" t="inlineStr">
        <is>
          <t>Instituto Universitario de Investigación Informática (10.19)</t>
        </is>
      </c>
      <c r="C193" s="21" t="inlineStr">
        <is>
          <t>DOCTORADO EN INFORMÁTICA</t>
        </is>
      </c>
      <c r="D193" s="21" t="inlineStr">
        <is>
          <t>Brenes Carranza, José Antonio</t>
        </is>
      </c>
      <c r="E193" s="21" t="inlineStr">
        <is>
          <t>ARQUITECTURA PARA MONITORIZACIÓN, CONTROL Y NOTIFICACIÓN PERSONALIZADA
PARA AGRICULTURA DE PRECISIÓN DIRIGIDA A PEQUEÑOS Y MEDIANOS
AGRICULTORES</t>
        </is>
      </c>
      <c r="F193" s="21" t="inlineStr">
        <is>
          <t>11/06/2025</t>
        </is>
      </c>
      <c r="G193" s="21" t="inlineStr">
        <is>
          <t>'-</t>
        </is>
      </c>
      <c r="H193" s="21" t="inlineStr">
        <is>
          <t>Codirector de tesis</t>
        </is>
      </c>
      <c r="I193" s="21" t="inlineStr">
        <is>
          <t>U062</t>
        </is>
      </c>
      <c r="J193" s="21" t="inlineStr">
        <is>
          <t>Instituto Universitario de Investigación Informática (10.19)</t>
        </is>
      </c>
      <c r="K193" s="22" t="n">
        <v>0.5</v>
      </c>
      <c r="L193" s="21" t="inlineStr">
        <is>
          <t>10.19</t>
        </is>
      </c>
      <c r="M193" s="22" t="n">
        <v>2024</v>
      </c>
      <c r="N193" s="21" t="inlineStr"/>
      <c r="O193" s="22" t="inlineStr"/>
      <c r="P193" s="21" t="inlineStr"/>
      <c r="Q193" s="21" t="inlineStr"/>
      <c r="R193" s="21" t="n">
        <v>100</v>
      </c>
      <c r="S193" s="65" t="n">
        <v>0.5</v>
      </c>
      <c r="T193" s="65" t="n">
        <v>0</v>
      </c>
      <c r="U193" s="65" t="n">
        <v>0</v>
      </c>
    </row>
    <row r="194">
      <c r="A194" s="21" t="inlineStr">
        <is>
          <t>U062</t>
        </is>
      </c>
      <c r="B194" s="21" t="inlineStr">
        <is>
          <t>Instituto Universitario de Investigación Informática (10.19)</t>
        </is>
      </c>
      <c r="C194" s="21" t="inlineStr">
        <is>
          <t>DOCTORADO EN INFORMÁTICA</t>
        </is>
      </c>
      <c r="D194" s="21" t="inlineStr">
        <is>
          <t>Crespo Cano, Rubén</t>
        </is>
      </c>
      <c r="E194" s="21" t="inlineStr">
        <is>
          <t>Estudio, caracterización y optimización mediante metaheurísticas multiobjetivo y modelos de
aprendizaje automático de modelos bioinspirados de visión / Study, characterization, and optimization through
multi-objective metaheuristics and machine learn</t>
        </is>
      </c>
      <c r="F194" s="21" t="inlineStr">
        <is>
          <t>28/03/2025</t>
        </is>
      </c>
      <c r="G194" s="21" t="inlineStr">
        <is>
          <t>'-</t>
        </is>
      </c>
      <c r="H194" s="21" t="inlineStr">
        <is>
          <t>Codirector de tesis</t>
        </is>
      </c>
      <c r="I194" s="21" t="inlineStr">
        <is>
          <t>U062</t>
        </is>
      </c>
      <c r="J194" s="21" t="inlineStr">
        <is>
          <t>Instituto Universitario de Investigación Informática (10.19)</t>
        </is>
      </c>
      <c r="K194" s="22" t="n">
        <v>0.5</v>
      </c>
      <c r="L194" s="21" t="inlineStr">
        <is>
          <t>10.19</t>
        </is>
      </c>
      <c r="M194" s="22" t="n">
        <v>2024</v>
      </c>
      <c r="N194" s="21" t="inlineStr"/>
      <c r="O194" s="22" t="inlineStr"/>
      <c r="P194" s="21" t="inlineStr"/>
      <c r="Q194" s="21" t="inlineStr"/>
      <c r="R194" s="21" t="n">
        <v>100</v>
      </c>
      <c r="S194" s="65" t="n">
        <v>0.5</v>
      </c>
      <c r="T194" s="65" t="n">
        <v>0</v>
      </c>
      <c r="U194" s="65" t="n">
        <v>0</v>
      </c>
    </row>
    <row r="195">
      <c r="A195" s="21" t="inlineStr">
        <is>
          <t>U062</t>
        </is>
      </c>
      <c r="B195" s="21" t="inlineStr">
        <is>
          <t>Instituto Universitario de Investigación Informática (10.19)</t>
        </is>
      </c>
      <c r="C195" s="21" t="inlineStr">
        <is>
          <t>DOCTORADO EN INFORMÁTICA</t>
        </is>
      </c>
      <c r="D195" s="21" t="inlineStr">
        <is>
          <t>Sáez Pérez, Javier</t>
        </is>
      </c>
      <c r="E195" s="21" t="inlineStr">
        <is>
          <t>Autonomous Off-Road Vehicles: Enhancing Perception, Remote Control, and Environmental Impact Through Advanced AI Techniques</t>
        </is>
      </c>
      <c r="F195" s="21" t="inlineStr">
        <is>
          <t>05/11/2024</t>
        </is>
      </c>
      <c r="G195" s="21" t="inlineStr">
        <is>
          <t>'-</t>
        </is>
      </c>
      <c r="H195" s="21" t="inlineStr">
        <is>
          <t>Codirector de tesis</t>
        </is>
      </c>
      <c r="I195" s="21" t="inlineStr">
        <is>
          <t>U062</t>
        </is>
      </c>
      <c r="J195" s="21" t="inlineStr">
        <is>
          <t>Instituto Universitario de Investigación Informática (10.19)</t>
        </is>
      </c>
      <c r="K195" s="22" t="n">
        <v>0.5</v>
      </c>
      <c r="L195" s="21" t="inlineStr">
        <is>
          <t>10.19</t>
        </is>
      </c>
      <c r="M195" s="22" t="n">
        <v>2024</v>
      </c>
      <c r="N195" s="21" t="inlineStr"/>
      <c r="O195" s="22" t="inlineStr"/>
      <c r="P195" s="21" t="inlineStr"/>
      <c r="Q195" s="21" t="inlineStr"/>
      <c r="R195" s="21" t="n">
        <v>100</v>
      </c>
      <c r="S195" s="65" t="n">
        <v>0.5</v>
      </c>
      <c r="T195" s="65" t="n">
        <v>0</v>
      </c>
      <c r="U195" s="65" t="n">
        <v>0</v>
      </c>
    </row>
    <row r="196">
      <c r="A196" s="21" t="inlineStr">
        <is>
          <t>U062</t>
        </is>
      </c>
      <c r="B196" s="21" t="inlineStr">
        <is>
          <t>Instituto Universitario de Investigación Informática (10.19)</t>
        </is>
      </c>
      <c r="C196" s="21" t="inlineStr">
        <is>
          <t>DOCTORADO EN INFORMÁTICA</t>
        </is>
      </c>
      <c r="D196" s="21" t="inlineStr">
        <is>
          <t>Gama García, Ángel Manuel</t>
        </is>
      </c>
      <c r="E196" s="21" t="inlineStr">
        <is>
          <t>End-To-End Service Management in Multi-tenant Beyond 5G Networks</t>
        </is>
      </c>
      <c r="F196" s="21" t="inlineStr">
        <is>
          <t>14/11/2024</t>
        </is>
      </c>
      <c r="G196" s="21" t="inlineStr">
        <is>
          <t>'-</t>
        </is>
      </c>
      <c r="H196" s="21" t="inlineStr">
        <is>
          <t>Codirector de tesis</t>
        </is>
      </c>
      <c r="I196" s="21" t="inlineStr">
        <is>
          <t>U062</t>
        </is>
      </c>
      <c r="J196" s="21" t="inlineStr">
        <is>
          <t>Instituto Universitario de Investigación Informática (10.19)</t>
        </is>
      </c>
      <c r="K196" s="22" t="n">
        <v>0.5</v>
      </c>
      <c r="L196" s="21" t="inlineStr">
        <is>
          <t>10.19</t>
        </is>
      </c>
      <c r="M196" s="22" t="n">
        <v>2024</v>
      </c>
      <c r="N196" s="21" t="inlineStr"/>
      <c r="O196" s="22" t="inlineStr"/>
      <c r="P196" s="21" t="inlineStr"/>
      <c r="Q196" s="21" t="inlineStr"/>
      <c r="R196" s="21" t="n">
        <v>100</v>
      </c>
      <c r="S196" s="65" t="n">
        <v>0.5</v>
      </c>
      <c r="T196" s="65" t="n">
        <v>0</v>
      </c>
      <c r="U196" s="65" t="n">
        <v>0</v>
      </c>
    </row>
    <row r="197">
      <c r="A197" s="21" t="inlineStr">
        <is>
          <t>U062</t>
        </is>
      </c>
      <c r="B197" s="21" t="inlineStr">
        <is>
          <t>Instituto Universitario de Investigación Informática (10.19)</t>
        </is>
      </c>
      <c r="C197" s="21" t="inlineStr">
        <is>
          <t>DOCTORADO EN INFORMÁTICA</t>
        </is>
      </c>
      <c r="D197" s="21" t="inlineStr">
        <is>
          <t>Arnaiz Rodríguez, Adrián</t>
        </is>
      </c>
      <c r="E197" s="21" t="inlineStr">
        <is>
          <t>A Sociotechnical Approach to Trustworthy AI: from Algorithms to Regulation</t>
        </is>
      </c>
      <c r="F197" s="21" t="inlineStr">
        <is>
          <t>26/09/2025</t>
        </is>
      </c>
      <c r="G197" s="21" t="inlineStr">
        <is>
          <t>'-</t>
        </is>
      </c>
      <c r="H197" s="21" t="inlineStr">
        <is>
          <t>Codirector de tesis</t>
        </is>
      </c>
      <c r="I197" s="21" t="inlineStr">
        <is>
          <t>U062</t>
        </is>
      </c>
      <c r="J197" s="21" t="inlineStr">
        <is>
          <t>Instituto Universitario de Investigación Informática (10.19)</t>
        </is>
      </c>
      <c r="K197" s="22" t="n">
        <v>0.5</v>
      </c>
      <c r="L197" s="21" t="inlineStr">
        <is>
          <t>10.19</t>
        </is>
      </c>
      <c r="M197" s="22" t="n">
        <v>2024</v>
      </c>
      <c r="N197" s="21" t="inlineStr"/>
      <c r="O197" s="22" t="inlineStr"/>
      <c r="P197" s="21" t="inlineStr"/>
      <c r="Q197" s="21" t="inlineStr"/>
      <c r="R197" s="21" t="n">
        <v>100</v>
      </c>
      <c r="S197" s="65" t="n">
        <v>0.5</v>
      </c>
      <c r="T197" s="65" t="n">
        <v>0</v>
      </c>
      <c r="U197" s="65" t="n">
        <v>0</v>
      </c>
    </row>
    <row r="198">
      <c r="A198" s="21" t="inlineStr">
        <is>
          <t>U062</t>
        </is>
      </c>
      <c r="B198" s="21" t="inlineStr">
        <is>
          <t>Instituto Universitario de Investigación Informática (10.19)</t>
        </is>
      </c>
      <c r="C198" s="21" t="inlineStr">
        <is>
          <t>DOCTORADO EN INFORMÁTICA</t>
        </is>
      </c>
      <c r="D198" s="21" t="inlineStr">
        <is>
          <t>Németh , Gergely Dániel</t>
        </is>
      </c>
      <c r="E198" s="21" t="inlineStr">
        <is>
          <t>Relaxing Core Assumptions: the Impact of Data, Model and Participation Heterogeneity
on Performance, Privacy and Fairness in Federated Learning</t>
        </is>
      </c>
      <c r="F198" s="21" t="inlineStr">
        <is>
          <t>12/09/2025</t>
        </is>
      </c>
      <c r="G198" s="21" t="inlineStr">
        <is>
          <t>'-</t>
        </is>
      </c>
      <c r="H198" s="21" t="inlineStr">
        <is>
          <t>Codirector de tesis</t>
        </is>
      </c>
      <c r="I198" s="21" t="inlineStr">
        <is>
          <t>U062</t>
        </is>
      </c>
      <c r="J198" s="21" t="inlineStr">
        <is>
          <t>Instituto Universitario de Investigación Informática (10.19)</t>
        </is>
      </c>
      <c r="K198" s="22" t="n">
        <v>0.5</v>
      </c>
      <c r="L198" s="21" t="inlineStr">
        <is>
          <t>10.19</t>
        </is>
      </c>
      <c r="M198" s="22" t="n">
        <v>2024</v>
      </c>
      <c r="N198" s="21" t="inlineStr"/>
      <c r="O198" s="22" t="inlineStr"/>
      <c r="P198" s="21" t="inlineStr"/>
      <c r="Q198" s="21" t="inlineStr"/>
      <c r="R198" s="21" t="n">
        <v>100</v>
      </c>
      <c r="S198" s="65" t="n">
        <v>0.5</v>
      </c>
      <c r="T198" s="65" t="n">
        <v>0</v>
      </c>
      <c r="U198" s="65" t="n">
        <v>0</v>
      </c>
    </row>
    <row r="199">
      <c r="A199" s="21" t="inlineStr">
        <is>
          <t>U062</t>
        </is>
      </c>
      <c r="B199" s="21" t="inlineStr">
        <is>
          <t>Instituto Universitario de Investigación Informática (10.19)</t>
        </is>
      </c>
      <c r="C199" s="21" t="inlineStr">
        <is>
          <t>DOCTORADO EN INFORMÁTICA</t>
        </is>
      </c>
      <c r="D199" s="21" t="inlineStr">
        <is>
          <t>Riccio , Piera</t>
        </is>
      </c>
      <c r="E199" s="21" t="inlineStr">
        <is>
          <t>Human aesthetics under the representational power of Artificial Intelligence</t>
        </is>
      </c>
      <c r="F199" s="21" t="inlineStr">
        <is>
          <t>22/09/2025</t>
        </is>
      </c>
      <c r="G199" s="21" t="inlineStr">
        <is>
          <t>'-</t>
        </is>
      </c>
      <c r="H199" s="21" t="inlineStr">
        <is>
          <t>Codirector de tesis</t>
        </is>
      </c>
      <c r="I199" s="21" t="inlineStr">
        <is>
          <t>U062</t>
        </is>
      </c>
      <c r="J199" s="21" t="inlineStr">
        <is>
          <t>Instituto Universitario de Investigación Informática (10.19)</t>
        </is>
      </c>
      <c r="K199" s="22" t="n">
        <v>0.5</v>
      </c>
      <c r="L199" s="21" t="inlineStr">
        <is>
          <t>10.19</t>
        </is>
      </c>
      <c r="M199" s="22" t="n">
        <v>2024</v>
      </c>
      <c r="N199" s="21" t="inlineStr"/>
      <c r="O199" s="22" t="inlineStr"/>
      <c r="P199" s="21" t="inlineStr"/>
      <c r="Q199" s="21" t="inlineStr"/>
      <c r="R199" s="21" t="n">
        <v>100</v>
      </c>
      <c r="S199" s="65" t="n">
        <v>0.5</v>
      </c>
      <c r="T199" s="65" t="n">
        <v>0</v>
      </c>
      <c r="U199" s="65" t="n">
        <v>0</v>
      </c>
    </row>
    <row r="200">
      <c r="A200" s="21" t="inlineStr">
        <is>
          <t>U044</t>
        </is>
      </c>
      <c r="B200" s="21" t="inlineStr">
        <is>
          <t>Administración Facultad de Ciencias de la Salud</t>
        </is>
      </c>
      <c r="C200" s="21" t="inlineStr">
        <is>
          <t>DOCTORADO EN CIENCIAS DE LA SALUD</t>
        </is>
      </c>
      <c r="D200" s="21" t="inlineStr">
        <is>
          <t>Pagan Conesa, Jose Alejandro</t>
        </is>
      </c>
      <c r="E200" s="21" t="inlineStr">
        <is>
          <t>Influencia del grado de retracción del tendón supraespinoso sobre el resultado de la
reparación artroscópica</t>
        </is>
      </c>
      <c r="F200" s="21" t="inlineStr">
        <is>
          <t>11/03/2025</t>
        </is>
      </c>
      <c r="G200" s="21" t="inlineStr">
        <is>
          <t>21510925Z</t>
        </is>
      </c>
      <c r="H200" s="21" t="inlineStr">
        <is>
          <t>Codirector de tesis</t>
        </is>
      </c>
      <c r="I200" s="21" t="inlineStr">
        <is>
          <t>B134</t>
        </is>
      </c>
      <c r="J200" s="21" t="inlineStr">
        <is>
          <t>Enfermería</t>
        </is>
      </c>
      <c r="K200" s="22" t="n">
        <v>0.5</v>
      </c>
      <c r="L200" s="21" t="inlineStr">
        <is>
          <t>B134</t>
        </is>
      </c>
      <c r="M200" s="22" t="n">
        <v>2024</v>
      </c>
      <c r="N200" s="21" t="inlineStr">
        <is>
          <t>10.19</t>
        </is>
      </c>
      <c r="O200" s="22" t="inlineStr">
        <is>
          <t>20</t>
        </is>
      </c>
      <c r="P200" s="21" t="inlineStr"/>
      <c r="Q200" s="21" t="inlineStr"/>
      <c r="R200" s="21" t="n">
        <v>80</v>
      </c>
      <c r="S200" s="65" t="n">
        <v>0.4</v>
      </c>
      <c r="T200" s="65" t="n">
        <v>0.1</v>
      </c>
      <c r="U200" s="65" t="n">
        <v>0</v>
      </c>
    </row>
    <row r="201">
      <c r="A201" s="21" t="inlineStr">
        <is>
          <t>U044</t>
        </is>
      </c>
      <c r="B201" s="21" t="inlineStr">
        <is>
          <t>Administración Facultad de Ciencias de la Salud</t>
        </is>
      </c>
      <c r="C201" s="21" t="inlineStr">
        <is>
          <t>DOCTORADO EN CIENCIAS DE LA SALUD</t>
        </is>
      </c>
      <c r="D201" s="21" t="inlineStr">
        <is>
          <t>DEL ROSARIO GILABERT, David</t>
        </is>
      </c>
      <c r="E201" s="21" t="inlineStr">
        <is>
          <t>Efectos de las ondas mecánicas audibles sobre neuronas no auditivas: diseño e
implementación de dispositivos biocompatibles para aplicaciones de sonobiología</t>
        </is>
      </c>
      <c r="F201" s="21" t="inlineStr">
        <is>
          <t>25/03/2025</t>
        </is>
      </c>
      <c r="G201" s="21" t="inlineStr">
        <is>
          <t>21510176R</t>
        </is>
      </c>
      <c r="H201" s="21" t="inlineStr">
        <is>
          <t>Codirector de tesis</t>
        </is>
      </c>
      <c r="I201" s="21" t="inlineStr">
        <is>
          <t>B148</t>
        </is>
      </c>
      <c r="J201" s="21" t="inlineStr">
        <is>
          <t>Tecnología Informática y Computación</t>
        </is>
      </c>
      <c r="K201" s="22" t="n">
        <v>0.5</v>
      </c>
      <c r="L201" s="21" t="inlineStr">
        <is>
          <t>B148</t>
        </is>
      </c>
      <c r="M201" s="22" t="n">
        <v>2024</v>
      </c>
      <c r="N201" s="21" t="inlineStr">
        <is>
          <t>10.19</t>
        </is>
      </c>
      <c r="O201" s="22" t="inlineStr">
        <is>
          <t>20</t>
        </is>
      </c>
      <c r="P201" s="21" t="inlineStr"/>
      <c r="Q201" s="21" t="inlineStr"/>
      <c r="R201" s="21" t="n">
        <v>80</v>
      </c>
      <c r="S201" s="65" t="n">
        <v>0.4</v>
      </c>
      <c r="T201" s="65" t="n">
        <v>0.1</v>
      </c>
      <c r="U201" s="65" t="n">
        <v>0</v>
      </c>
    </row>
    <row r="202">
      <c r="A202" s="21" t="inlineStr">
        <is>
          <t>U062</t>
        </is>
      </c>
      <c r="B202" s="21" t="inlineStr">
        <is>
          <t>Instituto Universitario de Investigación Informática (10.19)</t>
        </is>
      </c>
      <c r="C202" s="21" t="inlineStr">
        <is>
          <t>DOCTORADO EN INFORMÁTICA</t>
        </is>
      </c>
      <c r="D202" s="21" t="inlineStr">
        <is>
          <t>Brenes Carranza, José Antonio</t>
        </is>
      </c>
      <c r="E202" s="21" t="inlineStr">
        <is>
          <t>ARQUITECTURA PARA MONITORIZACIÓN, CONTROL Y NOTIFICACIÓN PERSONALIZADA
PARA AGRICULTURA DE PRECISIÓN DIRIGIDA A PEQUEÑOS Y MEDIANOS
AGRICULTORES</t>
        </is>
      </c>
      <c r="F202" s="21" t="inlineStr">
        <is>
          <t>11/06/2025</t>
        </is>
      </c>
      <c r="G202" s="21" t="inlineStr">
        <is>
          <t>09371918Q</t>
        </is>
      </c>
      <c r="H202" s="21" t="inlineStr">
        <is>
          <t>Codirector de tesis</t>
        </is>
      </c>
      <c r="I202" s="21" t="inlineStr">
        <is>
          <t>B148</t>
        </is>
      </c>
      <c r="J202" s="21" t="inlineStr">
        <is>
          <t>Tecnología Informática y Computación</t>
        </is>
      </c>
      <c r="K202" s="22" t="n">
        <v>0.5</v>
      </c>
      <c r="L202" s="21" t="inlineStr">
        <is>
          <t>B148</t>
        </is>
      </c>
      <c r="M202" s="22" t="n">
        <v>2024</v>
      </c>
      <c r="N202" s="21" t="inlineStr">
        <is>
          <t>10.19</t>
        </is>
      </c>
      <c r="O202" s="22" t="inlineStr">
        <is>
          <t>10</t>
        </is>
      </c>
      <c r="P202" s="21" t="inlineStr">
        <is>
          <t>10.25</t>
        </is>
      </c>
      <c r="Q202" s="21" t="inlineStr">
        <is>
          <t>10</t>
        </is>
      </c>
      <c r="R202" s="21" t="n">
        <v>80</v>
      </c>
      <c r="S202" s="65" t="n">
        <v>0.4</v>
      </c>
      <c r="T202" s="65" t="n">
        <v>0.05</v>
      </c>
      <c r="U202" s="65" t="n">
        <v>0.05</v>
      </c>
    </row>
    <row r="203">
      <c r="A203" s="21" t="inlineStr">
        <is>
          <t>U062</t>
        </is>
      </c>
      <c r="B203" s="21" t="inlineStr">
        <is>
          <t>Instituto Universitario de Investigación Informática (10.19)</t>
        </is>
      </c>
      <c r="C203" s="21" t="inlineStr">
        <is>
          <t>DOCTORADO EN INFORMÁTICA</t>
        </is>
      </c>
      <c r="D203" s="21" t="inlineStr">
        <is>
          <t>Villarroya Carpio, Arturo</t>
        </is>
      </c>
      <c r="E203" s="21" t="inlineStr">
        <is>
          <t>Repeat-pass interferometric coherence as a SAR tool for crop monitoring</t>
        </is>
      </c>
      <c r="F203" s="21" t="inlineStr">
        <is>
          <t>07/03/2025</t>
        </is>
      </c>
      <c r="G203" s="21" t="inlineStr">
        <is>
          <t>21503683V</t>
        </is>
      </c>
      <c r="H203" s="21" t="inlineStr">
        <is>
          <t>Director de tesis</t>
        </is>
      </c>
      <c r="I203" s="21" t="inlineStr">
        <is>
          <t>B149</t>
        </is>
      </c>
      <c r="J203" s="21" t="inlineStr">
        <is>
          <t>Física, Ingeniería de Sistemas y Teoría de la Señal</t>
        </is>
      </c>
      <c r="K203" s="22" t="n">
        <v>1</v>
      </c>
      <c r="L203" s="21" t="inlineStr">
        <is>
          <t>B149</t>
        </is>
      </c>
      <c r="M203" s="22" t="n">
        <v>2024</v>
      </c>
      <c r="N203" s="21" t="inlineStr">
        <is>
          <t>10.19</t>
        </is>
      </c>
      <c r="O203" s="22" t="inlineStr">
        <is>
          <t>50</t>
        </is>
      </c>
      <c r="P203" s="21" t="inlineStr"/>
      <c r="Q203" s="21" t="inlineStr"/>
      <c r="R203" s="21" t="n">
        <v>50</v>
      </c>
      <c r="S203" s="65" t="n">
        <v>0.5</v>
      </c>
      <c r="T203" s="65" t="n">
        <v>0.5</v>
      </c>
      <c r="U203" s="65" t="n">
        <v>0</v>
      </c>
    </row>
    <row r="204">
      <c r="A204" s="21" t="inlineStr">
        <is>
          <t>U062</t>
        </is>
      </c>
      <c r="B204" s="21" t="inlineStr">
        <is>
          <t>Instituto Universitario de Investigación Informática (10.19)</t>
        </is>
      </c>
      <c r="C204" s="21" t="inlineStr">
        <is>
          <t>DOCTORADO EN INFORMÁTICA</t>
        </is>
      </c>
      <c r="D204" s="21" t="inlineStr">
        <is>
          <t>Sanchis Bernabeu, Francisco Javier</t>
        </is>
      </c>
      <c r="E204" s="21" t="inlineStr">
        <is>
          <t>Computer-Aided Diagnostic Tools based on Encephalography and Deep Learning for the detection of mental issues: case of Attention Deficit Hyperactivity Disorder</t>
        </is>
      </c>
      <c r="F204" s="21" t="inlineStr">
        <is>
          <t>19/11/2024</t>
        </is>
      </c>
      <c r="G204" s="21" t="inlineStr">
        <is>
          <t>21494991L</t>
        </is>
      </c>
      <c r="H204" s="21" t="inlineStr">
        <is>
          <t>Codirector de tesis</t>
        </is>
      </c>
      <c r="I204" s="21" t="inlineStr">
        <is>
          <t>B158</t>
        </is>
      </c>
      <c r="J204" s="21" t="inlineStr">
        <is>
          <t>Lenguajes y Sistemas Informáticos</t>
        </is>
      </c>
      <c r="K204" s="22" t="n">
        <v>0.5</v>
      </c>
      <c r="L204" s="21" t="inlineStr">
        <is>
          <t>B158</t>
        </is>
      </c>
      <c r="M204" s="22" t="n">
        <v>2024</v>
      </c>
      <c r="N204" s="21" t="inlineStr">
        <is>
          <t>10.19</t>
        </is>
      </c>
      <c r="O204" s="22" t="inlineStr">
        <is>
          <t>50</t>
        </is>
      </c>
      <c r="P204" s="21" t="inlineStr"/>
      <c r="Q204" s="21" t="inlineStr"/>
      <c r="R204" s="21" t="n">
        <v>50</v>
      </c>
      <c r="S204" s="65" t="n">
        <v>0.25</v>
      </c>
      <c r="T204" s="65" t="n">
        <v>0.25</v>
      </c>
      <c r="U204" s="65" t="n">
        <v>0</v>
      </c>
    </row>
    <row r="205">
      <c r="A205" s="21" t="inlineStr">
        <is>
          <t>U062</t>
        </is>
      </c>
      <c r="B205" s="21" t="inlineStr">
        <is>
          <t>Instituto Universitario de Investigación Informática (10.19)</t>
        </is>
      </c>
      <c r="C205" s="21" t="inlineStr">
        <is>
          <t>DOCTORADO EN INFORMÁTICA</t>
        </is>
      </c>
      <c r="D205" s="21" t="inlineStr">
        <is>
          <t>Sanchis Bernabeu, Francisco Javier</t>
        </is>
      </c>
      <c r="E205" s="21" t="inlineStr">
        <is>
          <t>Computer-Aided Diagnostic Tools based on Encephalography and Deep Learning for the detection of mental issues: case of Attention Deficit Hyperactivity Disorder</t>
        </is>
      </c>
      <c r="F205" s="21" t="inlineStr">
        <is>
          <t>19/11/2024</t>
        </is>
      </c>
      <c r="G205" s="21" t="inlineStr">
        <is>
          <t>47075279Y</t>
        </is>
      </c>
      <c r="H205" s="21" t="inlineStr">
        <is>
          <t>Codirector de tesis</t>
        </is>
      </c>
      <c r="I205" s="21" t="inlineStr">
        <is>
          <t>B158</t>
        </is>
      </c>
      <c r="J205" s="21" t="inlineStr">
        <is>
          <t>Lenguajes y Sistemas Informáticos</t>
        </is>
      </c>
      <c r="K205" s="22" t="n">
        <v>0.5</v>
      </c>
      <c r="L205" s="21" t="inlineStr">
        <is>
          <t>B158</t>
        </is>
      </c>
      <c r="M205" s="22" t="n">
        <v>2024</v>
      </c>
      <c r="N205" s="21" t="inlineStr">
        <is>
          <t>10.19</t>
        </is>
      </c>
      <c r="O205" s="22" t="inlineStr">
        <is>
          <t>20</t>
        </is>
      </c>
      <c r="P205" s="21" t="inlineStr"/>
      <c r="Q205" s="21" t="inlineStr"/>
      <c r="R205" s="21" t="n">
        <v>80</v>
      </c>
      <c r="S205" s="65" t="n">
        <v>0.4</v>
      </c>
      <c r="T205" s="65" t="n">
        <v>0.1</v>
      </c>
      <c r="U205" s="65" t="n">
        <v>0</v>
      </c>
    </row>
    <row r="206">
      <c r="A206" s="21" t="inlineStr">
        <is>
          <t>U062</t>
        </is>
      </c>
      <c r="B206" s="21" t="inlineStr">
        <is>
          <t>Instituto Universitario de Investigación Informática (10.19)</t>
        </is>
      </c>
      <c r="C206" s="21" t="inlineStr">
        <is>
          <t>DOCTORADO EN INFORMÁTICA</t>
        </is>
      </c>
      <c r="D206" s="21" t="inlineStr">
        <is>
          <t>Crespo Cano, Rubén</t>
        </is>
      </c>
      <c r="E206" s="21" t="inlineStr">
        <is>
          <t>Estudio, caracterización y optimización mediante metaheurísticas multiobjetivo y modelos de
aprendizaje automático de modelos bioinspirados de visión / Study, characterization, and optimization through
multi-objective metaheuristics and machine learn</t>
        </is>
      </c>
      <c r="F206" s="21" t="inlineStr">
        <is>
          <t>28/03/2025</t>
        </is>
      </c>
      <c r="G206" s="21" t="inlineStr">
        <is>
          <t>74653004H</t>
        </is>
      </c>
      <c r="H206" s="21" t="inlineStr">
        <is>
          <t>Codirector de tesis</t>
        </is>
      </c>
      <c r="I206" s="21" t="inlineStr">
        <is>
          <t>B148</t>
        </is>
      </c>
      <c r="J206" s="21" t="inlineStr">
        <is>
          <t>Tecnología Informática y Computación</t>
        </is>
      </c>
      <c r="K206" s="22" t="n">
        <v>0.5</v>
      </c>
      <c r="L206" s="21" t="inlineStr">
        <is>
          <t>B148</t>
        </is>
      </c>
      <c r="M206" s="22" t="n">
        <v>2024</v>
      </c>
      <c r="N206" s="21" t="inlineStr">
        <is>
          <t>10.19</t>
        </is>
      </c>
      <c r="O206" s="22" t="inlineStr">
        <is>
          <t>20</t>
        </is>
      </c>
      <c r="P206" s="21" t="inlineStr"/>
      <c r="Q206" s="21" t="inlineStr"/>
      <c r="R206" s="21" t="n">
        <v>80</v>
      </c>
      <c r="S206" s="65" t="n">
        <v>0.4</v>
      </c>
      <c r="T206" s="65" t="n">
        <v>0.1</v>
      </c>
      <c r="U206" s="65" t="n">
        <v>0</v>
      </c>
    </row>
    <row r="207">
      <c r="A207" s="21" t="inlineStr">
        <is>
          <t>U062</t>
        </is>
      </c>
      <c r="B207" s="21" t="inlineStr">
        <is>
          <t>Instituto Universitario de Investigación Informática (10.19)</t>
        </is>
      </c>
      <c r="C207" s="21" t="inlineStr">
        <is>
          <t>DOCTORADO EN INFORMÁTICA</t>
        </is>
      </c>
      <c r="D207" s="21" t="inlineStr">
        <is>
          <t>Miró Maestre, María</t>
        </is>
      </c>
      <c r="E207" s="21" t="inlineStr">
        <is>
          <t>Procesamiento automático de la pragmática en español a partir de las intenciones
comunicativas</t>
        </is>
      </c>
      <c r="F207" s="21" t="inlineStr">
        <is>
          <t>11/06/2025</t>
        </is>
      </c>
      <c r="G207" s="21" t="inlineStr">
        <is>
          <t>21457966R</t>
        </is>
      </c>
      <c r="H207" s="21" t="inlineStr">
        <is>
          <t>Director de tesis</t>
        </is>
      </c>
      <c r="I207" s="21" t="inlineStr">
        <is>
          <t>B158</t>
        </is>
      </c>
      <c r="J207" s="21" t="inlineStr">
        <is>
          <t>Lenguajes y Sistemas Informáticos</t>
        </is>
      </c>
      <c r="K207" s="22" t="n">
        <v>1</v>
      </c>
      <c r="L207" s="21" t="inlineStr">
        <is>
          <t>B158</t>
        </is>
      </c>
      <c r="M207" s="22" t="n">
        <v>2024</v>
      </c>
      <c r="N207" s="21" t="inlineStr">
        <is>
          <t>10.19</t>
        </is>
      </c>
      <c r="O207" s="22" t="inlineStr">
        <is>
          <t>20</t>
        </is>
      </c>
      <c r="P207" s="21" t="inlineStr"/>
      <c r="Q207" s="21" t="inlineStr"/>
      <c r="R207" s="21" t="n">
        <v>80</v>
      </c>
      <c r="S207" s="65" t="n">
        <v>0.8</v>
      </c>
      <c r="T207" s="65" t="n">
        <v>0.2</v>
      </c>
      <c r="U207" s="65" t="n">
        <v>0</v>
      </c>
    </row>
    <row r="208">
      <c r="A208" s="21" t="inlineStr">
        <is>
          <t>U062</t>
        </is>
      </c>
      <c r="B208" s="21" t="inlineStr">
        <is>
          <t>Instituto Universitario de Investigación Informática (10.19)</t>
        </is>
      </c>
      <c r="C208" s="21" t="inlineStr">
        <is>
          <t>DOCTORADO EN INFORMÁTICA</t>
        </is>
      </c>
      <c r="D208" s="21" t="inlineStr">
        <is>
          <t>Villena Martínez, Víctor</t>
        </is>
      </c>
      <c r="E208" s="21" t="inlineStr">
        <is>
          <t>Computer vision and machine learning methodology for registering and reconstructing three-dimensional models</t>
        </is>
      </c>
      <c r="F208" s="21" t="inlineStr">
        <is>
          <t>12/12/2024</t>
        </is>
      </c>
      <c r="G208" s="21" t="inlineStr">
        <is>
          <t>52764803C</t>
        </is>
      </c>
      <c r="H208" s="21" t="inlineStr">
        <is>
          <t>Codirector de tesis</t>
        </is>
      </c>
      <c r="I208" s="21" t="inlineStr">
        <is>
          <t>B148</t>
        </is>
      </c>
      <c r="J208" s="21" t="inlineStr">
        <is>
          <t>Tecnología Informática y Computación</t>
        </is>
      </c>
      <c r="K208" s="22" t="n">
        <v>0.5</v>
      </c>
      <c r="L208" s="21" t="inlineStr">
        <is>
          <t>B148</t>
        </is>
      </c>
      <c r="M208" s="22" t="n">
        <v>2024</v>
      </c>
      <c r="N208" s="21" t="inlineStr">
        <is>
          <t>10.19</t>
        </is>
      </c>
      <c r="O208" s="22" t="inlineStr">
        <is>
          <t>50</t>
        </is>
      </c>
      <c r="P208" s="21" t="inlineStr"/>
      <c r="Q208" s="21" t="inlineStr"/>
      <c r="R208" s="21" t="n">
        <v>50</v>
      </c>
      <c r="S208" s="65" t="n">
        <v>0.25</v>
      </c>
      <c r="T208" s="65" t="n">
        <v>0.25</v>
      </c>
      <c r="U208" s="65" t="n">
        <v>0</v>
      </c>
    </row>
    <row r="209">
      <c r="A209" s="21" t="inlineStr">
        <is>
          <t>U062</t>
        </is>
      </c>
      <c r="B209" s="21" t="inlineStr">
        <is>
          <t>Instituto Universitario de Investigación Informática (10.19)</t>
        </is>
      </c>
      <c r="C209" s="21" t="inlineStr">
        <is>
          <t>DOCTORADO EN INFORMÁTICA</t>
        </is>
      </c>
      <c r="D209" s="21" t="inlineStr">
        <is>
          <t>Villena Martínez, Víctor</t>
        </is>
      </c>
      <c r="E209" s="21" t="inlineStr">
        <is>
          <t>Computer vision and machine learning methodology for registering and reconstructing three-dimensional models</t>
        </is>
      </c>
      <c r="F209" s="21" t="inlineStr">
        <is>
          <t>12/12/2024</t>
        </is>
      </c>
      <c r="G209" s="21" t="inlineStr">
        <is>
          <t>22000675W</t>
        </is>
      </c>
      <c r="H209" s="21" t="inlineStr">
        <is>
          <t>Codirector de tesis</t>
        </is>
      </c>
      <c r="I209" s="21" t="inlineStr">
        <is>
          <t>B148</t>
        </is>
      </c>
      <c r="J209" s="21" t="inlineStr">
        <is>
          <t>Tecnología Informática y Computación</t>
        </is>
      </c>
      <c r="K209" s="22" t="n">
        <v>0.5</v>
      </c>
      <c r="L209" s="21" t="inlineStr">
        <is>
          <t>B148</t>
        </is>
      </c>
      <c r="M209" s="22" t="n">
        <v>2024</v>
      </c>
      <c r="N209" s="21" t="inlineStr">
        <is>
          <t>10.19</t>
        </is>
      </c>
      <c r="O209" s="22" t="inlineStr">
        <is>
          <t>50</t>
        </is>
      </c>
      <c r="P209" s="21" t="inlineStr"/>
      <c r="Q209" s="21" t="inlineStr"/>
      <c r="R209" s="21" t="n">
        <v>50</v>
      </c>
      <c r="S209" s="65" t="n">
        <v>0.25</v>
      </c>
      <c r="T209" s="65" t="n">
        <v>0.25</v>
      </c>
      <c r="U209" s="65" t="n">
        <v>0</v>
      </c>
    </row>
    <row r="210">
      <c r="A210" s="21" t="inlineStr">
        <is>
          <t>U062</t>
        </is>
      </c>
      <c r="B210" s="21" t="inlineStr">
        <is>
          <t>Instituto Universitario de Investigación Informática (10.19)</t>
        </is>
      </c>
      <c r="C210" s="21" t="inlineStr">
        <is>
          <t>DOCTORADO EN INFORMÁTICA</t>
        </is>
      </c>
      <c r="D210" s="21" t="inlineStr">
        <is>
          <t>Sáez Pérez, Javier</t>
        </is>
      </c>
      <c r="E210" s="21" t="inlineStr">
        <is>
          <t>Autonomous Off-Road Vehicles: Enhancing Perception, Remote Control, and Environmental Impact Through Advanced AI Techniques</t>
        </is>
      </c>
      <c r="F210" s="21" t="inlineStr">
        <is>
          <t>05/11/2024</t>
        </is>
      </c>
      <c r="G210" s="21" t="inlineStr">
        <is>
          <t>21486541X</t>
        </is>
      </c>
      <c r="H210" s="21" t="inlineStr">
        <is>
          <t>Codirector de tesis</t>
        </is>
      </c>
      <c r="I210" s="21" t="inlineStr">
        <is>
          <t>B148</t>
        </is>
      </c>
      <c r="J210" s="21" t="inlineStr">
        <is>
          <t>Tecnología Informática y Computación</t>
        </is>
      </c>
      <c r="K210" s="22" t="n">
        <v>0.5</v>
      </c>
      <c r="L210" s="21" t="inlineStr">
        <is>
          <t>B148</t>
        </is>
      </c>
      <c r="M210" s="22" t="n">
        <v>2024</v>
      </c>
      <c r="N210" s="21" t="inlineStr">
        <is>
          <t>10.19</t>
        </is>
      </c>
      <c r="O210" s="22" t="inlineStr">
        <is>
          <t>20</t>
        </is>
      </c>
      <c r="P210" s="21" t="inlineStr"/>
      <c r="Q210" s="21" t="inlineStr"/>
      <c r="R210" s="21" t="n">
        <v>80</v>
      </c>
      <c r="S210" s="65" t="n">
        <v>0.4</v>
      </c>
      <c r="T210" s="65" t="n">
        <v>0.1</v>
      </c>
      <c r="U210" s="65" t="n">
        <v>0</v>
      </c>
    </row>
    <row r="211">
      <c r="A211" s="21" t="inlineStr">
        <is>
          <t>U062</t>
        </is>
      </c>
      <c r="B211" s="21" t="inlineStr">
        <is>
          <t>Instituto Universitario de Investigación Informática (10.19)</t>
        </is>
      </c>
      <c r="C211" s="21" t="inlineStr">
        <is>
          <t>DOCTORADO EN INFORMÁTICA</t>
        </is>
      </c>
      <c r="D211" s="21" t="inlineStr">
        <is>
          <t>Díez Díaz, Álvaro</t>
        </is>
      </c>
      <c r="E211" s="21" t="inlineStr">
        <is>
          <t>Navegación Visual Autónoma en Robótica de Enjambre mediante Control Distribuido: Un Enfoque Híbrido con Aprendizaje por Refuerzo Multiagente</t>
        </is>
      </c>
      <c r="F211" s="21" t="inlineStr">
        <is>
          <t>25/03/2025</t>
        </is>
      </c>
      <c r="G211" s="21" t="inlineStr">
        <is>
          <t>21672410Q</t>
        </is>
      </c>
      <c r="H211" s="21" t="inlineStr">
        <is>
          <t>Director de tesis</t>
        </is>
      </c>
      <c r="I211" s="21" t="inlineStr">
        <is>
          <t>B161</t>
        </is>
      </c>
      <c r="J211" s="21" t="inlineStr">
        <is>
          <t>Ciencia de la Computación e Inteligencia Artificial</t>
        </is>
      </c>
      <c r="K211" s="22" t="n">
        <v>1</v>
      </c>
      <c r="L211" s="21" t="inlineStr">
        <is>
          <t>B161</t>
        </is>
      </c>
      <c r="M211" s="22" t="n">
        <v>2024</v>
      </c>
      <c r="N211" s="21" t="inlineStr">
        <is>
          <t>10.19</t>
        </is>
      </c>
      <c r="O211" s="22" t="inlineStr">
        <is>
          <t>20</t>
        </is>
      </c>
      <c r="P211" s="21" t="inlineStr"/>
      <c r="Q211" s="21" t="inlineStr"/>
      <c r="R211" s="21" t="n">
        <v>80</v>
      </c>
      <c r="S211" s="65" t="n">
        <v>0.8</v>
      </c>
      <c r="T211" s="65" t="n">
        <v>0.2</v>
      </c>
      <c r="U211" s="65" t="n">
        <v>0</v>
      </c>
    </row>
    <row r="212">
      <c r="A212" s="21" t="inlineStr">
        <is>
          <t>U062</t>
        </is>
      </c>
      <c r="B212" s="21" t="inlineStr">
        <is>
          <t>Instituto Universitario de Investigación Informática (10.19)</t>
        </is>
      </c>
      <c r="C212" s="21" t="inlineStr">
        <is>
          <t>DOCTORADO EN INFORMÁTICA</t>
        </is>
      </c>
      <c r="D212" s="21" t="inlineStr">
        <is>
          <t>Páez Ubieta, Ignacio de Loyola</t>
        </is>
      </c>
      <c r="E212" s="21" t="inlineStr">
        <is>
          <t>Multisensorial perception for grasping object with multifingered grippers</t>
        </is>
      </c>
      <c r="F212" s="21" t="inlineStr">
        <is>
          <t>30/07/2025</t>
        </is>
      </c>
      <c r="G212" s="21" t="inlineStr">
        <is>
          <t>52778442C</t>
        </is>
      </c>
      <c r="H212" s="21" t="inlineStr">
        <is>
          <t>Director de tesis</t>
        </is>
      </c>
      <c r="I212" s="21" t="inlineStr">
        <is>
          <t>B149</t>
        </is>
      </c>
      <c r="J212" s="21" t="inlineStr">
        <is>
          <t>Física, Ingeniería de Sistemas y Teoría de la Señal</t>
        </is>
      </c>
      <c r="K212" s="22" t="n">
        <v>1</v>
      </c>
      <c r="L212" s="21" t="inlineStr">
        <is>
          <t>B149</t>
        </is>
      </c>
      <c r="M212" s="22" t="n">
        <v>2024</v>
      </c>
      <c r="N212" s="21" t="inlineStr">
        <is>
          <t>10.19</t>
        </is>
      </c>
      <c r="O212" s="22" t="inlineStr">
        <is>
          <t>20</t>
        </is>
      </c>
      <c r="P212" s="21" t="inlineStr"/>
      <c r="Q212" s="21" t="inlineStr"/>
      <c r="R212" s="21" t="n">
        <v>80</v>
      </c>
      <c r="S212" s="65" t="n">
        <v>0.8</v>
      </c>
      <c r="T212" s="65" t="n">
        <v>0.2</v>
      </c>
      <c r="U212" s="65" t="n">
        <v>0</v>
      </c>
    </row>
    <row r="213">
      <c r="A213" s="21" t="inlineStr">
        <is>
          <t>U062</t>
        </is>
      </c>
      <c r="B213" s="21" t="inlineStr">
        <is>
          <t>Instituto Universitario de Investigación Informática (10.19)</t>
        </is>
      </c>
      <c r="C213" s="21" t="inlineStr">
        <is>
          <t>DOCTORADO EN INFORMÁTICA</t>
        </is>
      </c>
      <c r="D213" s="21" t="inlineStr">
        <is>
          <t>Ortiz Pérez, David</t>
        </is>
      </c>
      <c r="E213" s="21" t="inlineStr">
        <is>
          <t>Multimodal Deep Learning Techniques for Cognitive Decline Detection and Emotional
Insights</t>
        </is>
      </c>
      <c r="F213" s="21" t="inlineStr">
        <is>
          <t>12/05/2025</t>
        </is>
      </c>
      <c r="G213" s="21" t="inlineStr">
        <is>
          <t>21486541X</t>
        </is>
      </c>
      <c r="H213" s="21" t="inlineStr">
        <is>
          <t>Codirector de tesis</t>
        </is>
      </c>
      <c r="I213" s="21" t="inlineStr">
        <is>
          <t>B148</t>
        </is>
      </c>
      <c r="J213" s="21" t="inlineStr">
        <is>
          <t>Tecnología Informática y Computación</t>
        </is>
      </c>
      <c r="K213" s="22" t="n">
        <v>0.5</v>
      </c>
      <c r="L213" s="21" t="inlineStr">
        <is>
          <t>B148</t>
        </is>
      </c>
      <c r="M213" s="22" t="n">
        <v>2024</v>
      </c>
      <c r="N213" s="21" t="inlineStr">
        <is>
          <t>10.19</t>
        </is>
      </c>
      <c r="O213" s="22" t="inlineStr">
        <is>
          <t>20</t>
        </is>
      </c>
      <c r="P213" s="21" t="inlineStr"/>
      <c r="Q213" s="21" t="inlineStr"/>
      <c r="R213" s="21" t="n">
        <v>80</v>
      </c>
      <c r="S213" s="65" t="n">
        <v>0.4</v>
      </c>
      <c r="T213" s="65" t="n">
        <v>0.1</v>
      </c>
      <c r="U213" s="65" t="n">
        <v>0</v>
      </c>
    </row>
    <row r="214">
      <c r="A214" s="21" t="inlineStr">
        <is>
          <t>U062</t>
        </is>
      </c>
      <c r="B214" s="21" t="inlineStr">
        <is>
          <t>Instituto Universitario de Investigación Informática (10.19)</t>
        </is>
      </c>
      <c r="C214" s="21" t="inlineStr">
        <is>
          <t>DOCTORADO EN INFORMÁTICA</t>
        </is>
      </c>
      <c r="D214" s="21" t="inlineStr">
        <is>
          <t>Ortiz Pérez, David</t>
        </is>
      </c>
      <c r="E214" s="21" t="inlineStr">
        <is>
          <t>Multimodal Deep Learning Techniques for Cognitive Decline Detection and Emotional
Insights</t>
        </is>
      </c>
      <c r="F214" s="21" t="inlineStr">
        <is>
          <t>12/05/2025</t>
        </is>
      </c>
      <c r="G214" s="21" t="inlineStr">
        <is>
          <t>44759120Q</t>
        </is>
      </c>
      <c r="H214" s="21" t="inlineStr">
        <is>
          <t>Codirector de tesis</t>
        </is>
      </c>
      <c r="I214" s="21" t="inlineStr">
        <is>
          <t>B158</t>
        </is>
      </c>
      <c r="J214" s="21" t="inlineStr">
        <is>
          <t>Lenguajes y Sistemas Informáticos</t>
        </is>
      </c>
      <c r="K214" s="22" t="n">
        <v>0.5</v>
      </c>
      <c r="L214" s="21" t="inlineStr">
        <is>
          <t>B158</t>
        </is>
      </c>
      <c r="M214" s="22" t="n">
        <v>2024</v>
      </c>
      <c r="N214" s="21" t="inlineStr">
        <is>
          <t>10.19</t>
        </is>
      </c>
      <c r="O214" s="22" t="inlineStr">
        <is>
          <t>20</t>
        </is>
      </c>
      <c r="P214" s="21" t="inlineStr"/>
      <c r="Q214" s="21" t="inlineStr"/>
      <c r="R214" s="21" t="n">
        <v>80</v>
      </c>
      <c r="S214" s="65" t="n">
        <v>0.4</v>
      </c>
      <c r="T214" s="65" t="n">
        <v>0.1</v>
      </c>
      <c r="U214" s="65" t="n">
        <v>0</v>
      </c>
    </row>
    <row r="215">
      <c r="A215" s="21" t="inlineStr">
        <is>
          <t>U062</t>
        </is>
      </c>
      <c r="B215" s="21" t="inlineStr">
        <is>
          <t>Instituto Universitario de Investigación Informática (10.19)</t>
        </is>
      </c>
      <c r="C215" s="21" t="inlineStr">
        <is>
          <t>DOCTORADO EN INFORMÁTICA</t>
        </is>
      </c>
      <c r="D215" s="21" t="inlineStr">
        <is>
          <t>García D'Urso, Nahuel Emiliano</t>
        </is>
      </c>
      <c r="E215" s="21" t="inlineStr">
        <is>
          <t>3D Human Body Shape Analysis Using Deep Learning and Computer Vision Techniques</t>
        </is>
      </c>
      <c r="F215" s="21" t="inlineStr">
        <is>
          <t>15/01/2025</t>
        </is>
      </c>
      <c r="G215" s="21" t="inlineStr">
        <is>
          <t>52764803C</t>
        </is>
      </c>
      <c r="H215" s="21" t="inlineStr">
        <is>
          <t>Codirector de tesis</t>
        </is>
      </c>
      <c r="I215" s="21" t="inlineStr">
        <is>
          <t>B148</t>
        </is>
      </c>
      <c r="J215" s="21" t="inlineStr">
        <is>
          <t>Tecnología Informática y Computación</t>
        </is>
      </c>
      <c r="K215" s="22" t="n">
        <v>0.5</v>
      </c>
      <c r="L215" s="21" t="inlineStr">
        <is>
          <t>B148</t>
        </is>
      </c>
      <c r="M215" s="22" t="n">
        <v>2024</v>
      </c>
      <c r="N215" s="21" t="inlineStr">
        <is>
          <t>10.19</t>
        </is>
      </c>
      <c r="O215" s="22" t="inlineStr">
        <is>
          <t>50</t>
        </is>
      </c>
      <c r="P215" s="21" t="inlineStr"/>
      <c r="Q215" s="21" t="inlineStr"/>
      <c r="R215" s="21" t="n">
        <v>50</v>
      </c>
      <c r="S215" s="65" t="n">
        <v>0.25</v>
      </c>
      <c r="T215" s="65" t="n">
        <v>0.25</v>
      </c>
      <c r="U215" s="65" t="n">
        <v>0</v>
      </c>
    </row>
    <row r="216">
      <c r="A216" s="21" t="inlineStr">
        <is>
          <t>U062</t>
        </is>
      </c>
      <c r="B216" s="21" t="inlineStr">
        <is>
          <t>Instituto Universitario de Investigación Informática (10.19)</t>
        </is>
      </c>
      <c r="C216" s="21" t="inlineStr">
        <is>
          <t>DOCTORADO EN INFORMÁTICA</t>
        </is>
      </c>
      <c r="D216" s="21" t="inlineStr">
        <is>
          <t>García D'Urso, Nahuel Emiliano</t>
        </is>
      </c>
      <c r="E216" s="21" t="inlineStr">
        <is>
          <t>3D Human Body Shape Analysis Using Deep Learning and Computer Vision Techniques</t>
        </is>
      </c>
      <c r="F216" s="21" t="inlineStr">
        <is>
          <t>15/01/2025</t>
        </is>
      </c>
      <c r="G216" s="21" t="inlineStr">
        <is>
          <t>22000675W</t>
        </is>
      </c>
      <c r="H216" s="21" t="inlineStr">
        <is>
          <t>Codirector de tesis</t>
        </is>
      </c>
      <c r="I216" s="21" t="inlineStr">
        <is>
          <t>B148</t>
        </is>
      </c>
      <c r="J216" s="21" t="inlineStr">
        <is>
          <t>Tecnología Informática y Computación</t>
        </is>
      </c>
      <c r="K216" s="22" t="n">
        <v>0.5</v>
      </c>
      <c r="L216" s="21" t="inlineStr">
        <is>
          <t>B148</t>
        </is>
      </c>
      <c r="M216" s="22" t="n">
        <v>2024</v>
      </c>
      <c r="N216" s="21" t="inlineStr">
        <is>
          <t>10.19</t>
        </is>
      </c>
      <c r="O216" s="22" t="inlineStr">
        <is>
          <t>50</t>
        </is>
      </c>
      <c r="P216" s="21" t="inlineStr"/>
      <c r="Q216" s="21" t="inlineStr"/>
      <c r="R216" s="21" t="n">
        <v>50</v>
      </c>
      <c r="S216" s="65" t="n">
        <v>0.25</v>
      </c>
      <c r="T216" s="65" t="n">
        <v>0.25</v>
      </c>
      <c r="U216" s="65" t="n">
        <v>0</v>
      </c>
    </row>
    <row r="217">
      <c r="A217" s="21" t="inlineStr">
        <is>
          <t>U062</t>
        </is>
      </c>
      <c r="B217" s="21" t="inlineStr">
        <is>
          <t>Instituto Universitario de Investigación Informática (10.19)</t>
        </is>
      </c>
      <c r="C217" s="21" t="inlineStr">
        <is>
          <t>DOCTORADO EN INFORMÁTICA</t>
        </is>
      </c>
      <c r="D217" s="21" t="inlineStr">
        <is>
          <t>Berenguer Pastor, Alberto</t>
        </is>
      </c>
      <c r="E217" s="21" t="inlineStr">
        <is>
          <t>Búsqueda de datos estructurados mediante técnicas de procesamiento del lenguaje natural</t>
        </is>
      </c>
      <c r="F217" s="21" t="inlineStr">
        <is>
          <t>10/03/2025</t>
        </is>
      </c>
      <c r="G217" s="21" t="inlineStr">
        <is>
          <t>44759120Q</t>
        </is>
      </c>
      <c r="H217" s="21" t="inlineStr">
        <is>
          <t>Codirector de tesis</t>
        </is>
      </c>
      <c r="I217" s="21" t="inlineStr">
        <is>
          <t>B158</t>
        </is>
      </c>
      <c r="J217" s="21" t="inlineStr">
        <is>
          <t>Lenguajes y Sistemas Informáticos</t>
        </is>
      </c>
      <c r="K217" s="22" t="n">
        <v>0.5</v>
      </c>
      <c r="L217" s="21" t="inlineStr">
        <is>
          <t>B158</t>
        </is>
      </c>
      <c r="M217" s="22" t="n">
        <v>2024</v>
      </c>
      <c r="N217" s="21" t="inlineStr">
        <is>
          <t>10.19</t>
        </is>
      </c>
      <c r="O217" s="22" t="inlineStr">
        <is>
          <t>20</t>
        </is>
      </c>
      <c r="P217" s="21" t="inlineStr"/>
      <c r="Q217" s="21" t="inlineStr"/>
      <c r="R217" s="21" t="n">
        <v>80</v>
      </c>
      <c r="S217" s="65" t="n">
        <v>0.4</v>
      </c>
      <c r="T217" s="65" t="n">
        <v>0.1</v>
      </c>
      <c r="U217" s="65" t="n">
        <v>0</v>
      </c>
    </row>
    <row r="218">
      <c r="A218" s="21" t="inlineStr">
        <is>
          <t>U062</t>
        </is>
      </c>
      <c r="B218" s="21" t="inlineStr">
        <is>
          <t>Instituto Universitario de Investigación Informática (10.19)</t>
        </is>
      </c>
      <c r="C218" s="21" t="inlineStr">
        <is>
          <t>DOCTORADO EN INFORMÁTICA</t>
        </is>
      </c>
      <c r="D218" s="21" t="inlineStr">
        <is>
          <t>Benavent Lledó, Manuel</t>
        </is>
      </c>
      <c r="E218" s="21" t="inlineStr">
        <is>
          <t>Action Understanding in RGB Videos Through Deep Learning and Multimodal Cues</t>
        </is>
      </c>
      <c r="F218" s="21" t="inlineStr">
        <is>
          <t>29/09/2025</t>
        </is>
      </c>
      <c r="G218" s="21" t="inlineStr">
        <is>
          <t>21486541X</t>
        </is>
      </c>
      <c r="H218" s="21" t="inlineStr">
        <is>
          <t>Codirector de tesis</t>
        </is>
      </c>
      <c r="I218" s="21" t="inlineStr">
        <is>
          <t>B148</t>
        </is>
      </c>
      <c r="J218" s="21" t="inlineStr">
        <is>
          <t>Tecnología Informática y Computación</t>
        </is>
      </c>
      <c r="K218" s="22" t="n">
        <v>0.5</v>
      </c>
      <c r="L218" s="21" t="inlineStr">
        <is>
          <t>B148</t>
        </is>
      </c>
      <c r="M218" s="22" t="n">
        <v>2024</v>
      </c>
      <c r="N218" s="21" t="inlineStr">
        <is>
          <t>10.19</t>
        </is>
      </c>
      <c r="O218" s="22" t="inlineStr">
        <is>
          <t>20</t>
        </is>
      </c>
      <c r="P218" s="21" t="inlineStr"/>
      <c r="Q218" s="21" t="inlineStr"/>
      <c r="R218" s="21" t="n">
        <v>80</v>
      </c>
      <c r="S218" s="65" t="n">
        <v>0.4</v>
      </c>
      <c r="T218" s="65" t="n">
        <v>0.1</v>
      </c>
      <c r="U218" s="65" t="n">
        <v>0</v>
      </c>
    </row>
    <row r="219">
      <c r="A219" s="21" t="inlineStr">
        <is>
          <t>U062</t>
        </is>
      </c>
      <c r="B219" s="21" t="inlineStr">
        <is>
          <t>Instituto Universitario de Investigación Informática (10.19)</t>
        </is>
      </c>
      <c r="C219" s="21" t="inlineStr">
        <is>
          <t>DOCTORADO EN INFORMÁTICA</t>
        </is>
      </c>
      <c r="D219" s="21" t="inlineStr">
        <is>
          <t>Benavent Lledó, Manuel</t>
        </is>
      </c>
      <c r="E219" s="21" t="inlineStr">
        <is>
          <t>Action Understanding in RGB Videos Through Deep Learning and Multimodal Cues</t>
        </is>
      </c>
      <c r="F219" s="21" t="inlineStr">
        <is>
          <t>29/09/2025</t>
        </is>
      </c>
      <c r="G219" s="21" t="inlineStr">
        <is>
          <t>53240321J</t>
        </is>
      </c>
      <c r="H219" s="21" t="inlineStr">
        <is>
          <t>Codirector de tesis</t>
        </is>
      </c>
      <c r="I219" s="21" t="inlineStr">
        <is>
          <t>B161</t>
        </is>
      </c>
      <c r="J219" s="21" t="inlineStr">
        <is>
          <t>Ciencia de la Computación e Inteligencia Artificial</t>
        </is>
      </c>
      <c r="K219" s="22" t="n">
        <v>0.5</v>
      </c>
      <c r="L219" s="21" t="inlineStr">
        <is>
          <t>B161</t>
        </is>
      </c>
      <c r="M219" s="22" t="n">
        <v>2024</v>
      </c>
      <c r="N219" s="21" t="inlineStr">
        <is>
          <t>10.19</t>
        </is>
      </c>
      <c r="O219" s="22" t="inlineStr">
        <is>
          <t>20</t>
        </is>
      </c>
      <c r="P219" s="21" t="inlineStr"/>
      <c r="Q219" s="21" t="inlineStr"/>
      <c r="R219" s="21" t="n">
        <v>80</v>
      </c>
      <c r="S219" s="65" t="n">
        <v>0.4</v>
      </c>
      <c r="T219" s="65" t="n">
        <v>0.1</v>
      </c>
      <c r="U219" s="65" t="n">
        <v>0</v>
      </c>
    </row>
    <row r="220">
      <c r="A220" s="21" t="inlineStr">
        <is>
          <t>U062</t>
        </is>
      </c>
      <c r="B220" s="21" t="inlineStr">
        <is>
          <t>Instituto Universitario de Investigación Informática (10.19)</t>
        </is>
      </c>
      <c r="C220" s="21" t="inlineStr">
        <is>
          <t>DOCTORADO EN INFORMÁTICA</t>
        </is>
      </c>
      <c r="D220" s="21" t="inlineStr">
        <is>
          <t>Gama García, Ángel Manuel</t>
        </is>
      </c>
      <c r="E220" s="21" t="inlineStr">
        <is>
          <t>End-To-End Service Management in Multi-tenant Beyond 5G Networks</t>
        </is>
      </c>
      <c r="F220" s="21" t="inlineStr">
        <is>
          <t>14/11/2024</t>
        </is>
      </c>
      <c r="G220" s="21" t="inlineStr">
        <is>
          <t>33489374V</t>
        </is>
      </c>
      <c r="H220" s="21" t="inlineStr">
        <is>
          <t>Codirector de tesis</t>
        </is>
      </c>
      <c r="I220" s="21" t="inlineStr">
        <is>
          <t>B148</t>
        </is>
      </c>
      <c r="J220" s="21" t="inlineStr">
        <is>
          <t>Tecnología Informática y Computación</t>
        </is>
      </c>
      <c r="K220" s="22" t="n">
        <v>0.5</v>
      </c>
      <c r="L220" s="21" t="inlineStr">
        <is>
          <t>B148</t>
        </is>
      </c>
      <c r="M220" s="22" t="n">
        <v>2024</v>
      </c>
      <c r="N220" s="21" t="inlineStr">
        <is>
          <t>10.19</t>
        </is>
      </c>
      <c r="O220" s="22" t="inlineStr">
        <is>
          <t>20</t>
        </is>
      </c>
      <c r="P220" s="21" t="inlineStr"/>
      <c r="Q220" s="21" t="inlineStr"/>
      <c r="R220" s="21" t="n">
        <v>80</v>
      </c>
      <c r="S220" s="65" t="n">
        <v>0.4</v>
      </c>
      <c r="T220" s="65" t="n">
        <v>0.1</v>
      </c>
      <c r="U220" s="65" t="n">
        <v>0</v>
      </c>
    </row>
    <row r="221">
      <c r="A221" s="21" t="inlineStr">
        <is>
          <t>U062</t>
        </is>
      </c>
      <c r="B221" s="21" t="inlineStr">
        <is>
          <t>Instituto Universitario de Investigación Informática (10.19)</t>
        </is>
      </c>
      <c r="C221" s="21" t="inlineStr">
        <is>
          <t>DOCTORADO EN INFORMÁTICA</t>
        </is>
      </c>
      <c r="D221" s="21" t="inlineStr">
        <is>
          <t>Maciá Lillo, Antonio</t>
        </is>
      </c>
      <c r="E221" s="21" t="inlineStr">
        <is>
          <t>Novel Algorithms and Architectures for High-Performance AI Applications</t>
        </is>
      </c>
      <c r="F221" s="21" t="inlineStr">
        <is>
          <t>15/01/2025</t>
        </is>
      </c>
      <c r="G221" s="21" t="inlineStr">
        <is>
          <t>33489374V</t>
        </is>
      </c>
      <c r="H221" s="21" t="inlineStr">
        <is>
          <t>Codirector de tesis</t>
        </is>
      </c>
      <c r="I221" s="21" t="inlineStr">
        <is>
          <t>B148</t>
        </is>
      </c>
      <c r="J221" s="21" t="inlineStr">
        <is>
          <t>Tecnología Informática y Computación</t>
        </is>
      </c>
      <c r="K221" s="22" t="n">
        <v>0.5</v>
      </c>
      <c r="L221" s="21" t="inlineStr">
        <is>
          <t>B148</t>
        </is>
      </c>
      <c r="M221" s="22" t="n">
        <v>2024</v>
      </c>
      <c r="N221" s="21" t="inlineStr">
        <is>
          <t>10.19</t>
        </is>
      </c>
      <c r="O221" s="22" t="inlineStr">
        <is>
          <t>20</t>
        </is>
      </c>
      <c r="P221" s="21" t="inlineStr"/>
      <c r="Q221" s="21" t="inlineStr"/>
      <c r="R221" s="21" t="n">
        <v>80</v>
      </c>
      <c r="S221" s="65" t="n">
        <v>0.4</v>
      </c>
      <c r="T221" s="65" t="n">
        <v>0.1</v>
      </c>
      <c r="U221" s="65" t="n">
        <v>0</v>
      </c>
    </row>
    <row r="222">
      <c r="A222" s="21" t="inlineStr">
        <is>
          <t>U062</t>
        </is>
      </c>
      <c r="B222" s="21" t="inlineStr">
        <is>
          <t>Instituto Universitario de Investigación Informática (10.19)</t>
        </is>
      </c>
      <c r="C222" s="21" t="inlineStr">
        <is>
          <t>DOCTORADO EN INFORMÁTICA</t>
        </is>
      </c>
      <c r="D222" s="21" t="inlineStr">
        <is>
          <t>Maciá Lillo, Antonio</t>
        </is>
      </c>
      <c r="E222" s="21" t="inlineStr">
        <is>
          <t>Novel Algorithms and Architectures for High-Performance AI Applications</t>
        </is>
      </c>
      <c r="F222" s="21" t="inlineStr">
        <is>
          <t>15/01/2025</t>
        </is>
      </c>
      <c r="G222" s="21" t="inlineStr">
        <is>
          <t>29011916S</t>
        </is>
      </c>
      <c r="H222" s="21" t="inlineStr">
        <is>
          <t>Codirector de tesis</t>
        </is>
      </c>
      <c r="I222" s="21" t="inlineStr">
        <is>
          <t>B148</t>
        </is>
      </c>
      <c r="J222" s="21" t="inlineStr">
        <is>
          <t>Tecnología Informática y Computación</t>
        </is>
      </c>
      <c r="K222" s="22" t="n">
        <v>0.5</v>
      </c>
      <c r="L222" s="21" t="inlineStr">
        <is>
          <t>B148</t>
        </is>
      </c>
      <c r="M222" s="22" t="n">
        <v>2024</v>
      </c>
      <c r="N222" s="21" t="inlineStr">
        <is>
          <t>10.19</t>
        </is>
      </c>
      <c r="O222" s="22" t="inlineStr">
        <is>
          <t>20</t>
        </is>
      </c>
      <c r="P222" s="21" t="inlineStr"/>
      <c r="Q222" s="21" t="inlineStr"/>
      <c r="R222" s="21" t="n">
        <v>80</v>
      </c>
      <c r="S222" s="65" t="n">
        <v>0.4</v>
      </c>
      <c r="T222" s="65" t="n">
        <v>0.1</v>
      </c>
      <c r="U222" s="65" t="n">
        <v>0</v>
      </c>
    </row>
    <row r="223">
      <c r="A223" s="21" t="inlineStr">
        <is>
          <t>U062</t>
        </is>
      </c>
      <c r="B223" s="21" t="inlineStr">
        <is>
          <t>Instituto Universitario de Investigación Informática (10.19)</t>
        </is>
      </c>
      <c r="C223" s="21" t="inlineStr">
        <is>
          <t>DOCTORADO EN INFORMÁTICA</t>
        </is>
      </c>
      <c r="D223" s="21" t="inlineStr">
        <is>
          <t>Velasco Sánchez, Edison Patricio</t>
        </is>
      </c>
      <c r="E223" s="21" t="inlineStr">
        <is>
          <t>Estimación de pose y control de Robots Móviles en Entornos no Estructurados basado en LiDAR</t>
        </is>
      </c>
      <c r="F223" s="21" t="inlineStr">
        <is>
          <t>20/11/2024</t>
        </is>
      </c>
      <c r="G223" s="21" t="inlineStr">
        <is>
          <t>52778442C</t>
        </is>
      </c>
      <c r="H223" s="21" t="inlineStr">
        <is>
          <t>Codirector de tesis</t>
        </is>
      </c>
      <c r="I223" s="21" t="inlineStr">
        <is>
          <t>B149</t>
        </is>
      </c>
      <c r="J223" s="21" t="inlineStr">
        <is>
          <t>Física, Ingeniería de Sistemas y Teoría de la Señal</t>
        </is>
      </c>
      <c r="K223" s="22" t="n">
        <v>0.5</v>
      </c>
      <c r="L223" s="21" t="inlineStr">
        <is>
          <t>B149</t>
        </is>
      </c>
      <c r="M223" s="22" t="n">
        <v>2024</v>
      </c>
      <c r="N223" s="21" t="inlineStr">
        <is>
          <t>10.19</t>
        </is>
      </c>
      <c r="O223" s="22" t="inlineStr">
        <is>
          <t>20</t>
        </is>
      </c>
      <c r="P223" s="21" t="inlineStr"/>
      <c r="Q223" s="21" t="inlineStr"/>
      <c r="R223" s="21" t="n">
        <v>80</v>
      </c>
      <c r="S223" s="65" t="n">
        <v>0.4</v>
      </c>
      <c r="T223" s="65" t="n">
        <v>0.1</v>
      </c>
      <c r="U223" s="65" t="n">
        <v>0</v>
      </c>
    </row>
    <row r="224">
      <c r="A224" s="21" t="inlineStr">
        <is>
          <t>U062</t>
        </is>
      </c>
      <c r="B224" s="21" t="inlineStr">
        <is>
          <t>Instituto Universitario de Investigación Informática (10.19)</t>
        </is>
      </c>
      <c r="C224" s="21" t="inlineStr">
        <is>
          <t>DOCTORADO EN INFORMÁTICA</t>
        </is>
      </c>
      <c r="D224" s="21" t="inlineStr">
        <is>
          <t>Velasco Sánchez, Edison Patricio</t>
        </is>
      </c>
      <c r="E224" s="21" t="inlineStr">
        <is>
          <t>Estimación de pose y control de Robots Móviles en Entornos no Estructurados basado en LiDAR</t>
        </is>
      </c>
      <c r="F224" s="21" t="inlineStr">
        <is>
          <t>20/11/2024</t>
        </is>
      </c>
      <c r="G224" s="21" t="inlineStr">
        <is>
          <t>52773069Y</t>
        </is>
      </c>
      <c r="H224" s="21" t="inlineStr">
        <is>
          <t>Codirector de tesis</t>
        </is>
      </c>
      <c r="I224" s="21" t="inlineStr">
        <is>
          <t>B149</t>
        </is>
      </c>
      <c r="J224" s="21" t="inlineStr">
        <is>
          <t>Física, Ingeniería de Sistemas y Teoría de la Señal</t>
        </is>
      </c>
      <c r="K224" s="22" t="n">
        <v>0.5</v>
      </c>
      <c r="L224" s="21" t="inlineStr">
        <is>
          <t>B149</t>
        </is>
      </c>
      <c r="M224" s="22" t="n">
        <v>2024</v>
      </c>
      <c r="N224" s="21" t="inlineStr">
        <is>
          <t>10.19</t>
        </is>
      </c>
      <c r="O224" s="22" t="inlineStr">
        <is>
          <t>20</t>
        </is>
      </c>
      <c r="P224" s="21" t="inlineStr"/>
      <c r="Q224" s="21" t="inlineStr"/>
      <c r="R224" s="21" t="n">
        <v>80</v>
      </c>
      <c r="S224" s="65" t="n">
        <v>0.4</v>
      </c>
      <c r="T224" s="65" t="n">
        <v>0.1</v>
      </c>
      <c r="U224" s="65" t="n">
        <v>0</v>
      </c>
    </row>
    <row r="225">
      <c r="A225" s="21" t="inlineStr">
        <is>
          <t>U062</t>
        </is>
      </c>
      <c r="B225" s="21" t="inlineStr">
        <is>
          <t>Instituto Universitario de Investigación Informática (10.19)</t>
        </is>
      </c>
      <c r="C225" s="21" t="inlineStr">
        <is>
          <t>DOCTORADO EN INFORMÁTICA</t>
        </is>
      </c>
      <c r="D225" s="21" t="inlineStr">
        <is>
          <t>Arnaiz Rodríguez, Adrián</t>
        </is>
      </c>
      <c r="E225" s="21" t="inlineStr">
        <is>
          <t>A Sociotechnical Approach to Trustworthy AI: from Algorithms to Regulation</t>
        </is>
      </c>
      <c r="F225" s="21" t="inlineStr">
        <is>
          <t>26/09/2025</t>
        </is>
      </c>
      <c r="G225" s="21" t="inlineStr">
        <is>
          <t>48531413X</t>
        </is>
      </c>
      <c r="H225" s="21" t="inlineStr">
        <is>
          <t>Codirector de tesis</t>
        </is>
      </c>
      <c r="I225" s="21" t="inlineStr">
        <is>
          <t>B161</t>
        </is>
      </c>
      <c r="J225" s="21" t="inlineStr">
        <is>
          <t>Ciencia de la Computación e Inteligencia Artificial</t>
        </is>
      </c>
      <c r="K225" s="22" t="n">
        <v>0.5</v>
      </c>
      <c r="L225" s="21" t="inlineStr">
        <is>
          <t>B161</t>
        </is>
      </c>
      <c r="M225" s="22" t="n">
        <v>2024</v>
      </c>
      <c r="N225" s="21" t="inlineStr">
        <is>
          <t>10.19</t>
        </is>
      </c>
      <c r="O225" s="22" t="inlineStr">
        <is>
          <t>20</t>
        </is>
      </c>
      <c r="P225" s="21" t="inlineStr"/>
      <c r="Q225" s="21" t="inlineStr"/>
      <c r="R225" s="21" t="n">
        <v>80</v>
      </c>
      <c r="S225" s="65" t="n">
        <v>0.4</v>
      </c>
      <c r="T225" s="65" t="n">
        <v>0.1</v>
      </c>
      <c r="U225" s="65" t="n">
        <v>0</v>
      </c>
    </row>
    <row r="226">
      <c r="A226" s="21" t="inlineStr">
        <is>
          <t>U062</t>
        </is>
      </c>
      <c r="B226" s="21" t="inlineStr">
        <is>
          <t>Instituto Universitario de Investigación Informática (10.19)</t>
        </is>
      </c>
      <c r="C226" s="21" t="inlineStr">
        <is>
          <t>DOCTORADO EN INFORMÁTICA</t>
        </is>
      </c>
      <c r="D226" s="21" t="inlineStr">
        <is>
          <t>Ortega Candel, Jose Manuel</t>
        </is>
      </c>
      <c r="E226" s="21" t="inlineStr">
        <is>
          <t>Modelo híbrido para la detección de ataques de denegación de cartera en arquitecturas serverless</t>
        </is>
      </c>
      <c r="F226" s="21" t="inlineStr">
        <is>
          <t>05/09/2025</t>
        </is>
      </c>
      <c r="G226" s="21" t="inlineStr">
        <is>
          <t>33489374V</t>
        </is>
      </c>
      <c r="H226" s="21" t="inlineStr">
        <is>
          <t>Codirector de tesis</t>
        </is>
      </c>
      <c r="I226" s="21" t="inlineStr">
        <is>
          <t>B148</t>
        </is>
      </c>
      <c r="J226" s="21" t="inlineStr">
        <is>
          <t>Tecnología Informática y Computación</t>
        </is>
      </c>
      <c r="K226" s="22" t="n">
        <v>0.5</v>
      </c>
      <c r="L226" s="21" t="inlineStr">
        <is>
          <t>B148</t>
        </is>
      </c>
      <c r="M226" s="22" t="n">
        <v>2024</v>
      </c>
      <c r="N226" s="21" t="inlineStr">
        <is>
          <t>10.19</t>
        </is>
      </c>
      <c r="O226" s="22" t="inlineStr">
        <is>
          <t>20</t>
        </is>
      </c>
      <c r="P226" s="21" t="inlineStr"/>
      <c r="Q226" s="21" t="inlineStr"/>
      <c r="R226" s="21" t="n">
        <v>80</v>
      </c>
      <c r="S226" s="65" t="n">
        <v>0.4</v>
      </c>
      <c r="T226" s="65" t="n">
        <v>0.1</v>
      </c>
      <c r="U226" s="65" t="n">
        <v>0</v>
      </c>
    </row>
    <row r="227">
      <c r="A227" s="21" t="inlineStr">
        <is>
          <t>U062</t>
        </is>
      </c>
      <c r="B227" s="21" t="inlineStr">
        <is>
          <t>Instituto Universitario de Investigación Informática (10.19)</t>
        </is>
      </c>
      <c r="C227" s="21" t="inlineStr">
        <is>
          <t>DOCTORADO EN INFORMÁTICA</t>
        </is>
      </c>
      <c r="D227" s="21" t="inlineStr">
        <is>
          <t>Navarro López-Menchero, Álvaro</t>
        </is>
      </c>
      <c r="E227" s="21" t="inlineStr">
        <is>
          <t>Una propuesta para la captura e implementación de requisitos para eXplainable Artificial
Intelligence alineada con la Arquitectura Dirigida por Modelos</t>
        </is>
      </c>
      <c r="F227" s="21" t="inlineStr">
        <is>
          <t>04/02/2025</t>
        </is>
      </c>
      <c r="G227" s="21" t="inlineStr">
        <is>
          <t>48558539L</t>
        </is>
      </c>
      <c r="H227" s="21" t="inlineStr">
        <is>
          <t>Codirector de tesis</t>
        </is>
      </c>
      <c r="I227" s="21" t="inlineStr">
        <is>
          <t>B158</t>
        </is>
      </c>
      <c r="J227" s="21" t="inlineStr">
        <is>
          <t>Lenguajes y Sistemas Informáticos</t>
        </is>
      </c>
      <c r="K227" s="22" t="n">
        <v>0.5</v>
      </c>
      <c r="L227" s="21" t="inlineStr">
        <is>
          <t>B158</t>
        </is>
      </c>
      <c r="M227" s="22" t="n">
        <v>2024</v>
      </c>
      <c r="N227" s="21" t="inlineStr">
        <is>
          <t>10.19</t>
        </is>
      </c>
      <c r="O227" s="22" t="inlineStr">
        <is>
          <t>50</t>
        </is>
      </c>
      <c r="P227" s="21" t="inlineStr"/>
      <c r="Q227" s="21" t="inlineStr"/>
      <c r="R227" s="21" t="n">
        <v>50</v>
      </c>
      <c r="S227" s="65" t="n">
        <v>0.25</v>
      </c>
      <c r="T227" s="65" t="n">
        <v>0.25</v>
      </c>
      <c r="U227" s="65" t="n">
        <v>0</v>
      </c>
    </row>
    <row r="228">
      <c r="A228" s="21" t="inlineStr">
        <is>
          <t>U062</t>
        </is>
      </c>
      <c r="B228" s="21" t="inlineStr">
        <is>
          <t>Instituto Universitario de Investigación Informática (10.19)</t>
        </is>
      </c>
      <c r="C228" s="21" t="inlineStr">
        <is>
          <t>DOCTORADO EN INFORMÁTICA</t>
        </is>
      </c>
      <c r="D228" s="21" t="inlineStr">
        <is>
          <t>Navarro López-Menchero, Álvaro</t>
        </is>
      </c>
      <c r="E228" s="21" t="inlineStr">
        <is>
          <t>Una propuesta para la captura e implementación de requisitos para eXplainable Artificial
Intelligence alineada con la Arquitectura Dirigida por Modelos</t>
        </is>
      </c>
      <c r="F228" s="21" t="inlineStr">
        <is>
          <t>04/02/2025</t>
        </is>
      </c>
      <c r="G228" s="21" t="inlineStr">
        <is>
          <t>21494991L</t>
        </is>
      </c>
      <c r="H228" s="21" t="inlineStr">
        <is>
          <t>Codirector de tesis</t>
        </is>
      </c>
      <c r="I228" s="21" t="inlineStr">
        <is>
          <t>B158</t>
        </is>
      </c>
      <c r="J228" s="21" t="inlineStr">
        <is>
          <t>Lenguajes y Sistemas Informáticos</t>
        </is>
      </c>
      <c r="K228" s="22" t="n">
        <v>0.5</v>
      </c>
      <c r="L228" s="21" t="inlineStr">
        <is>
          <t>B158</t>
        </is>
      </c>
      <c r="M228" s="22" t="n">
        <v>2024</v>
      </c>
      <c r="N228" s="21" t="inlineStr">
        <is>
          <t>10.19</t>
        </is>
      </c>
      <c r="O228" s="22" t="inlineStr">
        <is>
          <t>50</t>
        </is>
      </c>
      <c r="P228" s="21" t="inlineStr"/>
      <c r="Q228" s="21" t="inlineStr"/>
      <c r="R228" s="21" t="n">
        <v>50</v>
      </c>
      <c r="S228" s="65" t="n">
        <v>0.25</v>
      </c>
      <c r="T228" s="65" t="n">
        <v>0.25</v>
      </c>
      <c r="U228" s="65" t="n">
        <v>0</v>
      </c>
    </row>
    <row r="229">
      <c r="A229" s="21" t="inlineStr">
        <is>
          <t>U062</t>
        </is>
      </c>
      <c r="B229" s="21" t="inlineStr">
        <is>
          <t>Instituto Universitario de Investigación Informática (10.19)</t>
        </is>
      </c>
      <c r="C229" s="21" t="inlineStr">
        <is>
          <t>DOCTORADO EN INFORMÁTICA</t>
        </is>
      </c>
      <c r="D229" s="21" t="inlineStr">
        <is>
          <t>García Sigüenza, Javier</t>
        </is>
      </c>
      <c r="E229" s="21" t="inlineStr">
        <is>
          <t>Proposal of an architecture for integrating explainability in deep learning models for
spatio-temporal problems</t>
        </is>
      </c>
      <c r="F229" s="21" t="inlineStr">
        <is>
          <t>30/04/2025</t>
        </is>
      </c>
      <c r="G229" s="21" t="inlineStr">
        <is>
          <t>21453332J</t>
        </is>
      </c>
      <c r="H229" s="21" t="inlineStr">
        <is>
          <t>Codirector de tesis</t>
        </is>
      </c>
      <c r="I229" s="21" t="inlineStr">
        <is>
          <t>B161</t>
        </is>
      </c>
      <c r="J229" s="21" t="inlineStr">
        <is>
          <t>Ciencia de la Computación e Inteligencia Artificial</t>
        </is>
      </c>
      <c r="K229" s="22" t="n">
        <v>0.5</v>
      </c>
      <c r="L229" s="21" t="inlineStr">
        <is>
          <t>B161</t>
        </is>
      </c>
      <c r="M229" s="22" t="n">
        <v>2024</v>
      </c>
      <c r="N229" s="21" t="inlineStr">
        <is>
          <t>10.19</t>
        </is>
      </c>
      <c r="O229" s="22" t="inlineStr">
        <is>
          <t>20</t>
        </is>
      </c>
      <c r="P229" s="21" t="inlineStr"/>
      <c r="Q229" s="21" t="inlineStr"/>
      <c r="R229" s="21" t="n">
        <v>80</v>
      </c>
      <c r="S229" s="65" t="n">
        <v>0.4</v>
      </c>
      <c r="T229" s="65" t="n">
        <v>0.1</v>
      </c>
      <c r="U229" s="65" t="n">
        <v>0</v>
      </c>
    </row>
    <row r="230">
      <c r="A230" s="21" t="inlineStr">
        <is>
          <t>U062</t>
        </is>
      </c>
      <c r="B230" s="21" t="inlineStr">
        <is>
          <t>Instituto Universitario de Investigación Informática (10.19)</t>
        </is>
      </c>
      <c r="C230" s="21" t="inlineStr">
        <is>
          <t>DOCTORADO EN INFORMÁTICA</t>
        </is>
      </c>
      <c r="D230" s="21" t="inlineStr">
        <is>
          <t>García Sigüenza, Javier</t>
        </is>
      </c>
      <c r="E230" s="21" t="inlineStr">
        <is>
          <t>Proposal of an architecture for integrating explainability in deep learning models for
spatio-temporal problems</t>
        </is>
      </c>
      <c r="F230" s="21" t="inlineStr">
        <is>
          <t>30/04/2025</t>
        </is>
      </c>
      <c r="G230" s="21" t="inlineStr">
        <is>
          <t>21637322A</t>
        </is>
      </c>
      <c r="H230" s="21" t="inlineStr">
        <is>
          <t>Codirector de tesis</t>
        </is>
      </c>
      <c r="I230" s="21" t="inlineStr">
        <is>
          <t>B161</t>
        </is>
      </c>
      <c r="J230" s="21" t="inlineStr">
        <is>
          <t>Ciencia de la Computación e Inteligencia Artificial</t>
        </is>
      </c>
      <c r="K230" s="22" t="n">
        <v>0.5</v>
      </c>
      <c r="L230" s="21" t="inlineStr">
        <is>
          <t>B161</t>
        </is>
      </c>
      <c r="M230" s="22" t="n">
        <v>2024</v>
      </c>
      <c r="N230" s="21" t="inlineStr">
        <is>
          <t>10.19</t>
        </is>
      </c>
      <c r="O230" s="22" t="inlineStr">
        <is>
          <t>20</t>
        </is>
      </c>
      <c r="P230" s="21" t="inlineStr"/>
      <c r="Q230" s="21" t="inlineStr"/>
      <c r="R230" s="21" t="n">
        <v>80</v>
      </c>
      <c r="S230" s="65" t="n">
        <v>0.4</v>
      </c>
      <c r="T230" s="65" t="n">
        <v>0.1</v>
      </c>
      <c r="U230" s="65" t="n">
        <v>0</v>
      </c>
    </row>
    <row r="231">
      <c r="A231" s="21" t="inlineStr">
        <is>
          <t>U062</t>
        </is>
      </c>
      <c r="B231" s="21" t="inlineStr">
        <is>
          <t>Instituto Universitario de Investigación Informática (10.19)</t>
        </is>
      </c>
      <c r="C231" s="21" t="inlineStr">
        <is>
          <t>DOCTORADO EN INFORMÁTICA</t>
        </is>
      </c>
      <c r="D231" s="21" t="inlineStr">
        <is>
          <t>Mulero Pérez, David</t>
        </is>
      </c>
      <c r="E231" s="21" t="inlineStr">
        <is>
          <t>Synthetic Generation and Reconstruction of Human-Centred Virtual Environments</t>
        </is>
      </c>
      <c r="F231" s="21" t="inlineStr">
        <is>
          <t>29/09/2025</t>
        </is>
      </c>
      <c r="G231" s="21" t="inlineStr">
        <is>
          <t>21486541X</t>
        </is>
      </c>
      <c r="H231" s="21" t="inlineStr">
        <is>
          <t>Codirector de tesis</t>
        </is>
      </c>
      <c r="I231" s="21" t="inlineStr">
        <is>
          <t>B148</t>
        </is>
      </c>
      <c r="J231" s="21" t="inlineStr">
        <is>
          <t>Tecnología Informática y Computación</t>
        </is>
      </c>
      <c r="K231" s="22" t="n">
        <v>0.5</v>
      </c>
      <c r="L231" s="21" t="inlineStr">
        <is>
          <t>B148</t>
        </is>
      </c>
      <c r="M231" s="22" t="n">
        <v>2024</v>
      </c>
      <c r="N231" s="21" t="inlineStr">
        <is>
          <t>10.19</t>
        </is>
      </c>
      <c r="O231" s="22" t="inlineStr">
        <is>
          <t>20</t>
        </is>
      </c>
      <c r="P231" s="21" t="inlineStr"/>
      <c r="Q231" s="21" t="inlineStr"/>
      <c r="R231" s="21" t="n">
        <v>80</v>
      </c>
      <c r="S231" s="65" t="n">
        <v>0.4</v>
      </c>
      <c r="T231" s="65" t="n">
        <v>0.1</v>
      </c>
      <c r="U231" s="65" t="n">
        <v>0</v>
      </c>
    </row>
    <row r="232">
      <c r="A232" s="21" t="inlineStr">
        <is>
          <t>U062</t>
        </is>
      </c>
      <c r="B232" s="21" t="inlineStr">
        <is>
          <t>Instituto Universitario de Investigación Informática (10.19)</t>
        </is>
      </c>
      <c r="C232" s="21" t="inlineStr">
        <is>
          <t>DOCTORADO EN INFORMÁTICA</t>
        </is>
      </c>
      <c r="D232" s="21" t="inlineStr">
        <is>
          <t>Mulero Pérez, David</t>
        </is>
      </c>
      <c r="E232" s="21" t="inlineStr">
        <is>
          <t>Synthetic Generation and Reconstruction of Human-Centred Virtual Environments</t>
        </is>
      </c>
      <c r="F232" s="21" t="inlineStr">
        <is>
          <t>29/09/2025</t>
        </is>
      </c>
      <c r="G232" s="21" t="inlineStr">
        <is>
          <t>52764803C</t>
        </is>
      </c>
      <c r="H232" s="21" t="inlineStr">
        <is>
          <t>Codirector de tesis</t>
        </is>
      </c>
      <c r="I232" s="21" t="inlineStr">
        <is>
          <t>B148</t>
        </is>
      </c>
      <c r="J232" s="21" t="inlineStr">
        <is>
          <t>Tecnología Informática y Computación</t>
        </is>
      </c>
      <c r="K232" s="22" t="n">
        <v>0.5</v>
      </c>
      <c r="L232" s="21" t="inlineStr">
        <is>
          <t>B148</t>
        </is>
      </c>
      <c r="M232" s="22" t="n">
        <v>2024</v>
      </c>
      <c r="N232" s="21" t="inlineStr">
        <is>
          <t>10.19</t>
        </is>
      </c>
      <c r="O232" s="22" t="inlineStr">
        <is>
          <t>50</t>
        </is>
      </c>
      <c r="P232" s="21" t="inlineStr"/>
      <c r="Q232" s="21" t="inlineStr"/>
      <c r="R232" s="21" t="n">
        <v>50</v>
      </c>
      <c r="S232" s="65" t="n">
        <v>0.25</v>
      </c>
      <c r="T232" s="65" t="n">
        <v>0.25</v>
      </c>
      <c r="U232" s="65" t="n">
        <v>0</v>
      </c>
    </row>
    <row r="233">
      <c r="A233" s="21" t="inlineStr">
        <is>
          <t>U062</t>
        </is>
      </c>
      <c r="B233" s="21" t="inlineStr">
        <is>
          <t>Instituto Universitario de Investigación Informática (10.19)</t>
        </is>
      </c>
      <c r="C233" s="21" t="inlineStr">
        <is>
          <t>DOCTORADO EN INFORMÁTICA</t>
        </is>
      </c>
      <c r="D233" s="21" t="inlineStr">
        <is>
          <t>Begga Hachlafi, Ahmed</t>
        </is>
      </c>
      <c r="E233" s="21" t="inlineStr">
        <is>
          <t>Empirical Eigenfunctions for Graph Neural Networks</t>
        </is>
      </c>
      <c r="F233" s="21" t="inlineStr">
        <is>
          <t>19/05/2025</t>
        </is>
      </c>
      <c r="G233" s="21" t="inlineStr">
        <is>
          <t>48531413X</t>
        </is>
      </c>
      <c r="H233" s="21" t="inlineStr">
        <is>
          <t>Director de tesis</t>
        </is>
      </c>
      <c r="I233" s="21" t="inlineStr">
        <is>
          <t>B161</t>
        </is>
      </c>
      <c r="J233" s="21" t="inlineStr">
        <is>
          <t>Ciencia de la Computación e Inteligencia Artificial</t>
        </is>
      </c>
      <c r="K233" s="22" t="n">
        <v>1</v>
      </c>
      <c r="L233" s="21" t="inlineStr">
        <is>
          <t>B161</t>
        </is>
      </c>
      <c r="M233" s="22" t="n">
        <v>2024</v>
      </c>
      <c r="N233" s="21" t="inlineStr">
        <is>
          <t>10.19</t>
        </is>
      </c>
      <c r="O233" s="22" t="inlineStr">
        <is>
          <t>20</t>
        </is>
      </c>
      <c r="P233" s="21" t="inlineStr"/>
      <c r="Q233" s="21" t="inlineStr"/>
      <c r="R233" s="21" t="n">
        <v>80</v>
      </c>
      <c r="S233" s="65" t="n">
        <v>0.8</v>
      </c>
      <c r="T233" s="65" t="n">
        <v>0.2</v>
      </c>
      <c r="U233" s="65" t="n">
        <v>0</v>
      </c>
    </row>
    <row r="234">
      <c r="A234" s="21" t="inlineStr">
        <is>
          <t>U062</t>
        </is>
      </c>
      <c r="B234" s="21" t="inlineStr">
        <is>
          <t>Instituto Universitario de Investigación Informática (10.19)</t>
        </is>
      </c>
      <c r="C234" s="21" t="inlineStr">
        <is>
          <t>DOCTORADO EN INFORMÁTICA</t>
        </is>
      </c>
      <c r="D234" s="21" t="inlineStr">
        <is>
          <t>Németh , Gergely Dániel</t>
        </is>
      </c>
      <c r="E234" s="21" t="inlineStr">
        <is>
          <t>Relaxing Core Assumptions: the Impact of Data, Model and Participation Heterogeneity
on Performance, Privacy and Fairness in Federated Learning</t>
        </is>
      </c>
      <c r="F234" s="21" t="inlineStr">
        <is>
          <t>12/09/2025</t>
        </is>
      </c>
      <c r="G234" s="21" t="inlineStr">
        <is>
          <t>48531413X</t>
        </is>
      </c>
      <c r="H234" s="21" t="inlineStr">
        <is>
          <t>Codirector de tesis</t>
        </is>
      </c>
      <c r="I234" s="21" t="inlineStr">
        <is>
          <t>B161</t>
        </is>
      </c>
      <c r="J234" s="21" t="inlineStr">
        <is>
          <t>Ciencia de la Computación e Inteligencia Artificial</t>
        </is>
      </c>
      <c r="K234" s="22" t="n">
        <v>0.5</v>
      </c>
      <c r="L234" s="21" t="inlineStr">
        <is>
          <t>B161</t>
        </is>
      </c>
      <c r="M234" s="22" t="n">
        <v>2024</v>
      </c>
      <c r="N234" s="21" t="inlineStr">
        <is>
          <t>10.19</t>
        </is>
      </c>
      <c r="O234" s="22" t="inlineStr">
        <is>
          <t>20</t>
        </is>
      </c>
      <c r="P234" s="21" t="inlineStr"/>
      <c r="Q234" s="21" t="inlineStr"/>
      <c r="R234" s="21" t="n">
        <v>80</v>
      </c>
      <c r="S234" s="65" t="n">
        <v>0.4</v>
      </c>
      <c r="T234" s="65" t="n">
        <v>0.1</v>
      </c>
      <c r="U234" s="65" t="n">
        <v>0</v>
      </c>
    </row>
    <row r="235">
      <c r="A235" s="21" t="inlineStr">
        <is>
          <t>U062</t>
        </is>
      </c>
      <c r="B235" s="21" t="inlineStr">
        <is>
          <t>Instituto Universitario de Investigación Informática (10.19)</t>
        </is>
      </c>
      <c r="C235" s="21" t="inlineStr">
        <is>
          <t>DOCTORADO EN INFORMÁTICA</t>
        </is>
      </c>
      <c r="D235" s="21" t="inlineStr">
        <is>
          <t>Alfaro Víquez, David Gerardo</t>
        </is>
      </c>
      <c r="E235" s="21" t="inlineStr">
        <is>
          <t>Design of Intelligent Architectures for Activity Monitoring in Manufacturing 4.0 Environments</t>
        </is>
      </c>
      <c r="F235" s="21" t="inlineStr">
        <is>
          <t>16/06/2025</t>
        </is>
      </c>
      <c r="G235" s="21" t="inlineStr">
        <is>
          <t>21486541X</t>
        </is>
      </c>
      <c r="H235" s="21" t="inlineStr">
        <is>
          <t>Codirector de tesis</t>
        </is>
      </c>
      <c r="I235" s="21" t="inlineStr">
        <is>
          <t>B148</t>
        </is>
      </c>
      <c r="J235" s="21" t="inlineStr">
        <is>
          <t>Tecnología Informática y Computación</t>
        </is>
      </c>
      <c r="K235" s="22" t="n">
        <v>0.5</v>
      </c>
      <c r="L235" s="21" t="inlineStr">
        <is>
          <t>B148</t>
        </is>
      </c>
      <c r="M235" s="22" t="n">
        <v>2024</v>
      </c>
      <c r="N235" s="21" t="inlineStr">
        <is>
          <t>10.19</t>
        </is>
      </c>
      <c r="O235" s="22" t="inlineStr">
        <is>
          <t>20</t>
        </is>
      </c>
      <c r="P235" s="21" t="inlineStr"/>
      <c r="Q235" s="21" t="inlineStr"/>
      <c r="R235" s="21" t="n">
        <v>80</v>
      </c>
      <c r="S235" s="65" t="n">
        <v>0.4</v>
      </c>
      <c r="T235" s="65" t="n">
        <v>0.1</v>
      </c>
      <c r="U235" s="65" t="n">
        <v>0</v>
      </c>
    </row>
    <row r="236">
      <c r="A236" s="21" t="inlineStr">
        <is>
          <t>U062</t>
        </is>
      </c>
      <c r="B236" s="21" t="inlineStr">
        <is>
          <t>Instituto Universitario de Investigación Informática (10.19)</t>
        </is>
      </c>
      <c r="C236" s="21" t="inlineStr">
        <is>
          <t>DOCTORADO EN INFORMÁTICA</t>
        </is>
      </c>
      <c r="D236" s="21" t="inlineStr">
        <is>
          <t>Alfaro Víquez, David Gerardo</t>
        </is>
      </c>
      <c r="E236" s="21" t="inlineStr">
        <is>
          <t>Design of Intelligent Architectures for Activity Monitoring in Manufacturing 4.0 Environments</t>
        </is>
      </c>
      <c r="F236" s="21" t="inlineStr">
        <is>
          <t>16/06/2025</t>
        </is>
      </c>
      <c r="G236" s="21" t="inlineStr">
        <is>
          <t>52764803C</t>
        </is>
      </c>
      <c r="H236" s="21" t="inlineStr">
        <is>
          <t>Codirector de tesis</t>
        </is>
      </c>
      <c r="I236" s="21" t="inlineStr">
        <is>
          <t>B148</t>
        </is>
      </c>
      <c r="J236" s="21" t="inlineStr">
        <is>
          <t>Tecnología Informática y Computación</t>
        </is>
      </c>
      <c r="K236" s="22" t="n">
        <v>0.5</v>
      </c>
      <c r="L236" s="21" t="inlineStr">
        <is>
          <t>B148</t>
        </is>
      </c>
      <c r="M236" s="22" t="n">
        <v>2024</v>
      </c>
      <c r="N236" s="21" t="inlineStr">
        <is>
          <t>10.19</t>
        </is>
      </c>
      <c r="O236" s="22" t="inlineStr">
        <is>
          <t>50</t>
        </is>
      </c>
      <c r="P236" s="21" t="inlineStr"/>
      <c r="Q236" s="21" t="inlineStr"/>
      <c r="R236" s="21" t="n">
        <v>50</v>
      </c>
      <c r="S236" s="65" t="n">
        <v>0.25</v>
      </c>
      <c r="T236" s="65" t="n">
        <v>0.25</v>
      </c>
      <c r="U236" s="65" t="n">
        <v>0</v>
      </c>
    </row>
    <row r="237">
      <c r="A237" s="21" t="inlineStr">
        <is>
          <t>U062</t>
        </is>
      </c>
      <c r="B237" s="21" t="inlineStr">
        <is>
          <t>Instituto Universitario de Investigación Informática (10.19)</t>
        </is>
      </c>
      <c r="C237" s="21" t="inlineStr">
        <is>
          <t>DOCTORADO EN INFORMÁTICA</t>
        </is>
      </c>
      <c r="D237" s="21" t="inlineStr">
        <is>
          <t>Riccio , Piera</t>
        </is>
      </c>
      <c r="E237" s="21" t="inlineStr">
        <is>
          <t>Human aesthetics under the representational power of Artificial Intelligence</t>
        </is>
      </c>
      <c r="F237" s="21" t="inlineStr">
        <is>
          <t>22/09/2025</t>
        </is>
      </c>
      <c r="G237" s="21" t="inlineStr">
        <is>
          <t>48531413X</t>
        </is>
      </c>
      <c r="H237" s="21" t="inlineStr">
        <is>
          <t>Codirector de tesis</t>
        </is>
      </c>
      <c r="I237" s="21" t="inlineStr">
        <is>
          <t>B161</t>
        </is>
      </c>
      <c r="J237" s="21" t="inlineStr">
        <is>
          <t>Ciencia de la Computación e Inteligencia Artificial</t>
        </is>
      </c>
      <c r="K237" s="22" t="n">
        <v>0.5</v>
      </c>
      <c r="L237" s="21" t="inlineStr">
        <is>
          <t>B161</t>
        </is>
      </c>
      <c r="M237" s="22" t="n">
        <v>2024</v>
      </c>
      <c r="N237" s="21" t="inlineStr">
        <is>
          <t>10.19</t>
        </is>
      </c>
      <c r="O237" s="22" t="inlineStr">
        <is>
          <t>20</t>
        </is>
      </c>
      <c r="P237" s="21" t="inlineStr"/>
      <c r="Q237" s="21" t="inlineStr"/>
      <c r="R237" s="21" t="n">
        <v>80</v>
      </c>
      <c r="S237" s="65" t="n">
        <v>0.4</v>
      </c>
      <c r="T237" s="65" t="n">
        <v>0.1</v>
      </c>
      <c r="U237" s="65" t="n">
        <v>0</v>
      </c>
    </row>
    <row r="238">
      <c r="A238" s="21" t="inlineStr">
        <is>
          <t>U066</t>
        </is>
      </c>
      <c r="B238" s="21" t="inlineStr">
        <is>
          <t>Instituto Universitario de Física Aplicada a las Ciencias y las Tecnologías (10.</t>
        </is>
      </c>
      <c r="C238" s="21" t="inlineStr">
        <is>
          <t>DOCTORADO EN FÍSICA APLICADA A LAS CIENCIAS Y LAS TECNOLOGÍAS</t>
        </is>
      </c>
      <c r="D238" s="21" t="inlineStr">
        <is>
          <t>Sánchez Martínez, Daniel</t>
        </is>
      </c>
      <c r="E238" s="21" t="inlineStr">
        <is>
          <t>INTELLIGENT ROBOTIC MANIPULATION OF DEFORMABLE OBJECTS IN THE TOY INDUSTRY THROUGH LEARNING FROM
HUMAN DEMONSTRATION</t>
        </is>
      </c>
      <c r="F238" s="21" t="inlineStr">
        <is>
          <t>23/07/2025</t>
        </is>
      </c>
      <c r="G238" s="21" t="inlineStr">
        <is>
          <t>53244622J</t>
        </is>
      </c>
      <c r="H238" s="21" t="inlineStr">
        <is>
          <t>Codirector de tesis</t>
        </is>
      </c>
      <c r="I238" s="21" t="inlineStr">
        <is>
          <t>B161</t>
        </is>
      </c>
      <c r="J238" s="21" t="inlineStr">
        <is>
          <t>Ciencia de la Computación e Inteligencia Artificial</t>
        </is>
      </c>
      <c r="K238" s="22" t="n">
        <v>0.5</v>
      </c>
      <c r="L238" s="21" t="inlineStr">
        <is>
          <t>B161</t>
        </is>
      </c>
      <c r="M238" s="22" t="n">
        <v>2024</v>
      </c>
      <c r="N238" s="21" t="inlineStr">
        <is>
          <t>10.19</t>
        </is>
      </c>
      <c r="O238" s="22" t="inlineStr">
        <is>
          <t>50</t>
        </is>
      </c>
      <c r="P238" s="21" t="inlineStr"/>
      <c r="Q238" s="21" t="inlineStr"/>
      <c r="R238" s="21" t="n">
        <v>50</v>
      </c>
      <c r="S238" s="65" t="n">
        <v>0.25</v>
      </c>
      <c r="T238" s="65" t="n">
        <v>0.25</v>
      </c>
      <c r="U238" s="65" t="n">
        <v>0</v>
      </c>
    </row>
    <row r="239">
      <c r="A239" s="21" t="inlineStr">
        <is>
          <t>U062</t>
        </is>
      </c>
      <c r="B239" s="21" t="inlineStr">
        <is>
          <t>Instituto Universitario de Investigación Informática (10.19)</t>
        </is>
      </c>
      <c r="C239" s="21" t="inlineStr">
        <is>
          <t>DOCTORADO EN INFORMÁTICA</t>
        </is>
      </c>
      <c r="D239" s="21" t="inlineStr">
        <is>
          <t>Berenguer Pastor, Alberto</t>
        </is>
      </c>
      <c r="E239" s="21" t="inlineStr">
        <is>
          <t>Búsqueda de datos estructurados mediante técnicas de procesamiento del lenguaje natural</t>
        </is>
      </c>
      <c r="F239" s="21" t="inlineStr">
        <is>
          <t>10/03/2025</t>
        </is>
      </c>
      <c r="G239" s="21" t="inlineStr">
        <is>
          <t>73993969W</t>
        </is>
      </c>
      <c r="H239" s="21" t="inlineStr">
        <is>
          <t>Codirector de tesis</t>
        </is>
      </c>
      <c r="I239" s="21" t="inlineStr">
        <is>
          <t>B158</t>
        </is>
      </c>
      <c r="J239" s="21" t="inlineStr">
        <is>
          <t>Lenguajes y Sistemas Informáticos</t>
        </is>
      </c>
      <c r="K239" s="22" t="n">
        <v>0.5</v>
      </c>
      <c r="L239" s="21" t="inlineStr">
        <is>
          <t>B158</t>
        </is>
      </c>
      <c r="M239" s="22" t="n">
        <v>2024</v>
      </c>
      <c r="N239" s="21" t="inlineStr">
        <is>
          <t>10.17</t>
        </is>
      </c>
      <c r="O239" s="22" t="inlineStr">
        <is>
          <t>10</t>
        </is>
      </c>
      <c r="P239" s="21" t="inlineStr">
        <is>
          <t>10.19</t>
        </is>
      </c>
      <c r="Q239" s="21" t="inlineStr">
        <is>
          <t>20</t>
        </is>
      </c>
      <c r="R239" s="21" t="n">
        <v>70</v>
      </c>
      <c r="S239" s="65" t="n">
        <v>0.35</v>
      </c>
      <c r="T239" s="65" t="n">
        <v>0.05</v>
      </c>
      <c r="U239" s="65" t="n">
        <v>0.1</v>
      </c>
    </row>
    <row r="240">
      <c r="A240" s="23" t="n"/>
      <c r="B240" s="23" t="n"/>
      <c r="C240" s="23" t="n"/>
      <c r="D240" s="23" t="n"/>
      <c r="E240" s="23" t="n"/>
      <c r="F240" s="23" t="n"/>
      <c r="G240" s="23" t="n"/>
      <c r="H240" s="23" t="n"/>
      <c r="I240" s="23" t="n"/>
      <c r="J240" s="23" t="n"/>
      <c r="K240" s="23" t="n"/>
      <c r="L240" s="24" t="n"/>
      <c r="M240" s="23" t="n"/>
      <c r="N240" s="24" t="n"/>
      <c r="O240" s="23" t="n"/>
      <c r="P240" s="24" t="n"/>
      <c r="Q240" s="23" t="n"/>
      <c r="R240" s="23" t="n"/>
      <c r="S240" s="69">
        <f>SUM(U184:U188,T18:T183,S2:S17,T189:T192,S193:S199,T200:T238,U239)</f>
        <v/>
      </c>
      <c r="T240" s="70" t="n"/>
      <c r="U240" s="70" t="n"/>
    </row>
    <row r="263">
      <c r="V263" s="5" t="inlineStr">
        <is>
          <t>S</t>
        </is>
      </c>
    </row>
    <row r="264">
      <c r="V264" s="5" t="inlineStr">
        <is>
          <t>S</t>
        </is>
      </c>
    </row>
    <row r="421">
      <c r="V421" s="5" t="inlineStr">
        <is>
          <t>S</t>
        </is>
      </c>
    </row>
    <row r="422">
      <c r="V422" s="5" t="inlineStr">
        <is>
          <t>S</t>
        </is>
      </c>
    </row>
    <row r="423">
      <c r="V423" s="5" t="inlineStr">
        <is>
          <t>S</t>
        </is>
      </c>
    </row>
    <row r="424">
      <c r="V424" s="5" t="inlineStr">
        <is>
          <t>S</t>
        </is>
      </c>
    </row>
    <row r="425">
      <c r="V425" s="5" t="inlineStr">
        <is>
          <t>S</t>
        </is>
      </c>
    </row>
    <row r="426">
      <c r="V426" s="5" t="inlineStr">
        <is>
          <t>S</t>
        </is>
      </c>
    </row>
    <row r="427">
      <c r="V427" s="5" t="inlineStr">
        <is>
          <t>S</t>
        </is>
      </c>
    </row>
    <row r="428">
      <c r="V428" s="5" t="inlineStr">
        <is>
          <t>S</t>
        </is>
      </c>
    </row>
    <row r="429">
      <c r="V429" s="5" t="inlineStr">
        <is>
          <t>S</t>
        </is>
      </c>
    </row>
    <row r="430">
      <c r="V430" s="5" t="inlineStr">
        <is>
          <t>S</t>
        </is>
      </c>
    </row>
    <row r="431">
      <c r="V431" s="5" t="inlineStr">
        <is>
          <t>S</t>
        </is>
      </c>
    </row>
    <row r="432">
      <c r="V432" s="5" t="inlineStr">
        <is>
          <t>S</t>
        </is>
      </c>
    </row>
    <row r="433">
      <c r="V433" s="5" t="inlineStr">
        <is>
          <t>S</t>
        </is>
      </c>
    </row>
    <row r="434">
      <c r="V434" s="5" t="inlineStr">
        <is>
          <t>S</t>
        </is>
      </c>
    </row>
    <row r="435">
      <c r="V435" s="5" t="inlineStr">
        <is>
          <t>S</t>
        </is>
      </c>
    </row>
    <row r="436">
      <c r="V436" s="5" t="inlineStr">
        <is>
          <t>S</t>
        </is>
      </c>
    </row>
    <row r="437">
      <c r="V437" s="5" t="inlineStr">
        <is>
          <t>S</t>
        </is>
      </c>
    </row>
    <row r="438">
      <c r="V438" s="5" t="inlineStr">
        <is>
          <t>S</t>
        </is>
      </c>
    </row>
    <row r="439">
      <c r="V439" s="5" t="inlineStr">
        <is>
          <t>S</t>
        </is>
      </c>
    </row>
    <row r="440">
      <c r="V440" s="5" t="inlineStr">
        <is>
          <t>S</t>
        </is>
      </c>
    </row>
    <row r="441">
      <c r="V441" s="5" t="inlineStr">
        <is>
          <t>S</t>
        </is>
      </c>
    </row>
    <row r="442">
      <c r="V442" s="5" t="inlineStr">
        <is>
          <t>S</t>
        </is>
      </c>
    </row>
    <row r="443">
      <c r="V443" s="5" t="inlineStr">
        <is>
          <t>S</t>
        </is>
      </c>
    </row>
    <row r="444">
      <c r="V444" s="5" t="inlineStr">
        <is>
          <t>S</t>
        </is>
      </c>
    </row>
    <row r="445">
      <c r="V445" s="5" t="inlineStr">
        <is>
          <t>S</t>
        </is>
      </c>
    </row>
    <row r="446">
      <c r="V446" s="5" t="inlineStr">
        <is>
          <t>S</t>
        </is>
      </c>
    </row>
    <row r="447">
      <c r="V447" s="5" t="inlineStr">
        <is>
          <t>S</t>
        </is>
      </c>
    </row>
    <row r="448">
      <c r="V448" s="5" t="inlineStr">
        <is>
          <t>S</t>
        </is>
      </c>
    </row>
    <row r="449">
      <c r="V449" s="5" t="inlineStr">
        <is>
          <t>S</t>
        </is>
      </c>
    </row>
    <row r="450">
      <c r="V450" s="5" t="inlineStr">
        <is>
          <t>S</t>
        </is>
      </c>
    </row>
    <row r="451">
      <c r="V451" s="5" t="inlineStr">
        <is>
          <t>S</t>
        </is>
      </c>
    </row>
    <row r="452">
      <c r="V452" s="5" t="inlineStr">
        <is>
          <t>S</t>
        </is>
      </c>
    </row>
    <row r="453">
      <c r="V453" s="5" t="inlineStr">
        <is>
          <t>S</t>
        </is>
      </c>
    </row>
    <row r="454">
      <c r="V454" s="5" t="inlineStr">
        <is>
          <t>S</t>
        </is>
      </c>
    </row>
    <row r="461">
      <c r="V461" s="71" t="n"/>
    </row>
  </sheetData>
  <autoFilter ref="A1:T240"/>
  <mergeCells count="1">
    <mergeCell ref="S240:U240"/>
  </mergeCells>
  <printOptions horizontalCentered="1"/>
  <pageMargins left="0.1968503937007874" right="0.1968503937007874" top="0.3937007874015748" bottom="0.3937007874015748" header="0.7874015748031497" footer="0"/>
  <pageSetup orientation="landscape" paperSize="9" scale="92" fitToHeight="22" fitToWidth="2"/>
</worksheet>
</file>

<file path=xl/worksheets/sheet2.xml><?xml version="1.0" encoding="utf-8"?>
<worksheet xmlns="http://schemas.openxmlformats.org/spreadsheetml/2006/main">
  <sheetPr>
    <outlinePr summaryBelow="1" summaryRight="1"/>
    <pageSetUpPr fitToPage="1"/>
  </sheetPr>
  <dimension ref="A1:S105"/>
  <sheetViews>
    <sheetView topLeftCell="A71" zoomScaleNormal="100" workbookViewId="0">
      <selection activeCell="B1" sqref="B1"/>
    </sheetView>
  </sheetViews>
  <sheetFormatPr baseColWidth="10" defaultColWidth="11.42578125" defaultRowHeight="12.75"/>
  <cols>
    <col width="10.85546875" bestFit="1" customWidth="1" style="9" min="1" max="1"/>
    <col width="39.85546875" bestFit="1" customWidth="1" style="9" min="2" max="2"/>
    <col width="17" bestFit="1" customWidth="1" style="9" min="3" max="3"/>
    <col width="3.28515625" bestFit="1" customWidth="1" style="9" min="4" max="9"/>
    <col width="8.42578125" customWidth="1" style="9" min="10" max="10"/>
    <col width="5.28515625" bestFit="1" customWidth="1" style="9" min="11" max="11"/>
    <col width="5.7109375" bestFit="1" customWidth="1" style="9" min="12" max="12"/>
    <col width="5.7109375" bestFit="1" customWidth="1" style="10" min="13" max="14"/>
    <col width="5.7109375" bestFit="1" customWidth="1" style="9" min="15" max="15"/>
    <col width="5.7109375" bestFit="1" customWidth="1" style="10" min="16" max="16"/>
    <col width="5.7109375" bestFit="1" customWidth="1" style="9" min="17" max="19"/>
    <col width="11.42578125" customWidth="1" style="9" min="20" max="16384"/>
  </cols>
  <sheetData>
    <row r="1" ht="30" customHeight="1">
      <c r="A1" s="11" t="inlineStr">
        <is>
          <t>NIF</t>
        </is>
      </c>
      <c r="B1" s="11" t="inlineStr">
        <is>
          <t>NOMBRE_COMPLETO</t>
        </is>
      </c>
      <c r="C1" s="11" t="inlineStr">
        <is>
          <t>TIPO_SEXENIO</t>
        </is>
      </c>
      <c r="D1" s="12" t="inlineStr">
        <is>
          <t>2020</t>
        </is>
      </c>
      <c r="E1" s="12" t="inlineStr">
        <is>
          <t>2021</t>
        </is>
      </c>
      <c r="F1" s="12" t="inlineStr">
        <is>
          <t>2022</t>
        </is>
      </c>
      <c r="G1" s="12" t="inlineStr">
        <is>
          <t>2023</t>
        </is>
      </c>
      <c r="H1" s="12" t="inlineStr">
        <is>
          <t>2024</t>
        </is>
      </c>
      <c r="I1" s="12" t="inlineStr">
        <is>
          <t>2025</t>
        </is>
      </c>
      <c r="J1" s="11" t="inlineStr">
        <is>
          <t>Total general</t>
        </is>
      </c>
      <c r="K1" s="13" t="inlineStr">
        <is>
          <t>COD DEP</t>
        </is>
      </c>
      <c r="L1" s="7" t="inlineStr">
        <is>
          <t>INS
1</t>
        </is>
      </c>
      <c r="M1" s="7" t="inlineStr">
        <is>
          <t>DED
INS 1</t>
        </is>
      </c>
      <c r="N1" s="7" t="inlineStr">
        <is>
          <t>INS
2</t>
        </is>
      </c>
      <c r="O1" s="7" t="inlineStr">
        <is>
          <t>DED
INS 2</t>
        </is>
      </c>
      <c r="P1" s="8" t="inlineStr">
        <is>
          <t>DED
DEP</t>
        </is>
      </c>
      <c r="Q1" s="8" t="inlineStr">
        <is>
          <t>SEX
INS 1</t>
        </is>
      </c>
      <c r="R1" s="8" t="inlineStr">
        <is>
          <t>SEX
INS 2</t>
        </is>
      </c>
      <c r="S1" s="8" t="inlineStr">
        <is>
          <t>SEX
DEP</t>
        </is>
      </c>
    </row>
    <row r="2" ht="15" customHeight="1">
      <c r="A2" s="14" t="inlineStr">
        <is>
          <t>02380426H</t>
        </is>
      </c>
      <c r="B2" s="14" t="inlineStr">
        <is>
          <t>Gutiérrez Vázquez, Yoan</t>
        </is>
      </c>
      <c r="C2" s="14" t="inlineStr">
        <is>
          <t>FUNCIONARIO</t>
        </is>
      </c>
      <c r="D2" s="14" t="n"/>
      <c r="E2" s="14" t="n"/>
      <c r="F2" s="14" t="n"/>
      <c r="G2" s="14" t="n">
        <v>1</v>
      </c>
      <c r="H2" s="14" t="n"/>
      <c r="I2" s="14" t="n">
        <v>1</v>
      </c>
      <c r="J2" s="14" t="n">
        <v>2</v>
      </c>
      <c r="K2" s="14" t="inlineStr">
        <is>
          <t>B158</t>
        </is>
      </c>
      <c r="L2" s="46" t="inlineStr">
        <is>
          <t>10.19</t>
        </is>
      </c>
      <c r="M2" s="46" t="inlineStr">
        <is>
          <t>20</t>
        </is>
      </c>
      <c r="N2" s="46" t="inlineStr"/>
      <c r="O2" s="46" t="inlineStr"/>
      <c r="P2" s="46" t="n">
        <v>80</v>
      </c>
      <c r="Q2" s="46" t="n">
        <v>0.4</v>
      </c>
      <c r="R2" s="46" t="n">
        <v>0</v>
      </c>
      <c r="S2" s="46" t="n">
        <v>1.6</v>
      </c>
    </row>
    <row r="3" ht="15" customHeight="1">
      <c r="A3" s="14" t="inlineStr">
        <is>
          <t>03120050P</t>
        </is>
      </c>
      <c r="B3" s="14" t="inlineStr">
        <is>
          <t>Viejo Hernando, Diego</t>
        </is>
      </c>
      <c r="C3" s="14" t="inlineStr">
        <is>
          <t>FUNCIONARIO</t>
        </is>
      </c>
      <c r="D3" s="14" t="n">
        <v>1</v>
      </c>
      <c r="E3" s="14" t="n">
        <v>1</v>
      </c>
      <c r="F3" s="14" t="n"/>
      <c r="G3" s="14" t="n"/>
      <c r="H3" s="14" t="n"/>
      <c r="I3" s="14" t="n"/>
      <c r="J3" s="14" t="n">
        <v>2</v>
      </c>
      <c r="K3" s="14" t="inlineStr">
        <is>
          <t>B161</t>
        </is>
      </c>
      <c r="L3" s="46" t="inlineStr">
        <is>
          <t>10.19</t>
        </is>
      </c>
      <c r="M3" s="46" t="inlineStr">
        <is>
          <t>20</t>
        </is>
      </c>
      <c r="N3" s="46" t="inlineStr"/>
      <c r="O3" s="46" t="inlineStr"/>
      <c r="P3" s="46" t="n">
        <v>80</v>
      </c>
      <c r="Q3" s="46" t="n">
        <v>0.4</v>
      </c>
      <c r="R3" s="46" t="n">
        <v>0</v>
      </c>
      <c r="S3" s="46" t="n">
        <v>1.6</v>
      </c>
    </row>
    <row r="4" ht="15" customHeight="1">
      <c r="A4" s="14" t="inlineStr">
        <is>
          <t>04296267M</t>
        </is>
      </c>
      <c r="B4" s="14" t="inlineStr">
        <is>
          <t>Araujo da Silva Costa, Angelo Gonçalo</t>
        </is>
      </c>
      <c r="C4" s="14" t="inlineStr">
        <is>
          <t>FUNCIONARIO</t>
        </is>
      </c>
      <c r="D4" s="14" t="n"/>
      <c r="E4" s="14" t="n"/>
      <c r="F4" s="14" t="n"/>
      <c r="G4" s="14" t="n"/>
      <c r="H4" s="14" t="n">
        <v>2</v>
      </c>
      <c r="I4" s="14" t="n"/>
      <c r="J4" s="14" t="n">
        <v>2</v>
      </c>
      <c r="K4" s="14" t="inlineStr">
        <is>
          <t>B161</t>
        </is>
      </c>
      <c r="L4" s="46" t="inlineStr">
        <is>
          <t>10.19</t>
        </is>
      </c>
      <c r="M4" s="46" t="inlineStr">
        <is>
          <t>50</t>
        </is>
      </c>
      <c r="N4" s="46" t="inlineStr"/>
      <c r="O4" s="46" t="inlineStr"/>
      <c r="P4" s="46" t="n">
        <v>50</v>
      </c>
      <c r="Q4" s="46" t="n">
        <v>1</v>
      </c>
      <c r="R4" s="46" t="n">
        <v>0</v>
      </c>
      <c r="S4" s="46" t="n">
        <v>1</v>
      </c>
    </row>
    <row r="5" ht="15" customHeight="1">
      <c r="A5" s="14" t="inlineStr">
        <is>
          <t>09371918Q</t>
        </is>
      </c>
      <c r="B5" s="14" t="inlineStr">
        <is>
          <t>Ferrández Pastor, Francisco Javier</t>
        </is>
      </c>
      <c r="C5" s="14" t="inlineStr">
        <is>
          <t>FUNCIONARIO</t>
        </is>
      </c>
      <c r="D5" s="14" t="n"/>
      <c r="E5" s="14" t="n"/>
      <c r="F5" s="14" t="n"/>
      <c r="G5" s="14" t="n">
        <v>1</v>
      </c>
      <c r="H5" s="14" t="n"/>
      <c r="I5" s="14" t="n"/>
      <c r="J5" s="14" t="n">
        <v>1</v>
      </c>
      <c r="K5" s="14" t="inlineStr">
        <is>
          <t>B148</t>
        </is>
      </c>
      <c r="L5" s="46" t="inlineStr">
        <is>
          <t>10.19</t>
        </is>
      </c>
      <c r="M5" s="46" t="inlineStr">
        <is>
          <t>10</t>
        </is>
      </c>
      <c r="N5" s="46" t="inlineStr">
        <is>
          <t>10.25</t>
        </is>
      </c>
      <c r="O5" s="46" t="inlineStr">
        <is>
          <t>10</t>
        </is>
      </c>
      <c r="P5" s="46" t="n">
        <v>80</v>
      </c>
      <c r="Q5" s="46" t="n">
        <v>0.1</v>
      </c>
      <c r="R5" s="46" t="n">
        <v>0.1</v>
      </c>
      <c r="S5" s="46" t="n">
        <v>0.8</v>
      </c>
    </row>
    <row r="6" ht="15" customHeight="1">
      <c r="A6" s="17" t="inlineStr">
        <is>
          <t>14075477Y</t>
        </is>
      </c>
      <c r="B6" s="17" t="inlineStr">
        <is>
          <t>Abreu Salas, José Ignacio</t>
        </is>
      </c>
      <c r="C6" s="18" t="inlineStr">
        <is>
          <t>FUNCIONARIO</t>
        </is>
      </c>
      <c r="D6" s="17" t="n"/>
      <c r="E6" s="17" t="n"/>
      <c r="F6" s="17" t="n"/>
      <c r="G6" s="17" t="n"/>
      <c r="H6" s="17" t="n">
        <v>2</v>
      </c>
      <c r="I6" s="17" t="n"/>
      <c r="J6" s="14" t="n">
        <v>2</v>
      </c>
      <c r="K6" s="14" t="inlineStr">
        <is>
          <t>B158</t>
        </is>
      </c>
      <c r="L6" s="46" t="inlineStr">
        <is>
          <t>10.19</t>
        </is>
      </c>
      <c r="M6" s="46" t="inlineStr">
        <is>
          <t>20</t>
        </is>
      </c>
      <c r="N6" s="46" t="inlineStr"/>
      <c r="O6" s="46" t="inlineStr"/>
      <c r="P6" s="46" t="n">
        <v>80</v>
      </c>
      <c r="Q6" s="46" t="n">
        <v>0.4</v>
      </c>
      <c r="R6" s="46" t="n">
        <v>0</v>
      </c>
      <c r="S6" s="46" t="n">
        <v>1.6</v>
      </c>
    </row>
    <row r="7" ht="15" customHeight="1">
      <c r="A7" s="14" t="inlineStr">
        <is>
          <t>16568682B</t>
        </is>
      </c>
      <c r="B7" s="14" t="inlineStr">
        <is>
          <t>Negueruela Díez, Ignacio</t>
        </is>
      </c>
      <c r="C7" s="15" t="inlineStr">
        <is>
          <t>FUNCIONARIO</t>
        </is>
      </c>
      <c r="D7" s="14" t="n"/>
      <c r="E7" s="14" t="n"/>
      <c r="F7" s="14" t="n"/>
      <c r="G7" s="14" t="n"/>
      <c r="H7" s="14" t="n">
        <v>1</v>
      </c>
      <c r="I7" s="14" t="n"/>
      <c r="J7" s="14" t="n">
        <v>1</v>
      </c>
      <c r="K7" s="14" t="inlineStr">
        <is>
          <t>B190</t>
        </is>
      </c>
      <c r="L7" s="46" t="inlineStr">
        <is>
          <t>10.19</t>
        </is>
      </c>
      <c r="M7" s="46" t="inlineStr">
        <is>
          <t>15</t>
        </is>
      </c>
      <c r="N7" s="46" t="inlineStr"/>
      <c r="O7" s="46" t="inlineStr"/>
      <c r="P7" s="46" t="n">
        <v>85</v>
      </c>
      <c r="Q7" s="46" t="n">
        <v>0.15</v>
      </c>
      <c r="R7" s="46" t="n">
        <v>0</v>
      </c>
      <c r="S7" s="46" t="n">
        <v>0.85</v>
      </c>
    </row>
    <row r="8" ht="15" customHeight="1">
      <c r="A8" s="14" t="inlineStr">
        <is>
          <t>20413324L</t>
        </is>
      </c>
      <c r="B8" s="14" t="inlineStr">
        <is>
          <t>Palomar Sanz, Manuel Javier</t>
        </is>
      </c>
      <c r="C8" s="14" t="inlineStr">
        <is>
          <t>FUNCIONARIO</t>
        </is>
      </c>
      <c r="D8" s="14" t="n"/>
      <c r="E8" s="14" t="n"/>
      <c r="F8" s="14" t="n"/>
      <c r="G8" s="14" t="n"/>
      <c r="H8" s="14" t="n"/>
      <c r="I8" s="14" t="n">
        <v>1</v>
      </c>
      <c r="J8" s="14" t="n">
        <v>1</v>
      </c>
      <c r="K8" s="14" t="inlineStr">
        <is>
          <t>B158</t>
        </is>
      </c>
      <c r="L8" s="46" t="inlineStr">
        <is>
          <t>10.19</t>
        </is>
      </c>
      <c r="M8" s="46" t="inlineStr">
        <is>
          <t>50</t>
        </is>
      </c>
      <c r="N8" s="46" t="inlineStr"/>
      <c r="O8" s="46" t="inlineStr"/>
      <c r="P8" s="46" t="n">
        <v>50</v>
      </c>
      <c r="Q8" s="46" t="n">
        <v>0.5</v>
      </c>
      <c r="R8" s="46" t="n">
        <v>0</v>
      </c>
      <c r="S8" s="46" t="n">
        <v>0.5</v>
      </c>
    </row>
    <row r="9" ht="15" customHeight="1">
      <c r="A9" s="14" t="inlineStr">
        <is>
          <t>21388068T</t>
        </is>
      </c>
      <c r="B9" s="14" t="inlineStr">
        <is>
          <t>Rizo Aldeguer, Ramón Luis</t>
        </is>
      </c>
      <c r="C9" s="14" t="inlineStr">
        <is>
          <t>FUNCIONARIO</t>
        </is>
      </c>
      <c r="D9" s="14" t="n"/>
      <c r="E9" s="14" t="n"/>
      <c r="F9" s="14" t="n"/>
      <c r="G9" s="14" t="n">
        <v>1</v>
      </c>
      <c r="H9" s="14" t="n"/>
      <c r="I9" s="14" t="n"/>
      <c r="J9" s="14" t="n">
        <v>1</v>
      </c>
      <c r="K9" s="14" t="inlineStr">
        <is>
          <t>B161</t>
        </is>
      </c>
      <c r="L9" s="46" t="inlineStr">
        <is>
          <t>10.19</t>
        </is>
      </c>
      <c r="M9" s="46" t="inlineStr">
        <is>
          <t>20</t>
        </is>
      </c>
      <c r="N9" s="46" t="inlineStr"/>
      <c r="O9" s="46" t="inlineStr"/>
      <c r="P9" s="46" t="n">
        <v>80</v>
      </c>
      <c r="Q9" s="46" t="n">
        <v>0.2</v>
      </c>
      <c r="R9" s="46" t="n">
        <v>0</v>
      </c>
      <c r="S9" s="46" t="n">
        <v>0.8</v>
      </c>
    </row>
    <row r="10" ht="15" customHeight="1">
      <c r="A10" s="14" t="inlineStr">
        <is>
          <t>21395951V</t>
        </is>
      </c>
      <c r="B10" s="14" t="inlineStr">
        <is>
          <t>Marco Such, Manuel</t>
        </is>
      </c>
      <c r="C10" s="14" t="inlineStr">
        <is>
          <t>Vivos</t>
        </is>
      </c>
      <c r="D10" s="14" t="n"/>
      <c r="E10" s="14" t="n"/>
      <c r="F10" s="14" t="n"/>
      <c r="G10" s="14" t="n"/>
      <c r="H10" s="14" t="n"/>
      <c r="I10" s="14" t="n">
        <v>1</v>
      </c>
      <c r="J10" s="14" t="n">
        <v>1</v>
      </c>
      <c r="K10" s="14" t="inlineStr">
        <is>
          <t>B158</t>
        </is>
      </c>
      <c r="L10" s="46" t="inlineStr">
        <is>
          <t>10.19</t>
        </is>
      </c>
      <c r="M10" s="46" t="inlineStr">
        <is>
          <t>10</t>
        </is>
      </c>
      <c r="N10" s="46" t="inlineStr">
        <is>
          <t>10.06</t>
        </is>
      </c>
      <c r="O10" s="46" t="inlineStr">
        <is>
          <t>10</t>
        </is>
      </c>
      <c r="P10" s="46" t="n">
        <v>80</v>
      </c>
      <c r="Q10" s="46" t="n">
        <v>0.1</v>
      </c>
      <c r="R10" s="46" t="n">
        <v>0.1</v>
      </c>
      <c r="S10" s="46" t="n">
        <v>0.8</v>
      </c>
    </row>
    <row r="11" ht="15" customHeight="1">
      <c r="A11" s="14" t="inlineStr">
        <is>
          <t>21397854B</t>
        </is>
      </c>
      <c r="B11" s="14" t="inlineStr">
        <is>
          <t>Grediaga Olivo, Ángel</t>
        </is>
      </c>
      <c r="C11" s="14" t="inlineStr">
        <is>
          <t>Vivos</t>
        </is>
      </c>
      <c r="D11" s="14" t="n"/>
      <c r="E11" s="14" t="n"/>
      <c r="F11" s="14" t="n"/>
      <c r="G11" s="14" t="n"/>
      <c r="H11" s="14" t="n"/>
      <c r="I11" s="14" t="n">
        <v>1</v>
      </c>
      <c r="J11" s="14" t="n">
        <v>1</v>
      </c>
      <c r="K11" s="14" t="inlineStr">
        <is>
          <t>B148</t>
        </is>
      </c>
      <c r="L11" s="46" t="inlineStr">
        <is>
          <t>10.19</t>
        </is>
      </c>
      <c r="M11" s="46" t="inlineStr">
        <is>
          <t>20</t>
        </is>
      </c>
      <c r="N11" s="46" t="inlineStr"/>
      <c r="O11" s="46" t="inlineStr"/>
      <c r="P11" s="46" t="n">
        <v>80</v>
      </c>
      <c r="Q11" s="46" t="n">
        <v>0.2</v>
      </c>
      <c r="R11" s="46" t="n">
        <v>0</v>
      </c>
      <c r="S11" s="46" t="n">
        <v>0.8</v>
      </c>
    </row>
    <row r="12" ht="15" customHeight="1">
      <c r="A12" s="14" t="inlineStr">
        <is>
          <t>21406895J</t>
        </is>
      </c>
      <c r="B12" s="14" t="inlineStr">
        <is>
          <t>Maciá Soler, María Loreto</t>
        </is>
      </c>
      <c r="C12" s="14" t="inlineStr">
        <is>
          <t>FUNCIONARIO</t>
        </is>
      </c>
      <c r="D12" s="14" t="n"/>
      <c r="E12" s="14" t="n"/>
      <c r="F12" s="14" t="n"/>
      <c r="G12" s="14" t="n"/>
      <c r="H12" s="14" t="n"/>
      <c r="I12" s="14" t="n">
        <v>1</v>
      </c>
      <c r="J12" s="14" t="n">
        <v>1</v>
      </c>
      <c r="K12" s="14" t="inlineStr">
        <is>
          <t>B134</t>
        </is>
      </c>
      <c r="L12" s="46" t="inlineStr">
        <is>
          <t>10.19</t>
        </is>
      </c>
      <c r="M12" s="46" t="inlineStr">
        <is>
          <t>90</t>
        </is>
      </c>
      <c r="N12" s="46" t="inlineStr">
        <is>
          <t>10.25</t>
        </is>
      </c>
      <c r="O12" s="46" t="inlineStr">
        <is>
          <t>10</t>
        </is>
      </c>
      <c r="P12" s="46" t="n">
        <v>0</v>
      </c>
      <c r="Q12" s="46" t="n">
        <v>0.9</v>
      </c>
      <c r="R12" s="46" t="n">
        <v>0.1</v>
      </c>
      <c r="S12" s="46" t="n">
        <v>0</v>
      </c>
    </row>
    <row r="13" ht="15" customHeight="1">
      <c r="A13" s="14" t="inlineStr">
        <is>
          <t>21422399S</t>
        </is>
      </c>
      <c r="B13" s="14" t="inlineStr">
        <is>
          <t>Zamora Gómez, Antonio</t>
        </is>
      </c>
      <c r="C13" s="14" t="inlineStr">
        <is>
          <t>Vivos</t>
        </is>
      </c>
      <c r="D13" s="14" t="n"/>
      <c r="E13" s="14" t="n"/>
      <c r="F13" s="14" t="n"/>
      <c r="G13" s="14" t="n"/>
      <c r="H13" s="14" t="n"/>
      <c r="I13" s="14" t="n">
        <v>1</v>
      </c>
      <c r="J13" s="14" t="n">
        <v>1</v>
      </c>
      <c r="K13" s="14" t="inlineStr">
        <is>
          <t>B161</t>
        </is>
      </c>
      <c r="L13" s="46" t="inlineStr">
        <is>
          <t>10.19</t>
        </is>
      </c>
      <c r="M13" s="46" t="inlineStr">
        <is>
          <t>20</t>
        </is>
      </c>
      <c r="N13" s="46" t="inlineStr"/>
      <c r="O13" s="46" t="inlineStr"/>
      <c r="P13" s="46" t="n">
        <v>80</v>
      </c>
      <c r="Q13" s="46" t="n">
        <v>0.2</v>
      </c>
      <c r="R13" s="46" t="n">
        <v>0</v>
      </c>
      <c r="S13" s="46" t="n">
        <v>0.8</v>
      </c>
    </row>
    <row r="14" ht="15" customHeight="1">
      <c r="A14" s="14" t="inlineStr">
        <is>
          <t>21439614A</t>
        </is>
      </c>
      <c r="B14" s="14" t="inlineStr">
        <is>
          <t>Iñesta Quereda, José Manuel</t>
        </is>
      </c>
      <c r="C14" s="14" t="inlineStr">
        <is>
          <t>FUNCIONARIO</t>
        </is>
      </c>
      <c r="D14" s="14" t="n"/>
      <c r="E14" s="14" t="n"/>
      <c r="F14" s="14" t="n"/>
      <c r="G14" s="14" t="n">
        <v>1</v>
      </c>
      <c r="H14" s="14" t="n"/>
      <c r="I14" s="14" t="n"/>
      <c r="J14" s="14" t="n">
        <v>1</v>
      </c>
      <c r="K14" s="14" t="inlineStr">
        <is>
          <t>B158</t>
        </is>
      </c>
      <c r="L14" s="46" t="inlineStr">
        <is>
          <t>10.19</t>
        </is>
      </c>
      <c r="M14" s="46" t="inlineStr">
        <is>
          <t>20</t>
        </is>
      </c>
      <c r="N14" s="46" t="inlineStr"/>
      <c r="O14" s="46" t="inlineStr"/>
      <c r="P14" s="46" t="n">
        <v>80</v>
      </c>
      <c r="Q14" s="46" t="n">
        <v>0.2</v>
      </c>
      <c r="R14" s="46" t="n">
        <v>0</v>
      </c>
      <c r="S14" s="46" t="n">
        <v>0.8</v>
      </c>
    </row>
    <row r="15" ht="15" customHeight="1">
      <c r="A15" s="14" t="inlineStr">
        <is>
          <t>21453179K</t>
        </is>
      </c>
      <c r="B15" s="14" t="inlineStr">
        <is>
          <t>Montoyo Guijarro, Juan Andrés</t>
        </is>
      </c>
      <c r="C15" s="14" t="inlineStr">
        <is>
          <t>FUNCIONARIO</t>
        </is>
      </c>
      <c r="D15" s="14" t="n"/>
      <c r="E15" s="14" t="n">
        <v>1</v>
      </c>
      <c r="F15" s="14" t="n"/>
      <c r="G15" s="14" t="n"/>
      <c r="H15" s="14" t="n"/>
      <c r="I15" s="14" t="n"/>
      <c r="J15" s="14" t="n">
        <v>1</v>
      </c>
      <c r="K15" s="14" t="inlineStr">
        <is>
          <t>B158</t>
        </is>
      </c>
      <c r="L15" s="46" t="inlineStr">
        <is>
          <t>10.19</t>
        </is>
      </c>
      <c r="M15" s="46" t="inlineStr">
        <is>
          <t>20</t>
        </is>
      </c>
      <c r="N15" s="46" t="inlineStr"/>
      <c r="O15" s="46" t="inlineStr"/>
      <c r="P15" s="46" t="n">
        <v>80</v>
      </c>
      <c r="Q15" s="46" t="n">
        <v>0.2</v>
      </c>
      <c r="R15" s="46" t="n">
        <v>0</v>
      </c>
      <c r="S15" s="46" t="n">
        <v>0.8</v>
      </c>
    </row>
    <row r="16" ht="15" customHeight="1">
      <c r="A16" s="14" t="inlineStr">
        <is>
          <t>21453332J</t>
        </is>
      </c>
      <c r="B16" s="14" t="inlineStr">
        <is>
          <t>Vicent Francés, José Francisco</t>
        </is>
      </c>
      <c r="C16" s="14" t="inlineStr">
        <is>
          <t>FUNCIONARIO</t>
        </is>
      </c>
      <c r="D16" s="14" t="n"/>
      <c r="E16" s="14" t="n"/>
      <c r="F16" s="14" t="n">
        <v>1</v>
      </c>
      <c r="G16" s="14" t="n"/>
      <c r="H16" s="14" t="n"/>
      <c r="I16" s="14" t="n"/>
      <c r="J16" s="14" t="n">
        <v>1</v>
      </c>
      <c r="K16" s="14" t="inlineStr">
        <is>
          <t>B161</t>
        </is>
      </c>
      <c r="L16" s="46" t="inlineStr">
        <is>
          <t>10.19</t>
        </is>
      </c>
      <c r="M16" s="46" t="inlineStr">
        <is>
          <t>20</t>
        </is>
      </c>
      <c r="N16" s="46" t="inlineStr"/>
      <c r="O16" s="46" t="inlineStr"/>
      <c r="P16" s="46" t="n">
        <v>80</v>
      </c>
      <c r="Q16" s="46" t="n">
        <v>0.2</v>
      </c>
      <c r="R16" s="46" t="n">
        <v>0</v>
      </c>
      <c r="S16" s="46" t="n">
        <v>0.8</v>
      </c>
    </row>
    <row r="17" ht="15" customHeight="1">
      <c r="A17" s="14" t="inlineStr">
        <is>
          <t>21461233W</t>
        </is>
      </c>
      <c r="B17" s="14" t="inlineStr">
        <is>
          <t>Tortosa Grau, Leandro</t>
        </is>
      </c>
      <c r="C17" s="14" t="inlineStr">
        <is>
          <t>FUNCIONARIO</t>
        </is>
      </c>
      <c r="D17" s="14" t="n"/>
      <c r="E17" s="14" t="n"/>
      <c r="F17" s="14" t="n">
        <v>1</v>
      </c>
      <c r="G17" s="14" t="n"/>
      <c r="H17" s="14" t="n"/>
      <c r="I17" s="14" t="n"/>
      <c r="J17" s="14" t="n">
        <v>1</v>
      </c>
      <c r="K17" s="14" t="inlineStr">
        <is>
          <t>B161</t>
        </is>
      </c>
      <c r="L17" s="46" t="inlineStr">
        <is>
          <t>10.19</t>
        </is>
      </c>
      <c r="M17" s="46" t="inlineStr">
        <is>
          <t>20</t>
        </is>
      </c>
      <c r="N17" s="46" t="inlineStr"/>
      <c r="O17" s="46" t="inlineStr"/>
      <c r="P17" s="46" t="n">
        <v>80</v>
      </c>
      <c r="Q17" s="46" t="n">
        <v>0.2</v>
      </c>
      <c r="R17" s="46" t="n">
        <v>0</v>
      </c>
      <c r="S17" s="46" t="n">
        <v>0.8</v>
      </c>
    </row>
    <row r="18" ht="15" customHeight="1">
      <c r="A18" s="14" t="inlineStr">
        <is>
          <t>21462550P</t>
        </is>
      </c>
      <c r="B18" s="14" t="inlineStr">
        <is>
          <t>Migallón Gomis, María Violeta</t>
        </is>
      </c>
      <c r="C18" s="14" t="inlineStr">
        <is>
          <t>FUNCIONARIO</t>
        </is>
      </c>
      <c r="D18" s="14" t="n"/>
      <c r="E18" s="14" t="n">
        <v>1</v>
      </c>
      <c r="F18" s="14" t="n"/>
      <c r="G18" s="14" t="n"/>
      <c r="H18" s="14" t="n"/>
      <c r="I18" s="14" t="n"/>
      <c r="J18" s="14" t="n">
        <v>1</v>
      </c>
      <c r="K18" s="14" t="inlineStr">
        <is>
          <t>B161</t>
        </is>
      </c>
      <c r="L18" s="46" t="inlineStr">
        <is>
          <t>10.19</t>
        </is>
      </c>
      <c r="M18" s="46" t="inlineStr">
        <is>
          <t>20</t>
        </is>
      </c>
      <c r="N18" s="46" t="inlineStr"/>
      <c r="O18" s="46" t="inlineStr"/>
      <c r="P18" s="46" t="n">
        <v>80</v>
      </c>
      <c r="Q18" s="46" t="n">
        <v>0.2</v>
      </c>
      <c r="R18" s="46" t="n">
        <v>0</v>
      </c>
      <c r="S18" s="46" t="n">
        <v>0.8</v>
      </c>
    </row>
    <row r="19" ht="15" customHeight="1">
      <c r="A19" s="14" t="inlineStr">
        <is>
          <t>21464202G</t>
        </is>
      </c>
      <c r="B19" s="14" t="inlineStr">
        <is>
          <t>Ferrández Rodríguez, Antonio</t>
        </is>
      </c>
      <c r="C19" s="14" t="inlineStr">
        <is>
          <t>FUNCIONARIO</t>
        </is>
      </c>
      <c r="D19" s="14" t="n"/>
      <c r="E19" s="14" t="n"/>
      <c r="F19" s="14" t="n"/>
      <c r="G19" s="14" t="n"/>
      <c r="H19" s="14" t="n"/>
      <c r="I19" s="14" t="n">
        <v>1</v>
      </c>
      <c r="J19" s="14" t="n">
        <v>1</v>
      </c>
      <c r="K19" s="14" t="inlineStr">
        <is>
          <t>B158</t>
        </is>
      </c>
      <c r="L19" s="46" t="inlineStr">
        <is>
          <t>10.19</t>
        </is>
      </c>
      <c r="M19" s="46" t="inlineStr">
        <is>
          <t>20</t>
        </is>
      </c>
      <c r="N19" s="46" t="inlineStr"/>
      <c r="O19" s="46" t="inlineStr"/>
      <c r="P19" s="46" t="n">
        <v>80</v>
      </c>
      <c r="Q19" s="46" t="n">
        <v>0.2</v>
      </c>
      <c r="R19" s="46" t="n">
        <v>0</v>
      </c>
      <c r="S19" s="46" t="n">
        <v>0.8</v>
      </c>
    </row>
    <row r="20" ht="15" customHeight="1">
      <c r="A20" s="14" t="inlineStr">
        <is>
          <t>21467137H</t>
        </is>
      </c>
      <c r="B20" s="14" t="inlineStr">
        <is>
          <t>Muñoz Guillena, Rafael</t>
        </is>
      </c>
      <c r="C20" s="14" t="inlineStr">
        <is>
          <t>FUNCIONARIO</t>
        </is>
      </c>
      <c r="D20" s="14" t="n">
        <v>1</v>
      </c>
      <c r="E20" s="14" t="n"/>
      <c r="F20" s="14" t="n"/>
      <c r="G20" s="14" t="n"/>
      <c r="H20" s="14" t="n"/>
      <c r="I20" s="14" t="n"/>
      <c r="J20" s="14" t="n">
        <v>1</v>
      </c>
      <c r="K20" s="14" t="inlineStr">
        <is>
          <t>B158</t>
        </is>
      </c>
      <c r="L20" s="46" t="inlineStr">
        <is>
          <t>10.19</t>
        </is>
      </c>
      <c r="M20" s="46" t="inlineStr">
        <is>
          <t>20</t>
        </is>
      </c>
      <c r="N20" s="46" t="inlineStr"/>
      <c r="O20" s="46" t="inlineStr"/>
      <c r="P20" s="46" t="n">
        <v>80</v>
      </c>
      <c r="Q20" s="46" t="n">
        <v>0.2</v>
      </c>
      <c r="R20" s="46" t="n">
        <v>0</v>
      </c>
      <c r="S20" s="46" t="n">
        <v>0.8</v>
      </c>
    </row>
    <row r="21" ht="15" customHeight="1">
      <c r="A21" s="14" t="inlineStr">
        <is>
          <t>21472011Q</t>
        </is>
      </c>
      <c r="B21" s="14" t="inlineStr">
        <is>
          <t>Villagrá Arnedo, Carlos José</t>
        </is>
      </c>
      <c r="C21" s="14" t="inlineStr">
        <is>
          <t>FUNCIONARIO</t>
        </is>
      </c>
      <c r="D21" s="14" t="n"/>
      <c r="E21" s="14" t="n">
        <v>1</v>
      </c>
      <c r="F21" s="14" t="n"/>
      <c r="G21" s="14" t="n"/>
      <c r="H21" s="14" t="n"/>
      <c r="I21" s="14" t="n"/>
      <c r="J21" s="14" t="n">
        <v>1</v>
      </c>
      <c r="K21" s="14" t="inlineStr">
        <is>
          <t>B161</t>
        </is>
      </c>
      <c r="L21" s="46" t="inlineStr">
        <is>
          <t>10.19</t>
        </is>
      </c>
      <c r="M21" s="46" t="inlineStr">
        <is>
          <t>20</t>
        </is>
      </c>
      <c r="N21" s="46" t="inlineStr"/>
      <c r="O21" s="46" t="inlineStr"/>
      <c r="P21" s="46" t="n">
        <v>80</v>
      </c>
      <c r="Q21" s="46" t="n">
        <v>0.2</v>
      </c>
      <c r="R21" s="46" t="n">
        <v>0</v>
      </c>
      <c r="S21" s="46" t="n">
        <v>0.8</v>
      </c>
    </row>
    <row r="22" ht="15" customHeight="1">
      <c r="A22" s="14" t="inlineStr">
        <is>
          <t>21473652R</t>
        </is>
      </c>
      <c r="B22" s="14" t="inlineStr">
        <is>
          <t>Martínez Barco, Patricio Manuel</t>
        </is>
      </c>
      <c r="C22" s="14" t="inlineStr">
        <is>
          <t>FUNCIONARIO</t>
        </is>
      </c>
      <c r="D22" s="14" t="n"/>
      <c r="E22" s="14" t="n">
        <v>1</v>
      </c>
      <c r="F22" s="14" t="n"/>
      <c r="G22" s="14" t="n"/>
      <c r="H22" s="14" t="n"/>
      <c r="I22" s="14" t="n"/>
      <c r="J22" s="14" t="n">
        <v>1</v>
      </c>
      <c r="K22" s="14" t="inlineStr">
        <is>
          <t>B158</t>
        </is>
      </c>
      <c r="L22" s="46" t="inlineStr">
        <is>
          <t>10.19</t>
        </is>
      </c>
      <c r="M22" s="46" t="inlineStr">
        <is>
          <t>50</t>
        </is>
      </c>
      <c r="N22" s="46" t="inlineStr"/>
      <c r="O22" s="46" t="inlineStr"/>
      <c r="P22" s="46" t="n">
        <v>50</v>
      </c>
      <c r="Q22" s="46" t="n">
        <v>0.5</v>
      </c>
      <c r="R22" s="46" t="n">
        <v>0</v>
      </c>
      <c r="S22" s="46" t="n">
        <v>0.5</v>
      </c>
    </row>
    <row r="23" ht="15" customHeight="1">
      <c r="A23" s="14" t="inlineStr">
        <is>
          <t>21474037H</t>
        </is>
      </c>
      <c r="B23" s="14" t="inlineStr">
        <is>
          <t xml:space="preserve">Maciá Pérez, Francisco </t>
        </is>
      </c>
      <c r="C23" s="14" t="inlineStr">
        <is>
          <t>FUNCIONARIO</t>
        </is>
      </c>
      <c r="D23" s="14" t="n">
        <v>1</v>
      </c>
      <c r="E23" s="14" t="n"/>
      <c r="F23" s="14" t="n"/>
      <c r="G23" s="14" t="n"/>
      <c r="H23" s="14" t="n"/>
      <c r="I23" s="14" t="n"/>
      <c r="J23" s="14" t="n">
        <v>1</v>
      </c>
      <c r="K23" s="14" t="inlineStr">
        <is>
          <t>B148</t>
        </is>
      </c>
      <c r="L23" s="46" t="inlineStr">
        <is>
          <t>10.19</t>
        </is>
      </c>
      <c r="M23" s="46" t="inlineStr">
        <is>
          <t>20</t>
        </is>
      </c>
      <c r="N23" s="46" t="inlineStr"/>
      <c r="O23" s="46" t="inlineStr"/>
      <c r="P23" s="46" t="n">
        <v>80</v>
      </c>
      <c r="Q23" s="46" t="n">
        <v>0.2</v>
      </c>
      <c r="R23" s="46" t="n">
        <v>0</v>
      </c>
      <c r="S23" s="46" t="n">
        <v>0.8</v>
      </c>
    </row>
    <row r="24" ht="15" customHeight="1">
      <c r="A24" s="14" t="inlineStr">
        <is>
          <t>21475880K</t>
        </is>
      </c>
      <c r="B24" s="14" t="inlineStr">
        <is>
          <t>Gómez Ortega, Jaime</t>
        </is>
      </c>
      <c r="C24" s="14" t="inlineStr">
        <is>
          <t>Vivos</t>
        </is>
      </c>
      <c r="D24" s="14" t="n"/>
      <c r="E24" s="14" t="n"/>
      <c r="F24" s="14" t="n"/>
      <c r="G24" s="14" t="n"/>
      <c r="H24" s="14" t="n"/>
      <c r="I24" s="14" t="n">
        <v>1</v>
      </c>
      <c r="J24" s="14" t="n">
        <v>1</v>
      </c>
      <c r="K24" s="14" t="inlineStr">
        <is>
          <t>B158</t>
        </is>
      </c>
      <c r="L24" s="46" t="inlineStr">
        <is>
          <t>10.19</t>
        </is>
      </c>
      <c r="M24" s="46" t="inlineStr">
        <is>
          <t>20</t>
        </is>
      </c>
      <c r="N24" s="46" t="inlineStr"/>
      <c r="O24" s="46" t="inlineStr"/>
      <c r="P24" s="46" t="n">
        <v>80</v>
      </c>
      <c r="Q24" s="46" t="n">
        <v>0.2</v>
      </c>
      <c r="R24" s="46" t="n">
        <v>0</v>
      </c>
      <c r="S24" s="46" t="n">
        <v>0.8</v>
      </c>
    </row>
    <row r="25" ht="15" customHeight="1">
      <c r="A25" s="14" t="inlineStr">
        <is>
          <t>21482756C</t>
        </is>
      </c>
      <c r="B25" s="14" t="inlineStr">
        <is>
          <t>Moreda Pozo, María Paloma</t>
        </is>
      </c>
      <c r="C25" s="14" t="inlineStr">
        <is>
          <t>Vivos</t>
        </is>
      </c>
      <c r="D25" s="14" t="n"/>
      <c r="E25" s="14" t="n"/>
      <c r="F25" s="14" t="n"/>
      <c r="G25" s="14" t="n"/>
      <c r="H25" s="14" t="n"/>
      <c r="I25" s="14" t="n">
        <v>1</v>
      </c>
      <c r="J25" s="14" t="n">
        <v>1</v>
      </c>
      <c r="K25" s="14" t="inlineStr">
        <is>
          <t>B158</t>
        </is>
      </c>
      <c r="L25" s="46" t="inlineStr">
        <is>
          <t>10.19</t>
        </is>
      </c>
      <c r="M25" s="46" t="inlineStr">
        <is>
          <t>20</t>
        </is>
      </c>
      <c r="N25" s="46" t="inlineStr"/>
      <c r="O25" s="46" t="inlineStr"/>
      <c r="P25" s="46" t="n">
        <v>80</v>
      </c>
      <c r="Q25" s="46" t="n">
        <v>0.2</v>
      </c>
      <c r="R25" s="46" t="n">
        <v>0</v>
      </c>
      <c r="S25" s="46" t="n">
        <v>0.8</v>
      </c>
    </row>
    <row r="26" ht="15" customHeight="1">
      <c r="A26" s="14" t="inlineStr">
        <is>
          <t>21486541X</t>
        </is>
      </c>
      <c r="B26" s="14" t="inlineStr">
        <is>
          <t>García Rodríguez, José</t>
        </is>
      </c>
      <c r="C26" s="14" t="inlineStr">
        <is>
          <t>FUNCIONARIO</t>
        </is>
      </c>
      <c r="D26" s="14" t="n"/>
      <c r="E26" s="14" t="n"/>
      <c r="F26" s="14" t="n"/>
      <c r="G26" s="14" t="n"/>
      <c r="H26" s="14" t="n"/>
      <c r="I26" s="14" t="n">
        <v>1</v>
      </c>
      <c r="J26" s="14" t="n">
        <v>1</v>
      </c>
      <c r="K26" s="14" t="inlineStr">
        <is>
          <t>B148</t>
        </is>
      </c>
      <c r="L26" s="46" t="inlineStr">
        <is>
          <t>10.19</t>
        </is>
      </c>
      <c r="M26" s="46" t="inlineStr">
        <is>
          <t>20</t>
        </is>
      </c>
      <c r="N26" s="46" t="inlineStr"/>
      <c r="O26" s="46" t="inlineStr"/>
      <c r="P26" s="46" t="n">
        <v>80</v>
      </c>
      <c r="Q26" s="46" t="n">
        <v>0.2</v>
      </c>
      <c r="R26" s="46" t="n">
        <v>0</v>
      </c>
      <c r="S26" s="46" t="n">
        <v>0.8</v>
      </c>
    </row>
    <row r="27" ht="15" customHeight="1">
      <c r="A27" s="14" t="inlineStr">
        <is>
          <t>21488273V</t>
        </is>
      </c>
      <c r="B27" s="14" t="inlineStr">
        <is>
          <t>Peral Cortés, Jesús</t>
        </is>
      </c>
      <c r="C27" s="14" t="inlineStr">
        <is>
          <t>FUNCIONARIO</t>
        </is>
      </c>
      <c r="D27" s="14" t="n"/>
      <c r="E27" s="14" t="n"/>
      <c r="F27" s="14" t="n"/>
      <c r="G27" s="14" t="n">
        <v>1</v>
      </c>
      <c r="H27" s="14" t="n"/>
      <c r="I27" s="14" t="n"/>
      <c r="J27" s="14" t="n">
        <v>1</v>
      </c>
      <c r="K27" s="14" t="inlineStr">
        <is>
          <t>B158</t>
        </is>
      </c>
      <c r="L27" s="46" t="inlineStr">
        <is>
          <t>10.19</t>
        </is>
      </c>
      <c r="M27" s="46" t="inlineStr">
        <is>
          <t>20</t>
        </is>
      </c>
      <c r="N27" s="46" t="inlineStr"/>
      <c r="O27" s="46" t="inlineStr"/>
      <c r="P27" s="46" t="n">
        <v>80</v>
      </c>
      <c r="Q27" s="46" t="n">
        <v>0.2</v>
      </c>
      <c r="R27" s="46" t="n">
        <v>0</v>
      </c>
      <c r="S27" s="46" t="n">
        <v>0.8</v>
      </c>
    </row>
    <row r="28" ht="15" customHeight="1">
      <c r="A28" s="14" t="inlineStr">
        <is>
          <t>21489731A</t>
        </is>
      </c>
      <c r="B28" s="14" t="inlineStr">
        <is>
          <t>Cazorla Quevedo, Miguel Ángel</t>
        </is>
      </c>
      <c r="C28" s="14" t="inlineStr">
        <is>
          <t>FUNCIONARIO</t>
        </is>
      </c>
      <c r="D28" s="14" t="n"/>
      <c r="E28" s="14" t="n"/>
      <c r="F28" s="14" t="n">
        <v>1</v>
      </c>
      <c r="G28" s="14" t="n"/>
      <c r="H28" s="14" t="n"/>
      <c r="I28" s="14" t="n"/>
      <c r="J28" s="14" t="n">
        <v>1</v>
      </c>
      <c r="K28" s="14" t="inlineStr">
        <is>
          <t>B161</t>
        </is>
      </c>
      <c r="L28" s="46" t="inlineStr">
        <is>
          <t>10.19</t>
        </is>
      </c>
      <c r="M28" s="46" t="inlineStr">
        <is>
          <t>50</t>
        </is>
      </c>
      <c r="N28" s="46" t="inlineStr"/>
      <c r="O28" s="46" t="inlineStr"/>
      <c r="P28" s="46" t="n">
        <v>50</v>
      </c>
      <c r="Q28" s="46" t="n">
        <v>0.5</v>
      </c>
      <c r="R28" s="46" t="n">
        <v>0</v>
      </c>
      <c r="S28" s="46" t="n">
        <v>0.5</v>
      </c>
    </row>
    <row r="29" ht="15" customHeight="1">
      <c r="A29" s="14" t="inlineStr">
        <is>
          <t>21494991L</t>
        </is>
      </c>
      <c r="B29" s="14" t="inlineStr">
        <is>
          <t>Trujillo Mondejar, Juan Carlos</t>
        </is>
      </c>
      <c r="C29" s="14" t="inlineStr">
        <is>
          <t>FUNCIONARIO</t>
        </is>
      </c>
      <c r="D29" s="14" t="n"/>
      <c r="E29" s="14" t="n">
        <v>1</v>
      </c>
      <c r="F29" s="14" t="n"/>
      <c r="G29" s="14" t="n"/>
      <c r="H29" s="14" t="n"/>
      <c r="I29" s="14" t="n"/>
      <c r="J29" s="14" t="n">
        <v>1</v>
      </c>
      <c r="K29" s="14" t="inlineStr">
        <is>
          <t>B158</t>
        </is>
      </c>
      <c r="L29" s="46" t="inlineStr">
        <is>
          <t>10.19</t>
        </is>
      </c>
      <c r="M29" s="46" t="inlineStr">
        <is>
          <t>50</t>
        </is>
      </c>
      <c r="N29" s="46" t="inlineStr"/>
      <c r="O29" s="46" t="inlineStr"/>
      <c r="P29" s="46" t="n">
        <v>50</v>
      </c>
      <c r="Q29" s="46" t="n">
        <v>0.5</v>
      </c>
      <c r="R29" s="46" t="n">
        <v>0</v>
      </c>
      <c r="S29" s="46" t="n">
        <v>0.5</v>
      </c>
    </row>
    <row r="30" ht="15" customHeight="1">
      <c r="A30" s="14" t="inlineStr">
        <is>
          <t>21496149G</t>
        </is>
      </c>
      <c r="B30" s="14" t="inlineStr">
        <is>
          <t>Compañ Rosique, Patricia María</t>
        </is>
      </c>
      <c r="C30" s="14" t="inlineStr">
        <is>
          <t>FUNCIONARIO</t>
        </is>
      </c>
      <c r="D30" s="14" t="n"/>
      <c r="E30" s="14" t="n"/>
      <c r="F30" s="14" t="n"/>
      <c r="G30" s="14" t="n">
        <v>1</v>
      </c>
      <c r="H30" s="14" t="n"/>
      <c r="I30" s="14" t="n"/>
      <c r="J30" s="14" t="n">
        <v>1</v>
      </c>
      <c r="K30" s="14" t="inlineStr">
        <is>
          <t>B161</t>
        </is>
      </c>
      <c r="L30" s="46" t="inlineStr">
        <is>
          <t>10.19</t>
        </is>
      </c>
      <c r="M30" s="46" t="inlineStr">
        <is>
          <t>20</t>
        </is>
      </c>
      <c r="N30" s="46" t="inlineStr"/>
      <c r="O30" s="46" t="inlineStr"/>
      <c r="P30" s="46" t="n">
        <v>80</v>
      </c>
      <c r="Q30" s="46" t="n">
        <v>0.2</v>
      </c>
      <c r="R30" s="46" t="n">
        <v>0</v>
      </c>
      <c r="S30" s="46" t="n">
        <v>0.8</v>
      </c>
    </row>
    <row r="31" ht="15" customHeight="1">
      <c r="A31" s="14" t="inlineStr">
        <is>
          <t>21503683V</t>
        </is>
      </c>
      <c r="B31" s="14" t="inlineStr">
        <is>
          <t>López Sánchez, Juan Manuel</t>
        </is>
      </c>
      <c r="C31" s="14" t="inlineStr">
        <is>
          <t>FUNCIONARIO</t>
        </is>
      </c>
      <c r="D31" s="14" t="n"/>
      <c r="E31" s="14" t="n">
        <v>1</v>
      </c>
      <c r="F31" s="14" t="n"/>
      <c r="G31" s="14" t="n"/>
      <c r="H31" s="14" t="n"/>
      <c r="I31" s="14" t="n"/>
      <c r="J31" s="14" t="n">
        <v>1</v>
      </c>
      <c r="K31" s="14" t="inlineStr">
        <is>
          <t>B149</t>
        </is>
      </c>
      <c r="L31" s="46" t="inlineStr">
        <is>
          <t>10.19</t>
        </is>
      </c>
      <c r="M31" s="46" t="inlineStr">
        <is>
          <t>50</t>
        </is>
      </c>
      <c r="N31" s="46" t="inlineStr"/>
      <c r="O31" s="46" t="inlineStr"/>
      <c r="P31" s="46" t="n">
        <v>50</v>
      </c>
      <c r="Q31" s="46" t="n">
        <v>0.5</v>
      </c>
      <c r="R31" s="46" t="n">
        <v>0</v>
      </c>
      <c r="S31" s="46" t="n">
        <v>0.5</v>
      </c>
    </row>
    <row r="32" ht="15" customHeight="1">
      <c r="A32" s="14" t="inlineStr">
        <is>
          <t>21510176R</t>
        </is>
      </c>
      <c r="B32" s="14" t="inlineStr">
        <is>
          <t>Ruiz Fernández, Daniel</t>
        </is>
      </c>
      <c r="C32" s="14" t="inlineStr">
        <is>
          <t>FUNCIONARIO</t>
        </is>
      </c>
      <c r="D32" s="14" t="n"/>
      <c r="E32" s="14" t="n">
        <v>1</v>
      </c>
      <c r="F32" s="14" t="n"/>
      <c r="G32" s="14" t="n"/>
      <c r="H32" s="14" t="n"/>
      <c r="I32" s="14" t="n"/>
      <c r="J32" s="14" t="n">
        <v>1</v>
      </c>
      <c r="K32" s="14" t="inlineStr">
        <is>
          <t>B148</t>
        </is>
      </c>
      <c r="L32" s="46" t="inlineStr">
        <is>
          <t>10.19</t>
        </is>
      </c>
      <c r="M32" s="46" t="inlineStr">
        <is>
          <t>20</t>
        </is>
      </c>
      <c r="N32" s="46" t="inlineStr"/>
      <c r="O32" s="46" t="inlineStr"/>
      <c r="P32" s="46" t="n">
        <v>80</v>
      </c>
      <c r="Q32" s="46" t="n">
        <v>0.2</v>
      </c>
      <c r="R32" s="46" t="n">
        <v>0</v>
      </c>
      <c r="S32" s="46" t="n">
        <v>0.8</v>
      </c>
    </row>
    <row r="33" ht="15" customHeight="1">
      <c r="A33" s="14" t="inlineStr">
        <is>
          <t>21510925Z</t>
        </is>
      </c>
      <c r="B33" s="14" t="inlineStr">
        <is>
          <t>Vizcaya Moreno, María Flores</t>
        </is>
      </c>
      <c r="C33" s="14" t="inlineStr">
        <is>
          <t>FUNCIONARIO</t>
        </is>
      </c>
      <c r="D33" s="14" t="n"/>
      <c r="E33" s="14" t="n"/>
      <c r="F33" s="14" t="n"/>
      <c r="G33" s="14" t="n">
        <v>1</v>
      </c>
      <c r="H33" s="14" t="n"/>
      <c r="I33" s="14" t="n"/>
      <c r="J33" s="14" t="n">
        <v>1</v>
      </c>
      <c r="K33" s="14" t="inlineStr">
        <is>
          <t>B134</t>
        </is>
      </c>
      <c r="L33" s="46" t="inlineStr">
        <is>
          <t>10.19</t>
        </is>
      </c>
      <c r="M33" s="46" t="inlineStr">
        <is>
          <t>20</t>
        </is>
      </c>
      <c r="N33" s="46" t="inlineStr"/>
      <c r="O33" s="46" t="inlineStr"/>
      <c r="P33" s="46" t="n">
        <v>80</v>
      </c>
      <c r="Q33" s="46" t="n">
        <v>0.2</v>
      </c>
      <c r="R33" s="46" t="n">
        <v>0</v>
      </c>
      <c r="S33" s="46" t="n">
        <v>0.8</v>
      </c>
    </row>
    <row r="34" ht="15" customHeight="1">
      <c r="A34" s="14" t="inlineStr">
        <is>
          <t>21510960A</t>
        </is>
      </c>
      <c r="B34" s="14" t="inlineStr">
        <is>
          <t>Escobar Esteban, María Pilar</t>
        </is>
      </c>
      <c r="C34" s="14" t="inlineStr">
        <is>
          <t>NO FUNCIONARIO</t>
        </is>
      </c>
      <c r="D34" s="14" t="n"/>
      <c r="E34" s="14" t="n"/>
      <c r="F34" s="14" t="n"/>
      <c r="G34" s="14" t="n"/>
      <c r="H34" s="14" t="n"/>
      <c r="I34" s="14" t="n">
        <v>1</v>
      </c>
      <c r="J34" s="14" t="n">
        <v>1</v>
      </c>
      <c r="K34" s="14" t="inlineStr">
        <is>
          <t>B158</t>
        </is>
      </c>
      <c r="L34" s="46" t="inlineStr">
        <is>
          <t>10.19</t>
        </is>
      </c>
      <c r="M34" s="46" t="inlineStr">
        <is>
          <t>20</t>
        </is>
      </c>
      <c r="N34" s="46" t="inlineStr"/>
      <c r="O34" s="46" t="inlineStr"/>
      <c r="P34" s="46" t="n">
        <v>80</v>
      </c>
      <c r="Q34" s="46" t="n">
        <v>0.2</v>
      </c>
      <c r="R34" s="46" t="n">
        <v>0</v>
      </c>
      <c r="S34" s="46" t="n">
        <v>0.8</v>
      </c>
    </row>
    <row r="35" ht="15" customHeight="1">
      <c r="A35" s="14" t="inlineStr">
        <is>
          <t>21512592W</t>
        </is>
      </c>
      <c r="B35" s="14" t="inlineStr">
        <is>
          <t>Sánchez Martínez, Felipe</t>
        </is>
      </c>
      <c r="C35" s="14" t="inlineStr">
        <is>
          <t>FUNCIONARIO</t>
        </is>
      </c>
      <c r="D35" s="14" t="n"/>
      <c r="E35" s="14" t="n">
        <v>1</v>
      </c>
      <c r="F35" s="14" t="n">
        <v>1</v>
      </c>
      <c r="G35" s="14" t="n"/>
      <c r="H35" s="14" t="n"/>
      <c r="I35" s="14" t="n"/>
      <c r="J35" s="14" t="n">
        <v>2</v>
      </c>
      <c r="K35" s="14" t="inlineStr">
        <is>
          <t>B158</t>
        </is>
      </c>
      <c r="L35" s="46" t="inlineStr">
        <is>
          <t>10.19</t>
        </is>
      </c>
      <c r="M35" s="46" t="inlineStr">
        <is>
          <t>20</t>
        </is>
      </c>
      <c r="N35" s="46" t="inlineStr"/>
      <c r="O35" s="46" t="inlineStr"/>
      <c r="P35" s="46" t="n">
        <v>80</v>
      </c>
      <c r="Q35" s="46" t="n">
        <v>0.4</v>
      </c>
      <c r="R35" s="46" t="n">
        <v>0</v>
      </c>
      <c r="S35" s="46" t="n">
        <v>1.6</v>
      </c>
    </row>
    <row r="36" ht="15" customHeight="1">
      <c r="A36" s="14" t="inlineStr">
        <is>
          <t>21513360B</t>
        </is>
      </c>
      <c r="B36" s="14" t="inlineStr">
        <is>
          <t>Luján Mora, Sergio</t>
        </is>
      </c>
      <c r="C36" s="14" t="inlineStr">
        <is>
          <t>FUNCIONARIO</t>
        </is>
      </c>
      <c r="D36" s="14" t="n"/>
      <c r="E36" s="14" t="n"/>
      <c r="F36" s="14" t="n"/>
      <c r="G36" s="14" t="n"/>
      <c r="H36" s="14" t="n"/>
      <c r="I36" s="14" t="n">
        <v>1</v>
      </c>
      <c r="J36" s="14" t="n">
        <v>1</v>
      </c>
      <c r="K36" s="14" t="inlineStr">
        <is>
          <t>B158</t>
        </is>
      </c>
      <c r="L36" s="46" t="inlineStr">
        <is>
          <t>10.19</t>
        </is>
      </c>
      <c r="M36" s="46" t="inlineStr">
        <is>
          <t>20</t>
        </is>
      </c>
      <c r="N36" s="46" t="inlineStr"/>
      <c r="O36" s="46" t="inlineStr"/>
      <c r="P36" s="46" t="n">
        <v>80</v>
      </c>
      <c r="Q36" s="46" t="n">
        <v>0.2</v>
      </c>
      <c r="R36" s="46" t="n">
        <v>0</v>
      </c>
      <c r="S36" s="46" t="n">
        <v>0.8</v>
      </c>
    </row>
    <row r="37" ht="15" customHeight="1">
      <c r="A37" s="14" t="inlineStr">
        <is>
          <t>21637322A</t>
        </is>
      </c>
      <c r="B37" s="14" t="inlineStr">
        <is>
          <t>Llorens Largo, Faraón</t>
        </is>
      </c>
      <c r="C37" s="14" t="inlineStr">
        <is>
          <t>FUNCIONARIO</t>
        </is>
      </c>
      <c r="D37" s="14" t="n"/>
      <c r="E37" s="14" t="n"/>
      <c r="F37" s="14" t="n"/>
      <c r="G37" s="14" t="n"/>
      <c r="H37" s="14" t="n">
        <v>1</v>
      </c>
      <c r="I37" s="14" t="n"/>
      <c r="J37" s="14" t="n">
        <v>1</v>
      </c>
      <c r="K37" s="14" t="inlineStr">
        <is>
          <t>B161</t>
        </is>
      </c>
      <c r="L37" s="46" t="inlineStr">
        <is>
          <t>10.19</t>
        </is>
      </c>
      <c r="M37" s="46" t="inlineStr">
        <is>
          <t>20</t>
        </is>
      </c>
      <c r="N37" s="46" t="inlineStr"/>
      <c r="O37" s="46" t="inlineStr"/>
      <c r="P37" s="46" t="n">
        <v>80</v>
      </c>
      <c r="Q37" s="46" t="n">
        <v>0.2</v>
      </c>
      <c r="R37" s="46" t="n">
        <v>0</v>
      </c>
      <c r="S37" s="46" t="n">
        <v>0.8</v>
      </c>
    </row>
    <row r="38" ht="15" customHeight="1">
      <c r="A38" s="14" t="inlineStr">
        <is>
          <t>21645324R</t>
        </is>
      </c>
      <c r="B38" s="14" t="inlineStr">
        <is>
          <t>Penadés Martínez, José Leandro</t>
        </is>
      </c>
      <c r="C38" s="14" t="inlineStr">
        <is>
          <t>FUNCIONARIO</t>
        </is>
      </c>
      <c r="D38" s="14" t="n"/>
      <c r="E38" s="14" t="n">
        <v>1</v>
      </c>
      <c r="F38" s="14" t="n"/>
      <c r="G38" s="14" t="n"/>
      <c r="H38" s="14" t="n"/>
      <c r="I38" s="14" t="n"/>
      <c r="J38" s="14" t="n">
        <v>1</v>
      </c>
      <c r="K38" s="14" t="inlineStr">
        <is>
          <t>B161</t>
        </is>
      </c>
      <c r="L38" s="46" t="inlineStr">
        <is>
          <t>10.19</t>
        </is>
      </c>
      <c r="M38" s="46" t="inlineStr">
        <is>
          <t>20</t>
        </is>
      </c>
      <c r="N38" s="46" t="inlineStr"/>
      <c r="O38" s="46" t="inlineStr"/>
      <c r="P38" s="46" t="n">
        <v>80</v>
      </c>
      <c r="Q38" s="46" t="n">
        <v>0.2</v>
      </c>
      <c r="R38" s="46" t="n">
        <v>0</v>
      </c>
      <c r="S38" s="46" t="n">
        <v>0.8</v>
      </c>
    </row>
    <row r="39" ht="15" customHeight="1">
      <c r="A39" s="14" t="inlineStr">
        <is>
          <t>21649909D</t>
        </is>
      </c>
      <c r="B39" s="14" t="inlineStr">
        <is>
          <t>Satorre Cuerda, Rosana</t>
        </is>
      </c>
      <c r="C39" s="14" t="inlineStr">
        <is>
          <t>FUNCIONARIO</t>
        </is>
      </c>
      <c r="D39" s="14" t="n"/>
      <c r="E39" s="14" t="n"/>
      <c r="F39" s="14" t="n"/>
      <c r="G39" s="14" t="n">
        <v>1</v>
      </c>
      <c r="H39" s="14" t="n"/>
      <c r="I39" s="14" t="n"/>
      <c r="J39" s="14" t="n">
        <v>1</v>
      </c>
      <c r="K39" s="14" t="inlineStr">
        <is>
          <t>B161</t>
        </is>
      </c>
      <c r="L39" s="46" t="inlineStr">
        <is>
          <t>10.19</t>
        </is>
      </c>
      <c r="M39" s="46" t="inlineStr">
        <is>
          <t>20</t>
        </is>
      </c>
      <c r="N39" s="46" t="inlineStr"/>
      <c r="O39" s="46" t="inlineStr"/>
      <c r="P39" s="46" t="n">
        <v>80</v>
      </c>
      <c r="Q39" s="46" t="n">
        <v>0.2</v>
      </c>
      <c r="R39" s="46" t="n">
        <v>0</v>
      </c>
      <c r="S39" s="46" t="n">
        <v>0.8</v>
      </c>
    </row>
    <row r="40" ht="15" customHeight="1">
      <c r="A40" s="14" t="inlineStr">
        <is>
          <t>21664897R</t>
        </is>
      </c>
      <c r="B40" s="14" t="inlineStr">
        <is>
          <t>Ballester Berman, Josep David</t>
        </is>
      </c>
      <c r="C40" s="14" t="inlineStr">
        <is>
          <t>FUNCIONARIO</t>
        </is>
      </c>
      <c r="D40" s="14" t="n">
        <v>1</v>
      </c>
      <c r="E40" s="14" t="n"/>
      <c r="F40" s="14" t="n"/>
      <c r="G40" s="14" t="n"/>
      <c r="H40" s="14" t="n"/>
      <c r="I40" s="14" t="n"/>
      <c r="J40" s="14" t="n">
        <v>1</v>
      </c>
      <c r="K40" s="14" t="inlineStr">
        <is>
          <t>B149</t>
        </is>
      </c>
      <c r="L40" s="46" t="inlineStr">
        <is>
          <t>10.19</t>
        </is>
      </c>
      <c r="M40" s="46" t="inlineStr">
        <is>
          <t>20</t>
        </is>
      </c>
      <c r="N40" s="46" t="inlineStr"/>
      <c r="O40" s="46" t="inlineStr"/>
      <c r="P40" s="46" t="n">
        <v>80</v>
      </c>
      <c r="Q40" s="46" t="n">
        <v>0.2</v>
      </c>
      <c r="R40" s="46" t="n">
        <v>0</v>
      </c>
      <c r="S40" s="46" t="n">
        <v>0.8</v>
      </c>
    </row>
    <row r="41" ht="15" customHeight="1">
      <c r="A41" s="14" t="inlineStr">
        <is>
          <t>21672410Q</t>
        </is>
      </c>
      <c r="B41" s="14" t="inlineStr">
        <is>
          <t>Aznar Gregori, Fidel</t>
        </is>
      </c>
      <c r="C41" s="14" t="inlineStr">
        <is>
          <t>FUNCIONARIO</t>
        </is>
      </c>
      <c r="D41" s="14" t="n"/>
      <c r="E41" s="14" t="n">
        <v>1</v>
      </c>
      <c r="F41" s="14" t="n"/>
      <c r="G41" s="14" t="n"/>
      <c r="H41" s="14" t="n"/>
      <c r="I41" s="14" t="n"/>
      <c r="J41" s="14" t="n">
        <v>1</v>
      </c>
      <c r="K41" s="14" t="inlineStr">
        <is>
          <t>B161</t>
        </is>
      </c>
      <c r="L41" s="46" t="inlineStr">
        <is>
          <t>10.19</t>
        </is>
      </c>
      <c r="M41" s="46" t="inlineStr">
        <is>
          <t>20</t>
        </is>
      </c>
      <c r="N41" s="46" t="inlineStr"/>
      <c r="O41" s="46" t="inlineStr"/>
      <c r="P41" s="46" t="n">
        <v>80</v>
      </c>
      <c r="Q41" s="46" t="n">
        <v>0.2</v>
      </c>
      <c r="R41" s="46" t="n">
        <v>0</v>
      </c>
      <c r="S41" s="46" t="n">
        <v>0.8</v>
      </c>
    </row>
    <row r="42" ht="15" customHeight="1">
      <c r="A42" s="14" t="inlineStr">
        <is>
          <t>21995314T</t>
        </is>
      </c>
      <c r="B42" s="14" t="inlineStr">
        <is>
          <t>Martínez Marín, Tomás</t>
        </is>
      </c>
      <c r="C42" s="14" t="inlineStr">
        <is>
          <t>FUNCIONARIO</t>
        </is>
      </c>
      <c r="D42" s="14" t="n"/>
      <c r="E42" s="14" t="n"/>
      <c r="F42" s="14" t="n">
        <v>1</v>
      </c>
      <c r="G42" s="14" t="n"/>
      <c r="H42" s="14" t="n"/>
      <c r="I42" s="14" t="n"/>
      <c r="J42" s="14" t="n">
        <v>1</v>
      </c>
      <c r="K42" s="14" t="inlineStr">
        <is>
          <t>B149</t>
        </is>
      </c>
      <c r="L42" s="46" t="inlineStr">
        <is>
          <t>10.19</t>
        </is>
      </c>
      <c r="M42" s="46" t="inlineStr">
        <is>
          <t>50</t>
        </is>
      </c>
      <c r="N42" s="46" t="inlineStr"/>
      <c r="O42" s="46" t="inlineStr"/>
      <c r="P42" s="46" t="n">
        <v>50</v>
      </c>
      <c r="Q42" s="46" t="n">
        <v>0.5</v>
      </c>
      <c r="R42" s="46" t="n">
        <v>0</v>
      </c>
      <c r="S42" s="46" t="n">
        <v>0.5</v>
      </c>
    </row>
    <row r="43" ht="15" customHeight="1">
      <c r="A43" s="17" t="inlineStr">
        <is>
          <t>22000675W</t>
        </is>
      </c>
      <c r="B43" s="17" t="inlineStr">
        <is>
          <t>Fuster Guilló, Andrés</t>
        </is>
      </c>
      <c r="C43" s="18" t="inlineStr">
        <is>
          <t>FUNCIONARIO</t>
        </is>
      </c>
      <c r="D43" s="17" t="n"/>
      <c r="E43" s="17" t="n"/>
      <c r="F43" s="17" t="n">
        <v>1</v>
      </c>
      <c r="G43" s="17" t="n"/>
      <c r="H43" s="17" t="n"/>
      <c r="I43" s="17" t="n"/>
      <c r="J43" s="14" t="n">
        <v>1</v>
      </c>
      <c r="K43" s="14" t="inlineStr">
        <is>
          <t>B148</t>
        </is>
      </c>
      <c r="L43" s="46" t="inlineStr">
        <is>
          <t>10.19</t>
        </is>
      </c>
      <c r="M43" s="46" t="inlineStr">
        <is>
          <t>50</t>
        </is>
      </c>
      <c r="N43" s="46" t="inlineStr"/>
      <c r="O43" s="46" t="inlineStr"/>
      <c r="P43" s="46" t="n">
        <v>50</v>
      </c>
      <c r="Q43" s="46" t="n">
        <v>0.5</v>
      </c>
      <c r="R43" s="46" t="n">
        <v>0</v>
      </c>
      <c r="S43" s="46" t="n">
        <v>0.5</v>
      </c>
    </row>
    <row r="44" ht="15" customHeight="1">
      <c r="A44" s="14" t="inlineStr">
        <is>
          <t>22135596M</t>
        </is>
      </c>
      <c r="B44" s="14" t="inlineStr">
        <is>
          <t>Molina Carmona, Rafael</t>
        </is>
      </c>
      <c r="C44" s="14" t="inlineStr">
        <is>
          <t>FUNCIONARIO</t>
        </is>
      </c>
      <c r="D44" s="14" t="n"/>
      <c r="E44" s="14" t="n"/>
      <c r="F44" s="14" t="n">
        <v>1</v>
      </c>
      <c r="G44" s="14" t="n"/>
      <c r="H44" s="14" t="n"/>
      <c r="I44" s="14" t="n"/>
      <c r="J44" s="14" t="n">
        <v>1</v>
      </c>
      <c r="K44" s="14" t="inlineStr">
        <is>
          <t>B161</t>
        </is>
      </c>
      <c r="L44" s="46" t="inlineStr">
        <is>
          <t>10.19</t>
        </is>
      </c>
      <c r="M44" s="46" t="inlineStr">
        <is>
          <t>20</t>
        </is>
      </c>
      <c r="N44" s="46" t="inlineStr"/>
      <c r="O44" s="46" t="inlineStr"/>
      <c r="P44" s="46" t="n">
        <v>80</v>
      </c>
      <c r="Q44" s="46" t="n">
        <v>0.2</v>
      </c>
      <c r="R44" s="46" t="n">
        <v>0</v>
      </c>
      <c r="S44" s="46" t="n">
        <v>0.8</v>
      </c>
    </row>
    <row r="45" ht="15" customHeight="1">
      <c r="A45" s="14" t="inlineStr">
        <is>
          <t>22135677V</t>
        </is>
      </c>
      <c r="B45" s="14" t="inlineStr">
        <is>
          <t>Soriano Paya, Antonio</t>
        </is>
      </c>
      <c r="C45" s="14" t="inlineStr">
        <is>
          <t>Vivos</t>
        </is>
      </c>
      <c r="D45" s="14" t="n"/>
      <c r="E45" s="14" t="n"/>
      <c r="F45" s="14" t="n"/>
      <c r="G45" s="14" t="n"/>
      <c r="H45" s="14" t="n"/>
      <c r="I45" s="14" t="n">
        <v>1</v>
      </c>
      <c r="J45" s="14" t="n">
        <v>1</v>
      </c>
      <c r="K45" s="14" t="inlineStr">
        <is>
          <t>B148</t>
        </is>
      </c>
      <c r="L45" s="46" t="inlineStr">
        <is>
          <t>10.19</t>
        </is>
      </c>
      <c r="M45" s="46" t="inlineStr">
        <is>
          <t>20</t>
        </is>
      </c>
      <c r="N45" s="46" t="inlineStr"/>
      <c r="O45" s="46" t="inlineStr"/>
      <c r="P45" s="46" t="n">
        <v>80</v>
      </c>
      <c r="Q45" s="46" t="n">
        <v>0.2</v>
      </c>
      <c r="R45" s="46" t="n">
        <v>0</v>
      </c>
      <c r="S45" s="46" t="n">
        <v>0.8</v>
      </c>
    </row>
    <row r="46" ht="15" customHeight="1">
      <c r="A46" s="14" t="inlineStr">
        <is>
          <t>22136568B</t>
        </is>
      </c>
      <c r="B46" s="14" t="inlineStr">
        <is>
          <t>Selva Vera, Jesús</t>
        </is>
      </c>
      <c r="C46" s="14" t="inlineStr">
        <is>
          <t>FUNCIONARIO</t>
        </is>
      </c>
      <c r="D46" s="14" t="n">
        <v>1</v>
      </c>
      <c r="E46" s="14" t="n"/>
      <c r="F46" s="14" t="n"/>
      <c r="G46" s="14" t="n"/>
      <c r="H46" s="14" t="n"/>
      <c r="I46" s="14" t="n"/>
      <c r="J46" s="14" t="n">
        <v>1</v>
      </c>
      <c r="K46" s="14" t="inlineStr">
        <is>
          <t>B149</t>
        </is>
      </c>
      <c r="L46" s="46" t="inlineStr">
        <is>
          <t>10.19</t>
        </is>
      </c>
      <c r="M46" s="46" t="inlineStr">
        <is>
          <t>20</t>
        </is>
      </c>
      <c r="N46" s="46" t="inlineStr"/>
      <c r="O46" s="46" t="inlineStr"/>
      <c r="P46" s="46" t="n">
        <v>80</v>
      </c>
      <c r="Q46" s="46" t="n">
        <v>0.2</v>
      </c>
      <c r="R46" s="46" t="n">
        <v>0</v>
      </c>
      <c r="S46" s="46" t="n">
        <v>0.8</v>
      </c>
    </row>
    <row r="47" ht="15" customHeight="1">
      <c r="A47" s="14" t="inlineStr">
        <is>
          <t>24218798M</t>
        </is>
      </c>
      <c r="B47" s="14" t="inlineStr">
        <is>
          <t>Torres Medina, Fernando</t>
        </is>
      </c>
      <c r="C47" s="14" t="inlineStr">
        <is>
          <t>FUNCIONARIO</t>
        </is>
      </c>
      <c r="D47" s="14" t="n"/>
      <c r="E47" s="14" t="n"/>
      <c r="F47" s="14" t="n"/>
      <c r="G47" s="14" t="n"/>
      <c r="H47" s="14" t="n">
        <v>1</v>
      </c>
      <c r="I47" s="14" t="n"/>
      <c r="J47" s="14" t="n">
        <v>1</v>
      </c>
      <c r="K47" s="14" t="inlineStr">
        <is>
          <t>B149</t>
        </is>
      </c>
      <c r="L47" s="46" t="inlineStr">
        <is>
          <t>10.19</t>
        </is>
      </c>
      <c r="M47" s="46" t="inlineStr">
        <is>
          <t>50</t>
        </is>
      </c>
      <c r="N47" s="46" t="inlineStr"/>
      <c r="O47" s="46" t="inlineStr"/>
      <c r="P47" s="46" t="n">
        <v>50</v>
      </c>
      <c r="Q47" s="46" t="n">
        <v>0.5</v>
      </c>
      <c r="R47" s="46" t="n">
        <v>0</v>
      </c>
      <c r="S47" s="46" t="n">
        <v>0.5</v>
      </c>
    </row>
    <row r="48" ht="15" customHeight="1">
      <c r="A48" s="14" t="inlineStr">
        <is>
          <t>29011916S</t>
        </is>
      </c>
      <c r="B48" s="14" t="inlineStr">
        <is>
          <t>Jimeno Morenilla, Antonio Manuel</t>
        </is>
      </c>
      <c r="C48" s="14" t="inlineStr">
        <is>
          <t>FUNCIONARIO</t>
        </is>
      </c>
      <c r="D48" s="14" t="n"/>
      <c r="E48" s="14" t="n"/>
      <c r="F48" s="14" t="n"/>
      <c r="G48" s="14" t="n">
        <v>1</v>
      </c>
      <c r="H48" s="14" t="n"/>
      <c r="I48" s="14" t="n"/>
      <c r="J48" s="14" t="n">
        <v>1</v>
      </c>
      <c r="K48" s="14" t="inlineStr">
        <is>
          <t>B148</t>
        </is>
      </c>
      <c r="L48" s="46" t="inlineStr">
        <is>
          <t>10.19</t>
        </is>
      </c>
      <c r="M48" s="46" t="inlineStr">
        <is>
          <t>20</t>
        </is>
      </c>
      <c r="N48" s="46" t="inlineStr"/>
      <c r="O48" s="46" t="inlineStr"/>
      <c r="P48" s="46" t="n">
        <v>80</v>
      </c>
      <c r="Q48" s="46" t="n">
        <v>0.2</v>
      </c>
      <c r="R48" s="46" t="n">
        <v>0</v>
      </c>
      <c r="S48" s="46" t="n">
        <v>0.8</v>
      </c>
    </row>
    <row r="49" ht="15" customHeight="1">
      <c r="A49" s="14" t="inlineStr">
        <is>
          <t>31251007X</t>
        </is>
      </c>
      <c r="B49" s="14" t="inlineStr">
        <is>
          <t>Cuenca Asensi, Sergio Antonio</t>
        </is>
      </c>
      <c r="C49" s="14" t="inlineStr">
        <is>
          <t>FUNCIONARIO</t>
        </is>
      </c>
      <c r="D49" s="14" t="n"/>
      <c r="E49" s="14" t="n"/>
      <c r="F49" s="14" t="n"/>
      <c r="G49" s="14" t="n"/>
      <c r="H49" s="14" t="n">
        <v>1</v>
      </c>
      <c r="I49" s="14" t="n"/>
      <c r="J49" s="14" t="n">
        <v>1</v>
      </c>
      <c r="K49" s="14" t="inlineStr">
        <is>
          <t>B148</t>
        </is>
      </c>
      <c r="L49" s="46" t="inlineStr">
        <is>
          <t>10.19</t>
        </is>
      </c>
      <c r="M49" s="46" t="inlineStr">
        <is>
          <t>20</t>
        </is>
      </c>
      <c r="N49" s="46" t="inlineStr"/>
      <c r="O49" s="46" t="inlineStr"/>
      <c r="P49" s="46" t="n">
        <v>80</v>
      </c>
      <c r="Q49" s="46" t="n">
        <v>0.2</v>
      </c>
      <c r="R49" s="46" t="n">
        <v>0</v>
      </c>
      <c r="S49" s="46" t="n">
        <v>0.8</v>
      </c>
    </row>
    <row r="50" ht="15" customHeight="1">
      <c r="A50" s="14" t="inlineStr">
        <is>
          <t>33476663W</t>
        </is>
      </c>
      <c r="B50" s="14" t="inlineStr">
        <is>
          <t>Florez Revuelta, Francisco Asis</t>
        </is>
      </c>
      <c r="C50" s="14" t="inlineStr">
        <is>
          <t>FUNCIONARIO</t>
        </is>
      </c>
      <c r="D50" s="14" t="n"/>
      <c r="E50" s="14" t="n"/>
      <c r="F50" s="14" t="n">
        <v>1</v>
      </c>
      <c r="G50" s="14" t="n"/>
      <c r="H50" s="14" t="n"/>
      <c r="I50" s="14" t="n"/>
      <c r="J50" s="14" t="n">
        <v>1</v>
      </c>
      <c r="K50" s="14" t="inlineStr">
        <is>
          <t>B148</t>
        </is>
      </c>
      <c r="L50" s="46" t="inlineStr">
        <is>
          <t>10.19</t>
        </is>
      </c>
      <c r="M50" s="46" t="inlineStr">
        <is>
          <t>20</t>
        </is>
      </c>
      <c r="N50" s="46" t="inlineStr"/>
      <c r="O50" s="46" t="inlineStr"/>
      <c r="P50" s="46" t="n">
        <v>80</v>
      </c>
      <c r="Q50" s="46" t="n">
        <v>0.2</v>
      </c>
      <c r="R50" s="46" t="n">
        <v>0</v>
      </c>
      <c r="S50" s="46" t="n">
        <v>0.8</v>
      </c>
    </row>
    <row r="51" ht="15" customHeight="1">
      <c r="A51" s="14" t="inlineStr">
        <is>
          <t>33485105A</t>
        </is>
      </c>
      <c r="B51" s="14" t="inlineStr">
        <is>
          <t>Sánchez Romero, José Luis</t>
        </is>
      </c>
      <c r="C51" s="14" t="inlineStr">
        <is>
          <t>FUNCIONARIO</t>
        </is>
      </c>
      <c r="D51" s="14" t="n"/>
      <c r="E51" s="14" t="n">
        <v>1</v>
      </c>
      <c r="F51" s="14" t="n"/>
      <c r="G51" s="14" t="n"/>
      <c r="H51" s="14" t="n"/>
      <c r="I51" s="14" t="n"/>
      <c r="J51" s="14" t="n">
        <v>1</v>
      </c>
      <c r="K51" s="14" t="inlineStr">
        <is>
          <t>B148</t>
        </is>
      </c>
      <c r="L51" s="46" t="inlineStr">
        <is>
          <t>10.19</t>
        </is>
      </c>
      <c r="M51" s="46" t="inlineStr">
        <is>
          <t>20</t>
        </is>
      </c>
      <c r="N51" s="46" t="inlineStr"/>
      <c r="O51" s="46" t="inlineStr"/>
      <c r="P51" s="46" t="n">
        <v>80</v>
      </c>
      <c r="Q51" s="46" t="n">
        <v>0.2</v>
      </c>
      <c r="R51" s="46" t="n">
        <v>0</v>
      </c>
      <c r="S51" s="46" t="n">
        <v>0.8</v>
      </c>
    </row>
    <row r="52" ht="15" customHeight="1">
      <c r="A52" s="14" t="inlineStr">
        <is>
          <t>33489374V</t>
        </is>
      </c>
      <c r="B52" s="14" t="inlineStr">
        <is>
          <t>Mora Mora, Higinio</t>
        </is>
      </c>
      <c r="C52" s="14" t="inlineStr">
        <is>
          <t>FUNCIONARIO</t>
        </is>
      </c>
      <c r="D52" s="14" t="n"/>
      <c r="E52" s="14" t="n"/>
      <c r="F52" s="14" t="n"/>
      <c r="G52" s="14" t="n"/>
      <c r="H52" s="14" t="n"/>
      <c r="I52" s="14" t="n">
        <v>1</v>
      </c>
      <c r="J52" s="14" t="n">
        <v>1</v>
      </c>
      <c r="K52" s="14" t="inlineStr">
        <is>
          <t>B148</t>
        </is>
      </c>
      <c r="L52" s="46" t="inlineStr">
        <is>
          <t>10.19</t>
        </is>
      </c>
      <c r="M52" s="46" t="inlineStr">
        <is>
          <t>20</t>
        </is>
      </c>
      <c r="N52" s="46" t="inlineStr"/>
      <c r="O52" s="46" t="inlineStr"/>
      <c r="P52" s="46" t="n">
        <v>80</v>
      </c>
      <c r="Q52" s="46" t="n">
        <v>0.2</v>
      </c>
      <c r="R52" s="46" t="n">
        <v>0</v>
      </c>
      <c r="S52" s="46" t="n">
        <v>0.8</v>
      </c>
    </row>
    <row r="53" ht="15" customHeight="1">
      <c r="A53" s="14" t="inlineStr">
        <is>
          <t>33491634T</t>
        </is>
      </c>
      <c r="B53" s="14" t="inlineStr">
        <is>
          <t>Marcos Jorquera, Diego</t>
        </is>
      </c>
      <c r="C53" s="14" t="inlineStr">
        <is>
          <t>FUNCIONARIO</t>
        </is>
      </c>
      <c r="D53" s="14" t="n"/>
      <c r="E53" s="14" t="n"/>
      <c r="F53" s="14" t="n"/>
      <c r="G53" s="14" t="n"/>
      <c r="H53" s="14" t="n"/>
      <c r="I53" s="14" t="n">
        <v>2</v>
      </c>
      <c r="J53" s="14" t="n">
        <v>2</v>
      </c>
      <c r="K53" s="14" t="inlineStr">
        <is>
          <t>B148</t>
        </is>
      </c>
      <c r="L53" s="46" t="inlineStr">
        <is>
          <t>10.19</t>
        </is>
      </c>
      <c r="M53" s="46" t="inlineStr">
        <is>
          <t>20</t>
        </is>
      </c>
      <c r="N53" s="46" t="inlineStr"/>
      <c r="O53" s="46" t="inlineStr"/>
      <c r="P53" s="46" t="n">
        <v>80</v>
      </c>
      <c r="Q53" s="46" t="n">
        <v>0.4</v>
      </c>
      <c r="R53" s="46" t="n">
        <v>0</v>
      </c>
      <c r="S53" s="46" t="n">
        <v>1.6</v>
      </c>
    </row>
    <row r="54" ht="15" customHeight="1">
      <c r="A54" s="14" t="inlineStr">
        <is>
          <t>44752524K</t>
        </is>
      </c>
      <c r="B54" s="14" t="inlineStr">
        <is>
          <t>Pujol López, Francisco Antonio</t>
        </is>
      </c>
      <c r="C54" s="14" t="inlineStr">
        <is>
          <t>FUNCIONARIO</t>
        </is>
      </c>
      <c r="D54" s="14" t="n"/>
      <c r="E54" s="14" t="n"/>
      <c r="F54" s="14" t="n"/>
      <c r="G54" s="14" t="n">
        <v>1</v>
      </c>
      <c r="H54" s="14" t="n"/>
      <c r="I54" s="14" t="n"/>
      <c r="J54" s="14" t="n">
        <v>1</v>
      </c>
      <c r="K54" s="14" t="inlineStr">
        <is>
          <t>B148</t>
        </is>
      </c>
      <c r="L54" s="46" t="inlineStr">
        <is>
          <t>10.19</t>
        </is>
      </c>
      <c r="M54" s="46" t="inlineStr">
        <is>
          <t>20</t>
        </is>
      </c>
      <c r="N54" s="46" t="inlineStr"/>
      <c r="O54" s="46" t="inlineStr"/>
      <c r="P54" s="46" t="n">
        <v>80</v>
      </c>
      <c r="Q54" s="46" t="n">
        <v>0.2</v>
      </c>
      <c r="R54" s="46" t="n">
        <v>0</v>
      </c>
      <c r="S54" s="46" t="n">
        <v>0.8</v>
      </c>
    </row>
    <row r="55" ht="15" customHeight="1">
      <c r="A55" s="14" t="inlineStr">
        <is>
          <t>44759120Q</t>
        </is>
      </c>
      <c r="B55" s="14" t="inlineStr">
        <is>
          <t>Tomás Díaz, David</t>
        </is>
      </c>
      <c r="C55" s="14" t="inlineStr">
        <is>
          <t>FUNCIONARIO</t>
        </is>
      </c>
      <c r="D55" s="14" t="n"/>
      <c r="E55" s="14" t="n"/>
      <c r="F55" s="14" t="n"/>
      <c r="G55" s="14" t="n">
        <v>2</v>
      </c>
      <c r="H55" s="14" t="n"/>
      <c r="I55" s="14" t="n"/>
      <c r="J55" s="14" t="n">
        <v>2</v>
      </c>
      <c r="K55" s="14" t="inlineStr">
        <is>
          <t>B158</t>
        </is>
      </c>
      <c r="L55" s="46" t="inlineStr">
        <is>
          <t>10.19</t>
        </is>
      </c>
      <c r="M55" s="46" t="inlineStr">
        <is>
          <t>20</t>
        </is>
      </c>
      <c r="N55" s="46" t="inlineStr"/>
      <c r="O55" s="46" t="inlineStr"/>
      <c r="P55" s="46" t="n">
        <v>80</v>
      </c>
      <c r="Q55" s="46" t="n">
        <v>0.4</v>
      </c>
      <c r="R55" s="46" t="n">
        <v>0</v>
      </c>
      <c r="S55" s="46" t="n">
        <v>1.6</v>
      </c>
    </row>
    <row r="56" ht="15" customHeight="1">
      <c r="A56" s="14" t="inlineStr">
        <is>
          <t>44762540D</t>
        </is>
      </c>
      <c r="B56" s="14" t="inlineStr">
        <is>
          <t>Vázquez Pérez, Sonia</t>
        </is>
      </c>
      <c r="C56" s="14" t="inlineStr">
        <is>
          <t>NO FUNCIONARIO</t>
        </is>
      </c>
      <c r="D56" s="14" t="n">
        <v>1</v>
      </c>
      <c r="E56" s="14" t="n"/>
      <c r="F56" s="14" t="n"/>
      <c r="G56" s="14" t="n"/>
      <c r="H56" s="14" t="n"/>
      <c r="I56" s="14" t="n"/>
      <c r="J56" s="14" t="n">
        <v>1</v>
      </c>
      <c r="K56" s="14" t="inlineStr">
        <is>
          <t>B158</t>
        </is>
      </c>
      <c r="L56" s="46" t="inlineStr">
        <is>
          <t>10.19</t>
        </is>
      </c>
      <c r="M56" s="46" t="inlineStr">
        <is>
          <t>20</t>
        </is>
      </c>
      <c r="N56" s="46" t="inlineStr"/>
      <c r="O56" s="46" t="inlineStr"/>
      <c r="P56" s="46" t="n">
        <v>80</v>
      </c>
      <c r="Q56" s="46" t="n">
        <v>0.2</v>
      </c>
      <c r="R56" s="46" t="n">
        <v>0</v>
      </c>
      <c r="S56" s="46" t="n">
        <v>0.8</v>
      </c>
    </row>
    <row r="57" ht="15" customHeight="1">
      <c r="A57" s="14" t="inlineStr">
        <is>
          <t>44769416P</t>
        </is>
      </c>
      <c r="B57" s="14" t="inlineStr">
        <is>
          <t>Candela Romero, Gustavo</t>
        </is>
      </c>
      <c r="C57" s="14" t="inlineStr">
        <is>
          <t>NO FUNCIONARIO</t>
        </is>
      </c>
      <c r="D57" s="14" t="n"/>
      <c r="E57" s="14" t="n"/>
      <c r="F57" s="14" t="n"/>
      <c r="G57" s="14" t="n"/>
      <c r="H57" s="14" t="n"/>
      <c r="I57" s="14" t="n">
        <v>1</v>
      </c>
      <c r="J57" s="14" t="n">
        <v>1</v>
      </c>
      <c r="K57" s="14" t="inlineStr">
        <is>
          <t>B158</t>
        </is>
      </c>
      <c r="L57" s="46" t="inlineStr">
        <is>
          <t>10.19</t>
        </is>
      </c>
      <c r="M57" s="46" t="inlineStr">
        <is>
          <t>50</t>
        </is>
      </c>
      <c r="N57" s="46" t="inlineStr"/>
      <c r="O57" s="46" t="inlineStr"/>
      <c r="P57" s="46" t="n">
        <v>50</v>
      </c>
      <c r="Q57" s="46" t="n">
        <v>0.5</v>
      </c>
      <c r="R57" s="46" t="n">
        <v>0</v>
      </c>
      <c r="S57" s="46" t="n">
        <v>0.5</v>
      </c>
    </row>
    <row r="58" ht="15" customHeight="1">
      <c r="A58" s="14" t="inlineStr">
        <is>
          <t>45747088L</t>
        </is>
      </c>
      <c r="B58" s="14" t="inlineStr">
        <is>
          <t>Curado Navarro, Manuel</t>
        </is>
      </c>
      <c r="C58" s="14" t="inlineStr">
        <is>
          <t>FUNCIONARIO</t>
        </is>
      </c>
      <c r="D58" s="14" t="n"/>
      <c r="E58" s="14" t="n"/>
      <c r="F58" s="14" t="n"/>
      <c r="G58" s="14" t="n"/>
      <c r="H58" s="14" t="n">
        <v>1</v>
      </c>
      <c r="I58" s="14" t="n"/>
      <c r="J58" s="14" t="n">
        <v>1</v>
      </c>
      <c r="K58" s="14" t="inlineStr">
        <is>
          <t>B161</t>
        </is>
      </c>
      <c r="L58" s="46" t="inlineStr">
        <is>
          <t>10.19</t>
        </is>
      </c>
      <c r="M58" s="46" t="inlineStr">
        <is>
          <t>20</t>
        </is>
      </c>
      <c r="N58" s="46" t="inlineStr"/>
      <c r="O58" s="46" t="inlineStr"/>
      <c r="P58" s="46" t="n">
        <v>80</v>
      </c>
      <c r="Q58" s="46" t="n">
        <v>0.2</v>
      </c>
      <c r="R58" s="46" t="n">
        <v>0</v>
      </c>
      <c r="S58" s="46" t="n">
        <v>0.8</v>
      </c>
    </row>
    <row r="59" ht="15" customHeight="1">
      <c r="A59" s="17" t="inlineStr">
        <is>
          <t>47075279Y</t>
        </is>
      </c>
      <c r="B59" s="17" t="inlineStr">
        <is>
          <t>Teruel Martínez, Miguel Ángel</t>
        </is>
      </c>
      <c r="C59" s="17" t="inlineStr">
        <is>
          <t>FUNCIONARIO</t>
        </is>
      </c>
      <c r="D59" s="17" t="n"/>
      <c r="E59" s="17" t="n"/>
      <c r="F59" s="17" t="n"/>
      <c r="G59" s="17" t="n"/>
      <c r="H59" s="17" t="n">
        <v>2</v>
      </c>
      <c r="I59" s="17" t="n"/>
      <c r="J59" s="17" t="n">
        <v>2</v>
      </c>
      <c r="K59" s="14" t="inlineStr">
        <is>
          <t>B158</t>
        </is>
      </c>
      <c r="L59" s="46" t="inlineStr">
        <is>
          <t>10.19</t>
        </is>
      </c>
      <c r="M59" s="46" t="inlineStr">
        <is>
          <t>20</t>
        </is>
      </c>
      <c r="N59" s="46" t="inlineStr"/>
      <c r="O59" s="46" t="inlineStr"/>
      <c r="P59" s="46" t="n">
        <v>80</v>
      </c>
      <c r="Q59" s="46" t="n">
        <v>0.4</v>
      </c>
      <c r="R59" s="46" t="n">
        <v>0</v>
      </c>
      <c r="S59" s="46" t="n">
        <v>1.6</v>
      </c>
    </row>
    <row r="60" ht="15" customHeight="1">
      <c r="A60" s="14" t="inlineStr">
        <is>
          <t>48325227L</t>
        </is>
      </c>
      <c r="B60" s="14" t="inlineStr">
        <is>
          <t>Saval Calvo, Marcelo</t>
        </is>
      </c>
      <c r="C60" s="14" t="inlineStr">
        <is>
          <t>FUNCIONARIO</t>
        </is>
      </c>
      <c r="D60" s="14" t="n"/>
      <c r="E60" s="14" t="n">
        <v>1</v>
      </c>
      <c r="F60" s="14" t="n"/>
      <c r="G60" s="14" t="n"/>
      <c r="H60" s="14" t="n"/>
      <c r="I60" s="14" t="n">
        <v>1</v>
      </c>
      <c r="J60" s="14" t="n">
        <v>2</v>
      </c>
      <c r="K60" s="14" t="inlineStr">
        <is>
          <t>B148</t>
        </is>
      </c>
      <c r="L60" s="46" t="inlineStr">
        <is>
          <t>10.19</t>
        </is>
      </c>
      <c r="M60" s="46" t="inlineStr">
        <is>
          <t>20</t>
        </is>
      </c>
      <c r="N60" s="46" t="inlineStr"/>
      <c r="O60" s="46" t="inlineStr"/>
      <c r="P60" s="46" t="n">
        <v>80</v>
      </c>
      <c r="Q60" s="46" t="n">
        <v>0.4</v>
      </c>
      <c r="R60" s="46" t="n">
        <v>0</v>
      </c>
      <c r="S60" s="46" t="n">
        <v>1.6</v>
      </c>
    </row>
    <row r="61" ht="15" customHeight="1">
      <c r="A61" s="14" t="inlineStr">
        <is>
          <t>48331496D</t>
        </is>
      </c>
      <c r="B61" s="14" t="inlineStr">
        <is>
          <t>Climent Pérez, Pau</t>
        </is>
      </c>
      <c r="C61" s="14" t="inlineStr">
        <is>
          <t>FUNCIONARIO</t>
        </is>
      </c>
      <c r="D61" s="14" t="n"/>
      <c r="E61" s="14" t="n"/>
      <c r="F61" s="14" t="n"/>
      <c r="G61" s="14" t="n"/>
      <c r="H61" s="14" t="n"/>
      <c r="I61" s="14" t="n">
        <v>1</v>
      </c>
      <c r="J61" s="14" t="n">
        <v>1</v>
      </c>
      <c r="K61" s="14" t="inlineStr">
        <is>
          <t>B148</t>
        </is>
      </c>
      <c r="L61" s="46" t="inlineStr">
        <is>
          <t>10.19</t>
        </is>
      </c>
      <c r="M61" s="46" t="inlineStr">
        <is>
          <t>20</t>
        </is>
      </c>
      <c r="N61" s="46" t="inlineStr"/>
      <c r="O61" s="46" t="inlineStr"/>
      <c r="P61" s="46" t="n">
        <v>80</v>
      </c>
      <c r="Q61" s="46" t="n">
        <v>0.2</v>
      </c>
      <c r="R61" s="46" t="n">
        <v>0</v>
      </c>
      <c r="S61" s="46" t="n">
        <v>0.8</v>
      </c>
    </row>
    <row r="62" ht="15" customHeight="1">
      <c r="A62" s="14" t="inlineStr">
        <is>
          <t>48351140B</t>
        </is>
      </c>
      <c r="B62" s="14" t="inlineStr">
        <is>
          <t>Garrigós Fernández, Irene</t>
        </is>
      </c>
      <c r="C62" s="14" t="inlineStr">
        <is>
          <t>FUNCIONARIO</t>
        </is>
      </c>
      <c r="D62" s="14" t="n"/>
      <c r="E62" s="14" t="n"/>
      <c r="F62" s="14" t="n"/>
      <c r="G62" s="14" t="n">
        <v>1</v>
      </c>
      <c r="H62" s="14" t="n"/>
      <c r="I62" s="14" t="n"/>
      <c r="J62" s="14" t="n">
        <v>1</v>
      </c>
      <c r="K62" s="14" t="inlineStr">
        <is>
          <t>B158</t>
        </is>
      </c>
      <c r="L62" s="46" t="inlineStr">
        <is>
          <t>10.19</t>
        </is>
      </c>
      <c r="M62" s="46" t="inlineStr">
        <is>
          <t>20</t>
        </is>
      </c>
      <c r="N62" s="46" t="inlineStr"/>
      <c r="O62" s="46" t="inlineStr"/>
      <c r="P62" s="46" t="n">
        <v>80</v>
      </c>
      <c r="Q62" s="46" t="n">
        <v>0.2</v>
      </c>
      <c r="R62" s="46" t="n">
        <v>0</v>
      </c>
      <c r="S62" s="46" t="n">
        <v>0.8</v>
      </c>
    </row>
    <row r="63" ht="15" customHeight="1">
      <c r="A63" s="14" t="inlineStr">
        <is>
          <t>48363194J</t>
        </is>
      </c>
      <c r="B63" s="14" t="inlineStr">
        <is>
          <t>Gallego Durán, Francisco José</t>
        </is>
      </c>
      <c r="C63" s="14" t="inlineStr">
        <is>
          <t>NO FUNCIONARIO</t>
        </is>
      </c>
      <c r="D63" s="14" t="n"/>
      <c r="E63" s="14" t="n">
        <v>1</v>
      </c>
      <c r="F63" s="14" t="n"/>
      <c r="G63" s="14" t="n"/>
      <c r="H63" s="14" t="n"/>
      <c r="I63" s="14" t="n"/>
      <c r="J63" s="14" t="n">
        <v>1</v>
      </c>
      <c r="K63" s="14" t="inlineStr">
        <is>
          <t>B161</t>
        </is>
      </c>
      <c r="L63" s="46" t="inlineStr">
        <is>
          <t>10.19</t>
        </is>
      </c>
      <c r="M63" s="46" t="inlineStr">
        <is>
          <t>20</t>
        </is>
      </c>
      <c r="N63" s="46" t="inlineStr"/>
      <c r="O63" s="46" t="inlineStr"/>
      <c r="P63" s="46" t="n">
        <v>80</v>
      </c>
      <c r="Q63" s="46" t="n">
        <v>0.2</v>
      </c>
      <c r="R63" s="46" t="n">
        <v>0</v>
      </c>
      <c r="S63" s="46" t="n">
        <v>0.8</v>
      </c>
    </row>
    <row r="64" ht="15" customHeight="1">
      <c r="A64" s="14" t="inlineStr">
        <is>
          <t>48375795X</t>
        </is>
      </c>
      <c r="B64" s="14" t="inlineStr">
        <is>
          <t>Berná Martínez, José Vicente</t>
        </is>
      </c>
      <c r="C64" s="14" t="inlineStr">
        <is>
          <t>FUNCIONARIO</t>
        </is>
      </c>
      <c r="D64" s="14" t="n"/>
      <c r="E64" s="14" t="n"/>
      <c r="F64" s="14" t="n"/>
      <c r="G64" s="14" t="n"/>
      <c r="H64" s="14" t="n">
        <v>2</v>
      </c>
      <c r="I64" s="14" t="n"/>
      <c r="J64" s="14" t="n">
        <v>2</v>
      </c>
      <c r="K64" s="14" t="inlineStr">
        <is>
          <t>B148</t>
        </is>
      </c>
      <c r="L64" s="46" t="inlineStr">
        <is>
          <t>10.19</t>
        </is>
      </c>
      <c r="M64" s="46" t="inlineStr">
        <is>
          <t>20</t>
        </is>
      </c>
      <c r="N64" s="46" t="inlineStr"/>
      <c r="O64" s="46" t="inlineStr"/>
      <c r="P64" s="46" t="n">
        <v>80</v>
      </c>
      <c r="Q64" s="46" t="n">
        <v>0.4</v>
      </c>
      <c r="R64" s="46" t="n">
        <v>0</v>
      </c>
      <c r="S64" s="46" t="n">
        <v>1.6</v>
      </c>
    </row>
    <row r="65" ht="15" customHeight="1">
      <c r="A65" s="14" t="inlineStr">
        <is>
          <t>48378635K</t>
        </is>
      </c>
      <c r="B65" s="14" t="inlineStr">
        <is>
          <t>Pérez Sancho, Carlos</t>
        </is>
      </c>
      <c r="C65" s="14" t="inlineStr">
        <is>
          <t>NO FUNCIONARIO</t>
        </is>
      </c>
      <c r="D65" s="14" t="n"/>
      <c r="E65" s="14" t="n"/>
      <c r="F65" s="14" t="n"/>
      <c r="G65" s="14" t="n"/>
      <c r="H65" s="14" t="n">
        <v>1</v>
      </c>
      <c r="I65" s="14" t="n"/>
      <c r="J65" s="14" t="n">
        <v>1</v>
      </c>
      <c r="K65" s="14" t="inlineStr">
        <is>
          <t>B158</t>
        </is>
      </c>
      <c r="L65" s="46" t="inlineStr">
        <is>
          <t>10.19</t>
        </is>
      </c>
      <c r="M65" s="46" t="inlineStr">
        <is>
          <t>20</t>
        </is>
      </c>
      <c r="N65" s="46" t="inlineStr"/>
      <c r="O65" s="46" t="inlineStr"/>
      <c r="P65" s="46" t="n">
        <v>80</v>
      </c>
      <c r="Q65" s="46" t="n">
        <v>0.2</v>
      </c>
      <c r="R65" s="46" t="n">
        <v>0</v>
      </c>
      <c r="S65" s="46" t="n">
        <v>0.8</v>
      </c>
    </row>
    <row r="66" ht="15" customHeight="1">
      <c r="A66" s="14" t="inlineStr">
        <is>
          <t>48455569C</t>
        </is>
      </c>
      <c r="B66" s="14" t="inlineStr">
        <is>
          <t>Pertusa Ibáñez, Antonio Jorge</t>
        </is>
      </c>
      <c r="C66" s="14" t="inlineStr">
        <is>
          <t>FUNCIONARIO</t>
        </is>
      </c>
      <c r="D66" s="14" t="n">
        <v>2</v>
      </c>
      <c r="E66" s="14" t="n"/>
      <c r="F66" s="14" t="n"/>
      <c r="G66" s="14" t="n"/>
      <c r="H66" s="14" t="n"/>
      <c r="I66" s="14" t="n"/>
      <c r="J66" s="14" t="n">
        <v>2</v>
      </c>
      <c r="K66" s="14" t="inlineStr">
        <is>
          <t>B158</t>
        </is>
      </c>
      <c r="L66" s="46" t="inlineStr">
        <is>
          <t>10.19</t>
        </is>
      </c>
      <c r="M66" s="46" t="inlineStr">
        <is>
          <t>50</t>
        </is>
      </c>
      <c r="N66" s="46" t="inlineStr"/>
      <c r="O66" s="46" t="inlineStr"/>
      <c r="P66" s="46" t="n">
        <v>50</v>
      </c>
      <c r="Q66" s="46" t="n">
        <v>1</v>
      </c>
      <c r="R66" s="46" t="n">
        <v>0</v>
      </c>
      <c r="S66" s="46" t="n">
        <v>1</v>
      </c>
    </row>
    <row r="67" ht="15" customHeight="1">
      <c r="A67" s="14" t="inlineStr">
        <is>
          <t>48457141M</t>
        </is>
      </c>
      <c r="B67" s="14" t="inlineStr">
        <is>
          <t>Salinas Serrano, José María</t>
        </is>
      </c>
      <c r="C67" s="14" t="inlineStr">
        <is>
          <t>NO FUNCIONARIO</t>
        </is>
      </c>
      <c r="D67" s="14" t="n"/>
      <c r="E67" s="14" t="n"/>
      <c r="F67" s="14" t="n">
        <v>1</v>
      </c>
      <c r="G67" s="14" t="n"/>
      <c r="H67" s="14" t="n"/>
      <c r="I67" s="14" t="n"/>
      <c r="J67" s="14" t="n">
        <v>1</v>
      </c>
      <c r="K67" s="14" t="inlineStr">
        <is>
          <t>B161</t>
        </is>
      </c>
      <c r="L67" s="46" t="inlineStr">
        <is>
          <t>10.19</t>
        </is>
      </c>
      <c r="M67" s="46" t="inlineStr">
        <is>
          <t>20</t>
        </is>
      </c>
      <c r="N67" s="46" t="inlineStr"/>
      <c r="O67" s="46" t="inlineStr"/>
      <c r="P67" s="46" t="n">
        <v>80</v>
      </c>
      <c r="Q67" s="46" t="n">
        <v>0.2</v>
      </c>
      <c r="R67" s="46" t="n">
        <v>0</v>
      </c>
      <c r="S67" s="46" t="n">
        <v>0.8</v>
      </c>
    </row>
    <row r="68" ht="15" customHeight="1">
      <c r="A68" s="14" t="inlineStr">
        <is>
          <t>48531956R</t>
        </is>
      </c>
      <c r="B68" s="14" t="inlineStr">
        <is>
          <t>Gallego Sánchez, Antonio Javier</t>
        </is>
      </c>
      <c r="C68" s="14" t="inlineStr">
        <is>
          <t>FUNCIONARIO</t>
        </is>
      </c>
      <c r="D68" s="14" t="n"/>
      <c r="E68" s="14" t="n"/>
      <c r="F68" s="14" t="n">
        <v>1</v>
      </c>
      <c r="G68" s="14" t="n"/>
      <c r="H68" s="14" t="n"/>
      <c r="I68" s="14" t="n"/>
      <c r="J68" s="14" t="n">
        <v>1</v>
      </c>
      <c r="K68" s="14" t="inlineStr">
        <is>
          <t>B158</t>
        </is>
      </c>
      <c r="L68" s="46" t="inlineStr">
        <is>
          <t>10.19</t>
        </is>
      </c>
      <c r="M68" s="46" t="inlineStr">
        <is>
          <t>50</t>
        </is>
      </c>
      <c r="N68" s="46" t="inlineStr"/>
      <c r="O68" s="46" t="inlineStr"/>
      <c r="P68" s="46" t="n">
        <v>50</v>
      </c>
      <c r="Q68" s="46" t="n">
        <v>0.5</v>
      </c>
      <c r="R68" s="46" t="n">
        <v>0</v>
      </c>
      <c r="S68" s="46" t="n">
        <v>0.5</v>
      </c>
    </row>
    <row r="69" ht="15" customHeight="1">
      <c r="A69" s="14" t="inlineStr">
        <is>
          <t>48534266B</t>
        </is>
      </c>
      <c r="B69" s="14" t="inlineStr">
        <is>
          <t>Esplà Gomis, Miquel</t>
        </is>
      </c>
      <c r="C69" s="14" t="inlineStr">
        <is>
          <t>FUNCIONARIO</t>
        </is>
      </c>
      <c r="D69" s="14" t="n"/>
      <c r="E69" s="14" t="n"/>
      <c r="F69" s="14" t="n"/>
      <c r="G69" s="14" t="n"/>
      <c r="H69" s="14" t="n"/>
      <c r="I69" s="14" t="n">
        <v>1</v>
      </c>
      <c r="J69" s="14" t="n">
        <v>1</v>
      </c>
      <c r="K69" s="14" t="inlineStr">
        <is>
          <t>B158</t>
        </is>
      </c>
      <c r="L69" s="46" t="inlineStr">
        <is>
          <t>10.19</t>
        </is>
      </c>
      <c r="M69" s="46" t="inlineStr">
        <is>
          <t>20</t>
        </is>
      </c>
      <c r="N69" s="46" t="inlineStr"/>
      <c r="O69" s="46" t="inlineStr"/>
      <c r="P69" s="46" t="n">
        <v>80</v>
      </c>
      <c r="Q69" s="46" t="n">
        <v>0.2</v>
      </c>
      <c r="R69" s="46" t="n">
        <v>0</v>
      </c>
      <c r="S69" s="46" t="n">
        <v>0.8</v>
      </c>
    </row>
    <row r="70" ht="15" customHeight="1">
      <c r="A70" s="14" t="inlineStr">
        <is>
          <t>48558539L</t>
        </is>
      </c>
      <c r="B70" s="14" t="inlineStr">
        <is>
          <t>Mate Morga, Alejandro</t>
        </is>
      </c>
      <c r="C70" s="14" t="inlineStr">
        <is>
          <t>FUNCIONARIO</t>
        </is>
      </c>
      <c r="D70" s="14" t="n">
        <v>1</v>
      </c>
      <c r="E70" s="14" t="n"/>
      <c r="F70" s="14" t="n">
        <v>1</v>
      </c>
      <c r="G70" s="14" t="n"/>
      <c r="H70" s="14" t="n"/>
      <c r="I70" s="14" t="n"/>
      <c r="J70" s="14" t="n">
        <v>2</v>
      </c>
      <c r="K70" s="14" t="inlineStr">
        <is>
          <t>B158</t>
        </is>
      </c>
      <c r="L70" s="46" t="inlineStr">
        <is>
          <t>10.19</t>
        </is>
      </c>
      <c r="M70" s="46" t="inlineStr">
        <is>
          <t>50</t>
        </is>
      </c>
      <c r="N70" s="46" t="inlineStr"/>
      <c r="O70" s="46" t="inlineStr"/>
      <c r="P70" s="46" t="n">
        <v>50</v>
      </c>
      <c r="Q70" s="46" t="n">
        <v>1</v>
      </c>
      <c r="R70" s="46" t="n">
        <v>0</v>
      </c>
      <c r="S70" s="46" t="n">
        <v>1</v>
      </c>
    </row>
    <row r="71" ht="15" customHeight="1">
      <c r="A71" s="14" t="inlineStr">
        <is>
          <t>48627745H</t>
        </is>
      </c>
      <c r="B71" s="14" t="inlineStr">
        <is>
          <t>Escalona Moncholí, Félix</t>
        </is>
      </c>
      <c r="C71" s="14" t="inlineStr">
        <is>
          <t>NO FUNCIONARIO</t>
        </is>
      </c>
      <c r="D71" s="14" t="n"/>
      <c r="E71" s="14" t="n"/>
      <c r="F71" s="14" t="n"/>
      <c r="G71" s="14" t="n"/>
      <c r="H71" s="14" t="n">
        <v>1</v>
      </c>
      <c r="I71" s="14" t="n"/>
      <c r="J71" s="14" t="n">
        <v>1</v>
      </c>
      <c r="K71" s="14" t="inlineStr">
        <is>
          <t>B161</t>
        </is>
      </c>
      <c r="L71" s="46" t="inlineStr">
        <is>
          <t>10.19</t>
        </is>
      </c>
      <c r="M71" s="46" t="inlineStr">
        <is>
          <t>20</t>
        </is>
      </c>
      <c r="N71" s="46" t="inlineStr"/>
      <c r="O71" s="46" t="inlineStr"/>
      <c r="P71" s="46" t="n">
        <v>80</v>
      </c>
      <c r="Q71" s="46" t="n">
        <v>0.2</v>
      </c>
      <c r="R71" s="46" t="n">
        <v>0</v>
      </c>
      <c r="S71" s="46" t="n">
        <v>0.8</v>
      </c>
    </row>
    <row r="72" ht="15" customHeight="1">
      <c r="A72" s="14" t="inlineStr">
        <is>
          <t>50170678L</t>
        </is>
      </c>
      <c r="B72" s="14" t="inlineStr">
        <is>
          <t>Gil Méndez, David</t>
        </is>
      </c>
      <c r="C72" s="14" t="inlineStr">
        <is>
          <t>FUNCIONARIO</t>
        </is>
      </c>
      <c r="D72" s="14" t="n"/>
      <c r="E72" s="14" t="n"/>
      <c r="F72" s="14" t="n">
        <v>1</v>
      </c>
      <c r="G72" s="14" t="n"/>
      <c r="H72" s="14" t="n"/>
      <c r="I72" s="14" t="n"/>
      <c r="J72" s="14" t="n">
        <v>1</v>
      </c>
      <c r="K72" s="14" t="inlineStr">
        <is>
          <t>B148</t>
        </is>
      </c>
      <c r="L72" s="46" t="inlineStr">
        <is>
          <t>10.19</t>
        </is>
      </c>
      <c r="M72" s="46" t="inlineStr">
        <is>
          <t>20</t>
        </is>
      </c>
      <c r="N72" s="46" t="inlineStr"/>
      <c r="O72" s="46" t="inlineStr"/>
      <c r="P72" s="46" t="n">
        <v>80</v>
      </c>
      <c r="Q72" s="46" t="n">
        <v>0.2</v>
      </c>
      <c r="R72" s="46" t="n">
        <v>0</v>
      </c>
      <c r="S72" s="46" t="n">
        <v>0.8</v>
      </c>
    </row>
    <row r="73" ht="15" customHeight="1">
      <c r="A73" s="14" t="inlineStr">
        <is>
          <t>50735030C</t>
        </is>
      </c>
      <c r="B73" s="14" t="inlineStr">
        <is>
          <t>Gilart Iglesias, Virgilio</t>
        </is>
      </c>
      <c r="C73" s="14" t="inlineStr">
        <is>
          <t>FUNCIONARIO</t>
        </is>
      </c>
      <c r="D73" s="14" t="n"/>
      <c r="E73" s="14" t="n">
        <v>1</v>
      </c>
      <c r="F73" s="14" t="n"/>
      <c r="G73" s="14" t="n"/>
      <c r="H73" s="14" t="n"/>
      <c r="I73" s="14" t="n"/>
      <c r="J73" s="14" t="n">
        <v>1</v>
      </c>
      <c r="K73" s="14" t="inlineStr">
        <is>
          <t>B148</t>
        </is>
      </c>
      <c r="L73" s="46" t="inlineStr">
        <is>
          <t>10.19</t>
        </is>
      </c>
      <c r="M73" s="46" t="inlineStr">
        <is>
          <t>20</t>
        </is>
      </c>
      <c r="N73" s="46" t="inlineStr"/>
      <c r="O73" s="46" t="inlineStr"/>
      <c r="P73" s="46" t="n">
        <v>80</v>
      </c>
      <c r="Q73" s="46" t="n">
        <v>0.2</v>
      </c>
      <c r="R73" s="46" t="n">
        <v>0</v>
      </c>
      <c r="S73" s="46" t="n">
        <v>0.8</v>
      </c>
    </row>
    <row r="74" ht="15" customHeight="1">
      <c r="A74" s="14" t="inlineStr">
        <is>
          <t>50750696T</t>
        </is>
      </c>
      <c r="B74" s="14" t="inlineStr">
        <is>
          <t>González Serrano, Germán</t>
        </is>
      </c>
      <c r="C74" s="14" t="inlineStr">
        <is>
          <t>NO FUNCIONARIO</t>
        </is>
      </c>
      <c r="D74" s="14" t="n"/>
      <c r="E74" s="14" t="n"/>
      <c r="F74" s="14" t="n"/>
      <c r="G74" s="14" t="n"/>
      <c r="H74" s="14" t="n">
        <v>2</v>
      </c>
      <c r="I74" s="14" t="n"/>
      <c r="J74" s="14" t="n">
        <v>2</v>
      </c>
      <c r="K74" s="14" t="inlineStr">
        <is>
          <t>B161</t>
        </is>
      </c>
      <c r="L74" s="46" t="inlineStr">
        <is>
          <t>10.19</t>
        </is>
      </c>
      <c r="M74" s="46" t="inlineStr">
        <is>
          <t>20</t>
        </is>
      </c>
      <c r="N74" s="46" t="inlineStr"/>
      <c r="O74" s="46" t="inlineStr"/>
      <c r="P74" s="46" t="n">
        <v>80</v>
      </c>
      <c r="Q74" s="46" t="n">
        <v>0.4</v>
      </c>
      <c r="R74" s="46" t="n">
        <v>0</v>
      </c>
      <c r="S74" s="46" t="n">
        <v>1.6</v>
      </c>
    </row>
    <row r="75" ht="15" customHeight="1">
      <c r="A75" s="14" t="inlineStr">
        <is>
          <t>52764803C</t>
        </is>
      </c>
      <c r="B75" s="14" t="inlineStr">
        <is>
          <t>Azorín López, Jorge</t>
        </is>
      </c>
      <c r="C75" s="14" t="inlineStr">
        <is>
          <t>FUNCIONARIO</t>
        </is>
      </c>
      <c r="D75" s="14" t="n"/>
      <c r="E75" s="14" t="n"/>
      <c r="F75" s="14" t="n">
        <v>1</v>
      </c>
      <c r="G75" s="14" t="n"/>
      <c r="H75" s="14" t="n"/>
      <c r="I75" s="36" t="n"/>
      <c r="J75" s="36" t="n">
        <v>1</v>
      </c>
      <c r="K75" s="14" t="inlineStr">
        <is>
          <t>B148</t>
        </is>
      </c>
      <c r="L75" s="46" t="inlineStr">
        <is>
          <t>10.19</t>
        </is>
      </c>
      <c r="M75" s="46" t="inlineStr">
        <is>
          <t>50</t>
        </is>
      </c>
      <c r="N75" s="46" t="inlineStr"/>
      <c r="O75" s="46" t="inlineStr"/>
      <c r="P75" s="46" t="n">
        <v>50</v>
      </c>
      <c r="Q75" s="46" t="n">
        <v>0.5</v>
      </c>
      <c r="R75" s="46" t="n">
        <v>0</v>
      </c>
      <c r="S75" s="46" t="n">
        <v>0.5</v>
      </c>
    </row>
    <row r="76" ht="15" customHeight="1">
      <c r="A76" s="14" t="inlineStr">
        <is>
          <t>52771535J</t>
        </is>
      </c>
      <c r="B76" s="14" t="inlineStr">
        <is>
          <t>Pérez Ortiz, Juan Antonio</t>
        </is>
      </c>
      <c r="C76" s="14" t="inlineStr">
        <is>
          <t>FUNCIONARIO</t>
        </is>
      </c>
      <c r="D76" s="14" t="n"/>
      <c r="E76" s="14" t="n"/>
      <c r="F76" s="14" t="n">
        <v>1</v>
      </c>
      <c r="G76" s="14" t="n"/>
      <c r="H76" s="14" t="n"/>
      <c r="I76" s="14" t="n"/>
      <c r="J76" s="14" t="n">
        <v>1</v>
      </c>
      <c r="K76" s="14" t="inlineStr">
        <is>
          <t>B158</t>
        </is>
      </c>
      <c r="L76" s="46" t="inlineStr">
        <is>
          <t>10.19</t>
        </is>
      </c>
      <c r="M76" s="46" t="inlineStr">
        <is>
          <t>20</t>
        </is>
      </c>
      <c r="N76" s="46" t="inlineStr"/>
      <c r="O76" s="46" t="inlineStr"/>
      <c r="P76" s="46" t="n">
        <v>80</v>
      </c>
      <c r="Q76" s="46" t="n">
        <v>0.2</v>
      </c>
      <c r="R76" s="46" t="n">
        <v>0</v>
      </c>
      <c r="S76" s="46" t="n">
        <v>0.8</v>
      </c>
    </row>
    <row r="77" ht="15" customHeight="1">
      <c r="A77" s="14" t="inlineStr">
        <is>
          <t>52773069Y</t>
        </is>
      </c>
      <c r="B77" s="14" t="inlineStr">
        <is>
          <t>Candelas Herias, Francisco Andrés</t>
        </is>
      </c>
      <c r="C77" s="14" t="inlineStr">
        <is>
          <t>FUNCIONARIO</t>
        </is>
      </c>
      <c r="D77" s="14" t="n"/>
      <c r="E77" s="14" t="n"/>
      <c r="F77" s="14" t="n">
        <v>1</v>
      </c>
      <c r="G77" s="14" t="n"/>
      <c r="H77" s="14" t="n"/>
      <c r="I77" s="14" t="n"/>
      <c r="J77" s="14" t="n">
        <v>1</v>
      </c>
      <c r="K77" s="14" t="inlineStr">
        <is>
          <t>B149</t>
        </is>
      </c>
      <c r="L77" s="46" t="inlineStr">
        <is>
          <t>10.19</t>
        </is>
      </c>
      <c r="M77" s="46" t="inlineStr">
        <is>
          <t>20</t>
        </is>
      </c>
      <c r="N77" s="46" t="inlineStr"/>
      <c r="O77" s="46" t="inlineStr"/>
      <c r="P77" s="46" t="n">
        <v>80</v>
      </c>
      <c r="Q77" s="46" t="n">
        <v>0.2</v>
      </c>
      <c r="R77" s="46" t="n">
        <v>0</v>
      </c>
      <c r="S77" s="46" t="n">
        <v>0.8</v>
      </c>
    </row>
    <row r="78" ht="15" customHeight="1">
      <c r="A78" s="14" t="inlineStr">
        <is>
          <t>52774982X</t>
        </is>
      </c>
      <c r="B78" s="14" t="inlineStr">
        <is>
          <t>Gil Vázquez, Pablo</t>
        </is>
      </c>
      <c r="C78" s="14" t="inlineStr">
        <is>
          <t>FUNCIONARIO</t>
        </is>
      </c>
      <c r="D78" s="14" t="n"/>
      <c r="E78" s="14" t="n"/>
      <c r="F78" s="14" t="n"/>
      <c r="G78" s="14" t="n"/>
      <c r="H78" s="14" t="n"/>
      <c r="I78" s="14" t="n">
        <v>1</v>
      </c>
      <c r="J78" s="14" t="n">
        <v>1</v>
      </c>
      <c r="K78" s="14" t="inlineStr">
        <is>
          <t>B149</t>
        </is>
      </c>
      <c r="L78" s="46" t="inlineStr">
        <is>
          <t>10.19</t>
        </is>
      </c>
      <c r="M78" s="46" t="inlineStr">
        <is>
          <t>50</t>
        </is>
      </c>
      <c r="N78" s="46" t="inlineStr"/>
      <c r="O78" s="46" t="inlineStr"/>
      <c r="P78" s="46" t="n">
        <v>50</v>
      </c>
      <c r="Q78" s="46" t="n">
        <v>0.5</v>
      </c>
      <c r="R78" s="46" t="n">
        <v>0</v>
      </c>
      <c r="S78" s="46" t="n">
        <v>0.5</v>
      </c>
    </row>
    <row r="79" ht="15" customHeight="1">
      <c r="A79" s="14" t="inlineStr">
        <is>
          <t>52776534K</t>
        </is>
      </c>
      <c r="B79" s="14" t="inlineStr">
        <is>
          <t>Navarro Colorado, Francisco de Borja</t>
        </is>
      </c>
      <c r="C79" s="14" t="inlineStr">
        <is>
          <t>FUNCIONARIO</t>
        </is>
      </c>
      <c r="D79" s="14" t="n"/>
      <c r="E79" s="14" t="n"/>
      <c r="F79" s="14" t="n"/>
      <c r="G79" s="14" t="n"/>
      <c r="H79" s="14" t="n">
        <v>2</v>
      </c>
      <c r="I79" s="14" t="n"/>
      <c r="J79" s="14" t="n">
        <v>2</v>
      </c>
      <c r="K79" s="14" t="inlineStr">
        <is>
          <t>B158</t>
        </is>
      </c>
      <c r="L79" s="46" t="inlineStr">
        <is>
          <t>10.19</t>
        </is>
      </c>
      <c r="M79" s="46" t="inlineStr">
        <is>
          <t>20</t>
        </is>
      </c>
      <c r="N79" s="46" t="inlineStr"/>
      <c r="O79" s="46" t="inlineStr"/>
      <c r="P79" s="46" t="n">
        <v>80</v>
      </c>
      <c r="Q79" s="46" t="n">
        <v>0.4</v>
      </c>
      <c r="R79" s="46" t="n">
        <v>0</v>
      </c>
      <c r="S79" s="46" t="n">
        <v>1.6</v>
      </c>
    </row>
    <row r="80" ht="15" customHeight="1">
      <c r="A80" s="14" t="inlineStr">
        <is>
          <t>52777349P</t>
        </is>
      </c>
      <c r="B80" s="14" t="inlineStr">
        <is>
          <t>Melia Beigbeder, Santiago</t>
        </is>
      </c>
      <c r="C80" s="15" t="inlineStr">
        <is>
          <t>FUNCIONARIO</t>
        </is>
      </c>
      <c r="D80" s="14" t="n"/>
      <c r="E80" s="14" t="n"/>
      <c r="F80" s="14" t="n"/>
      <c r="G80" s="14" t="n"/>
      <c r="H80" s="14" t="n">
        <v>1</v>
      </c>
      <c r="I80" s="14" t="n"/>
      <c r="J80" s="14" t="n">
        <v>1</v>
      </c>
      <c r="K80" s="14" t="inlineStr">
        <is>
          <t>B158</t>
        </is>
      </c>
      <c r="L80" s="46" t="inlineStr">
        <is>
          <t>10.19</t>
        </is>
      </c>
      <c r="M80" s="46" t="inlineStr">
        <is>
          <t>20</t>
        </is>
      </c>
      <c r="N80" s="46" t="inlineStr"/>
      <c r="O80" s="46" t="inlineStr"/>
      <c r="P80" s="46" t="n">
        <v>80</v>
      </c>
      <c r="Q80" s="46" t="n">
        <v>0.2</v>
      </c>
      <c r="R80" s="46" t="n">
        <v>0</v>
      </c>
      <c r="S80" s="46" t="n">
        <v>0.8</v>
      </c>
    </row>
    <row r="81" ht="15" customHeight="1">
      <c r="A81" s="14" t="inlineStr">
        <is>
          <t>52778169T</t>
        </is>
      </c>
      <c r="B81" s="14" t="inlineStr">
        <is>
          <t>Saquete Boró, María Estela</t>
        </is>
      </c>
      <c r="C81" s="15" t="inlineStr">
        <is>
          <t>FUNCIONARIO</t>
        </is>
      </c>
      <c r="D81" s="14" t="n"/>
      <c r="E81" s="14" t="n"/>
      <c r="F81" s="14" t="n">
        <v>1</v>
      </c>
      <c r="G81" s="14" t="n"/>
      <c r="H81" s="14" t="n"/>
      <c r="I81" s="14" t="n"/>
      <c r="J81" s="14" t="n">
        <v>1</v>
      </c>
      <c r="K81" s="14" t="inlineStr">
        <is>
          <t>B158</t>
        </is>
      </c>
      <c r="L81" s="46" t="inlineStr">
        <is>
          <t>10.19</t>
        </is>
      </c>
      <c r="M81" s="46" t="inlineStr">
        <is>
          <t>20</t>
        </is>
      </c>
      <c r="N81" s="46" t="inlineStr"/>
      <c r="O81" s="46" t="inlineStr"/>
      <c r="P81" s="46" t="n">
        <v>80</v>
      </c>
      <c r="Q81" s="46" t="n">
        <v>0.2</v>
      </c>
      <c r="R81" s="46" t="n">
        <v>0</v>
      </c>
      <c r="S81" s="46" t="n">
        <v>0.8</v>
      </c>
    </row>
    <row r="82" ht="15" customHeight="1">
      <c r="A82" s="14" t="inlineStr">
        <is>
          <t>52778442C</t>
        </is>
      </c>
      <c r="B82" s="14" t="inlineStr">
        <is>
          <t>Puente Méndez, Santiago</t>
        </is>
      </c>
      <c r="C82" s="15" t="inlineStr">
        <is>
          <t>Vivos</t>
        </is>
      </c>
      <c r="D82" s="14" t="n"/>
      <c r="E82" s="14" t="n"/>
      <c r="F82" s="14" t="n"/>
      <c r="G82" s="14" t="n"/>
      <c r="H82" s="14" t="n"/>
      <c r="I82" s="14" t="n">
        <v>1</v>
      </c>
      <c r="J82" s="14" t="n">
        <v>1</v>
      </c>
      <c r="K82" s="14" t="inlineStr">
        <is>
          <t>B149</t>
        </is>
      </c>
      <c r="L82" s="46" t="inlineStr">
        <is>
          <t>10.19</t>
        </is>
      </c>
      <c r="M82" s="46" t="inlineStr">
        <is>
          <t>20</t>
        </is>
      </c>
      <c r="N82" s="46" t="inlineStr"/>
      <c r="O82" s="46" t="inlineStr"/>
      <c r="P82" s="46" t="n">
        <v>80</v>
      </c>
      <c r="Q82" s="46" t="n">
        <v>0.2</v>
      </c>
      <c r="R82" s="46" t="n">
        <v>0</v>
      </c>
      <c r="S82" s="46" t="n">
        <v>0.8</v>
      </c>
    </row>
    <row r="83" ht="15" customHeight="1">
      <c r="A83" s="14" t="inlineStr">
        <is>
          <t>52793369C</t>
        </is>
      </c>
      <c r="B83" s="14" t="inlineStr">
        <is>
          <t>Arnal García, José</t>
        </is>
      </c>
      <c r="C83" s="15" t="inlineStr">
        <is>
          <t>Vivos</t>
        </is>
      </c>
      <c r="D83" s="14" t="n"/>
      <c r="E83" s="14" t="n"/>
      <c r="F83" s="14" t="n"/>
      <c r="G83" s="14" t="n"/>
      <c r="H83" s="14" t="n"/>
      <c r="I83" s="14" t="n">
        <v>1</v>
      </c>
      <c r="J83" s="14" t="n">
        <v>1</v>
      </c>
      <c r="K83" s="14" t="inlineStr">
        <is>
          <t>B161</t>
        </is>
      </c>
      <c r="L83" s="46" t="inlineStr">
        <is>
          <t>10.19</t>
        </is>
      </c>
      <c r="M83" s="46" t="inlineStr">
        <is>
          <t>20</t>
        </is>
      </c>
      <c r="N83" s="46" t="inlineStr"/>
      <c r="O83" s="46" t="inlineStr"/>
      <c r="P83" s="46" t="n">
        <v>80</v>
      </c>
      <c r="Q83" s="46" t="n">
        <v>0.2</v>
      </c>
      <c r="R83" s="46" t="n">
        <v>0</v>
      </c>
      <c r="S83" s="46" t="n">
        <v>0.8</v>
      </c>
    </row>
    <row r="84" ht="15" customHeight="1">
      <c r="A84" s="14" t="inlineStr">
        <is>
          <t>52805806Z</t>
        </is>
      </c>
      <c r="B84" s="14" t="inlineStr">
        <is>
          <t>Sáez Martínez, Juan Manuel</t>
        </is>
      </c>
      <c r="C84" s="15" t="inlineStr">
        <is>
          <t>FUNCIONARIO</t>
        </is>
      </c>
      <c r="D84" s="14" t="n"/>
      <c r="E84" s="14" t="n">
        <v>1</v>
      </c>
      <c r="F84" s="14" t="n"/>
      <c r="G84" s="14" t="n"/>
      <c r="H84" s="14" t="n"/>
      <c r="I84" s="14" t="n"/>
      <c r="J84" s="14" t="n">
        <v>1</v>
      </c>
      <c r="K84" s="14" t="inlineStr">
        <is>
          <t>B161</t>
        </is>
      </c>
      <c r="L84" s="46" t="inlineStr">
        <is>
          <t>10.19</t>
        </is>
      </c>
      <c r="M84" s="46" t="inlineStr">
        <is>
          <t>20</t>
        </is>
      </c>
      <c r="N84" s="46" t="inlineStr"/>
      <c r="O84" s="46" t="inlineStr"/>
      <c r="P84" s="46" t="n">
        <v>80</v>
      </c>
      <c r="Q84" s="46" t="n">
        <v>0.2</v>
      </c>
      <c r="R84" s="46" t="n">
        <v>0</v>
      </c>
      <c r="S84" s="46" t="n">
        <v>0.8</v>
      </c>
    </row>
    <row r="85" ht="15" customHeight="1">
      <c r="A85" s="14" t="inlineStr">
        <is>
          <t>53227471C</t>
        </is>
      </c>
      <c r="B85" s="14" t="inlineStr">
        <is>
          <t>Martínez Martín, Ester</t>
        </is>
      </c>
      <c r="C85" s="15" t="inlineStr">
        <is>
          <t>FUNCIONARIO</t>
        </is>
      </c>
      <c r="D85" s="14" t="n"/>
      <c r="E85" s="14" t="n"/>
      <c r="F85" s="14" t="n"/>
      <c r="G85" s="14" t="n">
        <v>1</v>
      </c>
      <c r="H85" s="14" t="n">
        <v>1</v>
      </c>
      <c r="I85" s="14" t="n"/>
      <c r="J85" s="14" t="n">
        <v>2</v>
      </c>
      <c r="K85" s="14" t="inlineStr">
        <is>
          <t>B161</t>
        </is>
      </c>
      <c r="L85" s="46" t="inlineStr">
        <is>
          <t>10.19</t>
        </is>
      </c>
      <c r="M85" s="46" t="inlineStr">
        <is>
          <t>50</t>
        </is>
      </c>
      <c r="N85" s="46" t="inlineStr"/>
      <c r="O85" s="46" t="inlineStr"/>
      <c r="P85" s="46" t="n">
        <v>50</v>
      </c>
      <c r="Q85" s="46" t="n">
        <v>1</v>
      </c>
      <c r="R85" s="46" t="n">
        <v>0</v>
      </c>
      <c r="S85" s="46" t="n">
        <v>1</v>
      </c>
    </row>
    <row r="86" ht="15" customHeight="1">
      <c r="A86" s="14" t="inlineStr">
        <is>
          <t>53230124M</t>
        </is>
      </c>
      <c r="B86" s="14" t="inlineStr">
        <is>
          <t>Muñoz Terol, Rafael</t>
        </is>
      </c>
      <c r="C86" s="15" t="inlineStr">
        <is>
          <t>Vivos</t>
        </is>
      </c>
      <c r="D86" s="14" t="n"/>
      <c r="E86" s="14" t="n"/>
      <c r="F86" s="14" t="n"/>
      <c r="G86" s="14" t="n"/>
      <c r="H86" s="14" t="n"/>
      <c r="I86" s="14" t="n">
        <v>1</v>
      </c>
      <c r="J86" s="14" t="n">
        <v>1</v>
      </c>
      <c r="K86" s="14" t="inlineStr">
        <is>
          <t>B158</t>
        </is>
      </c>
      <c r="L86" s="46" t="inlineStr">
        <is>
          <t>10.19</t>
        </is>
      </c>
      <c r="M86" s="46" t="inlineStr">
        <is>
          <t>20</t>
        </is>
      </c>
      <c r="N86" s="46" t="inlineStr"/>
      <c r="O86" s="46" t="inlineStr"/>
      <c r="P86" s="46" t="n">
        <v>80</v>
      </c>
      <c r="Q86" s="46" t="n">
        <v>0.2</v>
      </c>
      <c r="R86" s="46" t="n">
        <v>0</v>
      </c>
      <c r="S86" s="46" t="n">
        <v>0.8</v>
      </c>
    </row>
    <row r="87" ht="15" customHeight="1">
      <c r="A87" s="14" t="inlineStr">
        <is>
          <t>53231432W</t>
        </is>
      </c>
      <c r="B87" s="14" t="inlineStr">
        <is>
          <t>Álvarez Sánchez, Rafael Ignacio</t>
        </is>
      </c>
      <c r="C87" s="15" t="inlineStr">
        <is>
          <t>Vivos</t>
        </is>
      </c>
      <c r="D87" s="14" t="n"/>
      <c r="E87" s="14" t="n"/>
      <c r="F87" s="14" t="n"/>
      <c r="G87" s="14" t="n"/>
      <c r="H87" s="14" t="n"/>
      <c r="I87" s="14" t="n">
        <v>1</v>
      </c>
      <c r="J87" s="14" t="n">
        <v>1</v>
      </c>
      <c r="K87" s="14" t="inlineStr">
        <is>
          <t>B161</t>
        </is>
      </c>
      <c r="L87" s="46" t="inlineStr">
        <is>
          <t>10.19</t>
        </is>
      </c>
      <c r="M87" s="46" t="inlineStr">
        <is>
          <t>20</t>
        </is>
      </c>
      <c r="N87" s="46" t="inlineStr"/>
      <c r="O87" s="46" t="inlineStr"/>
      <c r="P87" s="46" t="n">
        <v>80</v>
      </c>
      <c r="Q87" s="46" t="n">
        <v>0.2</v>
      </c>
      <c r="R87" s="46" t="n">
        <v>0</v>
      </c>
      <c r="S87" s="46" t="n">
        <v>0.8</v>
      </c>
    </row>
    <row r="88" ht="15" customFormat="1" customHeight="1" s="44">
      <c r="A88" s="42" t="inlineStr">
        <is>
          <t>53232971T</t>
        </is>
      </c>
      <c r="B88" s="42" t="inlineStr">
        <is>
          <t>Lloret Pastor, Elena</t>
        </is>
      </c>
      <c r="C88" s="43" t="inlineStr">
        <is>
          <t>FUNCIONARIO</t>
        </is>
      </c>
      <c r="D88" s="42" t="n">
        <v>2</v>
      </c>
      <c r="E88" s="42" t="n"/>
      <c r="F88" s="42" t="n"/>
      <c r="G88" s="42" t="n"/>
      <c r="H88" s="42" t="n"/>
      <c r="I88" s="42" t="n"/>
      <c r="J88" s="42" t="n">
        <v>2</v>
      </c>
      <c r="K88" s="42" t="inlineStr">
        <is>
          <t>B158</t>
        </is>
      </c>
      <c r="L88" s="46" t="inlineStr">
        <is>
          <t>10.19</t>
        </is>
      </c>
      <c r="M88" s="46" t="inlineStr">
        <is>
          <t>20</t>
        </is>
      </c>
      <c r="N88" s="46" t="inlineStr"/>
      <c r="O88" s="46" t="inlineStr"/>
      <c r="P88" s="46" t="n">
        <v>80</v>
      </c>
      <c r="Q88" s="46" t="n">
        <v>0.4</v>
      </c>
      <c r="R88" s="46" t="n">
        <v>0</v>
      </c>
      <c r="S88" s="46" t="n">
        <v>1.6</v>
      </c>
    </row>
    <row r="89" ht="15" customHeight="1">
      <c r="A89" s="14" t="inlineStr">
        <is>
          <t>53244622J</t>
        </is>
      </c>
      <c r="B89" s="14" t="inlineStr">
        <is>
          <t>Gómez Donoso, Francisco</t>
        </is>
      </c>
      <c r="C89" s="15" t="inlineStr">
        <is>
          <t>FUNCIONARIO</t>
        </is>
      </c>
      <c r="D89" s="14" t="n"/>
      <c r="E89" s="14" t="n"/>
      <c r="F89" s="14" t="n"/>
      <c r="G89" s="14" t="n"/>
      <c r="H89" s="14" t="n"/>
      <c r="I89" s="14" t="n">
        <v>1</v>
      </c>
      <c r="J89" s="14" t="n">
        <v>1</v>
      </c>
      <c r="K89" s="14" t="inlineStr">
        <is>
          <t>B161</t>
        </is>
      </c>
      <c r="L89" s="46" t="inlineStr">
        <is>
          <t>10.19</t>
        </is>
      </c>
      <c r="M89" s="46" t="inlineStr">
        <is>
          <t>50</t>
        </is>
      </c>
      <c r="N89" s="46" t="inlineStr"/>
      <c r="O89" s="46" t="inlineStr"/>
      <c r="P89" s="46" t="n">
        <v>50</v>
      </c>
      <c r="Q89" s="46" t="n">
        <v>0.5</v>
      </c>
      <c r="R89" s="46" t="n">
        <v>0</v>
      </c>
      <c r="S89" s="46" t="n">
        <v>0.5</v>
      </c>
    </row>
    <row r="90" ht="15" customHeight="1">
      <c r="A90" s="14" t="inlineStr">
        <is>
          <t>72520384G</t>
        </is>
      </c>
      <c r="B90" s="14" t="inlineStr">
        <is>
          <t>Marco Tobarra, Amparo</t>
        </is>
      </c>
      <c r="C90" s="15" t="inlineStr">
        <is>
          <t>FUNCIONARIO</t>
        </is>
      </c>
      <c r="D90" s="14" t="n"/>
      <c r="E90" s="14" t="n">
        <v>1</v>
      </c>
      <c r="F90" s="14" t="n"/>
      <c r="G90" s="14" t="n"/>
      <c r="H90" s="14" t="n"/>
      <c r="I90" s="14" t="n"/>
      <c r="J90" s="14" t="n">
        <v>1</v>
      </c>
      <c r="K90" s="14" t="inlineStr">
        <is>
          <t>B149</t>
        </is>
      </c>
      <c r="L90" s="46" t="inlineStr">
        <is>
          <t>10.19</t>
        </is>
      </c>
      <c r="M90" s="46" t="inlineStr">
        <is>
          <t>50</t>
        </is>
      </c>
      <c r="N90" s="46" t="inlineStr"/>
      <c r="O90" s="46" t="inlineStr"/>
      <c r="P90" s="46" t="n">
        <v>50</v>
      </c>
      <c r="Q90" s="46" t="n">
        <v>0.5</v>
      </c>
      <c r="R90" s="46" t="n">
        <v>0</v>
      </c>
      <c r="S90" s="46" t="n">
        <v>0.5</v>
      </c>
    </row>
    <row r="91" ht="15" customHeight="1">
      <c r="A91" s="17" t="inlineStr">
        <is>
          <t>73766251F</t>
        </is>
      </c>
      <c r="B91" s="17" t="inlineStr">
        <is>
          <t>Rico Juan, Juan Ramón</t>
        </is>
      </c>
      <c r="C91" s="18" t="inlineStr">
        <is>
          <t>FUNCIONARIO</t>
        </is>
      </c>
      <c r="D91" s="17" t="n"/>
      <c r="E91" s="17" t="n"/>
      <c r="F91" s="17" t="n"/>
      <c r="G91" s="17" t="n"/>
      <c r="H91" s="17" t="n">
        <v>1</v>
      </c>
      <c r="I91" s="17" t="n"/>
      <c r="J91" s="17" t="n">
        <v>1</v>
      </c>
      <c r="K91" s="14" t="inlineStr">
        <is>
          <t>B158</t>
        </is>
      </c>
      <c r="L91" s="45" t="inlineStr">
        <is>
          <t>10.19</t>
        </is>
      </c>
      <c r="M91" s="45" t="inlineStr">
        <is>
          <t>20</t>
        </is>
      </c>
      <c r="N91" s="45" t="inlineStr"/>
      <c r="O91" s="45" t="inlineStr"/>
      <c r="P91" s="45" t="n">
        <v>80</v>
      </c>
      <c r="Q91" s="45" t="n">
        <v>0.2</v>
      </c>
      <c r="R91" s="45" t="n">
        <v>0</v>
      </c>
      <c r="S91" s="45" t="n">
        <v>0.8</v>
      </c>
    </row>
    <row r="92" ht="15" customHeight="1">
      <c r="A92" s="17" t="inlineStr">
        <is>
          <t>74004743N</t>
        </is>
      </c>
      <c r="B92" s="17" t="inlineStr">
        <is>
          <t>Calvo Zaragoza, Jorge</t>
        </is>
      </c>
      <c r="C92" s="18" t="inlineStr">
        <is>
          <t>FUNCIONARIO</t>
        </is>
      </c>
      <c r="D92" s="17" t="n"/>
      <c r="E92" s="17" t="n"/>
      <c r="F92" s="17" t="n">
        <v>1</v>
      </c>
      <c r="G92" s="17" t="n"/>
      <c r="H92" s="17" t="n"/>
      <c r="I92" s="17" t="n">
        <v>1</v>
      </c>
      <c r="J92" s="17" t="n">
        <v>2</v>
      </c>
      <c r="K92" s="14" t="inlineStr">
        <is>
          <t>B158</t>
        </is>
      </c>
      <c r="L92" s="45" t="inlineStr">
        <is>
          <t>10.19</t>
        </is>
      </c>
      <c r="M92" s="45" t="inlineStr">
        <is>
          <t>50</t>
        </is>
      </c>
      <c r="N92" s="45" t="inlineStr"/>
      <c r="O92" s="45" t="inlineStr"/>
      <c r="P92" s="45" t="n">
        <v>50</v>
      </c>
      <c r="Q92" s="45" t="n">
        <v>1</v>
      </c>
      <c r="R92" s="45" t="n">
        <v>0</v>
      </c>
      <c r="S92" s="45" t="n">
        <v>1</v>
      </c>
    </row>
    <row r="93" ht="15" customHeight="1">
      <c r="A93" s="17" t="inlineStr">
        <is>
          <t>74085674Y</t>
        </is>
      </c>
      <c r="B93" s="17" t="inlineStr">
        <is>
          <t>Rico Soliveres, María Luisa</t>
        </is>
      </c>
      <c r="C93" s="18" t="inlineStr">
        <is>
          <t>FUNCIONARIO</t>
        </is>
      </c>
      <c r="D93" s="17" t="n"/>
      <c r="E93" s="17" t="n">
        <v>1</v>
      </c>
      <c r="F93" s="17" t="n"/>
      <c r="G93" s="17" t="n"/>
      <c r="H93" s="17" t="n"/>
      <c r="I93" s="17" t="n"/>
      <c r="J93" s="17" t="n">
        <v>1</v>
      </c>
      <c r="K93" s="14" t="inlineStr">
        <is>
          <t>B148</t>
        </is>
      </c>
      <c r="L93" s="45" t="inlineStr">
        <is>
          <t>10.19</t>
        </is>
      </c>
      <c r="M93" s="45" t="inlineStr">
        <is>
          <t>20</t>
        </is>
      </c>
      <c r="N93" s="45" t="inlineStr"/>
      <c r="O93" s="45" t="inlineStr"/>
      <c r="P93" s="45" t="n">
        <v>80</v>
      </c>
      <c r="Q93" s="45" t="n">
        <v>0.2</v>
      </c>
      <c r="R93" s="45" t="n">
        <v>0</v>
      </c>
      <c r="S93" s="45" t="n">
        <v>0.8</v>
      </c>
    </row>
    <row r="94" ht="15" customHeight="1">
      <c r="A94" s="17" t="inlineStr">
        <is>
          <t>74193699T</t>
        </is>
      </c>
      <c r="B94" s="17" t="inlineStr">
        <is>
          <t>Escolano Ruiz, Francisco Javier</t>
        </is>
      </c>
      <c r="C94" s="18" t="inlineStr">
        <is>
          <t>FUNCIONARIO</t>
        </is>
      </c>
      <c r="D94" s="17" t="n"/>
      <c r="E94" s="17" t="n"/>
      <c r="F94" s="17" t="n">
        <v>1</v>
      </c>
      <c r="G94" s="17" t="n"/>
      <c r="H94" s="17" t="n"/>
      <c r="I94" s="17" t="n"/>
      <c r="J94" s="17" t="n">
        <v>1</v>
      </c>
      <c r="K94" s="14" t="inlineStr">
        <is>
          <t>B161</t>
        </is>
      </c>
      <c r="L94" s="45" t="inlineStr">
        <is>
          <t>10.19</t>
        </is>
      </c>
      <c r="M94" s="45" t="inlineStr">
        <is>
          <t>50</t>
        </is>
      </c>
      <c r="N94" s="45" t="inlineStr"/>
      <c r="O94" s="45" t="inlineStr"/>
      <c r="P94" s="45" t="n">
        <v>50</v>
      </c>
      <c r="Q94" s="45" t="n">
        <v>0.5</v>
      </c>
      <c r="R94" s="45" t="n">
        <v>0</v>
      </c>
      <c r="S94" s="45" t="n">
        <v>0.5</v>
      </c>
    </row>
    <row r="95" ht="15" customHeight="1">
      <c r="A95" s="14" t="inlineStr">
        <is>
          <t>74213842H</t>
        </is>
      </c>
      <c r="B95" s="14" t="inlineStr">
        <is>
          <t>Pujol López, María del Mar</t>
        </is>
      </c>
      <c r="C95" s="15" t="inlineStr">
        <is>
          <t>FUNCIONARIO</t>
        </is>
      </c>
      <c r="D95" s="14" t="n"/>
      <c r="E95" s="14" t="n">
        <v>1</v>
      </c>
      <c r="F95" s="14" t="n"/>
      <c r="G95" s="14" t="n"/>
      <c r="H95" s="14" t="n"/>
      <c r="I95" s="14" t="n"/>
      <c r="J95" s="14" t="n">
        <v>1</v>
      </c>
      <c r="K95" s="14" t="inlineStr">
        <is>
          <t>B161</t>
        </is>
      </c>
      <c r="L95" s="45" t="inlineStr">
        <is>
          <t>10.19</t>
        </is>
      </c>
      <c r="M95" s="45" t="inlineStr">
        <is>
          <t>20</t>
        </is>
      </c>
      <c r="N95" s="45" t="inlineStr"/>
      <c r="O95" s="45" t="inlineStr"/>
      <c r="P95" s="45" t="n">
        <v>80</v>
      </c>
      <c r="Q95" s="45" t="n">
        <v>0.2</v>
      </c>
      <c r="R95" s="45" t="n">
        <v>0</v>
      </c>
      <c r="S95" s="45" t="n">
        <v>0.8</v>
      </c>
    </row>
    <row r="96" ht="15" customHeight="1">
      <c r="A96" s="14" t="inlineStr">
        <is>
          <t>74227758L</t>
        </is>
      </c>
      <c r="B96" s="14" t="inlineStr">
        <is>
          <t>Lorenzo Lledó, Gonzalo</t>
        </is>
      </c>
      <c r="C96" s="14" t="inlineStr">
        <is>
          <t>FUNCIONARIO</t>
        </is>
      </c>
      <c r="D96" s="14" t="n"/>
      <c r="E96" s="14" t="n">
        <v>1</v>
      </c>
      <c r="F96" s="14" t="n"/>
      <c r="G96" s="14" t="n">
        <v>1</v>
      </c>
      <c r="H96" s="14" t="n"/>
      <c r="I96" s="14" t="n"/>
      <c r="J96" s="14" t="n">
        <v>2</v>
      </c>
      <c r="K96" s="14" t="inlineStr">
        <is>
          <t>B177</t>
        </is>
      </c>
      <c r="L96" s="46" t="inlineStr">
        <is>
          <t>10.19</t>
        </is>
      </c>
      <c r="M96" s="46" t="inlineStr">
        <is>
          <t>50</t>
        </is>
      </c>
      <c r="N96" s="46" t="inlineStr"/>
      <c r="O96" s="46" t="inlineStr"/>
      <c r="P96" s="46" t="n">
        <v>50</v>
      </c>
      <c r="Q96" s="46" t="n">
        <v>1</v>
      </c>
      <c r="R96" s="46" t="n">
        <v>0</v>
      </c>
      <c r="S96" s="46" t="n">
        <v>1</v>
      </c>
    </row>
    <row r="97" ht="15" customHeight="1">
      <c r="A97" s="14" t="inlineStr">
        <is>
          <t>74363844Z</t>
        </is>
      </c>
      <c r="B97" s="14" t="inlineStr">
        <is>
          <t>Sánchez Cartagena, Víctor Manuel</t>
        </is>
      </c>
      <c r="C97" s="14" t="inlineStr">
        <is>
          <t>FUNCIONARIO</t>
        </is>
      </c>
      <c r="D97" s="14" t="n"/>
      <c r="E97" s="14" t="n"/>
      <c r="F97" s="14" t="n"/>
      <c r="G97" s="14" t="n"/>
      <c r="H97" s="14" t="n"/>
      <c r="I97" s="14" t="n">
        <v>1</v>
      </c>
      <c r="J97" s="14" t="n">
        <v>1</v>
      </c>
      <c r="K97" s="14" t="inlineStr">
        <is>
          <t>B158</t>
        </is>
      </c>
      <c r="L97" s="46" t="inlineStr">
        <is>
          <t>10.19</t>
        </is>
      </c>
      <c r="M97" s="46" t="inlineStr">
        <is>
          <t>20</t>
        </is>
      </c>
      <c r="N97" s="46" t="inlineStr"/>
      <c r="O97" s="46" t="inlineStr"/>
      <c r="P97" s="46" t="n">
        <v>80</v>
      </c>
      <c r="Q97" s="46" t="n">
        <v>0.2</v>
      </c>
      <c r="R97" s="46" t="n">
        <v>0</v>
      </c>
      <c r="S97" s="46" t="n">
        <v>0.8</v>
      </c>
    </row>
    <row r="98" ht="15" customHeight="1">
      <c r="A98" s="14" t="inlineStr">
        <is>
          <t>74372523E</t>
        </is>
      </c>
      <c r="B98" s="14" t="inlineStr">
        <is>
          <t>Valero Mas, José Javier</t>
        </is>
      </c>
      <c r="C98" s="14" t="inlineStr">
        <is>
          <t>NO FUNCIONARIO</t>
        </is>
      </c>
      <c r="D98" s="14" t="n"/>
      <c r="E98" s="14" t="n"/>
      <c r="F98" s="14" t="n"/>
      <c r="G98" s="14" t="n"/>
      <c r="H98" s="14" t="n">
        <v>1</v>
      </c>
      <c r="I98" s="14" t="n"/>
      <c r="J98" s="14" t="n">
        <v>1</v>
      </c>
      <c r="K98" s="14" t="inlineStr">
        <is>
          <t>B158</t>
        </is>
      </c>
      <c r="L98" s="46" t="inlineStr">
        <is>
          <t>10.19</t>
        </is>
      </c>
      <c r="M98" s="46" t="inlineStr">
        <is>
          <t>50</t>
        </is>
      </c>
      <c r="N98" s="46" t="inlineStr"/>
      <c r="O98" s="46" t="inlineStr"/>
      <c r="P98" s="46" t="n">
        <v>50</v>
      </c>
      <c r="Q98" s="46" t="n">
        <v>0.5</v>
      </c>
      <c r="R98" s="46" t="n">
        <v>0</v>
      </c>
      <c r="S98" s="46" t="n">
        <v>0.5</v>
      </c>
    </row>
    <row r="99" ht="15" customHeight="1">
      <c r="A99" s="14" t="inlineStr">
        <is>
          <t>74653004H</t>
        </is>
      </c>
      <c r="B99" s="14" t="inlineStr">
        <is>
          <t>Martínez Álvarez, Antonio</t>
        </is>
      </c>
      <c r="C99" s="14" t="inlineStr">
        <is>
          <t>FUNCIONARIO</t>
        </is>
      </c>
      <c r="D99" s="14" t="n"/>
      <c r="E99" s="14" t="n">
        <v>1</v>
      </c>
      <c r="F99" s="14" t="n"/>
      <c r="G99" s="14" t="n"/>
      <c r="H99" s="14" t="n"/>
      <c r="I99" s="14" t="n"/>
      <c r="J99" s="14" t="n">
        <v>1</v>
      </c>
      <c r="K99" s="14" t="inlineStr">
        <is>
          <t>B148</t>
        </is>
      </c>
      <c r="L99" s="46" t="inlineStr">
        <is>
          <t>10.19</t>
        </is>
      </c>
      <c r="M99" s="46" t="inlineStr">
        <is>
          <t>20</t>
        </is>
      </c>
      <c r="N99" s="46" t="inlineStr"/>
      <c r="O99" s="46" t="inlineStr"/>
      <c r="P99" s="46" t="n">
        <v>80</v>
      </c>
      <c r="Q99" s="46" t="n">
        <v>0.2</v>
      </c>
      <c r="R99" s="46" t="n">
        <v>0</v>
      </c>
      <c r="S99" s="46" t="n">
        <v>0.8</v>
      </c>
    </row>
    <row r="100" ht="15" customHeight="1">
      <c r="A100" s="14" t="inlineStr">
        <is>
          <t>78295956T</t>
        </is>
      </c>
      <c r="B100" s="14" t="inlineStr">
        <is>
          <t>Lorenzo Fonseca, Iren</t>
        </is>
      </c>
      <c r="C100" s="14" t="inlineStr">
        <is>
          <t>FUNCIONARIO</t>
        </is>
      </c>
      <c r="D100" s="14" t="n"/>
      <c r="E100" s="14" t="n"/>
      <c r="F100" s="14" t="n"/>
      <c r="G100" s="14" t="n"/>
      <c r="H100" s="14" t="n">
        <v>1</v>
      </c>
      <c r="I100" s="14" t="n"/>
      <c r="J100" s="14" t="n">
        <v>1</v>
      </c>
      <c r="K100" s="14" t="inlineStr">
        <is>
          <t>B148</t>
        </is>
      </c>
      <c r="L100" s="46" t="inlineStr">
        <is>
          <t>10.19</t>
        </is>
      </c>
      <c r="M100" s="46" t="inlineStr">
        <is>
          <t>20</t>
        </is>
      </c>
      <c r="N100" s="46" t="inlineStr"/>
      <c r="O100" s="46" t="inlineStr"/>
      <c r="P100" s="46" t="n">
        <v>80</v>
      </c>
      <c r="Q100" s="46" t="n">
        <v>0.2</v>
      </c>
      <c r="R100" s="46" t="n">
        <v>0</v>
      </c>
      <c r="S100" s="46" t="n">
        <v>0.8</v>
      </c>
    </row>
    <row r="101" ht="15" customHeight="1">
      <c r="A101" s="14" t="inlineStr">
        <is>
          <t>21964202F</t>
        </is>
      </c>
      <c r="B101" s="14" t="inlineStr">
        <is>
          <t>García Chamizo, Juan Manuel</t>
        </is>
      </c>
      <c r="C101" s="14" t="inlineStr">
        <is>
          <t>Vivos</t>
        </is>
      </c>
      <c r="D101" s="14" t="n"/>
      <c r="E101" s="14" t="n"/>
      <c r="F101" s="14" t="n"/>
      <c r="G101" s="14" t="n"/>
      <c r="H101" s="14" t="n"/>
      <c r="I101" s="14" t="n">
        <v>1</v>
      </c>
      <c r="J101" s="14" t="n">
        <v>1</v>
      </c>
      <c r="K101" s="14" t="inlineStr">
        <is>
          <t>B148</t>
        </is>
      </c>
      <c r="L101" s="46" t="inlineStr">
        <is>
          <t>10.25</t>
        </is>
      </c>
      <c r="M101" s="46" t="inlineStr">
        <is>
          <t>10</t>
        </is>
      </c>
      <c r="N101" s="46" t="inlineStr">
        <is>
          <t>10.19</t>
        </is>
      </c>
      <c r="O101" s="46" t="inlineStr">
        <is>
          <t>20</t>
        </is>
      </c>
      <c r="P101" s="46" t="n">
        <v>70</v>
      </c>
      <c r="Q101" s="46" t="n">
        <v>0.1</v>
      </c>
      <c r="R101" s="46" t="n">
        <v>0.2</v>
      </c>
      <c r="S101" s="46" t="n">
        <v>0.7</v>
      </c>
    </row>
    <row r="102" ht="15" customHeight="1">
      <c r="A102" s="14" t="inlineStr">
        <is>
          <t>33475167R</t>
        </is>
      </c>
      <c r="B102" s="14" t="inlineStr">
        <is>
          <t>Mora Pascual, Jeronimo Manuel</t>
        </is>
      </c>
      <c r="C102" s="14" t="inlineStr">
        <is>
          <t>Vivos</t>
        </is>
      </c>
      <c r="D102" s="14" t="n"/>
      <c r="E102" s="14" t="n"/>
      <c r="F102" s="14" t="n"/>
      <c r="G102" s="14" t="n"/>
      <c r="H102" s="14" t="n"/>
      <c r="I102" s="14" t="n">
        <v>1</v>
      </c>
      <c r="J102" s="14" t="n">
        <v>1</v>
      </c>
      <c r="K102" s="14" t="inlineStr">
        <is>
          <t>B148</t>
        </is>
      </c>
      <c r="L102" s="46" t="inlineStr">
        <is>
          <t>10.25</t>
        </is>
      </c>
      <c r="M102" s="46" t="inlineStr">
        <is>
          <t>10</t>
        </is>
      </c>
      <c r="N102" s="46" t="inlineStr">
        <is>
          <t>10.19</t>
        </is>
      </c>
      <c r="O102" s="46" t="inlineStr">
        <is>
          <t>20</t>
        </is>
      </c>
      <c r="P102" s="46" t="n">
        <v>70</v>
      </c>
      <c r="Q102" s="46" t="n">
        <v>0.1</v>
      </c>
      <c r="R102" s="46" t="n">
        <v>0.2</v>
      </c>
      <c r="S102" s="46" t="n">
        <v>0.7</v>
      </c>
    </row>
    <row r="103" ht="15" customHeight="1">
      <c r="A103" s="14" t="inlineStr">
        <is>
          <t>48560510N</t>
        </is>
      </c>
      <c r="B103" s="14" t="inlineStr">
        <is>
          <t>Zubcoff Vallejo, Jose</t>
        </is>
      </c>
      <c r="C103" s="14" t="inlineStr">
        <is>
          <t>FUNCIONARIO</t>
        </is>
      </c>
      <c r="D103" s="14" t="n"/>
      <c r="E103" s="14" t="n"/>
      <c r="F103" s="14" t="n">
        <v>1</v>
      </c>
      <c r="G103" s="14" t="n"/>
      <c r="H103" s="14" t="n"/>
      <c r="I103" s="14" t="n"/>
      <c r="J103" s="14" t="n">
        <v>1</v>
      </c>
      <c r="K103" s="14" t="inlineStr">
        <is>
          <t>B171</t>
        </is>
      </c>
      <c r="L103" s="46" t="inlineStr">
        <is>
          <t>10.16</t>
        </is>
      </c>
      <c r="M103" s="46" t="inlineStr">
        <is>
          <t>30</t>
        </is>
      </c>
      <c r="N103" s="46" t="inlineStr">
        <is>
          <t>10.19</t>
        </is>
      </c>
      <c r="O103" s="46" t="inlineStr">
        <is>
          <t>10</t>
        </is>
      </c>
      <c r="P103" s="46" t="n">
        <v>60</v>
      </c>
      <c r="Q103" s="46" t="n">
        <v>0.3</v>
      </c>
      <c r="R103" s="46" t="n">
        <v>0.1</v>
      </c>
      <c r="S103" s="46" t="n">
        <v>0.6</v>
      </c>
    </row>
    <row r="104" ht="15" customHeight="1">
      <c r="A104" s="14" t="inlineStr">
        <is>
          <t>73993969W</t>
        </is>
      </c>
      <c r="B104" s="14" t="inlineStr">
        <is>
          <t>Mazón López, Jose Norberto</t>
        </is>
      </c>
      <c r="C104" s="14" t="inlineStr">
        <is>
          <t>FUNCIONARIO</t>
        </is>
      </c>
      <c r="D104" s="14" t="n"/>
      <c r="E104" s="14" t="n"/>
      <c r="F104" s="14" t="n"/>
      <c r="G104" s="14" t="n">
        <v>1</v>
      </c>
      <c r="H104" s="14" t="n"/>
      <c r="I104" s="14" t="n"/>
      <c r="J104" s="14" t="n">
        <v>1</v>
      </c>
      <c r="K104" s="14" t="inlineStr">
        <is>
          <t>B158</t>
        </is>
      </c>
      <c r="L104" s="46" t="inlineStr">
        <is>
          <t>10.17</t>
        </is>
      </c>
      <c r="M104" s="46" t="inlineStr">
        <is>
          <t>10</t>
        </is>
      </c>
      <c r="N104" s="46" t="inlineStr">
        <is>
          <t>10.19</t>
        </is>
      </c>
      <c r="O104" s="46" t="inlineStr">
        <is>
          <t>20</t>
        </is>
      </c>
      <c r="P104" s="46" t="n">
        <v>70</v>
      </c>
      <c r="Q104" s="46" t="n">
        <v>0.1</v>
      </c>
      <c r="R104" s="46" t="n">
        <v>0.2</v>
      </c>
      <c r="S104" s="46" t="n">
        <v>0.7</v>
      </c>
    </row>
    <row r="105" ht="15" customHeight="1">
      <c r="A105" s="25" t="n"/>
      <c r="B105" s="25" t="n"/>
      <c r="C105" s="26" t="n"/>
      <c r="D105" s="25" t="n"/>
      <c r="E105" s="25" t="n"/>
      <c r="F105" s="25" t="n"/>
      <c r="G105" s="25" t="n"/>
      <c r="H105" s="25" t="n"/>
      <c r="I105" s="25" t="n"/>
      <c r="J105" s="25" t="n"/>
      <c r="K105" s="25" t="n"/>
      <c r="L105" s="25" t="n"/>
      <c r="M105" s="25" t="n"/>
      <c r="N105" s="25" t="n"/>
      <c r="O105" s="25" t="n"/>
      <c r="P105" s="25" t="n"/>
      <c r="Q105" s="25" t="n"/>
      <c r="R105" s="72">
        <f>SUM(R101:R104,Q2:Q100)</f>
        <v/>
      </c>
      <c r="S105" s="25" t="n"/>
    </row>
  </sheetData>
  <autoFilter ref="A1:S105"/>
  <pageMargins left="0.3937007874015748" right="0.3937007874015748" top="0.3937007874015748" bottom="0.3937007874015748" header="0.3149606299212598" footer="0.3149606299212598"/>
  <pageSetup orientation="landscape" paperSize="9" scale="92" fitToHeight="25"/>
</worksheet>
</file>

<file path=xl/worksheets/sheet3.xml><?xml version="1.0" encoding="utf-8"?>
<worksheet xmlns="http://schemas.openxmlformats.org/spreadsheetml/2006/main">
  <sheetPr>
    <outlinePr summaryBelow="1" summaryRight="1"/>
    <pageSetUpPr/>
  </sheetPr>
  <dimension ref="A1:D64"/>
  <sheetViews>
    <sheetView topLeftCell="A31" workbookViewId="0">
      <selection activeCell="C59" sqref="C59"/>
    </sheetView>
  </sheetViews>
  <sheetFormatPr baseColWidth="10" defaultRowHeight="15"/>
  <cols>
    <col width="16.28515625" customWidth="1" min="1" max="1"/>
    <col width="111.5703125" customWidth="1" min="2" max="2"/>
    <col width="14.85546875" customWidth="1" style="73" min="3" max="3"/>
    <col width="39.85546875" customWidth="1" min="4" max="4"/>
    <col width="47.7109375" customWidth="1" min="5" max="5"/>
  </cols>
  <sheetData>
    <row r="1">
      <c r="A1" t="inlineStr">
        <is>
          <t>Cód. org. aplic.</t>
        </is>
      </c>
      <c r="B1" t="inlineStr">
        <is>
          <t>Descripción justificante</t>
        </is>
      </c>
      <c r="C1" s="73" t="inlineStr">
        <is>
          <t>Imp.cob.aplic.</t>
        </is>
      </c>
      <c r="D1" t="inlineStr">
        <is>
          <t>Observaciones</t>
        </is>
      </c>
    </row>
    <row r="2">
      <c r="A2" t="inlineStr">
        <is>
          <t>41.50.6C.00.06</t>
        </is>
      </c>
      <c r="B2" t="inlineStr">
        <is>
          <t>Pago regalías 2022 por transferencia de tecnología   -  Ref. contrato licencia: LUCENTIALAB(EBT)1-15O</t>
        </is>
      </c>
      <c r="C2" s="73" t="n">
        <v>5563.08</v>
      </c>
    </row>
    <row r="3">
      <c r="A3" t="inlineStr">
        <is>
          <t>41.50.6C.00.52</t>
        </is>
      </c>
      <c r="B3" t="inlineStr">
        <is>
          <t>Pago regalías 2022 por transferencia de tecnología   -  Ref. contrato licencia: QUIROBOT(EBT)1-17O  (Regalías 11.540,91 - 2.541,00 Reducción egresados)</t>
        </is>
      </c>
      <c r="C3" s="73" t="n">
        <v>5399.95</v>
      </c>
    </row>
    <row r="4">
      <c r="A4" t="inlineStr">
        <is>
          <t>41.50.6C.01.01</t>
        </is>
      </c>
      <c r="B4" t="inlineStr">
        <is>
          <t>CONVENIO INTELIGENCIA DIGITAL AÑO 2023</t>
        </is>
      </c>
      <c r="C4" s="73" t="n">
        <v>350000</v>
      </c>
    </row>
    <row r="5">
      <c r="A5" t="inlineStr">
        <is>
          <t>41.50.6C.01.01</t>
        </is>
      </c>
      <c r="B5" t="inlineStr">
        <is>
          <t>COBRO PARCIAL DEL CONVENIO UA -DIP ALICANTE (CENID)</t>
        </is>
      </c>
      <c r="C5" s="73" t="n">
        <v>10841.25</v>
      </c>
    </row>
    <row r="6">
      <c r="A6" t="inlineStr">
        <is>
          <t>41.50.6C.01.01</t>
        </is>
      </c>
      <c r="B6" t="inlineStr">
        <is>
          <t>CONVENIO COLABORACIÓN UA DIPUTACIÓN DE ALICANTE PARA "IMPULSAR LOS PROYECTOS DE INNOVACIÓN TECNOLÓGICA Y GENERACIÓN DE CONOCIMIENTO EN EL ÁMBITO DE LA INTELIGENCIA DIGITAL EN LA PROVINCIA DE ALICANTE".</t>
        </is>
      </c>
      <c r="C6" s="73" t="n">
        <v>329625.46</v>
      </c>
    </row>
    <row r="7">
      <c r="A7" t="inlineStr">
        <is>
          <t>41.50.6C.01.01</t>
        </is>
      </c>
      <c r="B7" t="inlineStr">
        <is>
          <t>ANULACIÓN DE DERECHO DEBIDO A DUPLICIDAD POR ERROR YA QUE ESTE INGRESO SE RECONOCIÓ Y APLICÓ EN 2022 (JI:20220000000003112), POR CONSIGUIENTE PROCEDEMOS A SU ANULACIÓN , TANTO DE JI COMO DE DOCUMENTOS CONTABLES (17361 Y 17357).</t>
        </is>
      </c>
      <c r="C7" s="73" t="n">
        <v>-329625.46</v>
      </c>
    </row>
    <row r="8">
      <c r="A8" t="inlineStr">
        <is>
          <t>41.50.6C.01.26</t>
        </is>
      </c>
      <c r="B8" t="inlineStr">
        <is>
          <t>Subcontract D/551/67299685. Final Settlement (MS-2): Upon the DLR's /Agency's acceptance of all deliverable items due under the Subcontract and the Subcontractor's fulfilment of all other contractual obligations</t>
        </is>
      </c>
      <c r="C8" s="73" t="n">
        <v>36960</v>
      </c>
    </row>
    <row r="9">
      <c r="A9" t="inlineStr">
        <is>
          <t>41.50.6C.01.29</t>
        </is>
      </c>
      <c r="B9" t="inlineStr">
        <is>
          <t>FINAL: Upon successful completion of SInCohMap CCN activities and acceptance of all deliverable including contract closure documentation due under the Contract</t>
        </is>
      </c>
      <c r="C9" s="73" t="n">
        <v>11041.8</v>
      </c>
    </row>
    <row r="10">
      <c r="A10" t="inlineStr">
        <is>
          <t>41.50.6C.01.44</t>
        </is>
      </c>
      <c r="B10" t="inlineStr">
        <is>
          <t>"DIGITALIZACIÓN DE SEGUROS Y PROYECTOS ASOCIADOS" (Periodo 1 de noviembre al 31 de diciembre 2022)</t>
        </is>
      </c>
      <c r="C10" s="73" t="n">
        <v>4505.6</v>
      </c>
    </row>
    <row r="11">
      <c r="A11" t="inlineStr">
        <is>
          <t>41.50.6C.01.44</t>
        </is>
      </c>
      <c r="B11" t="inlineStr">
        <is>
          <t xml:space="preserve">Realización del proyecto"DIGITALIZACIÓN DE SEGUROS Y PROYECTOS ASOCIADOS" durante período 1/marzo/2023 a 30/abril/2023. </t>
        </is>
      </c>
      <c r="C11" s="73" t="n">
        <v>6406.4</v>
      </c>
    </row>
    <row r="12">
      <c r="A12" t="inlineStr">
        <is>
          <t>41.50.6C.01.44</t>
        </is>
      </c>
      <c r="B12" t="inlineStr">
        <is>
          <t>Realización del proyecto "DIGITALIZACIÓN DE SEGUROS Y PROYECTOS ASOCIADOS" durante período 1/Enero/2023 a 28/Febrero/2023.</t>
        </is>
      </c>
      <c r="C12" s="73" t="n">
        <v>5667.2</v>
      </c>
    </row>
    <row r="13">
      <c r="A13" t="inlineStr">
        <is>
          <t>41.50.6C.01.46</t>
        </is>
      </c>
      <c r="B13" t="inlineStr">
        <is>
          <t>EVALUACIÓN DEL PROYECTO 934.390 TITULADO "NUEVO SISTEMA DE MONITORIZACIÓIN DE CORROSIÓN DE ALTA PRECISIÓN EN AEROGENERADORES</t>
        </is>
      </c>
      <c r="C13" s="73" t="n">
        <v>70.40000000000001</v>
      </c>
    </row>
    <row r="14">
      <c r="A14" t="inlineStr">
        <is>
          <t>41.50.6C.01.47</t>
        </is>
      </c>
      <c r="B14" t="inlineStr">
        <is>
          <t xml:space="preserve">SGS3-23TPA que corresponde a la referencia 6059537 de la evaluación del proyecto I+D+i OMNITRAFIC (2021) </t>
        </is>
      </c>
      <c r="C14" s="73" t="n">
        <v>176</v>
      </c>
    </row>
    <row r="15">
      <c r="A15" t="inlineStr">
        <is>
          <t>41.50.6C.01.47</t>
        </is>
      </c>
      <c r="B15" t="inlineStr">
        <is>
          <t>Evaluación del proyecto I+D+i PREBRAKE21 (2022). Referencia pedido 6060832</t>
        </is>
      </c>
      <c r="C15" s="73" t="n">
        <v>88</v>
      </c>
    </row>
    <row r="16">
      <c r="A16" t="inlineStr">
        <is>
          <t>41.50.6C.01.47</t>
        </is>
      </c>
      <c r="B16" t="inlineStr">
        <is>
          <t>EVALUACIÓN DEL PROYECTO I+D+I POWERUP022 (2022) . NÚMERO DE PEDIDO : 6062693</t>
        </is>
      </c>
      <c r="C16" s="73" t="n">
        <v>176</v>
      </c>
    </row>
    <row r="17">
      <c r="A17" t="inlineStr">
        <is>
          <t>41.50.6C.01.47</t>
        </is>
      </c>
      <c r="B17" t="inlineStr">
        <is>
          <t>SGS2-23TPA que corresponde a la referencia 6059536 de la evaluación del proyecto I+D+i TRANSBANDE (2021)</t>
        </is>
      </c>
      <c r="C17" s="73" t="n">
        <v>176</v>
      </c>
    </row>
    <row r="18">
      <c r="A18" t="inlineStr">
        <is>
          <t>41.50.6C.01.47</t>
        </is>
      </c>
      <c r="B18" t="inlineStr">
        <is>
          <t>Evaluación del proyecto I+D+i EMDEPDCT22 (2022). Referencia 6061673</t>
        </is>
      </c>
      <c r="C18" s="73" t="n">
        <v>88</v>
      </c>
    </row>
    <row r="19">
      <c r="A19" t="inlineStr">
        <is>
          <t>41.50.6C.01.47</t>
        </is>
      </c>
      <c r="B19" t="inlineStr">
        <is>
          <t>Evaluación del proyecto  I+D+i POWERB2022 (2022). referencia 6061024.</t>
        </is>
      </c>
      <c r="C19" s="73" t="n">
        <v>88</v>
      </c>
    </row>
    <row r="20">
      <c r="A20" t="inlineStr">
        <is>
          <t>41.50.6C.01.55</t>
        </is>
      </c>
      <c r="B20" t="inlineStr">
        <is>
          <t>PROYECTO "GESTIÓN DE LIQUIDEZ SOBRE DINERO TOKENIZADO". Periodo del 15 de noviembre la 15 de diciembre de 2022</t>
        </is>
      </c>
      <c r="C20" s="73" t="n">
        <v>2992</v>
      </c>
    </row>
    <row r="21">
      <c r="A21" t="inlineStr">
        <is>
          <t>41.50.6C.01.55</t>
        </is>
      </c>
      <c r="B21" t="inlineStr">
        <is>
          <t>PROYECTO "GESTIÓN DE LIQUIDEZ SOBRE DINERO TOKENIZADO". Periodo 16 de abril a 15 de mayo de 2023</t>
        </is>
      </c>
      <c r="C21" s="73" t="n">
        <v>3520</v>
      </c>
    </row>
    <row r="22">
      <c r="A22" t="inlineStr">
        <is>
          <t>41.50.6C.01.55</t>
        </is>
      </c>
      <c r="B22" t="inlineStr">
        <is>
          <t>PROYECTO "GESTIÓN DE LIQUIDEZ SOBRE DINERO TOKENIZADO". Periodo del 16 de febrero al 15 de abril de 2023</t>
        </is>
      </c>
      <c r="C22" s="73" t="n">
        <v>7040</v>
      </c>
    </row>
    <row r="23">
      <c r="A23" t="inlineStr">
        <is>
          <t>41.50.6C.01.55</t>
        </is>
      </c>
      <c r="B23" t="inlineStr">
        <is>
          <t>PROYECTO "GESTIÓN DE LIQUIDEZ SOBRE DINERO TOKENIZADO". Periodo del 16 de diciembre de 2022 al 15 de febrero de 2023</t>
        </is>
      </c>
      <c r="C23" s="73" t="n">
        <v>7040</v>
      </c>
    </row>
    <row r="24">
      <c r="A24" t="inlineStr">
        <is>
          <t>41.50.6C.01.56</t>
        </is>
      </c>
      <c r="B24" t="inlineStr">
        <is>
          <t>ASESORÍA CIENTÍFICA SOBRE ONBOARDING DIGITAL, RECONOCIMIENTO DE CARAS, DETECCIÓN DE SPOOFING EN CARAS Y DOCUMENTOS Y TRATAMIENTO DE DOCUMENTOS MEDIANTE VISIÓN POR COMPUTADOR Y REDES NEURONALES</t>
        </is>
      </c>
      <c r="C24" s="73" t="n">
        <v>3141.6</v>
      </c>
    </row>
    <row r="25">
      <c r="A25" t="inlineStr">
        <is>
          <t>41.50.6C.01.56</t>
        </is>
      </c>
      <c r="B25" t="inlineStr">
        <is>
          <t>50 % de la contraprestación tras los tres primeros meses de la colaboración del servicio ASESORÍA CIENTÍFICA SOBRE ONBOARDING DIGITAL, RECONOCIMIENTO DE CARAS, DETECCIÓN DE SPOOFING EN CARAS Y DOCUMENTOS Y TRATAMIENTO DE DOCUMENTOS MEDIANTE VISIÓN POR COMPUTADOR Y REDES NEURONALES</t>
        </is>
      </c>
      <c r="C25" s="73" t="n">
        <v>3141.6</v>
      </c>
    </row>
    <row r="26">
      <c r="A26" t="inlineStr">
        <is>
          <t>41.50.6C.01.57</t>
        </is>
      </c>
      <c r="B26" t="inlineStr">
        <is>
          <t>Honorarios por los trabajos desarrollados en la Actividad 5.1 del proyecto "SMART CONSTRUCTION MANAGER - NUEVO SISTEMA "INTELIGENTE Y AUTÓNOMO PARA EL CONTROL Y GESTIÓN DE OBRA" Financiado a través del Programa Estratégico de Consorcios de Investigación Empresarial Nacional (CIEN), de CDTI, con número de expediente IDI-20230441</t>
        </is>
      </c>
      <c r="C26" s="73" t="n">
        <v>22000</v>
      </c>
    </row>
    <row r="27">
      <c r="A27" t="inlineStr">
        <is>
          <t>41.50.6C.01.58</t>
        </is>
      </c>
      <c r="B27" t="inlineStr">
        <is>
          <t>937.576 - DISEÑO Y DESARROLLO DE UN NUEVO SISTEMA OPERATIVO UNICO PARA PRODUCTOS TCD</t>
        </is>
      </c>
      <c r="C27" s="73" t="n">
        <v>378.4</v>
      </c>
    </row>
    <row r="28">
      <c r="A28" t="inlineStr">
        <is>
          <t>41.50.6C.01.59</t>
        </is>
      </c>
      <c r="B28" t="inlineStr">
        <is>
          <t>AENOR1-23TPA que corresponde a la referencia 2012/0753/PIDI/12 PALHUM2021</t>
        </is>
      </c>
      <c r="C28" s="73" t="n">
        <v>132</v>
      </c>
    </row>
    <row r="29">
      <c r="A29" t="inlineStr">
        <is>
          <t>41.50.6C.01.60</t>
        </is>
      </c>
      <c r="B29" t="inlineStr">
        <is>
          <t>EVALUACIÓN Y SUPERVISIÓN DEL PROYECTO 2012/0753/PIDI/13 PALMOB2021 PERTENECIENTE A LA EMPRESA PAL ROBOTICS SL</t>
        </is>
      </c>
      <c r="C29" s="73" t="n">
        <v>132</v>
      </c>
    </row>
    <row r="30">
      <c r="A30" t="inlineStr">
        <is>
          <t>41.50.6C.01.61</t>
        </is>
      </c>
      <c r="B30" t="inlineStr">
        <is>
          <t>Finalización de la prestación de servicios y recepción del informe de resultados</t>
        </is>
      </c>
      <c r="C30" s="73" t="n">
        <v>5280</v>
      </c>
    </row>
    <row r="31">
      <c r="A31" t="inlineStr">
        <is>
          <t>41.50.6C.01.61</t>
        </is>
      </c>
      <c r="B31" t="inlineStr">
        <is>
          <t>Firma del contrato de informe, consultoría y soporte de desarrollo para estimaciones de variación de humedad del suelo con satélites de radar de apertura sintética.</t>
        </is>
      </c>
      <c r="C31" s="73" t="n">
        <v>4400</v>
      </c>
    </row>
    <row r="32">
      <c r="A32" t="inlineStr">
        <is>
          <t>41.50.6C.01.62</t>
        </is>
      </c>
      <c r="B32" t="inlineStr">
        <is>
          <t>(INESCOP1-23TPA)PATROCINIO ASOCIADO AL EVENTO "FIRST LEGO LEAGUE ALICANTE", COMPETICIÓN ROBÓTICA PARA ESTUDIANTES NO UNIVERSITARIOS  - NP061055</t>
        </is>
      </c>
      <c r="C32" s="73" t="n">
        <v>660</v>
      </c>
    </row>
    <row r="33">
      <c r="A33" t="inlineStr">
        <is>
          <t>41.50.6C.01.63</t>
        </is>
      </c>
      <c r="B33" t="inlineStr">
        <is>
          <t>Realización de la evaluación del proyecto 2022/2751/PIDI/01 - AUTOMATIZACION INTEGRAL DE LA INTRALOGÍSTICA, perteneciente a la empresa ARNOIA DISTRIBUCION DE LIBROS, S.A.</t>
        </is>
      </c>
      <c r="C33" s="73" t="n">
        <v>528</v>
      </c>
    </row>
    <row r="34">
      <c r="A34" t="inlineStr">
        <is>
          <t>41.50.6C.01.64</t>
        </is>
      </c>
      <c r="B34" t="inlineStr">
        <is>
          <t>REALIZACIÓN DE CONSULTORIA CIENTÍFICO-TÉCNICA SOBRE TÉCNICAS DE APRENDIZAJE PROFUNDO (DEEP LEARNING) APLICADAS A LAS TAREAS DE VERIFICACIÓN DE LIVENESS PASIVO, ATAQUES DE PRESENTACIÓN Y PROCESAMIENTO AUTOMÁTICO DE DOCUMENTOS. Finalización proyecto.</t>
        </is>
      </c>
      <c r="C34" s="73" t="n">
        <v>3141.6</v>
      </c>
    </row>
    <row r="35">
      <c r="A35" t="inlineStr">
        <is>
          <t>41.50.6C.01.64</t>
        </is>
      </c>
      <c r="B35" t="inlineStr">
        <is>
          <t>CONSULTORÍA CIENTÍFICO-TÉCNICA SOBRE TÉCNICAS DE APRENDIZAJE PROFUNDO (DEEP LEARNING) APLICADAS A LAS TAREAS DE VERIFICACIÓN DE LIVENESS PASIVO, ATAQUES DE PRESENTACIÓN Y PROCESAMIENTO AUTOMÁTICO DE DOCUMENTOS  (50% tres primeros meses)</t>
        </is>
      </c>
      <c r="C35" s="73" t="n">
        <v>3141.6</v>
      </c>
    </row>
    <row r="36">
      <c r="A36" t="inlineStr">
        <is>
          <t>41.50.6C.01.66</t>
        </is>
      </c>
      <c r="B36" t="inlineStr">
        <is>
          <t>SUPERVISIÓN DEL PROYECTO 2012/0753/PIDI/14 PERTE AGRO ROSALYA ROBOTS AUTÓNOMOS EN LOGÍSTICA Y ALIMENTACIÓN PERTENECIENTE A LA EMPRESA PAL ROBOTICS SL</t>
        </is>
      </c>
      <c r="C36" s="73" t="n">
        <v>132</v>
      </c>
    </row>
    <row r="37">
      <c r="A37" t="inlineStr">
        <is>
          <t>41.50.6C.01.68</t>
        </is>
      </c>
      <c r="B37" t="inlineStr">
        <is>
          <t>INVOICE FOR OPTICAL MUSIC RECOGNITION FOR LATE MEDIEVAL MANUSCRIPTS AND EARLY PRINTS</t>
        </is>
      </c>
      <c r="C37" s="73" t="n">
        <v>26400</v>
      </c>
    </row>
    <row r="38">
      <c r="A38" t="inlineStr">
        <is>
          <t>41.50.6C.01.72</t>
        </is>
      </c>
      <c r="B38" t="inlineStr">
        <is>
          <t>REALIZACIÓN POR PARTE DEL EXPERTO TÉCNICO DE LA EVALUACIÓN DEL PROYECTO 945.100</t>
        </is>
      </c>
      <c r="C38" s="73" t="n">
        <v>378.4</v>
      </c>
    </row>
    <row r="39">
      <c r="A39" t="inlineStr">
        <is>
          <t>41.50.6H.00.05</t>
        </is>
      </c>
      <c r="B39" t="inlineStr">
        <is>
          <t>MINORACION CIAPOT/2022/13 ANUALIDAD 2023</t>
        </is>
      </c>
      <c r="C39" s="73" t="n">
        <v>-450</v>
      </c>
    </row>
    <row r="40">
      <c r="A40" t="inlineStr">
        <is>
          <t>41.50.6H.00.05</t>
        </is>
      </c>
      <c r="B40" t="inlineStr">
        <is>
          <t>Resolución de la dirección general de Ciencia e Investigación por la que se conceden subvenciones para la contratación de personal de apoyo vinculado a un proyecto de transferencia tecnológica(APOTI/2023). CIAPOT/2022/11/13. ANUALIDAD 2023</t>
        </is>
      </c>
      <c r="C40" s="73" t="n">
        <v>9000</v>
      </c>
    </row>
    <row r="41">
      <c r="A41" t="inlineStr">
        <is>
          <t>41.50.6P.00.44</t>
        </is>
      </c>
      <c r="B41" t="inlineStr">
        <is>
          <t>INGRESO PERCIBIDO REFERENTE A 10 BECAS LEONARDO 2021.</t>
        </is>
      </c>
      <c r="C41" s="73" t="n">
        <v>3948</v>
      </c>
    </row>
    <row r="42">
      <c r="A42" t="inlineStr">
        <is>
          <t>41.50.6P.00.45</t>
        </is>
      </c>
      <c r="B42" t="inlineStr">
        <is>
          <t>PID2020-115956GB-I00/116185GB-I00/116496RB-C21/116514GB-I00/116998RB-I00/117303GBC22/118006RB-I00/118322RB-I00/118447RA-I00/118476RR-C22</t>
        </is>
      </c>
      <c r="C42" s="73" t="n">
        <v>32805.21</v>
      </c>
    </row>
    <row r="43">
      <c r="A43" t="inlineStr">
        <is>
          <t>41.50.6P.00.46</t>
        </is>
      </c>
      <c r="B43" t="inlineStr">
        <is>
          <t>PID2020-115956GB-I00/116185GB-I00/116496RB-C21/116514GB-I00/116998RB-I00/117303GBC22/118006RB-I00/118322RB-I00/118447RA-I00/118476RR-C22</t>
        </is>
      </c>
      <c r="C43" s="73" t="n">
        <v>78545.62</v>
      </c>
    </row>
    <row r="44" ht="60" customHeight="1">
      <c r="A44" s="29" t="inlineStr">
        <is>
          <t>41.50.6P.00.47</t>
        </is>
      </c>
      <c r="B44" s="29" t="inlineStr">
        <is>
          <t xml:space="preserve">PROMETEO/2020/093/006/017/024/030/055/057/073/079/088 </t>
        </is>
      </c>
      <c r="C44" s="74">
        <f>142494.49/2-0.01</f>
        <v/>
      </c>
      <c r="D44" s="19" t="inlineStr">
        <is>
          <t>50 % de los 142.494,49 € al Instituto de Investigación en Ingeniería Informática y 50 % Psicología de la salud. Según email del Dpto de Psicología de la Salud 17/10/2024</t>
        </is>
      </c>
    </row>
    <row r="45">
      <c r="A45" t="inlineStr">
        <is>
          <t>41.50.6P.00.52</t>
        </is>
      </c>
      <c r="B45" t="inlineStr">
        <is>
          <t>CIPROM/2021/001/006/017/021/022/027/057/060/062/068/070/074</t>
        </is>
      </c>
      <c r="C45" s="73" t="n">
        <v>133720.46</v>
      </c>
    </row>
    <row r="46">
      <c r="A46" t="inlineStr">
        <is>
          <t>41.50.6P.00.53</t>
        </is>
      </c>
      <c r="B46" t="inlineStr">
        <is>
          <t>CIPROM/2021/001/006/017/021/022/027/057/060/062/068/070/074</t>
        </is>
      </c>
      <c r="C46" s="73" t="n">
        <v>141364.2</v>
      </c>
      <c r="D46" s="75" t="n"/>
    </row>
    <row r="47">
      <c r="A47" t="inlineStr">
        <is>
          <t>41.50.6P.00.55</t>
        </is>
      </c>
      <c r="B47" t="inlineStr">
        <is>
          <t xml:space="preserve">TED2021-131324B-C22, TED2021-131641B-C43, TED2021-130040B-C21, TED2021-129272B-C22, TED2021-130908B-C44, TED2021-130890B-C21 </t>
        </is>
      </c>
      <c r="C47" s="73" t="n">
        <v>150185</v>
      </c>
    </row>
    <row r="48">
      <c r="A48" t="inlineStr">
        <is>
          <t>41.50.6P.00.56</t>
        </is>
      </c>
      <c r="B48" t="inlineStr">
        <is>
          <t xml:space="preserve">TED2021-130707B-I00, TED2021-129617B-I00, TED2021-129894B-I00, TED2021-129216B-I00, TED2021-130070B-I00, TED2021-130080B-I00, TED2021-130776A-I00, TED2021-132697B-I00, TED2021-131028B-I00, TED2021-132103A-I00, TED2021-130304B-I00 </t>
        </is>
      </c>
      <c r="C48" s="73" t="n">
        <v>30429</v>
      </c>
    </row>
    <row r="49">
      <c r="A49" t="inlineStr">
        <is>
          <t>41.50.6P.00.59</t>
        </is>
      </c>
      <c r="B49" t="inlineStr">
        <is>
          <t xml:space="preserve">AYUDAS CIAORG/2022/45, CIAORG/2022/15, CIAORG/2022/44, CIAORG/2022/140, CIAORG/2022/89, CIAORG/2022/10, CIAORG/2022/115, CIAORG/2022/27, CIAORG/2022/117, CIAORG/2022/128, CIAORG/2022/83, CIAORG/2022/74, CIAORG/2022/125 </t>
        </is>
      </c>
      <c r="C49" s="73" t="n">
        <v>9000</v>
      </c>
    </row>
    <row r="50">
      <c r="A50" t="inlineStr">
        <is>
          <t>41.50.6P.00.60</t>
        </is>
      </c>
      <c r="B50" t="inlineStr">
        <is>
          <t>ayudas CIGE/2022/4-6-8-10-15-16-21-30-36-45-46-51-52- 54-55-105-170-179</t>
        </is>
      </c>
      <c r="C50" s="73" t="n">
        <v>9750</v>
      </c>
    </row>
    <row r="51">
      <c r="A51" t="inlineStr">
        <is>
          <t>41.50.6P.00.61</t>
        </is>
      </c>
      <c r="B51" t="inlineStr">
        <is>
          <t xml:space="preserve">AYUDAS CIAEST/2022/2, CIAEST/2022/25, CIAEST/2022/49, CIAEST/2022/78 </t>
        </is>
      </c>
      <c r="C51" s="73" t="n">
        <v>18000</v>
      </c>
    </row>
    <row r="52">
      <c r="A52" t="inlineStr">
        <is>
          <t>41.50.6P.00.62</t>
        </is>
      </c>
      <c r="B52" t="inlineStr">
        <is>
          <t>ayudas CIAICO/2022/017, CIAICO/2022/019, CIAICO/2022/038, CIAICO/2022/046, CIAICO/2022/047, CIAICO/2022/049, CIAICO/2022/077, CIAICO/2022/078, CIAICO/2022/079, CIAICO/2022/112, CIAICO/2022/132 , CIAICO/2022/167, CIAICO/2022/177</t>
        </is>
      </c>
      <c r="C52" s="73" t="n">
        <v>27800</v>
      </c>
    </row>
    <row r="53">
      <c r="A53" t="inlineStr">
        <is>
          <t>41.50.6P.00.63</t>
        </is>
      </c>
      <c r="B53" t="inlineStr">
        <is>
          <t xml:space="preserve">AYUDAS CISEJI/2023/9 </t>
        </is>
      </c>
      <c r="C53" s="73" t="n">
        <v>60257.72</v>
      </c>
    </row>
    <row r="54">
      <c r="A54" t="inlineStr">
        <is>
          <t>41.50.6P.00.64</t>
        </is>
      </c>
      <c r="B54" t="inlineStr">
        <is>
          <t xml:space="preserve">ayudas PID2022 142159OB--137566OB-I00--139552OB-C22--142960OB-C21--137302NB-C33--139820NB-I00--138111NB-I00--141543OB-I00--138491OB-C32--137364OB-I00--138329NB-I00--142830NB-I00--138453OB-I00 PID2022-138696OB-C22 PID2022-138853NB-I00 PID2022-142712NB-I00 </t>
        </is>
      </c>
      <c r="C54" s="73" t="n">
        <v>137764</v>
      </c>
    </row>
    <row r="55">
      <c r="A55" t="inlineStr">
        <is>
          <t>41.50.6P.00.65</t>
        </is>
      </c>
      <c r="B55" t="inlineStr">
        <is>
          <t xml:space="preserve">ayudas PID2022 142159OB--137566OB-I00--139552OB-C22--142960OB-C21--137302NB-C33--139820NB-I00--138111NB-I00--141543OB-I00--138491OB-C32--137364OB-I00--138329NB-I00--142830NB-I00--138453OB-I00 PID2022-138696OB-C22 PID2022-138853NB-I00 PID2022-142712NB-I00 </t>
        </is>
      </c>
      <c r="C55" s="73" t="n">
        <v>72922</v>
      </c>
    </row>
    <row r="56">
      <c r="A56" t="inlineStr">
        <is>
          <t>41.50.6X.00.01</t>
        </is>
      </c>
      <c r="B56" t="inlineStr">
        <is>
          <t>primer ingreso del proyecto CoMManDia (el día 18/12/2018 se puso en CNP 320016 ji-2018-6654 Fondos Feder SUDOE)</t>
        </is>
      </c>
      <c r="C56" s="73" t="n">
        <v>7875.98</v>
      </c>
    </row>
    <row r="57">
      <c r="A57" t="inlineStr">
        <is>
          <t>41.50.6X.00.01</t>
        </is>
      </c>
      <c r="B57" t="inlineStr">
        <is>
          <t>ÚLTIMO COBRO DEL PROYECTO COMMANDIA (RET 7%) SEGÚN SERVICIO PROY INTERNACIONALES</t>
        </is>
      </c>
      <c r="C57" s="73" t="n">
        <v>12695.46</v>
      </c>
    </row>
    <row r="58">
      <c r="A58" t="inlineStr">
        <is>
          <t>41.50.6X.00.02</t>
        </is>
      </c>
      <c r="B58" t="inlineStr">
        <is>
          <t xml:space="preserve">PRIMER INGRESO DEL PROYECTO REPERTORIUM </t>
        </is>
      </c>
      <c r="C58" s="73" t="n">
        <v>133237.5</v>
      </c>
    </row>
    <row r="59">
      <c r="A59" t="inlineStr">
        <is>
          <t>Total</t>
        </is>
      </c>
      <c r="C59" s="75">
        <f>SUBTOTAL(109,Tabla2[Imp.cob.aplic.])</f>
        <v/>
      </c>
    </row>
    <row r="64"/>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8"/>
  <sheetViews>
    <sheetView topLeftCell="A28" workbookViewId="0">
      <selection activeCell="B68" sqref="B68:C68"/>
    </sheetView>
  </sheetViews>
  <sheetFormatPr baseColWidth="10" defaultRowHeight="15"/>
  <cols>
    <col width="13.85546875" bestFit="1" customWidth="1" min="1" max="1"/>
    <col width="79.42578125" customWidth="1" min="2" max="2"/>
    <col width="14.28515625" bestFit="1" customWidth="1" style="73" min="3" max="3"/>
    <col width="62.42578125" customWidth="1" min="5" max="5"/>
    <col width="14.28515625" bestFit="1" customWidth="1" min="6" max="6"/>
  </cols>
  <sheetData>
    <row r="1">
      <c r="A1" t="inlineStr">
        <is>
          <t>Org. aplic.</t>
        </is>
      </c>
      <c r="B1" t="inlineStr">
        <is>
          <t>Descripción justificante</t>
        </is>
      </c>
      <c r="C1" s="73" t="inlineStr">
        <is>
          <t>Imp. aplic.</t>
        </is>
      </c>
    </row>
    <row r="2" ht="45" customHeight="1">
      <c r="A2" t="inlineStr">
        <is>
          <t>41.50.6C.01.01</t>
        </is>
      </c>
      <c r="B2" s="32" t="inlineStr">
        <is>
          <t xml:space="preserve">ANULACIÓN DE 20.374,54 EUROS DEBIDO A QUE LA DIPUTACIÓN PAGA FINALMENTE EL 27/01/2023 329.625,46 EUROS, CON LO CUAL HAY QUE ANULAR EL RESTANTE ANTICIPADO. </t>
        </is>
      </c>
      <c r="C2" s="73" t="n">
        <v>-20374.54</v>
      </c>
    </row>
    <row r="3">
      <c r="A3" t="inlineStr">
        <is>
          <t>41.50.6C.01.01</t>
        </is>
      </c>
      <c r="B3" s="32" t="inlineStr">
        <is>
          <t>ayudas CONVENIO INTELIGENCIA DIGITAL - 2024</t>
        </is>
      </c>
      <c r="C3" s="73" t="n">
        <v>350000</v>
      </c>
    </row>
    <row r="4" ht="30" customHeight="1">
      <c r="A4" t="inlineStr">
        <is>
          <t>41.50.6C.01.46</t>
        </is>
      </c>
      <c r="B4" s="32" t="inlineStr">
        <is>
          <t>REALIZACIÓN POR PARTE DEL EXPERTO TÉCNICO DE LA EVALUACIÓN DE CONTENIDO Y EJECUCIÓN DEL PROYECTO 943.568</t>
        </is>
      </c>
      <c r="C4" s="73" t="n">
        <v>660</v>
      </c>
    </row>
    <row r="5" ht="75" customHeight="1">
      <c r="A5" t="inlineStr">
        <is>
          <t>41.50.6C.01.46</t>
        </is>
      </c>
      <c r="B5" s="32" t="inlineStr">
        <is>
          <t>Evaluación de Contenido y Ejecución con exante previo del ejercicio 2023 del proyecto 949.424 - de la empresa NUEVAS TÉCNICAS DE AUTOMATIZACIÓN INDUSTRIAL, SL, titulado "Diseño de sistema industrial robotizado de control de calidad mediante técnicas de visión artificial", actuando como Experto Técnico. Ref. proyecto: EQA31-24TPA</t>
        </is>
      </c>
      <c r="C5" s="73" t="n">
        <v>440</v>
      </c>
    </row>
    <row r="6">
      <c r="A6" t="inlineStr">
        <is>
          <t>41.50.6C.01.47</t>
        </is>
      </c>
      <c r="B6" s="32" t="inlineStr">
        <is>
          <t>EVALUACIÓN DEL PROYECTO DE I+D+I SAFENLOCK2 (2022 )- pedido 6066056</t>
        </is>
      </c>
      <c r="C6" s="73" t="n">
        <v>88</v>
      </c>
    </row>
    <row r="7">
      <c r="A7" t="inlineStr">
        <is>
          <t>41.50.6C.01.47</t>
        </is>
      </c>
      <c r="B7" s="32" t="inlineStr">
        <is>
          <t>EVALUACIÓN DEL PROYECTO DE I+D+I SIDERURGI1 (2022) - Pedido 6066977</t>
        </is>
      </c>
      <c r="C7" s="73" t="n">
        <v>176</v>
      </c>
    </row>
    <row r="8">
      <c r="A8" t="inlineStr">
        <is>
          <t>41.50.6C.01.47</t>
        </is>
      </c>
      <c r="B8" s="32" t="inlineStr">
        <is>
          <t>EVALUACIÓN DEL PROYECTO DE I+D+I BREADINSPT (2022) - Pedido 6066975</t>
        </is>
      </c>
      <c r="C8" s="73" t="n">
        <v>176</v>
      </c>
    </row>
    <row r="9">
      <c r="A9" t="inlineStr">
        <is>
          <t>41.50.6C.01.47</t>
        </is>
      </c>
      <c r="B9" s="32" t="inlineStr">
        <is>
          <t>EVALUACIÓN DEL PROYECTO DE I+D+I GESTELCARG (2022) - Pedido 6066971</t>
        </is>
      </c>
      <c r="C9" s="73" t="n">
        <v>176</v>
      </c>
    </row>
    <row r="10" ht="75" customHeight="1">
      <c r="A10" t="inlineStr">
        <is>
          <t>41.50.6C.01.57</t>
        </is>
      </c>
      <c r="B10" s="32" t="inlineStr">
        <is>
          <t>Honorarios por los trabajos desarrollados en el proyecto "SMART CONSTRUCTION MANAGER-NUEVO SISTEMA INTELIGENTE Y AUTÓNOMO PARA EL CONTROL Y GESTIÓN DE OBRA". Financiado a través del Programa Estratégico de Consorcios de Investigación Empresarial Nacional (CIEN), de CDTI, con nº de expediente IDI-20230441. Ref. proyecto UA: CYPE1-22Y</t>
        </is>
      </c>
      <c r="C10" s="73" t="n">
        <v>22000</v>
      </c>
    </row>
    <row r="11" ht="60" customHeight="1">
      <c r="A11" t="inlineStr">
        <is>
          <t>41.50.6C.01.67</t>
        </is>
      </c>
      <c r="B11" s="32" t="inlineStr">
        <is>
          <t>Proyecto: ASESORAMIENTO CIENTÍFICO-TÉCNICO EN EL USO DE TÉCNICAS DE APRENDIZAJE PROFUNDO (DEEP LEARNING) PARA APLICACIONES EN BIOMETRÍA Y EMISIÓN DE INFORME RECOGIENDO LOS RESULTADOS Y PRINCIPALES CONCLUSIONES OBTENIDAS DURANTE EL PERIODO DE LA PRESTACIÓN</t>
        </is>
      </c>
      <c r="C11" s="73" t="n">
        <v>3141.6</v>
      </c>
    </row>
    <row r="12" ht="45" customHeight="1">
      <c r="A12" t="inlineStr">
        <is>
          <t>41.50.6C.01.67</t>
        </is>
      </c>
      <c r="B12" s="32" t="inlineStr">
        <is>
          <t>50 % de la contraprestación tras finalizar la colaboración del servicio "Asesoramiento científico-técnico en el uso de técnicas de aprendizaje profundo (deep learning) para aplicaciones en biometría."</t>
        </is>
      </c>
      <c r="C12" s="73" t="n">
        <v>3141.6</v>
      </c>
    </row>
    <row r="13" ht="60" customHeight="1">
      <c r="A13" t="inlineStr">
        <is>
          <t>41.50.6C.01.69</t>
        </is>
      </c>
      <c r="B13" s="32" t="inlineStr">
        <is>
          <t>Proyecto: VALIDACIÓN DE TÉCNICAS DE INTELIGENCIA ARTIFICIAL SOBRE IMÁGENES SAR DE ALTA RESOLUCIÓN DEL SATÉLITE PAZ PARA LA DETECCIÓN Y CLASIFICACIÓN DE ZONAS DE INTERÉS DENTRO DEL PROYECTO INCUBED ATR4PAZ. Primer pago al inicio del proyecto (30%)</t>
        </is>
      </c>
      <c r="C13" s="73" t="n">
        <v>3622.45</v>
      </c>
    </row>
    <row r="14" ht="45" customHeight="1">
      <c r="A14" t="inlineStr">
        <is>
          <t>41.50.6C.01.69</t>
        </is>
      </c>
      <c r="B14" s="32" t="inlineStr">
        <is>
          <t>Proyecto: VALIDACIÓN DE TÉCNICAS DE INTELIGENCIA ARTIFICIAL SOBRE IMÁGENES SAR DE ALTA  RESOLUCIÓN DEL SATÉLITE PAZ PARA LA DETECCIÓN Y CLASIFICACIÓN DE ZONAS DE INTERÉS DENTRO DEL  PROYECTO INCUBED ATR4PAZ</t>
        </is>
      </c>
      <c r="C14" s="73" t="n">
        <v>6037.42</v>
      </c>
    </row>
    <row r="15" ht="30" customHeight="1">
      <c r="A15" t="inlineStr">
        <is>
          <t>41.50.6C.01.70</t>
        </is>
      </c>
      <c r="B15" s="32" t="inlineStr">
        <is>
          <t>SUPERVISION DEL PROYECTO 2012/0753/PIDI/16 PALHUM2022 - INVESTIGACION DE PLATAFORMAS HUMANOIDES-PAL ROBOTICS S.L.</t>
        </is>
      </c>
      <c r="C15" s="73" t="n">
        <v>132</v>
      </c>
    </row>
    <row r="16" ht="30" customHeight="1">
      <c r="A16" t="inlineStr">
        <is>
          <t>41.50.6C.01.71</t>
        </is>
      </c>
      <c r="B16" s="32" t="inlineStr">
        <is>
          <t>SUPERVISION DEL PROYECTO 2012/0753/PIDI/15 PALMOB2022 - INVESTIGACION DEPLATAFORMAS ROBOTICAS INTERACTIVAS - PAL ROBOTICS S.L.</t>
        </is>
      </c>
      <c r="C16" s="73" t="n">
        <v>132</v>
      </c>
    </row>
    <row r="17" ht="30" customHeight="1">
      <c r="A17" t="inlineStr">
        <is>
          <t>41.50.6C.01.73</t>
        </is>
      </c>
      <c r="B17" s="32" t="inlineStr">
        <is>
          <t xml:space="preserve">TECNOLOGÍA INTELIGENTE LLM PARA MODELAR, EVALUAR Y ASISTIR DURANTE EL DISEÑO DE UN PROYECTO DE CONSTRUCCIÓN </t>
        </is>
      </c>
      <c r="C17" s="73" t="n">
        <v>7920</v>
      </c>
    </row>
    <row r="18" ht="30" customHeight="1">
      <c r="A18" t="inlineStr">
        <is>
          <t>41.50.6C.01.73</t>
        </is>
      </c>
      <c r="B18" s="32" t="inlineStr">
        <is>
          <t>TECNOLOGÍA INTELIGENTE LLM PARA MODELAR, EVALUAR Y ASISTIR DURANTE EL DISEÑO DE UN PROYECTO DE CONSTRUCCIÓN</t>
        </is>
      </c>
      <c r="C18" s="73" t="n">
        <v>7920</v>
      </c>
    </row>
    <row r="19" ht="30" customHeight="1">
      <c r="A19" t="inlineStr">
        <is>
          <t>41.50.6C.01.73</t>
        </is>
      </c>
      <c r="B19" s="32" t="inlineStr">
        <is>
          <t>TECNOLOGÍA INTELIGENTE LLM PARA MODELAR, EVALUAR Y ASISTIR MEDIANTE EL DISEÑO DE UN PROYECTO DE CONSTRUCCIÓN. Tercer pago.</t>
        </is>
      </c>
      <c r="C19" s="73" t="n">
        <v>10560</v>
      </c>
    </row>
    <row r="20" ht="30" customHeight="1">
      <c r="A20" t="inlineStr">
        <is>
          <t>41.50.6C.01.74</t>
        </is>
      </c>
      <c r="B20" s="32" t="inlineStr">
        <is>
          <t xml:space="preserve">ASESORAMIENTO CIENTÍFICO-TÉCNICO SOBRE DEEP LEARNING APLICADO A LAS TAREAS DE RECONOCIMIENTO FACIAL </t>
        </is>
      </c>
      <c r="C20" s="73" t="n">
        <v>3141.6</v>
      </c>
    </row>
    <row r="21" ht="90" customHeight="1">
      <c r="A21" t="inlineStr">
        <is>
          <t>41.50.6C.01.74</t>
        </is>
      </c>
      <c r="B21" s="32" t="inlineStr">
        <is>
          <t>ASESORAMIENTO CIENTÍFICO-TÉCNICO SOBRE DEEP LEARNING APLICADO A LAS TAREAS DE RECONOCIMIENTO FACIAL, ATAQUES DE PRESENTACIÓN Y PROCESAMIENTO DE DOCUMENTOS E INFORME FINAL RECOGIENDO LOS RESULTADOS Y PRINCIPALES CONCLUSIONES OBTENIDAS DURANTE EL PERIODO DE LA PRESTACIÓN. (50 % de la contraprestación tras finalizar la colaboración del servicio) Ref. proyecto: FACEPHI1-24TPA</t>
        </is>
      </c>
      <c r="C21" s="73" t="n">
        <v>3141.6</v>
      </c>
    </row>
    <row r="22" ht="45" customHeight="1">
      <c r="A22" t="inlineStr">
        <is>
          <t>41.50.6C.01.75</t>
        </is>
      </c>
      <c r="B22" s="32" t="inlineStr">
        <is>
          <t xml:space="preserve">PAGO INICIAL DEL PROYECTO "IDENTIFICACIÓN DE MODELOS DE CALZADO EN IMÁGENES DE RX Y RECONOCIMIENTO DE MODELO Y TALLA A PARTIR DE ETIQUETA DE CAJA DE ZAPATOS". REFERENCIA DE LA EMPRESA NP064100 </t>
        </is>
      </c>
      <c r="C22" s="73" t="n">
        <v>5280</v>
      </c>
    </row>
    <row r="23" ht="45" customHeight="1">
      <c r="A23" t="inlineStr">
        <is>
          <t>41.50.6C.01.75</t>
        </is>
      </c>
      <c r="B23" s="32" t="inlineStr">
        <is>
          <t xml:space="preserve">SEGUNDO PAGO DEL PROYECTO "IDENTIFICACIÓN DE MODELOS DE CALZADO EN IMÁGENES DE RX Y RECONOCIMIENTO DE MODELO Y TALLA A PARTIR DE ETIQUETA DE CAJA DE ZAPATOS". REFERENCIA DE LA EMPRESA NP064100. </t>
        </is>
      </c>
      <c r="C23" s="73" t="n">
        <v>5280</v>
      </c>
    </row>
    <row r="24">
      <c r="A24" t="inlineStr">
        <is>
          <t>41.50.6C.01.77</t>
        </is>
      </c>
      <c r="B24" s="32" t="inlineStr">
        <is>
          <t>CONFIGURACIÓN DE INSTANCIA DE LA WEBAPP DE CADEL</t>
        </is>
      </c>
      <c r="C24" s="73" t="n">
        <v>704</v>
      </c>
    </row>
    <row r="25" ht="30" customHeight="1">
      <c r="A25" t="inlineStr">
        <is>
          <t>41.50.6C.01.78</t>
        </is>
      </c>
      <c r="B25" s="32" t="inlineStr">
        <is>
          <t>INTEGRACIÓN DE IA EN LA PLATAFORMA EGAMBPM DE PROCESOS DE GESTIÓN Y DATOS DE LA EMPRESA. Primera anualidad</t>
        </is>
      </c>
      <c r="C25" s="73" t="n">
        <v>13000</v>
      </c>
    </row>
    <row r="26" ht="30" customHeight="1">
      <c r="A26" t="inlineStr">
        <is>
          <t>41.50.6C.01.79</t>
        </is>
      </c>
      <c r="B26" s="32" t="inlineStr">
        <is>
          <t>EVALUACIÓN DEL PROYECTO "DETECCIÓN EN TIEMPO REAL DE MICROORGANISMOS PATÓGENOS Y COES EN AGUAS DEPURADAS-PRJN-748525"</t>
        </is>
      </c>
      <c r="C26" s="73" t="n">
        <v>140.8</v>
      </c>
    </row>
    <row r="27" ht="30" customHeight="1">
      <c r="A27" t="inlineStr">
        <is>
          <t>41.50.6C.01.80</t>
        </is>
      </c>
      <c r="B27" s="32" t="inlineStr">
        <is>
          <t>EVALUACIÓN DEL PROYECTO "DESARROLLO DE NUEVOS SISTEMAS PARA TRATAMIENTOS DE REMODELACION CORPORAL PRJN-769719"</t>
        </is>
      </c>
      <c r="C27" s="73" t="n">
        <v>140.8</v>
      </c>
    </row>
    <row r="28" ht="30" customHeight="1">
      <c r="A28" t="inlineStr">
        <is>
          <t>41.50.6C.01.81</t>
        </is>
      </c>
      <c r="B28" s="32" t="inlineStr">
        <is>
          <t>EVALUACIÓN DEL PROYECTO "SOLUCIONES MEDIANTE DIODO LÁSER DE ALTA POTENCIA A TRATAMIENTOS MÉDICOS Y ESTÉTICOS PRJN-769708"</t>
        </is>
      </c>
      <c r="C28" s="73" t="n">
        <v>140.8</v>
      </c>
    </row>
    <row r="29" ht="30" customHeight="1">
      <c r="A29" t="inlineStr">
        <is>
          <t>41.50.6H.00.04</t>
        </is>
      </c>
      <c r="B29" s="32" t="inlineStr">
        <is>
          <t>INVEST/2022/419/431/450 (2º PAGO A UA PROGRAMA INVESTIGO 2022 DESPLAZAMIENT)</t>
        </is>
      </c>
      <c r="C29" s="73" t="n">
        <v>1000</v>
      </c>
    </row>
    <row r="30">
      <c r="A30" t="inlineStr">
        <is>
          <t>41.50.6H.00.05</t>
        </is>
      </c>
      <c r="B30" s="32" t="inlineStr">
        <is>
          <t xml:space="preserve">AYUDAS CIAPOT/2022/11, CIAPOT/2022/13  </t>
        </is>
      </c>
      <c r="C30" s="73" t="n">
        <v>18000</v>
      </c>
    </row>
    <row r="31">
      <c r="A31" t="inlineStr">
        <is>
          <t>41.50.6M.00.06</t>
        </is>
      </c>
      <c r="B31" s="32" t="inlineStr">
        <is>
          <t>PADCHEST GROUNDED RADIOLOGY REPORT DATA PROJECT Purchase order 100872353</t>
        </is>
      </c>
      <c r="C31" s="73" t="n">
        <v>28740.27</v>
      </c>
    </row>
    <row r="32" ht="30" customHeight="1">
      <c r="A32" t="inlineStr">
        <is>
          <t>41.50.6P.00.38</t>
        </is>
      </c>
      <c r="B32" s="32" t="inlineStr">
        <is>
          <t>DEVOLUCIÓN DE INGRESOS_CARTA DE PAGO_REFERENCIA: PID2019-106455GB-C22, ANUALIDAD: 2020</t>
        </is>
      </c>
      <c r="C32" s="73" t="n">
        <v>-247.16</v>
      </c>
    </row>
    <row r="33" ht="60" customHeight="1">
      <c r="A33" s="29" t="inlineStr">
        <is>
          <t>41.50.6P.00.47</t>
        </is>
      </c>
      <c r="B33" s="19" t="inlineStr">
        <is>
          <t xml:space="preserve">ayudas PROMETEO/2021/006, PROMETEO/2021/017, PROMETEO/2021/030, PROMETEO/2021/055, PROMETEO/2021/057, PROMETEO/2021/073, PROMETEO/2021/079, PROMETEO/2021/088 </t>
        </is>
      </c>
      <c r="C33" s="74" t="n">
        <v>71232.24000000001</v>
      </c>
      <c r="E33" s="35" t="inlineStr">
        <is>
          <t>50 % de los 142.464,47 € al Insituto de Investigación en Ingeniería Informática y 50 % Psicología de la salud. Según email del Dpto de Psicología de la Salud 17/10/2024</t>
        </is>
      </c>
    </row>
    <row r="34" ht="45" customHeight="1">
      <c r="A34" t="inlineStr">
        <is>
          <t>41.50.6P.00.50</t>
        </is>
      </c>
      <c r="B34" s="32" t="inlineStr">
        <is>
          <t>DEVOLUCIÓN DE INGRESOS_MODELO 047_GVA-COVID19-2021-103_Nº de liquidación: 46/2024/RAS/10043/1_Número de justificante: 047/1/002450283_Nº de referencia: 047/1/002450283</t>
        </is>
      </c>
      <c r="C34" s="73" t="n">
        <v>-250.16</v>
      </c>
    </row>
    <row r="35">
      <c r="A35" t="inlineStr">
        <is>
          <t>41.50.6P.00.51</t>
        </is>
      </c>
      <c r="B35" s="32" t="inlineStr">
        <is>
          <t>ANULACIÓN PLAN FECYT PLAN FUNDACIÓN ESPAÑOLA 2021 (FCT-21)/FCT-21-/17266</t>
        </is>
      </c>
      <c r="C35" s="73" t="n">
        <v>-1154.25</v>
      </c>
    </row>
    <row r="36" ht="45" customHeight="1">
      <c r="A36" t="inlineStr">
        <is>
          <t>41.50.6P.00.52</t>
        </is>
      </c>
      <c r="B36" s="32" t="inlineStr">
        <is>
          <t>AYUDA CIPROM/2021/001, CIPROM/2021/006, CIPROM/2021/017, CIPROM/2021/021, CIPROM/2021/022, CIPROM/2021/027, CIPROM/2021/057, CIPROM/2021/060, CIPROM/2021/062, CIPROM/2021/068, CIPROM/2021/070, CIPROM/2021/074</t>
        </is>
      </c>
      <c r="C36" s="73" t="n">
        <v>140895.28</v>
      </c>
    </row>
    <row r="37" ht="45" customHeight="1">
      <c r="A37" t="inlineStr">
        <is>
          <t>41.50.6P.00.53</t>
        </is>
      </c>
      <c r="B37" s="32" t="inlineStr">
        <is>
          <t>AYUDA CIPROM/2021/001, CIPROM/2021/006, CIPROM/2021/017, CIPROM/2021/021, CIPROM/2021/022, CIPROM/2021/027, CIPROM/2021/057, CIPROM/2021/060, CIPROM/2021/062, CIPROM/2021/068, CIPROM/2021/070, CIPROM/2021/074</t>
        </is>
      </c>
      <c r="C37" s="73" t="n">
        <v>140977.7</v>
      </c>
    </row>
    <row r="38" ht="45" customHeight="1">
      <c r="A38" t="inlineStr">
        <is>
          <t>41.50.6P.00.54</t>
        </is>
      </c>
      <c r="B38" s="32" t="inlineStr">
        <is>
          <t xml:space="preserve">PID2021-122263OB-C22 -122320NA-I00 -122397NB-C22 --122500OB-I00 -122685OB-I00 -122988NB-I00 -123079OB-I00 -123091NB-C22 -123118NA-I00 -123124OB-I00 -123699NB-I00-123135OB-C21 -123453NB-I00 -123956OB-I00 </t>
        </is>
      </c>
      <c r="C38" s="73" t="n">
        <v>4800</v>
      </c>
    </row>
    <row r="39" ht="30" customHeight="1">
      <c r="A39" t="inlineStr">
        <is>
          <t>41.50.6P.00.59</t>
        </is>
      </c>
      <c r="B39" s="32" t="inlineStr">
        <is>
          <t xml:space="preserve">DEVOLUCIÓN DE INGRESOS_MODELO 047_ Nº LIQUIDACIÓN:46/2024/RAS/10317/1 Nº DE JUSTIFICANTE: 047/1/002550144_Nº DE REFERENCIA:  047/1/002550144 </t>
        </is>
      </c>
      <c r="C39" s="73" t="n">
        <v>-4112.74</v>
      </c>
    </row>
    <row r="40" ht="45" customHeight="1">
      <c r="A40" t="inlineStr">
        <is>
          <t>41.50.6P.00.60</t>
        </is>
      </c>
      <c r="B40" s="32" t="inlineStr">
        <is>
          <t>ayudas CIGE/2022/4, CIGE/2022/6, CIGE/2022/8, CIGE/2022/15, CIGE/2022/16, CIGE/2022/21, CIGE/2022/30, CIGE/2022/45, CIGE/2022/46, CIGE/2022/51, CIGE/2022/52, CIGE/2022/54, CIGE/2022/55, CIGE/2022/105, CIGE/2022/170, CIGE/2022/179</t>
        </is>
      </c>
      <c r="C40" s="73" t="n">
        <v>9750</v>
      </c>
    </row>
    <row r="41" ht="30" customHeight="1">
      <c r="A41" t="inlineStr">
        <is>
          <t>41.50.6P.00.60</t>
        </is>
      </c>
      <c r="B41" s="32" t="inlineStr">
        <is>
          <t>DEVOLUCIÓN DE INGRESOS_ MODELO 047_ Nº DE LIQUIDACIÓN: 46/2024/RAS/10325/1 Nº DE JUSTIFICANTE: 047/1/002551836_Nº DE REFERENCIA: 047/1/002551836</t>
        </is>
      </c>
      <c r="C41" s="73" t="n">
        <v>-8373.18</v>
      </c>
    </row>
    <row r="42" ht="30" customHeight="1">
      <c r="A42" t="inlineStr">
        <is>
          <t>41.50.6P.00.61</t>
        </is>
      </c>
      <c r="B42" s="32" t="inlineStr">
        <is>
          <t>PLU.CIAEST 2022. RESOLUCION CONCESION 19/09/2023. CIAEST/2022/2/25/49/78. (LÍNEA S0296)</t>
        </is>
      </c>
      <c r="C42" s="73" t="n">
        <v>18000</v>
      </c>
    </row>
    <row r="43" ht="60" customHeight="1">
      <c r="A43" t="inlineStr">
        <is>
          <t>41.50.6P.00.62</t>
        </is>
      </c>
      <c r="B43" s="32" t="inlineStr">
        <is>
          <t xml:space="preserve">AYUDAS CIAICO/2022/017, CIAICO/2022/019, CIAICO/2022/038, CIAICO/2022/046, CIAICO/2022/047, CIAICO/2022/049, CIAICO/2022/077, CIAICO/2022/078, CIAICO/2022/079, CIAICO/2022/112, CIAICO/2022/132 CIAICO/2022/167 CIAICO/2022/177 </t>
        </is>
      </c>
      <c r="C43" s="73" t="n">
        <v>27800</v>
      </c>
    </row>
    <row r="44">
      <c r="A44" t="inlineStr">
        <is>
          <t>41.50.6P.00.62</t>
        </is>
      </c>
      <c r="B44" s="32" t="inlineStr">
        <is>
          <t>DEVOLUCIÓN DE INGRESOS_MODELO 047_ REFERENCIA: CIACO 2022 EN 2023.</t>
        </is>
      </c>
      <c r="C44" s="73" t="n">
        <v>-6524.17</v>
      </c>
    </row>
    <row r="45">
      <c r="A45" t="inlineStr">
        <is>
          <t>41.50.6P.00.63</t>
        </is>
      </c>
      <c r="B45" s="32" t="inlineStr">
        <is>
          <t xml:space="preserve">AYUDAS CISEJI/2023/9 </t>
        </is>
      </c>
      <c r="C45" s="73" t="n">
        <v>60257.72</v>
      </c>
    </row>
    <row r="46" ht="30" customHeight="1">
      <c r="A46" t="inlineStr">
        <is>
          <t>41.50.6P.00.64</t>
        </is>
      </c>
      <c r="B46" s="32" t="inlineStr">
        <is>
          <t>PID2022-138111NB-I00-141543OB-I00-137350NB-I00-138491OB-C32-137364OB-I00-138329NB-I00-142830NB-I00-138453OB-I00-138696OB-C22-138853NB-I00-142712NB-I00</t>
        </is>
      </c>
      <c r="C46" s="73" t="n">
        <v>10664</v>
      </c>
    </row>
    <row r="47" ht="30" customHeight="1">
      <c r="A47" t="inlineStr">
        <is>
          <t>41.50.6P.00.65</t>
        </is>
      </c>
      <c r="B47" s="32" t="inlineStr">
        <is>
          <t>PID2022-138111NB-I00-141543OB-I00-137350NB-I00-138491OB-C32-137364OB-I00-138329NB-I00-142830NB-I00-138453OB-I00-138696OB-C22-138853NB-I00-142712NB-I00</t>
        </is>
      </c>
      <c r="C47" s="73" t="n">
        <v>17372</v>
      </c>
    </row>
    <row r="48">
      <c r="A48" t="inlineStr">
        <is>
          <t>41.50.6P.00.66</t>
        </is>
      </c>
      <c r="B48" s="32" t="inlineStr">
        <is>
          <t>PROGRAMA AYUDAS ICAR 2023 PROYECTO SMARTHOME UA</t>
        </is>
      </c>
      <c r="C48" s="73" t="n">
        <v>34246.18</v>
      </c>
    </row>
    <row r="49" ht="75" customHeight="1">
      <c r="A49" t="inlineStr">
        <is>
          <t>41.50.6P.00.67</t>
        </is>
      </c>
      <c r="B49" s="32" t="inlineStr">
        <is>
          <t>INGRESO PERCIBIDO EN CONCEPTO DE CONVENIO DE COLABORACIÓN ENTRE LA UNIVERSIDAD DE ALICANTE, INDRA SISTEMAS S.A. Y LA FUNDACIÓN UNIVERSIA PARA LA COLABORACIÓN CONJUNTA EN PROYECTO DE TECNOLOGÍA ACCESIBLE AL AMPARO DE LA "VII CONVOCATORIA DE AYUDAS A PROYECTOS DE INVESTIGACIÓN APLICADA AL DESARROLLO DE TECNOLOGÍAS ACCESIBLES".</t>
        </is>
      </c>
      <c r="C49" s="73" t="n">
        <v>8000</v>
      </c>
    </row>
    <row r="50" ht="75" customHeight="1">
      <c r="A50" t="inlineStr">
        <is>
          <t>41.50.6P.00.67</t>
        </is>
      </c>
      <c r="B50" s="32" t="inlineStr">
        <is>
          <t>INGRESO PERCIBIDO EN CONCEPTO DE CONVENIO DE COLABORACIÓN ENTRE LA UNIVERSIDAD DE ALICANTE, INDRA SISTEMAS S.A. Y LA FUNDACIÓN UNIVERSIA PARA LA COLABORACIÓN CONJUNTA EN PROYECTO DE TECNOLOGÍA ACCESIBLE AL AMPARO DE LA "VII CONVOCATORIA DE AYUDAS A PROYECTOS DE INVESTIGACIÓN APLICADA AL DESARROLLO DE TECNOLOGÍAS ACCESIBLES".</t>
        </is>
      </c>
      <c r="C50" s="73" t="n">
        <v>6000</v>
      </c>
    </row>
    <row r="51" ht="75" customHeight="1">
      <c r="A51" t="inlineStr">
        <is>
          <t>41.50.6P.00.67</t>
        </is>
      </c>
      <c r="B51" s="32" t="inlineStr">
        <is>
          <t>INGRESO PERCIBIDO EN CONCEPTO DE CONVENIO DE COLABORACIÓN ENTRE LA UNIVERSIDAD DE ALICANTE, INDRA SISTEMAS S.A. Y LA FUNDACIÓN UNIVERSIA PARA LA COLABORACIÓN CONJUNTA EN PROYECTO DE TECNOLOGÍA ACCESIBLE AL AMPARO DE LA "VII CONVOCATORIA DE AYUDAS A PROYECTOS DE INVESTIGACIÓN APLICADA AL DESARROLLO DE TECNOLOGÍAS ACCESIBLES".</t>
        </is>
      </c>
      <c r="C51" s="73" t="n">
        <v>6000</v>
      </c>
    </row>
    <row r="52" ht="30" customHeight="1">
      <c r="A52" t="inlineStr">
        <is>
          <t>41.50.6P.00.68</t>
        </is>
      </c>
      <c r="B52" s="32" t="inlineStr">
        <is>
          <t xml:space="preserve">ayudas CIDEXG/2023/2, CIDEXG/2023/13, CIDEXG/2023/7, CIDEXG/2023/2, CIDEXG/2023/13, CIDEXG/2023/7 </t>
        </is>
      </c>
      <c r="C52" s="73" t="n">
        <v>78734.75</v>
      </c>
    </row>
    <row r="53">
      <c r="A53" t="inlineStr">
        <is>
          <t>41.50.6P.00.70</t>
        </is>
      </c>
      <c r="B53" s="32" t="inlineStr">
        <is>
          <t>ayudas PDC2023-145852-C22</t>
        </is>
      </c>
      <c r="C53" s="73" t="n">
        <v>117500</v>
      </c>
    </row>
    <row r="54" ht="60" customHeight="1">
      <c r="A54" t="inlineStr">
        <is>
          <t>41.50.6P.00.71</t>
        </is>
      </c>
      <c r="B54" s="32" t="inlineStr">
        <is>
          <t>ayudas CIGE/2023/52, CIGE/2023/94, CIGE/2023/129, CIGE/2023/146, CIGE/2023/165, CIGE/2023/175, CIGE/2023/181, CIGE/2023/184, CIGE/2023/188, CIGE/2023/196, CIGE/2023/197, CIGE/2023/216, CIGE/2023/225, CIGE/2023/227 (LINEA SUBVENCIÓN S0296)</t>
        </is>
      </c>
      <c r="C54" s="73" t="n">
        <v>7850</v>
      </c>
    </row>
    <row r="55">
      <c r="A55" t="inlineStr">
        <is>
          <t>41.50.6P.00.72</t>
        </is>
      </c>
      <c r="B55" s="32" t="inlineStr">
        <is>
          <t xml:space="preserve">ayudas CIAEST/2023/31, CIAEST/2023/36, CIAEST/2023/12 (LINEA SUBVENCIÓN S0296) </t>
        </is>
      </c>
      <c r="C55" s="73" t="n">
        <v>18000</v>
      </c>
    </row>
    <row r="56">
      <c r="A56" t="inlineStr">
        <is>
          <t>41.50.6P.00.73</t>
        </is>
      </c>
      <c r="B56" s="32" t="inlineStr">
        <is>
          <t xml:space="preserve">ayudas CIAEST/2023/31, CIAEST/2023/36, CIAEST/2023/12 (LINEA SUBVENCIÓN S0296) </t>
        </is>
      </c>
      <c r="C56" s="73" t="n">
        <v>18000</v>
      </c>
    </row>
    <row r="57" ht="75" customHeight="1">
      <c r="A57" t="inlineStr">
        <is>
          <t>41.50.6P.00.76</t>
        </is>
      </c>
      <c r="B57" s="32" t="inlineStr">
        <is>
          <t>AYUDAS PID2023-146660OB-I00, PID2023-148259NB-I00, PID2023-148881OB-I00, PID2023-149456NB-I00, PID2023-149624NB-I00, PID2023-149643NB-I00, PID2023-149994NB-I00, PID2023-150750NB-I00, PID2023-150795NB-C22,PID2023-151958NB-I00, PID2023-151982NB-I00, PID2023-152305NB-I00, PID2023-152358NA-I00, PID2023-152372NB-I00, PID2023-152734NB-I00, PID2023-152869OB-C21, PID2023-153032NB-I00</t>
        </is>
      </c>
      <c r="C57" s="73" t="n">
        <v>104880</v>
      </c>
    </row>
    <row r="58" ht="105" customHeight="1">
      <c r="A58" t="inlineStr">
        <is>
          <t>41.50.6P.00.76</t>
        </is>
      </c>
      <c r="B58" s="32"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8" s="73" t="n">
        <v>52999.36</v>
      </c>
    </row>
    <row r="59" ht="105" customHeight="1">
      <c r="A59" t="inlineStr">
        <is>
          <t>41.50.6P.00.77</t>
        </is>
      </c>
      <c r="B59" s="32" t="inlineStr">
        <is>
          <t>Ayudas PID2023-146660OB-I00, PID2023-147126OB-I00, PID2023-148259NB-I00, PID2023-148881OB-I00, PID2023-149456NB-I00, PID2023-149562OB-I00, PID2023-149624NB-I00, PID2023-149643NB-I00, PID2023-149706OB-I00, PID2023-149994NB-I00, PID2023-150750NB-I00, PID2023-150761OB-C22, PID2023-150795NB-C22 , PID2023-151559OB-I00, PID2023-151958NB-I00, PID2023-151982NB-I00, PID2023-152305NB-I00, PID2023-152358NA-I00, PID2023-152372NB-I00, PID2023-152566OB-I00, PID2023-152734NB-I00, PID2023-152804OB-I00, PID2023-152869OB-C21, PID2023-153032NB-I00</t>
        </is>
      </c>
      <c r="C59" s="73" t="n">
        <v>59503</v>
      </c>
    </row>
    <row r="60" ht="30" customHeight="1">
      <c r="A60" t="inlineStr">
        <is>
          <t>41.50.6P.00.78</t>
        </is>
      </c>
      <c r="B60" s="32" t="inlineStr">
        <is>
          <t>INGRESO : UNA APROXIMACIÓN HOLÍSTICA PARA EL DESARROLLO DE LA INTELIGENCIA ARTIFICIAL ETICA</t>
        </is>
      </c>
      <c r="C60" s="73" t="n">
        <v>210383.81</v>
      </c>
    </row>
    <row r="61">
      <c r="A61" t="inlineStr">
        <is>
          <t>41.50.6P.00.79</t>
        </is>
      </c>
      <c r="B61" s="32" t="inlineStr">
        <is>
          <t>CIAICO/2023/134/178/179/203/250/255/266/268</t>
        </is>
      </c>
      <c r="C61" s="73" t="n">
        <v>9484</v>
      </c>
    </row>
    <row r="62">
      <c r="A62" t="inlineStr">
        <is>
          <t>41.50.6X.00.02</t>
        </is>
      </c>
      <c r="B62" s="32" t="inlineStr">
        <is>
          <t xml:space="preserve">Segundo cobro del proyecto REPERTORIUM </t>
        </is>
      </c>
      <c r="C62" s="73" t="n">
        <v>17765</v>
      </c>
    </row>
    <row r="63">
      <c r="A63" t="inlineStr">
        <is>
          <t>41.50.6X.00.03</t>
        </is>
      </c>
      <c r="B63" s="32" t="inlineStr">
        <is>
          <t>Primer cobro del Proyecto DINOSAR (Instituto de Investigación Informática)</t>
        </is>
      </c>
      <c r="C63" s="73" t="n">
        <v>129043.75</v>
      </c>
    </row>
    <row r="64" ht="45" customHeight="1">
      <c r="A64" t="inlineStr">
        <is>
          <t>41.50.6X.00.05</t>
        </is>
      </c>
      <c r="B64" s="32" t="inlineStr">
        <is>
          <t>Advance payment for MS1 (2.688€) and MS2 (5.375€) TOTAL 8.063€ CONTRACT No 4000144699/24/I-NS-UA PROTOTYPE PROCESSOR FOR ARD OF COPERNICUS SAR MISSIONS</t>
        </is>
      </c>
      <c r="C64" s="73" t="n">
        <v>8063</v>
      </c>
    </row>
    <row r="65">
      <c r="A65" t="inlineStr">
        <is>
          <t>Total</t>
        </is>
      </c>
      <c r="C65" s="75">
        <f>SUBTOTAL(109,Tabla3[Imp. aplic.])</f>
        <v/>
      </c>
    </row>
    <row r="68">
      <c r="F68" s="75" t="n"/>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C103"/>
  <sheetViews>
    <sheetView tabSelected="1" topLeftCell="A82" workbookViewId="0">
      <selection activeCell="B109" sqref="B109"/>
    </sheetView>
  </sheetViews>
  <sheetFormatPr baseColWidth="10" defaultRowHeight="15"/>
  <cols>
    <col width="16" customWidth="1" min="1" max="1"/>
    <col width="53.42578125" customWidth="1" min="2" max="2"/>
    <col width="15.5703125" customWidth="1" min="3" max="3"/>
  </cols>
  <sheetData>
    <row r="1">
      <c r="A1" s="47" t="inlineStr">
        <is>
          <t>Org. aplic.</t>
        </is>
      </c>
      <c r="B1" s="48" t="inlineStr">
        <is>
          <t>Descripción justificante</t>
        </is>
      </c>
      <c r="C1" s="48" t="inlineStr">
        <is>
          <t>Imp. aplic.</t>
        </is>
      </c>
    </row>
    <row r="2">
      <c r="A2" s="49" t="inlineStr">
        <is>
          <t>41.50.6C.00.52</t>
        </is>
      </c>
      <c r="B2" s="50" t="inlineStr">
        <is>
          <t>Pago regalías 2023 por transferencia de tecnología - Ref. contrato licencia: QUIROBOT(EBT)1-17O (Regalías 7.989,82 - 2.000,00 Reducción egresados)</t>
        </is>
      </c>
      <c r="C2" s="76" t="n">
        <v>3593.89</v>
      </c>
    </row>
    <row r="3">
      <c r="A3" s="52" t="inlineStr">
        <is>
          <t>41.50.6C.00.94</t>
        </is>
      </c>
      <c r="B3" s="53" t="inlineStr">
        <is>
          <t xml:space="preserve">Pago regalías 2024 por transferencia de tecnología  - Ref. contrato DCI1-20R ( 50% del valor neto de las ventas anuales: 1.777,50 ) </t>
        </is>
      </c>
      <c r="C3" s="77" t="n">
        <v>533.25</v>
      </c>
    </row>
    <row r="4">
      <c r="A4" s="49" t="inlineStr">
        <is>
          <t>41.50.6C.01.01</t>
        </is>
      </c>
      <c r="B4" s="50" t="inlineStr">
        <is>
          <t>ANULACIÓN DE DERECHOS REFERENTE AL INGRESO PREVISTO DESTINADO A LA ORGÁNICA 41.50.6C.01.01 _ REFERENCIA AYUDA CONVENIO INTELIGENCIA DIGITAL 2024.</t>
        </is>
      </c>
      <c r="C4" s="76" t="n">
        <v>-41979.3</v>
      </c>
    </row>
    <row r="5">
      <c r="A5" s="52" t="inlineStr">
        <is>
          <t>41.50.6C.01.47</t>
        </is>
      </c>
      <c r="B5" s="53" t="inlineStr">
        <is>
          <t>EVALUACIÓN POR PARTE DEL EXPERTO 4D DEL PROYECTO CON REF. "MANIFLODEX" Ref. proyecto: SGS6-25TPA. NÚMERO DE PEDIDO: 6073231</t>
        </is>
      </c>
      <c r="C5" s="77" t="n">
        <v>220</v>
      </c>
    </row>
    <row r="6">
      <c r="A6" s="49" t="inlineStr">
        <is>
          <t>41.50.6C.01.47</t>
        </is>
      </c>
      <c r="B6" s="50" t="inlineStr">
        <is>
          <t>EVALUACIÓN POR PARTE DEL EXPERTO 4D DEL PROYECTO ICFCPROC23 de SGS. NÚMERO DE PEDIDO: 6074658. Ref. proyecto: SGS7-25TPA</t>
        </is>
      </c>
      <c r="C6" s="76" t="n">
        <v>176</v>
      </c>
    </row>
    <row r="7">
      <c r="A7" s="52" t="inlineStr">
        <is>
          <t>41.50.6C.01.47</t>
        </is>
      </c>
      <c r="B7" s="53" t="inlineStr">
        <is>
          <t xml:space="preserve">EVALUACIÓN POR PARTE DEL EXPERTO TÉCNICO DEL EXPEDIENTE 378188_ICFCBNT23-TRABAJO REALIZADO POR FERNANDO TORRES. NUMERO DE PEDIDO: 6077286. REF: SGS8-25TPA </t>
        </is>
      </c>
      <c r="C7" s="77" t="n">
        <v>176</v>
      </c>
    </row>
    <row r="8">
      <c r="A8" s="49" t="inlineStr">
        <is>
          <t>41.50.6C.01.47</t>
        </is>
      </c>
      <c r="B8" s="50" t="inlineStr">
        <is>
          <t>EVALUACIÓN POR PARTE DEL EXPERTO 4D DEL PROYECTO "DIODOSINCL - SOLUCIONES MEDIANTE DIODO LASER DE ALTA POTENCIA A TRATAMIENTOS MEDICOS Y ESTETICOS" (SGS_651). NUMERO DE PEDIDO: 6078092. Ref: SGS9-25TPA</t>
        </is>
      </c>
      <c r="C8" s="76" t="n">
        <v>70.40000000000001</v>
      </c>
    </row>
    <row r="9">
      <c r="A9" s="52" t="inlineStr">
        <is>
          <t>41.50.6C.01.47</t>
        </is>
      </c>
      <c r="B9" s="53" t="inlineStr">
        <is>
          <t>COMITÉ POR PARTE DEL EXPERTO 4D DEL PROYECTO DESARROLLO DE NUEVOS SISTEMAS PARA TRATAMIENTOS DE REMODELACION CORPORAL" (652) NUMERO DE PEDIDO: 6077957. Ref: SGS10-25TPA</t>
        </is>
      </c>
      <c r="C9" s="77" t="n">
        <v>70.40000000000001</v>
      </c>
    </row>
    <row r="10">
      <c r="A10" s="49" t="inlineStr">
        <is>
          <t>41.50.6C.01.57</t>
        </is>
      </c>
      <c r="B10" s="50" t="inlineStr">
        <is>
          <t>Honorarios por los trabajos desarrollados en el proyecto "SMART CONSTRUCTION MANAGER - NUEVO SISTEMA INTELIGENTE Y AUTÓNOMO PARA EL CONTROL Y GESTIÓN DE OBRA". Financiado a través del Programa Estratégico de Consorcios de Investigación Empresarial Nacional (CIEN), de CDTI, con nº de expediente IDI-20230441. Ref. proyecto UA:CYPE1-22Y. Tercer pago</t>
        </is>
      </c>
      <c r="C10" s="76" t="n">
        <v>22000</v>
      </c>
    </row>
    <row r="11">
      <c r="A11" s="52" t="inlineStr">
        <is>
          <t>41.50.6C.01.69</t>
        </is>
      </c>
      <c r="B11" s="53" t="inlineStr">
        <is>
          <t>VALIDACIÓN DE TÉCNICAS DE INTELIGENCIA ARTIFICIAL SOBRE IMÁGENES SAR DE ALTA RESOLUCIÓN DEL SATÉLITE PAZ PARA LA DETECCIÓN Y CLASIFICACIÓN DE ZONAS DE INTERÉS DENTRO DEL PROYECTO GSTP ATR4PAZ. Ref. proyecto: HISDESAT1-22Y. Tercer pago del 20% del total del contrato.</t>
        </is>
      </c>
      <c r="C11" s="77" t="n">
        <v>2414.97</v>
      </c>
    </row>
    <row r="12">
      <c r="A12" s="49" t="inlineStr">
        <is>
          <t>41.50.6C.01.82</t>
        </is>
      </c>
      <c r="B12" s="50" t="inlineStr">
        <is>
          <t>ASESORAMIENTO CIENTÍFICO-TÉCNICO SOBRE MODELOS DE INTELIGENCIA ARTIFICIAL APLICADA A TAREAS DE BIOMETRÍA Y ONBOARDING DIGITAL. Primer pago del 50% del total. Ref. proyecto: FACEPHI2-24TPA</t>
        </is>
      </c>
      <c r="C12" s="76" t="n">
        <v>3141.6</v>
      </c>
    </row>
    <row r="13">
      <c r="A13" s="52" t="inlineStr">
        <is>
          <t>41.50.6C.01.82</t>
        </is>
      </c>
      <c r="B13" s="53" t="inlineStr">
        <is>
          <t>ASESORAMIENTO CIENTÍFICO-TÉCNICO SOBRE MODELOS DE INTELIGENCIA ARTIFICIAL APLICADA A TAREAS DE BIOMETRÍA Y ONBOARDING DIGITAL. Segundo pago del 50% del total. Ref. proyecto: FACEPHI2-24TPA</t>
        </is>
      </c>
      <c r="C13" s="77" t="n">
        <v>3141.6</v>
      </c>
    </row>
    <row r="14">
      <c r="A14" s="49" t="inlineStr">
        <is>
          <t>41.50.6C.01.83</t>
        </is>
      </c>
      <c r="B14" s="50" t="inlineStr">
        <is>
          <t xml:space="preserve">ASESORÍA SOBRE UN ENTORNO EDUCATIVO PARA LA FORMACIÓN EN ROBÓTICA UTILIZANDO ROS (ROBOT OPERATING SYSTEM) Ref. proyecto: JDEROBOT1-24APA </t>
        </is>
      </c>
      <c r="C14" s="76" t="n">
        <v>2376</v>
      </c>
    </row>
    <row r="15">
      <c r="A15" s="52" t="inlineStr">
        <is>
          <t>41.50.6C.01.84</t>
        </is>
      </c>
      <c r="B15" s="53" t="inlineStr">
        <is>
          <t>ArcelorMittal España. SUPERVICIÓN DEL PROYECTO 1992/0090/PIDI/03 ECOCUCHARA. Ref. proyecto UA: AENOR6-24TPA</t>
        </is>
      </c>
      <c r="C15" s="77" t="n">
        <v>132</v>
      </c>
    </row>
    <row r="16">
      <c r="A16" s="49" t="inlineStr">
        <is>
          <t>41.50.6C.01.85</t>
        </is>
      </c>
      <c r="B16" s="50" t="inlineStr">
        <is>
          <t>PAL ROBOTICS, S.L. SUPERVISIÓN DEL PROYECTO 2012/0753/PIDI/17 ENPELI2023. Ref. proyecto UA: AENOR7-24TPA</t>
        </is>
      </c>
      <c r="C16" s="76" t="n">
        <v>132</v>
      </c>
    </row>
    <row r="17">
      <c r="A17" s="52" t="inlineStr">
        <is>
          <t>41.50.6C.01.87</t>
        </is>
      </c>
      <c r="B17" s="53" t="inlineStr">
        <is>
          <t>EVALUACIÓN POR PARTE DEL EXPERTO 4D DEL PROYECTO PRJN-840162_1/_2 DE DNV "BCNEFICI01/02- SISTEMA DE VISION ARTIFICIAL PARA LA INSPECCION EN LINEAS PRODUCTIVAS DE ALTA CADENCIA" (PRJN-840162_1/_2) de DNV. Ref. proyecto UA: DNV1-25TPA</t>
        </is>
      </c>
      <c r="C17" s="77" t="n">
        <v>105.6</v>
      </c>
    </row>
    <row r="18">
      <c r="A18" s="49" t="inlineStr">
        <is>
          <t>41.50.6C.01.88</t>
        </is>
      </c>
      <c r="B18" s="50" t="inlineStr">
        <is>
          <t>ESTUDIO Y DEFINICIÓN DE NUEVA TECNOLOGÍA PARA EL ANÁLISIS DE LDPE RECICLADO A PARTIR DEL TRATAMIENTO INTELIGENTE DE IMÁGENES MULTIESPECTRALES. Investigador responsable: Francisco Gómez Donoso. Ref proyecto: CADEL1-24Y</t>
        </is>
      </c>
      <c r="C18" s="76" t="n">
        <v>4435.2</v>
      </c>
    </row>
    <row r="19">
      <c r="A19" s="52" t="inlineStr">
        <is>
          <t>41.50.6C.01.88</t>
        </is>
      </c>
      <c r="B19" s="53" t="inlineStr">
        <is>
          <t>ESTUDIO Y DEFINICIÓN DE NUEVA TECNOLOGÍA PARA EL ANÁLISIS DE LDPE RECICLADO A PARTIR DEL TRATAMIENTO INTELIGENTE DE IMÁGENES MULTIESPECTRALES. Ref. proyecto: CADEL1-24Y. Segundo pago. Investigador responsable: Francisco Gómez Donoso.</t>
        </is>
      </c>
      <c r="C19" s="77" t="n">
        <v>4435.2</v>
      </c>
    </row>
    <row r="20">
      <c r="A20" s="49" t="inlineStr">
        <is>
          <t>41.50.6C.01.88</t>
        </is>
      </c>
      <c r="B20" s="50" t="inlineStr">
        <is>
          <t>ESTUDIO Y DEFINICIÓN DE NUEVA TECNOLOGÍA PARA EL ANÁLISIS DE LDPE RECICLADO A PARTIR DEL TRATAMIENTO INTELIGENTE DE IMÁGENES MULTIESPECTRALES. Ref. proyecto: CADEL1-24Y. Tercer pago. Investigador responsable: Francisco Gómez Donoso.</t>
        </is>
      </c>
      <c r="C20" s="76" t="n">
        <v>6124.8</v>
      </c>
    </row>
    <row r="21">
      <c r="A21" s="52" t="inlineStr">
        <is>
          <t>41.50.6C.01.89</t>
        </is>
      </c>
      <c r="B21" s="53" t="inlineStr">
        <is>
          <t>EVALUACIÓN POR PARTE DEL EXPERTO 4D DEL PROYECTO PRJN-802660. Ref. proyecto: DNV2-25TPA</t>
        </is>
      </c>
      <c r="C21" s="77" t="n">
        <v>140.8</v>
      </c>
    </row>
    <row r="22">
      <c r="A22" s="49" t="inlineStr">
        <is>
          <t>41.50.6C.01.90</t>
        </is>
      </c>
      <c r="B22" s="50" t="inlineStr">
        <is>
          <t>EVALUACIÓN POR PARTE DEL EXPERTO 4D DEL PROYECTO PRJN-841622 DE DNV Ref. proyecto: DNV3-25TPA</t>
        </is>
      </c>
      <c r="C22" s="76" t="n">
        <v>140.8</v>
      </c>
    </row>
    <row r="23">
      <c r="A23" s="52" t="inlineStr">
        <is>
          <t>41.50.6C.01.91</t>
        </is>
      </c>
      <c r="B23" s="53" t="inlineStr">
        <is>
          <t>DESARROLLO DE UN CONJUNTO DE HERRAMIENTAS, CAPACES DE FUNCIONAR SOBRE EL ROBOT UNITREE GO2, QUE ENGLOBEN MAPEADO, NAVEGACIÓN AUTÓNOMA, RECONOCIMIENTO DE OBJETOS Y PERSONAS. Primer pago. Ref. proyecto: SYNERGYSMARTINV1-24I. Investigador responsable: Francisco Gómez Donoso</t>
        </is>
      </c>
      <c r="C23" s="77" t="n">
        <v>17600</v>
      </c>
    </row>
    <row r="24">
      <c r="A24" s="49" t="inlineStr">
        <is>
          <t>41.50.6C.01.91</t>
        </is>
      </c>
      <c r="B24" s="50" t="inlineStr">
        <is>
          <t>DESARROLLO DE UN CONJUNTO DE HERRAMIENTAS, CAPACES DE FUNCIONAR SOBRE EL ROBOT UNITREE GO2, QUE ENGLOBEN MAPEADO, NAVEGACIÓN AUTÓNOMA, RECONOCIMIENTO DE OBJETOS Y PERSONAS. Segundo pago. Ref. proyecto: SYNERGYSMARTINV1-24I. Investigador responsable: Francisco Gómez Donoso</t>
        </is>
      </c>
      <c r="C24" s="76" t="n">
        <v>17600</v>
      </c>
    </row>
    <row r="25">
      <c r="A25" s="52" t="inlineStr">
        <is>
          <t>41.50.6C.01.92</t>
        </is>
      </c>
      <c r="B25" s="53" t="inlineStr">
        <is>
          <t>IMPLEMENTACIÓN DE NUEVAS CARACTERÍSTICAS PARA EL SOFTWARE DE GESTIÓN DE PLÁSTICO RECICLADO QUANTUM. Ref. proyecto: CADEL1-25T Investigador responsable: Francisco Gómez Donoso</t>
        </is>
      </c>
      <c r="C25" s="77" t="n">
        <v>10890</v>
      </c>
    </row>
    <row r="26">
      <c r="A26" s="49" t="inlineStr">
        <is>
          <t>41.50.6C.01.92</t>
        </is>
      </c>
      <c r="B26" s="50" t="inlineStr">
        <is>
          <t>IMPLEMENTACIÓN DE NUEVAS CARACTERÍSTICAS PARA EL SOFTWARE DE GESTIÓN DE PLÁSTICO RECICLADO QUANTUM. Ref. proyecto: CADEL1-25T Investigador responsable: Francisco Gómez Donoso. Segundo pago.</t>
        </is>
      </c>
      <c r="C26" s="76" t="n">
        <v>10890</v>
      </c>
    </row>
    <row r="27">
      <c r="A27" s="52" t="inlineStr">
        <is>
          <t>41.50.6C.01.92</t>
        </is>
      </c>
      <c r="B27" s="53" t="inlineStr">
        <is>
          <t>INVESTIGACIÓN DE UN LDPE APTO PARA ENVASES ALIMENTARIOS DE ACUERDO CON LA NORMATIVA VIGENTE. PAG-020100-2023-217. SAFErLDPE1 Ref. proyecto: CADEL1-25T Investigador responsable: Francisco Gómez Donoso. Tercer pago.</t>
        </is>
      </c>
      <c r="C27" s="77" t="n">
        <v>10890</v>
      </c>
    </row>
    <row r="28">
      <c r="A28" s="49" t="inlineStr">
        <is>
          <t>41.50.6C.01.92</t>
        </is>
      </c>
      <c r="B28" s="50" t="inlineStr">
        <is>
          <t>CONCEPTO INVESTIGACIÓN DE UN LDPE APTO PARA ENVASES ALIMENTARIOS DE ACUERDO CON LA NORMATIVA VIGENTE. PAG-020100-2023-217. SAFErLDPE1. Ref. proyecto: CADEL1-25T  Investigador responsable: Francisco Gómez Donoso. Cuarto pago.</t>
        </is>
      </c>
      <c r="C28" s="76" t="n">
        <v>10890</v>
      </c>
    </row>
    <row r="29">
      <c r="A29" s="52" t="inlineStr">
        <is>
          <t>41.50.6C.01.93</t>
        </is>
      </c>
      <c r="B29" s="53" t="inlineStr">
        <is>
          <t>SCIENTIFIC SUPPORT FOR THE DEVELOPMENT OF A PROOF-OF-CONCEPT (POC) CONSISTING OF MAPPING DAMAGES (LOCATION AND DEGREE) IN AGRICULTURAL CROPS DUE TO WEATHER EVENTS (HAIL, STORMS, SNOW, ETC.) FOR INSURANCE COMPANIES, USING SATELLITE IMAGES. Work related to roof collapse study until the end of June 2025 (16 hours) Ref. proyecto: LAMBDAISPACE1-25A</t>
        </is>
      </c>
      <c r="C29" s="77" t="n">
        <v>880</v>
      </c>
    </row>
    <row r="30">
      <c r="A30" s="49" t="inlineStr">
        <is>
          <t>41.50.6C.01.94</t>
        </is>
      </c>
      <c r="B30" s="50" t="inlineStr">
        <is>
          <t>LICENCIA DE USO Y DE EXPLOTACIÓN COMERCIAL DEL PROGRAMA DE ORDENADOR "XATDOCS: SOFTWARE RAG PARA EL PROCESAMIENTO E INTERROGACIÓN SEMÁNTICA DE REPOSITORIOS DE DOCUMENTOS" Ref. proyecto: FRANCES1-25R. Primer pago a la firma del contrato.</t>
        </is>
      </c>
      <c r="C30" s="76" t="n">
        <v>300</v>
      </c>
    </row>
    <row r="31">
      <c r="A31" s="52" t="inlineStr">
        <is>
          <t>41.50.6C.01.96</t>
        </is>
      </c>
      <c r="B31" s="53" t="inlineStr">
        <is>
          <t>CONSULTORÍA CIENTÍFICO-TÉCNICA SOBRE MODELOS DE INTELIGENCIA ARTIFICIAL APLICADA A TAREAS DE BIOMETRÍA Y ANÁLISIS AUTOMÁTICO DE DOCUMENTOS. Ref. proyecto: FACEPHI1-25TPA</t>
        </is>
      </c>
      <c r="C31" s="77" t="n">
        <v>3141.6</v>
      </c>
    </row>
    <row r="32">
      <c r="A32" s="49" t="inlineStr">
        <is>
          <t>41.50.6C.01.96</t>
        </is>
      </c>
      <c r="B32" s="50" t="inlineStr">
        <is>
          <t>CONSULTORÍA CIENTÍFICO-TÉCNICA SOBRE MODELOS DE INTELIGENCIA ARTIFICIAL APLICADA A TAREAS DE BIOMETRÍA Y ANÁLISIS AUTOMÁTICO DE DOCUMENTOS. SEGUNDO PAGO</t>
        </is>
      </c>
      <c r="C32" s="76" t="n">
        <v>3141.6</v>
      </c>
    </row>
    <row r="33">
      <c r="A33" s="52" t="inlineStr">
        <is>
          <t>41.50.6C.01.97</t>
        </is>
      </c>
      <c r="B33" s="53" t="inlineStr">
        <is>
          <t>SERVICIOS DE ASESORAMIENTO DE INGENIERÍA DE PROGRAMAS Y APLICACIONES DE OBSERVACIÓN DE LA TIERRA. Primer pago. Ref. proyecto: HISDESAT1-25A</t>
        </is>
      </c>
      <c r="C33" s="77" t="n">
        <v>1689.6</v>
      </c>
    </row>
    <row r="34">
      <c r="A34" s="49" t="inlineStr">
        <is>
          <t>41.50.6C.01.97</t>
        </is>
      </c>
      <c r="B34" s="50" t="inlineStr">
        <is>
          <t>SERVICIOS DE ASESORAMIENTO DE INGENIERÍA DE PROGRAMAS Y APLICACIONES DE OBSERVACIÓN DE LA TIERRA. Segundo pago. Ref. proyecto: HISDESAT1-25A</t>
        </is>
      </c>
      <c r="C34" s="76" t="n">
        <v>1689.6</v>
      </c>
    </row>
    <row r="35">
      <c r="A35" s="52" t="inlineStr">
        <is>
          <t>41.50.6C.01.97</t>
        </is>
      </c>
      <c r="B35" s="53" t="inlineStr">
        <is>
          <t>SERVICIOS DE ASESORAMIENTO DE INGENIERÍA DE PROGRAMAS Y APLICACIONES DE OBSERVACIÓN DE LA TIERRA. Tercer pago. Ref.: HISDESAT1-25A</t>
        </is>
      </c>
      <c r="C35" s="77" t="n">
        <v>1689.6</v>
      </c>
    </row>
    <row r="36">
      <c r="A36" s="49" t="inlineStr">
        <is>
          <t>41.50.6C.01.98</t>
        </is>
      </c>
      <c r="B36" s="50" t="inlineStr">
        <is>
          <t>EVALUACIÓN POR PARTE DEL EXPERTO FERNANDO TORRES MEDINA DEL PROYECTO PRJN-870406 Ref. proyecto: DNV4-25TPA</t>
        </is>
      </c>
      <c r="C36" s="76" t="n">
        <v>140.8</v>
      </c>
    </row>
    <row r="37">
      <c r="A37" s="52" t="inlineStr">
        <is>
          <t>41.50.6C.01.99</t>
        </is>
      </c>
      <c r="B37" s="53" t="inlineStr">
        <is>
          <t xml:space="preserve">EVALUACIÓN POR EL EXPERTO FERNANDO TORRES MEDINA DEL PROYECTO "SISTEMA POLARIMÉTRICO DE LOCALIZACIÓN Y ORIENTACIÓN BASADO EN TECNOLOGÍA NEUROMÓRFICA" BIFROST025 (PRJN-940750) Ref. proyecto: DNV5-25TPA </t>
        </is>
      </c>
      <c r="C37" s="77" t="n">
        <v>70.40000000000001</v>
      </c>
    </row>
    <row r="38">
      <c r="A38" s="49" t="inlineStr">
        <is>
          <t>41.50.6C.02.01</t>
        </is>
      </c>
      <c r="B38" s="50" t="inlineStr">
        <is>
          <t>EVALUACIÓN POR PARTE DEL EXPERTO 4D DEL PROYECTO 4694-INSPECXRA. Ref. proyecto: ICQD1-25TPA</t>
        </is>
      </c>
      <c r="C38" s="76" t="n">
        <v>220</v>
      </c>
    </row>
    <row r="39">
      <c r="A39" s="52" t="inlineStr">
        <is>
          <t>41.50.6C.02.01</t>
        </is>
      </c>
      <c r="B39" s="53" t="inlineStr">
        <is>
          <t>EVALUACIÓN POR PARTE DEL EXPERTO 4D DEL PROYECTO 4526-HPTXSENSOR. Ref. proyecto: ICQD2-25TPA</t>
        </is>
      </c>
      <c r="C39" s="77" t="n">
        <v>220</v>
      </c>
    </row>
    <row r="40">
      <c r="A40" s="49" t="inlineStr">
        <is>
          <t>41.50.6C.02.02</t>
        </is>
      </c>
      <c r="B40" s="50" t="inlineStr">
        <is>
          <t>EVALUACIÓN POR PARTE DEL EXPERTO COMITÉ 4D DEL PROYECTO "DETECCIÓN EN TIEMPO REAL DE MICROORGANISMOS PATÓGENOS Y COE EN AGUAS DEPURADAS -PRJN-949676. Ref. proyecto: DNV6-25TPA</t>
        </is>
      </c>
      <c r="C40" s="76" t="n">
        <v>70.40000000000001</v>
      </c>
    </row>
    <row r="41">
      <c r="A41" s="52" t="inlineStr">
        <is>
          <t>41.50.6C.02.03</t>
        </is>
      </c>
      <c r="B41" s="53" t="inlineStr">
        <is>
          <t xml:space="preserve">AENOR1-25TPA que corresponde a la referencia SUPERVISIÓN DEL PROYECTO 2003/2136/PIDI/05 TESTCOCK24- DESARROLLO DE SISTEMA ROBÓTICO DE PRUEBA CON ACTUACIÓN Y MEDICIÓN PARA COCKPITS DE AERONAVES PERTENECIENTE A LA ENTIDAD AIRTIFICIAL AEROSPACE &amp; DEFENSE ENGINEERING, S.A. </t>
        </is>
      </c>
      <c r="C41" s="77" t="n">
        <v>136.63</v>
      </c>
    </row>
    <row r="42">
      <c r="A42" s="49" t="inlineStr">
        <is>
          <t>41.50.6C.02.04</t>
        </is>
      </c>
      <c r="B42" s="50" t="inlineStr">
        <is>
          <t>EVALUACIÓN POR PARTE DEL EXPERTO 4D Y COMITÉ DEL PROYECTO "DIGIRREC24" (PRJN-871042) Ref. proyecto: DNV7-25TPA</t>
        </is>
      </c>
      <c r="C42" s="76" t="n">
        <v>140.8</v>
      </c>
    </row>
    <row r="43">
      <c r="A43" s="52" t="inlineStr">
        <is>
          <t>41.50.6C.02.04</t>
        </is>
      </c>
      <c r="B43" s="53" t="inlineStr">
        <is>
          <t xml:space="preserve">EVALUACIÓN POR PARTE DEL EXPERTO 4D Y COMITÉ DEL PROYECTO "SMARTGATES-COMPUERTA INTELIGENTE PARA EL CONTROL DE LOS FLUJOS DE AGUA Y FAUNA ACUÁTICA" (PRJN-939724) DE DNV. Ref. proyecto: DNV9-25TPA </t>
        </is>
      </c>
      <c r="C43" s="77" t="n">
        <v>140.8</v>
      </c>
    </row>
    <row r="44">
      <c r="A44" s="49" t="inlineStr">
        <is>
          <t>41.50.6C.02.04</t>
        </is>
      </c>
      <c r="B44" s="50" t="inlineStr">
        <is>
          <t>EVALUACIÓN POR PARTE DEL EXPERTO COMITÉ DEL PROYECTO "DIGIRREC24 - NUEVAS TECNOLOGIAS DE SOLDADURA AL ARCO PARA MEJORAR CALIDAD DE PRODUCTO Y REDUCIR MATERIA PRIMA (PRJN-971694). Ref: DNV10-25TPA</t>
        </is>
      </c>
      <c r="C44" s="76" t="n">
        <v>70.40000000000001</v>
      </c>
    </row>
    <row r="45">
      <c r="A45" s="52" t="inlineStr">
        <is>
          <t>41.50.6C.02.05</t>
        </is>
      </c>
      <c r="B45" s="53" t="inlineStr">
        <is>
          <t xml:space="preserve">DETERMINACIÓN DE DESPEGUE Y ATERRIZAJE SEGURO Y AUTÓNOMO MEDIANTE VISIÓN ARTIFICIAL E INTELIGENCIA ARTIFICIAL. Primer hito del proyecto. Primer pago </t>
        </is>
      </c>
      <c r="C45" s="77" t="n">
        <v>2909.09</v>
      </c>
    </row>
    <row r="46">
      <c r="A46" s="49" t="inlineStr">
        <is>
          <t>41.50.6C.02.06</t>
        </is>
      </c>
      <c r="B46" s="50" t="inlineStr">
        <is>
          <t xml:space="preserve">DEVELOPMENT OF INFRASTRUCTURE FOR OPTICAL MUSIC RECOGNITION IN LATE MEDIEVAL MANUSCRIPTS AND EARLY PRINTS: TOOLS FOR MODEL TRAINING, DATA ANNOTATION, AND CONTENT SEARCH . Ref. proyecto: ACDH-CH1-25T Investigador principal Jorge Calvo Zaragoza </t>
        </is>
      </c>
      <c r="C46" s="76" t="n">
        <v>40480</v>
      </c>
    </row>
    <row r="47">
      <c r="A47" s="52" t="inlineStr">
        <is>
          <t>41.50.6C.02.07</t>
        </is>
      </c>
      <c r="B47" s="53" t="inlineStr">
        <is>
          <t>Colaboración en Proyecto RiskIA: Herramienta de evaluación de riesgos para la Inteligencia Artificial.  EXP. 13/25/IN/024 Colaboración en las actividades: PT2. Realización de una revisión sistemática de la literatura sobre riesgos de la IA. PT4. Validación de la herramienta para la evaluación y auditoría de riesgos de sistemas de inteligencia artificial.  Ref: AQCLABSOFTWARE1-25T. Factura 1. Investigador Dr. Juan Carlos Trujillo Mondéjar</t>
        </is>
      </c>
      <c r="C47" s="77" t="n">
        <v>44000</v>
      </c>
    </row>
    <row r="48">
      <c r="A48" s="49" t="inlineStr">
        <is>
          <t>41.50.6C.02.07</t>
        </is>
      </c>
      <c r="B48" s="50" t="inlineStr">
        <is>
          <t>Colaboración en Proyecto MMSIA: Entorno para la evaluación de la madurez del desarrollo de software en Sistemas de Inteligencia Artificial Colaboración en las actividades: PT2. Modelo de Evaluación de la madurez. PT4. Validación del entorno de evaluación y auditoría de la madurez del software en SIA.  Ref: AQCLABSOFTWARE1-25T. Factura 2. Investigador Dr. Juan Carlos Trujillo Mondéjar</t>
        </is>
      </c>
      <c r="C48" s="76" t="n">
        <v>61600</v>
      </c>
    </row>
    <row r="49">
      <c r="A49" s="52" t="inlineStr">
        <is>
          <t>41.50.6C.02.09</t>
        </is>
      </c>
      <c r="B49" s="53" t="inlineStr">
        <is>
          <t>ASISTENCIA CIENTÍFICO-TÉCNICA PARA LA APLICACIÓN DE VARIAS TÉCNICAS DE VISIÓN ARTIFICIAL, BASADOS EN MODELOS CNN, GAN, LLM, ARQUITECTURAS BERT, ETC. Y ESTUDIO SOBRE LA APLICABILIDAD DE LOS RESULTADOS. Proyecto PREDERISK4CHILDREN. Nº de pedido de AIJU: 2025/12515. Ref: AIJU3-25TPA</t>
        </is>
      </c>
      <c r="C49" s="77" t="n">
        <v>3801.6</v>
      </c>
    </row>
    <row r="50">
      <c r="A50" s="49" t="inlineStr">
        <is>
          <t>41.50.6C.02.10</t>
        </is>
      </c>
      <c r="B50" s="50" t="inlineStr">
        <is>
          <t xml:space="preserve">ASISTENCIA CIENTÍFICO-TÉCNICA PARA LA APLICACIÓN DE VARIAS TÉCNICAS DE VISIÓN ARTIFICIAL, BASADOS EN MODELOS CNN, GAN, LLM, ARQUITECTURAS BERT, ETC. Y ESTUDIO SOBRE LA APLICABILIDAD DE LOS RESULTADOS", Ref.: INESCOP4-25TPA IMDEEA/2025/34, NP068566 </t>
        </is>
      </c>
      <c r="C50" s="76" t="n">
        <v>3801.6</v>
      </c>
    </row>
    <row r="51">
      <c r="A51" s="52" t="inlineStr">
        <is>
          <t>41.50.6C.02.11</t>
        </is>
      </c>
      <c r="B51" s="53" t="inlineStr">
        <is>
          <t>Colaboración en el PT2 y PT4 del proyecto MAGODS: Modelo de referenciA para la GObernanza y calidaD en eSpacios de datos. Ref: DQTEAM1-25A</t>
        </is>
      </c>
      <c r="C51" s="77" t="n">
        <v>39600</v>
      </c>
    </row>
    <row r="52">
      <c r="A52" s="49" t="inlineStr">
        <is>
          <t>41.50.6C.02.11</t>
        </is>
      </c>
      <c r="B52" s="50" t="inlineStr">
        <is>
          <t>Entorno de autoevaluación y mejora de los procesos de datos organizacionales basado en las especificaciones UNE 0077 a 0080. En los Paquetes de trabajo: PT2. Desarrollo del módulo de propuestas de mejora de datos PT3. Metamodelo para la implantación de las mejoras para el proyecto DQPA. Ref. proyecto: DQTEAM1-25A</t>
        </is>
      </c>
      <c r="C52" s="76" t="n">
        <v>30800</v>
      </c>
    </row>
    <row r="53">
      <c r="A53" s="52" t="inlineStr">
        <is>
          <t>41.50.6C.02.12</t>
        </is>
      </c>
      <c r="B53" s="53" t="inlineStr">
        <is>
          <t>MOVILIDAD SOSTENIBLE COMO FACTOR CLAVE PARA LA EFICIENCIA Y EL DESARROLLO DE NEGOCIOS. Ref: ONEMILLIONBOT1-25A</t>
        </is>
      </c>
      <c r="C53" s="77" t="n">
        <v>4400</v>
      </c>
    </row>
    <row r="54">
      <c r="A54" s="49" t="inlineStr">
        <is>
          <t>41.50.6C.02.13</t>
        </is>
      </c>
      <c r="B54" s="50" t="inlineStr">
        <is>
          <t>CONSULTORIA PARA EL ANALISIS DEL PUNTO DE PARTIDA, DEFINICION DE CASOS DE USO Y REDACCION DEL DOCUMENTO DE ESPECIFICACIONES TECNICAS DEL GEMELO DIGITAL RODES. Ref: AYTOALCOI5-25T. Pago por el desarrollo del primer hito del proyecto.</t>
        </is>
      </c>
      <c r="C54" s="76" t="n">
        <v>4940</v>
      </c>
    </row>
    <row r="55">
      <c r="A55" s="52" t="inlineStr">
        <is>
          <t>41.50.6G.00.05</t>
        </is>
      </c>
      <c r="B55" s="53" t="inlineStr">
        <is>
          <t>Ingresos por inscripciones al congreso TEEM 2024</t>
        </is>
      </c>
      <c r="C55" s="77" t="n">
        <v>34170</v>
      </c>
    </row>
    <row r="56">
      <c r="A56" s="49" t="inlineStr">
        <is>
          <t>41.50.6H.00.04</t>
        </is>
      </c>
      <c r="B56" s="50" t="inlineStr">
        <is>
          <t>DEVOLUCIÓN DE INGRESOS_MODELO 047_ REFERENTE AL JI 20220000000004826_AYUDAS FINANCIACIÓN DEL PROGRAMA INVESTIGO (INVEST/2022/253/267/319/419/431/450/70)</t>
        </is>
      </c>
      <c r="C56" s="76" t="n">
        <v>-1000</v>
      </c>
    </row>
    <row r="57">
      <c r="A57" s="52" t="inlineStr">
        <is>
          <t>41.50.6H.00.05</t>
        </is>
      </c>
      <c r="B57" s="53" t="inlineStr">
        <is>
          <t>CIAPOT/2022/11/13</t>
        </is>
      </c>
      <c r="C57" s="77" t="n">
        <v>9000</v>
      </c>
    </row>
    <row r="58">
      <c r="A58" s="49" t="inlineStr">
        <is>
          <t>41.50.6P.00.46</t>
        </is>
      </c>
      <c r="B58" s="50" t="inlineStr">
        <is>
          <t>DEVOLUCIÓN DE INGRESOS_CARTA DE PAGO_REFERENCIA: PID2020-118447RA-I00, ANUALIDAD: 2021</t>
        </is>
      </c>
      <c r="C58" s="76" t="n">
        <v>-2283.86</v>
      </c>
    </row>
    <row r="59">
      <c r="A59" s="52" t="inlineStr">
        <is>
          <t>41.50.6P.00.47</t>
        </is>
      </c>
      <c r="B59" s="53" t="inlineStr">
        <is>
          <t xml:space="preserve">DEVOLUCIÓN DE INGRESOS_MODELO 047_ REFERENCIA: PROMETEO 2021 EN 2024_PROMETEO/2021/006, PROMETEO/2021/017, PROMETEO/2021/030, PROMETEO/2021/055, PROMETEO/2021/057, PROMETEO/2021/073, PROMETEO/2021/079, PROMETEO/2021/088 </t>
        </is>
      </c>
      <c r="C59" s="77" t="n">
        <v>-43297.83</v>
      </c>
    </row>
    <row r="60">
      <c r="A60" s="49" t="inlineStr">
        <is>
          <t>41.50.6P.00.52</t>
        </is>
      </c>
      <c r="B60" s="50" t="inlineStr">
        <is>
          <t xml:space="preserve">CIPROM/2021/001/006/017/021/022/027/057/060/062/068/070/074 </t>
        </is>
      </c>
      <c r="C60" s="76" t="n">
        <v>141005</v>
      </c>
    </row>
    <row r="61">
      <c r="A61" s="52" t="inlineStr">
        <is>
          <t>41.50.6P.00.53</t>
        </is>
      </c>
      <c r="B61" s="53" t="inlineStr">
        <is>
          <t xml:space="preserve">CIPROM/2021/001/006/017/021/022/027/057/060/062/068/070/074 </t>
        </is>
      </c>
      <c r="C61" s="77" t="n">
        <v>142246.37</v>
      </c>
    </row>
    <row r="62">
      <c r="A62" s="49" t="inlineStr">
        <is>
          <t>41.50.6P.00.56</t>
        </is>
      </c>
      <c r="B62" s="50" t="inlineStr">
        <is>
          <t>DEVOLUCIÓN DE INGRESOS_CARTA DE PAGO_REFERENCIA: TED2021-132103A-I00, ANUALIDAD: 2023</t>
        </is>
      </c>
      <c r="C62" s="76" t="n">
        <v>-5113.71</v>
      </c>
    </row>
    <row r="63">
      <c r="A63" s="52" t="inlineStr">
        <is>
          <t>41.50.6P.00.60</t>
        </is>
      </c>
      <c r="B63" s="53" t="inlineStr">
        <is>
          <t>DEVOLUCIÓN DE INGRESOS_MODELO 047_CIGE 2022</t>
        </is>
      </c>
      <c r="C63" s="77" t="n">
        <v>-4170.99</v>
      </c>
    </row>
    <row r="64">
      <c r="A64" s="49" t="inlineStr">
        <is>
          <t>41.50.6P.00.62</t>
        </is>
      </c>
      <c r="B64" s="50" t="inlineStr">
        <is>
          <t>Ayudas CIAICO/2022/017, CIAICO/2022/019, CIAICO/2022/038, CIAICO/2022/046, CIAICO/2022/047, CIAICO/2022/049, CIAICO/2022/077, CIAICO/2022/078,CIAICO/2022/079, CIAICO/2022/112, CIAICO/2022/132, CIAICO/2022/167, ,CIAICO/2022/177</t>
        </is>
      </c>
      <c r="C64" s="76" t="n">
        <v>29800</v>
      </c>
    </row>
    <row r="65">
      <c r="A65" s="52" t="inlineStr">
        <is>
          <t>41.50.6P.00.62</t>
        </is>
      </c>
      <c r="B65" s="53" t="inlineStr">
        <is>
          <t xml:space="preserve">Minoración AYUDAS CIAICO/2022/017, CIAICO/2022/019,  CIAICO/2022/046, CIAICO/2022/047,  CIAICO/2022/077, CIAICO/2022/078, CIAICO/2022/079, CIAICO/2022/112, CIAICO/2022/132 CIAICO/2022/167 CIAICO/2022/177 </t>
        </is>
      </c>
      <c r="C65" s="77" t="n">
        <v>-8704.58</v>
      </c>
    </row>
    <row r="66">
      <c r="A66" s="49" t="inlineStr">
        <is>
          <t>41.50.6P.00.63</t>
        </is>
      </c>
      <c r="B66" s="50" t="inlineStr">
        <is>
          <t xml:space="preserve">Ayuda CISEJI/2023/9 </t>
        </is>
      </c>
      <c r="C66" s="76" t="n">
        <v>60257.72</v>
      </c>
    </row>
    <row r="67">
      <c r="A67" s="52" t="inlineStr">
        <is>
          <t>41.50.6P.00.64</t>
        </is>
      </c>
      <c r="B67" s="53"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67" s="77" t="n">
        <v>6572</v>
      </c>
    </row>
    <row r="68">
      <c r="A68" s="49" t="inlineStr">
        <is>
          <t>41.50.6P.00.65</t>
        </is>
      </c>
      <c r="B68" s="50" t="inlineStr">
        <is>
          <t>AYUDAS PID2022-138464NB-I00, PID2022-142516OB-I00, PID2022-139990NB-I00, PID2022-141382OB-, 00, PID2022-139899OB-I00, PID2022-136847NB-I00, PID2022-137385NB-I00, PID2022-139294NB-I00, PID2022-137873NA-I00, PID2022-138786NB-I00,PID2022-136590OB-C43, PID2022-139105OB-I00, PID2022-141712NB-C22, PID2022-142356NB-I00, PID2022-141694NB-I00, PID2022-136399NB-C21, PID2022-142159OB-I00,PID2022-137566OB-I00, PID2022-139552OB-C22, PID2022-137302NB-C33, PID2022-139820NB-I00, PID2022-142960OB-C21, PID2022-138111NB-I00, PID2022-141543OB-I00, PID2022-137350NB-I00, PID2022-138491OB-C32, PID2022-137364OB-I00, PID2022-138329NB-I00, PID2022-142830NB-I00, PID2022-138453OB-I00, PID2022-138696OB-C22, PID2022-138853NB-I00, PID2022-142712NB-I00,</t>
        </is>
      </c>
      <c r="C68" s="76" t="n">
        <v>10706</v>
      </c>
    </row>
    <row r="69">
      <c r="A69" s="52" t="inlineStr">
        <is>
          <t>41.50.6P.00.68</t>
        </is>
      </c>
      <c r="B69" s="53" t="inlineStr">
        <is>
          <t xml:space="preserve">Ayudas CIDEXG/2023/2, CIDEXG/2023/2, CIDEXG/2023/13, CIDEXG/2023/13, CIDEXG/2023/7, CIDEXG/2023/7 </t>
        </is>
      </c>
      <c r="C69" s="77" t="n">
        <v>78855.95</v>
      </c>
    </row>
    <row r="70">
      <c r="A70" s="49" t="inlineStr">
        <is>
          <t>41.50.6P.00.71</t>
        </is>
      </c>
      <c r="B70" s="50" t="inlineStr">
        <is>
          <t xml:space="preserve">CIGE/2023/52/94/129/146/165/175/181/184/188/196/197/216/225/227. EN CIGE/2023/196 HAY UNA REASIGNACIÓN DEL IMPORTE (EN JI-2024-3632 SE PRODUCE UNA MINORACIÓN DE 9879,02 Y SE ASIGNA A ESTE AÑO) </t>
        </is>
      </c>
      <c r="C70" s="76" t="n">
        <v>8050</v>
      </c>
    </row>
    <row r="71">
      <c r="A71" s="52" t="inlineStr">
        <is>
          <t>41.50.6P.00.71</t>
        </is>
      </c>
      <c r="B71" s="53" t="inlineStr">
        <is>
          <t>Minoración Ayudas CIGE/2023/52, CIGE/2023/94, CIGE/2023/129, CIGE/2023/146, CIGE/2023/165, CIGE/2023/175, CIGE/2023/181, CIGE/2023/184, CIGE/2023/188, CIGE/2023/197, CIGE/2023/216,  CIGE/2023/227 (LINEA SUBVENCIÓN S0296)</t>
        </is>
      </c>
      <c r="C71" s="77" t="n">
        <v>-1780.85</v>
      </c>
    </row>
    <row r="72">
      <c r="A72" s="49" t="inlineStr">
        <is>
          <t>41.50.6P.00.72</t>
        </is>
      </c>
      <c r="B72" s="50" t="inlineStr">
        <is>
          <t>CIAEST/2023/31/36/12</t>
        </is>
      </c>
      <c r="C72" s="76" t="n">
        <v>18000</v>
      </c>
    </row>
    <row r="73">
      <c r="A73" s="52" t="inlineStr">
        <is>
          <t>41.50.6P.00.73</t>
        </is>
      </c>
      <c r="B73" s="53" t="inlineStr">
        <is>
          <t>CIAEST/2023/31/36/12</t>
        </is>
      </c>
      <c r="C73" s="77" t="n">
        <v>18000</v>
      </c>
    </row>
    <row r="74">
      <c r="A74" s="49" t="inlineStr">
        <is>
          <t>41.50.6P.00.76</t>
        </is>
      </c>
      <c r="B74" s="50"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74" s="76" t="n">
        <v>9229.440000000001</v>
      </c>
    </row>
    <row r="75">
      <c r="A75" s="52" t="inlineStr">
        <is>
          <t>41.50.6P.00.77</t>
        </is>
      </c>
      <c r="B75" s="53" t="inlineStr">
        <is>
          <t>AYUDAS PID2023-146660OB-I00,PID2023-147126OB-I00, PID2023-148259NB-I00, PID2023-148881OB-I00, , PID2023-149456NB-I00,PID2023-149562OB-I00, PID2023-149624NB-I00, ,PID2023-149643NB-I00,PID2023-149706OB-I00,PID2023-149994NB-I00,PID2023-150750NB-I00, PID2023-150761OB-C22, PID2023-150795NB-C22 , PID2023-151559OB-I00, PID2023-151958NB-I00, PID2023-151982NB-I00, PID2023-152305NB-I00, PID2023-152358NA-I00, PID2023-152372NB-I00, PID2023-152566OB-I00, PID2023-152734NB-I00, PID2023-152804OB-I00, PID2023-152869OB-C21, PID2023-153032NB-I00,</t>
        </is>
      </c>
      <c r="C75" s="77" t="n">
        <v>10362</v>
      </c>
    </row>
    <row r="76">
      <c r="A76" s="49" t="inlineStr">
        <is>
          <t>41.50.6P.00.79</t>
        </is>
      </c>
      <c r="B76" s="50" t="inlineStr">
        <is>
          <t>CIAICO/2023/134/178/179/203/250/255/266/268</t>
        </is>
      </c>
      <c r="C76" s="76" t="n">
        <v>29953</v>
      </c>
    </row>
    <row r="77">
      <c r="A77" s="52" t="inlineStr">
        <is>
          <t>41.50.6P.00.79</t>
        </is>
      </c>
      <c r="B77" s="53" t="inlineStr">
        <is>
          <t xml:space="preserve">Minoración parcial CIAICO/2023/178/179/203/250/255/266. </t>
        </is>
      </c>
      <c r="C77" s="77" t="n">
        <v>-3414.85</v>
      </c>
    </row>
    <row r="78">
      <c r="A78" s="49" t="inlineStr">
        <is>
          <t>41.50.6P.00.80</t>
        </is>
      </c>
      <c r="B78" s="50" t="inlineStr">
        <is>
          <t>TSI-100121-2024-10/ TSI-100121-2024-24</t>
        </is>
      </c>
      <c r="C78" s="76" t="n">
        <v>485360</v>
      </c>
    </row>
    <row r="79">
      <c r="A79" s="52" t="inlineStr">
        <is>
          <t>41.50.6P.00.81</t>
        </is>
      </c>
      <c r="B79" s="53" t="inlineStr">
        <is>
          <t>TSI-100121-2024-10/ TSI-100121-2024-24</t>
        </is>
      </c>
      <c r="C79" s="77" t="n">
        <v>612900</v>
      </c>
    </row>
    <row r="80">
      <c r="A80" s="49" t="inlineStr">
        <is>
          <t>41.50.6P.00.86</t>
        </is>
      </c>
      <c r="B80" s="50" t="inlineStr">
        <is>
          <t xml:space="preserve">TSI-100122-2024-10/  TSI-100130-2024-10/ TSI-100130-2024-69 </t>
        </is>
      </c>
      <c r="C80" s="76" t="n">
        <v>1837850</v>
      </c>
    </row>
    <row r="81">
      <c r="A81" s="52" t="inlineStr">
        <is>
          <t>41.50.6P.00.87</t>
        </is>
      </c>
      <c r="B81" s="53" t="inlineStr">
        <is>
          <t xml:space="preserve">TSI-100122-2024-10/  TSI-100130-2024-10/ TSI-100130-2024-69 </t>
        </is>
      </c>
      <c r="C81" s="77" t="n">
        <v>698156</v>
      </c>
    </row>
    <row r="82">
      <c r="A82" s="49" t="inlineStr">
        <is>
          <t>41.50.6P.00.88</t>
        </is>
      </c>
      <c r="B82" s="50" t="inlineStr">
        <is>
          <t xml:space="preserve">TSI-100122-2024-10/  TSI-100130-2024-10/ TSI-100130-2024-69 </t>
        </is>
      </c>
      <c r="C82" s="76" t="n">
        <v>419480</v>
      </c>
    </row>
    <row r="83">
      <c r="A83" s="52" t="inlineStr">
        <is>
          <t>41.50.6P.00.89</t>
        </is>
      </c>
      <c r="B83" s="53" t="inlineStr">
        <is>
          <t>INREIA/2024/151/176/188. AYUDAS PARA PROYECTOS DE DESARROLLO EXPERIMENTAL EN EL ÁREA DE LA INTELIGENCIA ARTIFICIAL Y EL IMPULSO AL DESARROLLO DE ESPACIOS DE DATOS SECTORIALES. Línea Subvención: S1470</t>
        </is>
      </c>
      <c r="C83" s="77" t="n">
        <v>92164.23</v>
      </c>
    </row>
    <row r="84">
      <c r="A84" s="49" t="inlineStr">
        <is>
          <t>41.50.6P.00.90</t>
        </is>
      </c>
      <c r="B84" s="50" t="inlineStr">
        <is>
          <t>INREIA/2024/151/176/188. AYUDAS PARA PROYECTOS DE DESARROLLO EXPERIMENTAL EN EL ÁREA DE LA INTELIGENCIA ARTIFICIAL Y EL IMPULSO AL DESARROLLO DE ESPACIOS DE DATOS SECTORIALES. Línea Subvención: S1470</t>
        </is>
      </c>
      <c r="C84" s="76" t="n">
        <v>76499.92999999999</v>
      </c>
    </row>
    <row r="85">
      <c r="A85" s="52" t="inlineStr">
        <is>
          <t>41.50.6P.00.91</t>
        </is>
      </c>
      <c r="B85" s="53" t="inlineStr">
        <is>
          <t>CIPROM/2024/03/13//90/92</t>
        </is>
      </c>
      <c r="C85" s="77" t="n">
        <v>59246.05</v>
      </c>
    </row>
    <row r="86">
      <c r="A86" s="49" t="inlineStr">
        <is>
          <t>41.50.6P.00.92</t>
        </is>
      </c>
      <c r="B86" s="50"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86" s="76" t="n">
        <v>74640</v>
      </c>
    </row>
    <row r="87">
      <c r="A87" s="52" t="inlineStr">
        <is>
          <t>41.50.6P.00.92</t>
        </is>
      </c>
      <c r="B87" s="53"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87" s="77" t="n">
        <v>42296</v>
      </c>
    </row>
    <row r="88">
      <c r="A88" s="49" t="inlineStr">
        <is>
          <t>41.50.6P.00.93</t>
        </is>
      </c>
      <c r="B88" s="50"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88" s="76" t="n">
        <v>39840</v>
      </c>
    </row>
    <row r="89">
      <c r="A89" s="52" t="inlineStr">
        <is>
          <t>41.50.6P.00.93</t>
        </is>
      </c>
      <c r="B89" s="53"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89" s="77" t="n">
        <v>22576</v>
      </c>
    </row>
    <row r="90">
      <c r="A90" s="49" t="inlineStr">
        <is>
          <t>41.50.6P.00.94</t>
        </is>
      </c>
      <c r="B90" s="50" t="inlineStr">
        <is>
          <t>INGRESO MICIU (AR FEDER). PID2024-157422OA-I00. PID2024-161522OA-I00. PID2024-157087OA-I00. PID2024-162784OB-I00. PID2024-160976NB-I00. PID2024-156526OB-I00. PID2024-158829NB-C41. PID2024-162730NB-I00. PID2024-160791OB-I00. PID2024-158157OB-C31. PID2024-160373OB-C22. PID2024-162431OB-I00. PID2024-159329NB-C22. PID2024-157026OB-I00. PID2024-159638OB-I00. PID2024-155511NB-I00. PID2024-157839NB-I00. PID2024-161912OB-I00. PID2024-155779OB-C33. PID2024-157037OB-I00. PID2024-156263OB-C22. PID2024-161188OB-C22. PID2024-161711OB-I00. PID2024-159363NB-I00. PID2024-155338NB-I00. PID2024-158514NB-I00. PID2024-160604NB-I00</t>
        </is>
      </c>
      <c r="C90" s="76" t="n">
        <v>61620</v>
      </c>
    </row>
    <row r="91">
      <c r="A91" s="52" t="inlineStr">
        <is>
          <t>41.50.6P.00.94</t>
        </is>
      </c>
      <c r="B91" s="53" t="inlineStr">
        <is>
          <t xml:space="preserve">AEI (SUBVENCIÓN).PID2024-155372OB-I00. PID2024-157422OA-I00. PID2024-161522OA-I00. PID2024-157087OA-I00. PID2024-162784OB-I00. PID2024-155652NA-I00. PID2024-160976NB-I00. PID2024-161610OB-I00. PID2024-156526OB-I00. PID2024-158829NB-C41. PID2024-162730NB-I00. PID2024-160791OB-I00. PID2024-155363OB-C43. PID2024-158157OB-C31. PID2024-160373OB-C22. PID2024-162431OB-I00. PID2024-159329NB-C22. PID2024-155726OB-I00. PID2024-157026OB-I00. PID2024-159638OB-I00. PID2024-158024NB-I00. PID2024-160371NB-I00. PID2024-157115NB-I00. PID2024-155511NB-I00. PID2024-157839NB-I00. PID2024-161912OB-I00. PID2024-155779OB-C33. PID2024-155232NB-I00. PID2024-157037OB-I00. PID2024-156263OB-C22. PID2024-161188OB-C22. PID2024-161711OB-I00. PID2024-159363NB-I00. PID2024-156796OB-I00. PID2024-158760NB-I00. PID2024-155338NB-I00. PID2024-158514NB-I00. PID2024-160151NB-I00. PID2024-161439NB-I00. PID2024-162487OB-C21. PID2024-160604NB-I00. </t>
        </is>
      </c>
      <c r="C91" s="77" t="n">
        <v>34918</v>
      </c>
    </row>
    <row r="92">
      <c r="A92" s="49" t="inlineStr">
        <is>
          <t>41.50.6P.00.95</t>
        </is>
      </c>
      <c r="B92" s="50" t="inlineStr">
        <is>
          <t>Ingreso ayudas CIGE/2024/56/95/108/145/178/184/194/199/200/201/202/203/204/205/208/209/212/213</t>
        </is>
      </c>
      <c r="C92" s="76" t="n">
        <v>992</v>
      </c>
    </row>
    <row r="93">
      <c r="A93" s="52" t="inlineStr">
        <is>
          <t>41.50.6P.00.96</t>
        </is>
      </c>
      <c r="B93" s="53" t="inlineStr">
        <is>
          <t>Ayudas CIAICO 2024/6/31/81/130/150/168/186/204/238/296/319</t>
        </is>
      </c>
      <c r="C93" s="77" t="n">
        <v>5000</v>
      </c>
    </row>
    <row r="94">
      <c r="A94" s="49" t="inlineStr">
        <is>
          <t>41.50.6Q.00.01</t>
        </is>
      </c>
      <c r="B94" s="50" t="inlineStr">
        <is>
          <t>INGRESO PERCIBIDO POR LA UNIVERSIDAD DE ALICANTE EN VIRTUD DE CONVENIO PARA EL MANTENIMIENTO DE LA CÁTEDRA ENIA-UA SOBRE INTELIGENCIA ARTIFICIAL ÉTICA Y RESPONSABLE.</t>
        </is>
      </c>
      <c r="C94" s="76" t="n">
        <v>13333.33</v>
      </c>
    </row>
    <row r="95">
      <c r="A95" s="52" t="inlineStr">
        <is>
          <t>41.50.6Q.00.01</t>
        </is>
      </c>
      <c r="B95" s="53" t="inlineStr">
        <is>
          <t>ADENDA AL CONVENIO DE COLABORACIÓN ENTRE LA UNIVERSIDAD DE ALICANTE Y ONE MILLION BOT, S.L. PARA EL MANTENIMIENTO DE LA CÁTEDRA ENIA-UA SOBRE INTELIGENCIA ARTIFICIAL ÉTICA Y RESPONSABLE FIRMADO EL 9 DE MARZO DE 2023</t>
        </is>
      </c>
      <c r="C95" s="77" t="n">
        <v>5000</v>
      </c>
    </row>
    <row r="96">
      <c r="A96" s="49" t="inlineStr">
        <is>
          <t>41.50.6Q.00.01</t>
        </is>
      </c>
      <c r="B96" s="50" t="inlineStr">
        <is>
          <t>ADENDA AL CONVENIO DE COLABORACIÓN ENTRE LA UNIVERSIDAD DE ALICANTE Y ONE MILLION BOT, S.L. PARA EL MANTENIMIENTO DE LA CÁTEDRA ENIA-UA SOBRE INTELIGENCIA ARTIFICIAL ÉTICA Y RESPONSABLE FIRMADO EL 9 DE MARZO DE 2023</t>
        </is>
      </c>
      <c r="C96" s="76" t="n">
        <v>15000</v>
      </c>
    </row>
    <row r="97">
      <c r="A97" s="52" t="inlineStr">
        <is>
          <t>41.50.6X.00.05</t>
        </is>
      </c>
      <c r="B97" s="53" t="inlineStr">
        <is>
          <t>Project: PROTOTYPE PROCESSOR FOR ARD OF COPERNICUS SAR MISSIONS Sub contract No.: 4000144699/24/I-NS-UA Payment milestone MS1: Upon successful completion of WP 100 and WP 200, a successful Mid Term Review (MTR) and acceptance of all related deliverables.  Amount MS1: € 27.419,00 Advance payment received under Invoice 20240000000000582 dated 15/10/2024: € 2.688,00 Total amount payable: € 24.731,00.</t>
        </is>
      </c>
      <c r="C97" s="77" t="n">
        <v>24731</v>
      </c>
    </row>
    <row r="98">
      <c r="A98" s="49" t="inlineStr">
        <is>
          <t>41.50.6X.00.05</t>
        </is>
      </c>
      <c r="B98" s="50" t="inlineStr">
        <is>
          <t xml:space="preserve">PROTOTYPE PROCESSOR FOR ARD OF COPERNICUS SAR MISSIONS. Contract No.: 4000144699/24/I-NS-UA  Payment milestone MS2: Progress: Upon successful completion of WP 300 and WP 400, a successful Requirements Review (RR) and acceptance of all related deliverables for an amount of € 12.898,00 (VAT excluded), which derives from the payment plan included in the above mentioned subcontract.  Advance payment received under Invoice 20240000000000582 dated 15/10/2024: € 5.375,00 Total amount payable: € 7.523,00. </t>
        </is>
      </c>
      <c r="C98" s="76" t="n">
        <v>7523</v>
      </c>
    </row>
    <row r="99" ht="15.75" customHeight="1" thickBot="1">
      <c r="A99" s="52" t="inlineStr">
        <is>
          <t>41.50.6X.00.05</t>
        </is>
      </c>
      <c r="B99" s="53" t="inlineStr">
        <is>
          <t>Advance payment for MS3 (2.312€) and MS4 (4.625€) TOTAL 6.937€ Contract No 4000144699/24/I-NS-UA PROTOTYPE PROCESSOR FOR ARD OF COPERNICUS SAR MISSIONS"</t>
        </is>
      </c>
      <c r="C99" s="77" t="n">
        <v>6937</v>
      </c>
    </row>
    <row r="100" ht="15.75" customHeight="1" thickTop="1">
      <c r="A100" s="55" t="inlineStr">
        <is>
          <t>Total</t>
        </is>
      </c>
      <c r="B100" s="56" t="n"/>
      <c r="C100" s="78" t="n">
        <v>5512919.08</v>
      </c>
    </row>
    <row r="103">
      <c r="B103" s="33" t="inlineStr">
        <is>
          <t>Total ingresos investigación 2023-25</t>
        </is>
      </c>
      <c r="C103" s="79">
        <f>+Tabla3[[#Totals],[Imp. aplic.]]+Tabla2[[#Totals],[Imp.cob.aplic.]]+C100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dped@ua.es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21387280V</dc:creator>
  <dcterms:created xsi:type="dcterms:W3CDTF">2019-07-03T07:15:54Z</dcterms:created>
  <dcterms:modified xsi:type="dcterms:W3CDTF">2026-05-28T21:59:20Z</dcterms:modified>
  <cp:lastModifiedBy>mayte.pujalte</cp:lastModifiedBy>
  <cp:lastPrinted>2019-07-03T07:26:29Z</cp:lastPrinted>
</cp:coreProperties>
</file>