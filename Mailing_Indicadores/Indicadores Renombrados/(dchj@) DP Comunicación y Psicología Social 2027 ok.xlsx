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3" activeTab="7" autoFilterDateGrouping="1"/>
  </bookViews>
  <sheets>
    <sheet name="Tesis" sheetId="1" state="visible" r:id="rId1"/>
    <sheet name="Sexenios" sheetId="2" state="visible" r:id="rId2"/>
    <sheet name="Ingresos investigación 2023" sheetId="3" state="visible" r:id="rId3"/>
    <sheet name="Ingresos investigación 2024" sheetId="4" state="visible" r:id="rId4"/>
    <sheet name="Ingresos investigación 2025" sheetId="5" state="visible" r:id="rId5"/>
    <sheet name="Ingresos formación 2023" sheetId="6" state="visible" r:id="rId6"/>
    <sheet name="Ingresos formación 2024" sheetId="7" state="visible" r:id="rId7"/>
    <sheet name="Ingresos formación 2025" sheetId="8" state="visible" r:id="rId8"/>
    <sheet name="Correo" sheetId="9" state="veryHidden" r:id="rId9"/>
  </sheets>
  <definedNames>
    <definedName name="_xlnm._FilterDatabase" localSheetId="0" hidden="1">'Tesis'!$A$1:$U$38</definedName>
    <definedName name="_xlnm.Print_Titles" localSheetId="0">'Tesis'!$1:$1,'Tesis'!$D:$D</definedName>
    <definedName name="_xlnm.Print_Titles" localSheetId="1">'Sexenios'!$1:$1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.00_-;\-* #,##0.00_-;_-* &quot;-&quot;??_-;_-@_-"/>
    <numFmt numFmtId="165" formatCode="0.0"/>
    <numFmt numFmtId="166" formatCode="_-* #,##0.00\ _€_-;\-* #,##0.00\ _€_-;_-* &quot;-&quot;??\ _€_-;_-@_-"/>
  </numFmts>
  <fonts count="23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b val="1"/>
      <color indexed="8"/>
      <sz val="8"/>
    </font>
    <font>
      <name val="Arial"/>
      <family val="2"/>
      <color indexed="8"/>
      <sz val="10"/>
    </font>
    <font>
      <name val="Arial"/>
      <family val="2"/>
      <sz val="10"/>
    </font>
    <font>
      <name val="Arial"/>
      <family val="2"/>
      <b val="1"/>
      <color indexed="8"/>
      <sz val="10"/>
    </font>
    <font>
      <name val="Arial"/>
      <family val="2"/>
      <b val="1"/>
      <sz val="10"/>
    </font>
    <font>
      <name val="Arial"/>
      <family val="2"/>
      <color theme="1"/>
      <sz val="10"/>
    </font>
    <font>
      <name val="Arial"/>
      <family val="2"/>
      <color rgb="FF000000"/>
      <sz val="8"/>
    </font>
    <font>
      <name val="Arial"/>
      <family val="2"/>
      <b val="1"/>
      <color theme="1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10"/>
    </font>
    <font>
      <name val="Arial"/>
      <family val="2"/>
      <color theme="1"/>
      <sz val="10"/>
    </font>
    <font>
      <name val="Calibri"/>
      <family val="2"/>
      <b val="1"/>
      <color theme="0"/>
      <sz val="11"/>
      <scheme val="minor"/>
    </font>
    <font>
      <name val="Verdana"/>
      <family val="2"/>
      <sz val="8"/>
    </font>
    <font>
      <name val="Calibri"/>
      <family val="2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rgb="FFFF0000"/>
      <sz val="10"/>
    </font>
    <font>
      <name val="Arial"/>
      <b val="1"/>
      <color theme="0"/>
      <sz val="10"/>
    </font>
    <font>
      <name val="Arial"/>
      <color theme="1"/>
      <sz val="10"/>
    </font>
    <font>
      <name val="Arial"/>
      <b val="1"/>
      <color theme="1"/>
      <sz val="10"/>
    </font>
  </fonts>
  <fills count="14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rgb="FFFFFFFF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/>
        <bgColor theme="9" tint="0.799981688894314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/>
        <bgColor theme="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  <border>
      <left/>
      <right/>
      <top/>
      <bottom style="thin">
        <color theme="9" tint="0.3999755851924192"/>
      </bottom>
      <diagonal/>
    </border>
    <border>
      <left/>
      <right/>
      <top style="thin">
        <color theme="9" tint="0.3999755851924192"/>
      </top>
      <bottom/>
      <diagonal/>
    </border>
    <border>
      <left style="thin">
        <color theme="4" tint="0.3999755851924192"/>
      </left>
      <right/>
      <top style="double">
        <color theme="4"/>
      </top>
      <bottom style="thin">
        <color theme="4" tint="0.3999755851924192"/>
      </bottom>
      <diagonal/>
    </border>
    <border>
      <left/>
      <right/>
      <top style="double">
        <color theme="4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</borders>
  <cellStyleXfs count="7">
    <xf numFmtId="0" fontId="12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166" fontId="12" fillId="0" borderId="0"/>
  </cellStyleXfs>
  <cellXfs count="103">
    <xf numFmtId="0" fontId="0" fillId="0" borderId="0" pivotButton="0" quotePrefix="0" xfId="0"/>
    <xf numFmtId="0" fontId="3" fillId="3" borderId="1" applyAlignment="1" pivotButton="0" quotePrefix="0" xfId="1">
      <alignment horizontal="center"/>
    </xf>
    <xf numFmtId="0" fontId="4" fillId="3" borderId="1" applyAlignment="1" pivotButton="0" quotePrefix="0" xfId="1">
      <alignment horizontal="center"/>
    </xf>
    <xf numFmtId="0" fontId="4" fillId="3" borderId="1" applyAlignment="1" pivotButton="0" quotePrefix="0" xfId="2">
      <alignment horizontal="center"/>
    </xf>
    <xf numFmtId="0" fontId="4" fillId="3" borderId="1" applyAlignment="1" pivotButton="0" quotePrefix="0" xfId="3">
      <alignment horizontal="center" wrapText="1"/>
    </xf>
    <xf numFmtId="0" fontId="4" fillId="3" borderId="1" applyAlignment="1" pivotButton="0" quotePrefix="0" xfId="3">
      <alignment horizontal="right" wrapText="1"/>
    </xf>
    <xf numFmtId="0" fontId="2" fillId="4" borderId="0" pivotButton="0" quotePrefix="0" xfId="1"/>
    <xf numFmtId="0" fontId="2" fillId="2" borderId="0" pivotButton="0" quotePrefix="0" xfId="1"/>
    <xf numFmtId="0" fontId="2" fillId="2" borderId="0" applyAlignment="1" pivotButton="0" quotePrefix="0" xfId="1">
      <alignment horizontal="right"/>
    </xf>
    <xf numFmtId="0" fontId="2" fillId="4" borderId="0" applyAlignment="1" pivotButton="0" quotePrefix="0" xfId="1">
      <alignment horizontal="right"/>
    </xf>
    <xf numFmtId="0" fontId="8" fillId="5" borderId="1" applyAlignment="1" pivotButton="0" quotePrefix="0" xfId="3">
      <alignment horizontal="center" textRotation="90" wrapText="1"/>
    </xf>
    <xf numFmtId="0" fontId="8" fillId="3" borderId="1" applyAlignment="1" pivotButton="0" quotePrefix="0" xfId="3">
      <alignment horizontal="center" textRotation="90" wrapText="1"/>
    </xf>
    <xf numFmtId="0" fontId="5" fillId="0" borderId="0" pivotButton="0" quotePrefix="0" xfId="5"/>
    <xf numFmtId="0" fontId="9" fillId="0" borderId="0" pivotButton="0" quotePrefix="0" xfId="5"/>
    <xf numFmtId="0" fontId="9" fillId="0" borderId="0" applyAlignment="1" pivotButton="0" quotePrefix="0" xfId="5">
      <alignment horizontal="right"/>
    </xf>
    <xf numFmtId="0" fontId="7" fillId="2" borderId="1" pivotButton="0" quotePrefix="0" xfId="0"/>
    <xf numFmtId="0" fontId="7" fillId="2" borderId="1" applyAlignment="1" pivotButton="0" quotePrefix="0" xfId="0">
      <alignment textRotation="90"/>
    </xf>
    <xf numFmtId="0" fontId="2" fillId="4" borderId="1" pivotButton="0" quotePrefix="0" xfId="1"/>
    <xf numFmtId="0" fontId="10" fillId="6" borderId="1" applyAlignment="1" pivotButton="0" quotePrefix="0" xfId="0">
      <alignment horizontal="left" vertical="center"/>
    </xf>
    <xf numFmtId="0" fontId="10" fillId="6" borderId="2" applyAlignment="1" pivotButton="0" quotePrefix="0" xfId="0">
      <alignment horizontal="left" vertical="center"/>
    </xf>
    <xf numFmtId="0" fontId="10" fillId="6" borderId="3" applyAlignment="1" pivotButton="0" quotePrefix="0" xfId="0">
      <alignment horizontal="left" vertical="center"/>
    </xf>
    <xf numFmtId="0" fontId="10" fillId="6" borderId="4" applyAlignment="1" pivotButton="0" quotePrefix="0" xfId="0">
      <alignment horizontal="left" vertical="center"/>
    </xf>
    <xf numFmtId="0" fontId="2" fillId="4" borderId="1" applyAlignment="1" pivotButton="0" quotePrefix="0" xfId="1">
      <alignment horizontal="right"/>
    </xf>
    <xf numFmtId="0" fontId="2" fillId="0" borderId="1" pivotButton="0" quotePrefix="0" xfId="1"/>
    <xf numFmtId="0" fontId="2" fillId="4" borderId="5" pivotButton="0" quotePrefix="0" xfId="1"/>
    <xf numFmtId="0" fontId="8" fillId="3" borderId="1" applyAlignment="1" pivotButton="0" quotePrefix="0" xfId="3">
      <alignment horizontal="center" wrapText="1"/>
    </xf>
    <xf numFmtId="0" fontId="11" fillId="0" borderId="1" applyAlignment="1" pivotButton="0" quotePrefix="0" xfId="0">
      <alignment horizontal="right"/>
    </xf>
    <xf numFmtId="4" fontId="11" fillId="0" borderId="1" pivotButton="0" quotePrefix="0" xfId="0"/>
    <xf numFmtId="164" fontId="0" fillId="8" borderId="6" pivotButton="0" quotePrefix="0" xfId="6"/>
    <xf numFmtId="164" fontId="0" fillId="0" borderId="6" pivotButton="0" quotePrefix="0" xfId="6"/>
    <xf numFmtId="0" fontId="2" fillId="0" borderId="1" pivotButton="0" quotePrefix="0" xfId="0"/>
    <xf numFmtId="0" fontId="14" fillId="8" borderId="6" pivotButton="0" quotePrefix="0" xfId="0"/>
    <xf numFmtId="0" fontId="14" fillId="0" borderId="6" pivotButton="0" quotePrefix="0" xfId="0"/>
    <xf numFmtId="164" fontId="0" fillId="0" borderId="0" pivotButton="0" quotePrefix="0" xfId="0"/>
    <xf numFmtId="0" fontId="9" fillId="10" borderId="0" pivotButton="0" quotePrefix="0" xfId="5"/>
    <xf numFmtId="0" fontId="9" fillId="10" borderId="0" applyAlignment="1" pivotButton="0" quotePrefix="0" xfId="5">
      <alignment horizontal="right"/>
    </xf>
    <xf numFmtId="0" fontId="11" fillId="10" borderId="0" pivotButton="0" quotePrefix="0" xfId="5"/>
    <xf numFmtId="0" fontId="9" fillId="0" borderId="1" pivotButton="0" quotePrefix="0" xfId="5"/>
    <xf numFmtId="0" fontId="9" fillId="0" borderId="1" applyAlignment="1" pivotButton="0" quotePrefix="0" xfId="5">
      <alignment horizontal="right"/>
    </xf>
    <xf numFmtId="165" fontId="3" fillId="2" borderId="0" pivotButton="0" quotePrefix="0" xfId="1"/>
    <xf numFmtId="164" fontId="0" fillId="8" borderId="8" pivotButton="0" quotePrefix="0" xfId="6"/>
    <xf numFmtId="0" fontId="0" fillId="0" borderId="8" pivotButton="0" quotePrefix="0" xfId="0"/>
    <xf numFmtId="164" fontId="12" fillId="11" borderId="8" pivotButton="0" quotePrefix="0" xfId="0"/>
    <xf numFmtId="0" fontId="13" fillId="7" borderId="7" pivotButton="0" quotePrefix="0" xfId="0"/>
    <xf numFmtId="0" fontId="14" fillId="0" borderId="8" pivotButton="0" quotePrefix="0" xfId="0"/>
    <xf numFmtId="164" fontId="0" fillId="0" borderId="8" pivotButton="0" quotePrefix="0" xfId="6"/>
    <xf numFmtId="0" fontId="9" fillId="0" borderId="8" pivotButton="0" quotePrefix="0" xfId="0"/>
    <xf numFmtId="164" fontId="12" fillId="0" borderId="8" pivotButton="0" quotePrefix="0" xfId="0"/>
    <xf numFmtId="0" fontId="0" fillId="8" borderId="6" pivotButton="0" quotePrefix="0" xfId="0"/>
    <xf numFmtId="0" fontId="0" fillId="0" borderId="6" pivotButton="0" quotePrefix="0" xfId="0"/>
    <xf numFmtId="0" fontId="15" fillId="7" borderId="7" pivotButton="0" quotePrefix="0" xfId="0"/>
    <xf numFmtId="164" fontId="15" fillId="7" borderId="7" pivotButton="0" quotePrefix="0" xfId="6"/>
    <xf numFmtId="0" fontId="0" fillId="8" borderId="8" pivotButton="0" quotePrefix="0" xfId="0"/>
    <xf numFmtId="0" fontId="0" fillId="11" borderId="8" pivotButton="0" quotePrefix="0" xfId="0"/>
    <xf numFmtId="164" fontId="0" fillId="0" borderId="8" pivotButton="0" quotePrefix="0" xfId="0"/>
    <xf numFmtId="0" fontId="16" fillId="9" borderId="1" applyAlignment="1" pivotButton="0" quotePrefix="0" xfId="0">
      <alignment horizontal="left" vertical="top"/>
    </xf>
    <xf numFmtId="0" fontId="16" fillId="0" borderId="1" applyAlignment="1" pivotButton="0" quotePrefix="0" xfId="0">
      <alignment horizontal="left" vertical="top"/>
    </xf>
    <xf numFmtId="0" fontId="2" fillId="4" borderId="1" pivotButton="0" quotePrefix="0" xfId="1"/>
    <xf numFmtId="0" fontId="2" fillId="4" borderId="0" pivotButton="0" quotePrefix="0" xfId="1"/>
    <xf numFmtId="0" fontId="6" fillId="0" borderId="0" pivotButton="0" quotePrefix="0" xfId="0"/>
    <xf numFmtId="0" fontId="17" fillId="0" borderId="0" pivotButton="0" quotePrefix="0" xfId="0"/>
    <xf numFmtId="0" fontId="18" fillId="0" borderId="1" applyAlignment="1" pivotButton="0" quotePrefix="0" xfId="0">
      <alignment horizontal="right"/>
    </xf>
    <xf numFmtId="4" fontId="18" fillId="0" borderId="1" pivotButton="0" quotePrefix="0" xfId="0"/>
    <xf numFmtId="0" fontId="9" fillId="0" borderId="0" pivotButton="0" quotePrefix="0" xfId="0"/>
    <xf numFmtId="0" fontId="9" fillId="8" borderId="6" pivotButton="0" quotePrefix="0" xfId="0"/>
    <xf numFmtId="164" fontId="9" fillId="8" borderId="6" pivotButton="0" quotePrefix="0" xfId="6"/>
    <xf numFmtId="0" fontId="9" fillId="0" borderId="6" pivotButton="0" quotePrefix="0" xfId="0"/>
    <xf numFmtId="164" fontId="9" fillId="0" borderId="6" pivotButton="0" quotePrefix="0" xfId="6"/>
    <xf numFmtId="164" fontId="9" fillId="11" borderId="6" pivotButton="0" quotePrefix="0" xfId="6"/>
    <xf numFmtId="164" fontId="9" fillId="0" borderId="8" pivotButton="0" quotePrefix="0" xfId="0"/>
    <xf numFmtId="0" fontId="19" fillId="0" borderId="1" pivotButton="0" quotePrefix="0" xfId="5"/>
    <xf numFmtId="0" fontId="6" fillId="0" borderId="1" pivotButton="0" quotePrefix="0" xfId="5"/>
    <xf numFmtId="0" fontId="20" fillId="13" borderId="11" pivotButton="0" quotePrefix="0" xfId="0"/>
    <xf numFmtId="0" fontId="20" fillId="13" borderId="12" pivotButton="0" quotePrefix="0" xfId="0"/>
    <xf numFmtId="0" fontId="21" fillId="12" borderId="11" pivotButton="0" quotePrefix="0" xfId="0"/>
    <xf numFmtId="0" fontId="21" fillId="12" borderId="12" pivotButton="0" quotePrefix="0" xfId="0"/>
    <xf numFmtId="166" fontId="21" fillId="12" borderId="12" pivotButton="0" quotePrefix="0" xfId="6"/>
    <xf numFmtId="0" fontId="21" fillId="0" borderId="11" pivotButton="0" quotePrefix="0" xfId="0"/>
    <xf numFmtId="0" fontId="21" fillId="0" borderId="12" pivotButton="0" quotePrefix="0" xfId="0"/>
    <xf numFmtId="166" fontId="21" fillId="0" borderId="12" pivotButton="0" quotePrefix="0" xfId="6"/>
    <xf numFmtId="0" fontId="22" fillId="0" borderId="9" pivotButton="0" quotePrefix="0" xfId="0"/>
    <xf numFmtId="0" fontId="22" fillId="0" borderId="10" pivotButton="0" quotePrefix="0" xfId="0"/>
    <xf numFmtId="166" fontId="22" fillId="0" borderId="10" pivotButton="0" quotePrefix="0" xfId="6"/>
    <xf numFmtId="166" fontId="20" fillId="13" borderId="12" pivotButton="0" quotePrefix="0" xfId="6"/>
    <xf numFmtId="166" fontId="22" fillId="0" borderId="10" pivotButton="0" quotePrefix="0" xfId="0"/>
    <xf numFmtId="164" fontId="0" fillId="8" borderId="6" pivotButton="0" quotePrefix="0" xfId="6"/>
    <xf numFmtId="164" fontId="0" fillId="0" borderId="6" pivotButton="0" quotePrefix="0" xfId="6"/>
    <xf numFmtId="164" fontId="12" fillId="0" borderId="8" pivotButton="0" quotePrefix="0" xfId="0"/>
    <xf numFmtId="164" fontId="0" fillId="0" borderId="0" pivotButton="0" quotePrefix="0" xfId="0"/>
    <xf numFmtId="164" fontId="15" fillId="7" borderId="7" pivotButton="0" quotePrefix="0" xfId="6"/>
    <xf numFmtId="164" fontId="0" fillId="8" borderId="8" pivotButton="0" quotePrefix="0" xfId="6"/>
    <xf numFmtId="164" fontId="12" fillId="11" borderId="8" pivotButton="0" quotePrefix="0" xfId="0"/>
    <xf numFmtId="166" fontId="21" fillId="12" borderId="12" pivotButton="0" quotePrefix="0" xfId="6"/>
    <xf numFmtId="166" fontId="21" fillId="0" borderId="12" pivotButton="0" quotePrefix="0" xfId="6"/>
    <xf numFmtId="166" fontId="22" fillId="0" borderId="10" pivotButton="0" quotePrefix="0" xfId="6"/>
    <xf numFmtId="164" fontId="0" fillId="0" borderId="8" pivotButton="0" quotePrefix="0" xfId="6"/>
    <xf numFmtId="164" fontId="0" fillId="0" borderId="8" pivotButton="0" quotePrefix="0" xfId="0"/>
    <xf numFmtId="164" fontId="9" fillId="8" borderId="6" pivotButton="0" quotePrefix="0" xfId="6"/>
    <xf numFmtId="164" fontId="9" fillId="0" borderId="6" pivotButton="0" quotePrefix="0" xfId="6"/>
    <xf numFmtId="164" fontId="9" fillId="11" borderId="6" pivotButton="0" quotePrefix="0" xfId="6"/>
    <xf numFmtId="164" fontId="9" fillId="0" borderId="8" pivotButton="0" quotePrefix="0" xfId="0"/>
    <xf numFmtId="166" fontId="20" fillId="13" borderId="12" pivotButton="0" quotePrefix="0" xfId="6"/>
    <xf numFmtId="166" fontId="22" fillId="0" borderId="10" pivotButton="0" quotePrefix="0" xfId="0"/>
  </cellXfs>
  <cellStyles count="7">
    <cellStyle name="Normal" xfId="0" builtinId="0"/>
    <cellStyle name="Normal_Ind.2010" xfId="1"/>
    <cellStyle name="Normal_Becas 14_9_2005" xfId="2"/>
    <cellStyle name="Normal_PDI por Centro" xfId="3"/>
    <cellStyle name="Normal 2" xfId="4"/>
    <cellStyle name="Normal 3" xfId="5"/>
    <cellStyle name="Millares" xfId="6" builtinId="3"/>
  </cellStyles>
  <dxfs count="38">
    <dxf>
      <font>
        <name val="Arial"/>
        <family val="2"/>
        <strike val="0"/>
        <outline val="0"/>
        <shadow val="0"/>
        <color theme="1"/>
        <sz val="10"/>
        <vertAlign val="baseline"/>
      </font>
      <numFmt numFmtId="35" formatCode="_-* #,##0.00_-;\-* #,##0.00_-;_-* &quot;-&quot;??_-;_-@_-"/>
      <border outline="0">
        <left/>
        <right/>
        <top style="thin">
          <color theme="9" tint="0.3999755851924192"/>
        </top>
        <bottom/>
      </border>
    </dxf>
    <dxf>
      <font>
        <name val="Arial"/>
        <family val="2"/>
        <strike val="0"/>
        <outline val="0"/>
        <shadow val="0"/>
        <color theme="1"/>
        <sz val="10"/>
        <vertAlign val="baseline"/>
      </font>
    </dxf>
    <dxf>
      <border outline="0">
        <left/>
        <right/>
        <top style="thin">
          <color theme="9" tint="0.3999755851924192"/>
        </top>
        <bottom/>
      </border>
    </dxf>
    <dxf>
      <font>
        <name val="Arial"/>
        <family val="2"/>
        <strike val="0"/>
        <outline val="0"/>
        <shadow val="0"/>
        <color theme="1"/>
        <sz val="10"/>
        <vertAlign val="baseline"/>
      </font>
    </dxf>
    <dxf>
      <border outline="0">
        <left/>
        <right/>
        <top style="thin">
          <color theme="9" tint="0.3999755851924192"/>
        </top>
        <bottom/>
      </border>
    </dxf>
    <dxf>
      <font>
        <name val="Arial"/>
        <family val="2"/>
        <strike val="0"/>
        <outline val="0"/>
        <shadow val="0"/>
        <color theme="1"/>
        <sz val="10"/>
        <vertAlign val="baseline"/>
      </font>
    </dxf>
    <dxf>
      <border outline="0">
        <top style="thin">
          <color theme="9" tint="0.3999755851924192"/>
        </top>
      </border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font>
        <name val="Arial"/>
        <family val="2"/>
        <strike val="0"/>
        <outline val="0"/>
        <shadow val="0"/>
        <color theme="1"/>
        <sz val="10"/>
        <vertAlign val="baseline"/>
      </font>
    </dxf>
    <dxf>
      <border outline="0">
        <bottom style="thin">
          <color theme="9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9"/>
          <bgColor theme="9"/>
        </patternFill>
      </fill>
    </dxf>
    <dxf>
      <numFmt numFmtId="35" formatCode="_-* #,##0.00_-;\-* #,##0.00_-;_-* &quot;-&quot;??_-;_-@_-"/>
      <border outline="0">
        <left/>
        <right/>
        <top style="thin">
          <color theme="9" tint="0.3999755851924192"/>
        </top>
        <bottom/>
      </border>
    </dxf>
    <dxf>
      <border outline="0">
        <left/>
        <right/>
        <top style="thin">
          <color theme="9" tint="0.3999755851924192"/>
        </top>
        <bottom/>
      </border>
    </dxf>
    <dxf>
      <border outline="0">
        <left/>
        <right/>
        <top style="thin">
          <color theme="9" tint="0.3999755851924192"/>
        </top>
        <bottom/>
      </border>
    </dxf>
    <dxf>
      <border outline="0">
        <top style="thin">
          <color theme="9" tint="0.3999755851924192"/>
        </top>
      </border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theme="9"/>
          <bgColor theme="9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9" tint="0.7999816888943144"/>
          <bgColor theme="0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-* #,##0.00_-;\-* #,##0.00_-;_-* &quot;-&quot;??_-;_-@_-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ill>
        <patternFill patternType="solid">
          <fgColor theme="9" tint="0.7999816888943144"/>
          <bgColor theme="0"/>
        </patternFill>
      </fill>
    </dxf>
    <dxf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ill>
        <patternFill patternType="solid">
          <fgColor theme="9" tint="0.7999816888943144"/>
          <bgColor theme="0"/>
        </patternFill>
      </fill>
    </dxf>
    <dxf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fill>
        <patternFill patternType="solid">
          <fgColor theme="9" tint="0.7999816888943144"/>
          <bgColor theme="0"/>
        </patternFill>
      </fill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 outline="0">
        <left/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-* #,##0.00_-;\-* #,##0.00_-;_-* &quot;-&quot;??_-;_-@_-"/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border outline="0">
        <left/>
        <right/>
        <top/>
        <bottom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border outline="0">
        <left/>
        <right/>
        <top/>
        <bottom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Tabla2" displayName="Tabla2" ref="A1:C12" headerRowCount="1" totalsRowCount="1" headerRowDxfId="37" headerRowBorderDxfId="36" tableBorderDxfId="35" totalsRowBorderDxfId="34">
  <autoFilter ref="A1:C11"/>
  <tableColumns count="3">
    <tableColumn id="1" name="Cód. org. aplic." totalsRowLabel="Total" dataDxfId="33" totalsRowDxfId="32"/>
    <tableColumn id="2" name="Descripción justificante" dataDxfId="31" totalsRowDxfId="30"/>
    <tableColumn id="3" name="Imp.cob.aplic." totalsRowFunction="sum" dataDxfId="29" totalsRowDxfId="28" dataCellStyle="Millares" totalsRowCellStyle="Milla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3" displayName="Tabla3" ref="A1:C13" headerRowCount="1" totalsRowCount="1" totalsRowDxfId="25" headerRowBorderDxfId="27" tableBorderDxfId="26" totalsRowBorderDxfId="24">
  <autoFilter ref="A1:C12"/>
  <tableColumns count="3">
    <tableColumn id="1" name="Org. aplic." totalsRowLabel="Total" dataDxfId="23" totalsRowDxfId="22"/>
    <tableColumn id="2" name="Descripción justificante" dataDxfId="21" totalsRowDxfId="20"/>
    <tableColumn id="3" name="Imp. aplic." totalsRowFunction="sum" dataDxfId="19" totalsRowDxfId="18" dataCellStyle="Millares" totalsRowCellStyle="Millar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a5" displayName="Tabla5" ref="A1:C7" headerRowCount="1" totalsRowCount="1" headerRowDxfId="17" headerRowBorderDxfId="16" tableBorderDxfId="15" totalsRowBorderDxfId="14">
  <autoFilter ref="A1:C6"/>
  <tableColumns count="3">
    <tableColumn id="1" name="Cód. org. aplic." totalsRowLabel="Total" totalsRowDxfId="13"/>
    <tableColumn id="2" name="Descripción justificante" totalsRowDxfId="12"/>
    <tableColumn id="3" name="Imp.cob.aplic." totalsRowFunction="sum" totalsRowDxfId="11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id="4" name="Tabla7" displayName="Tabla7" ref="A1:C10" headerRowCount="1" totalsRowCount="1" headerRowDxfId="10" dataDxfId="8" headerRowBorderDxfId="9" tableBorderDxfId="7" totalsRowBorderDxfId="6">
  <autoFilter ref="A1:C9"/>
  <tableColumns count="3">
    <tableColumn id="1" name="Org. aplic." totalsRowLabel="Total" dataDxfId="5" totalsRowDxfId="4"/>
    <tableColumn id="2" name="Descripción justificante" dataDxfId="3" totalsRowDxfId="2"/>
    <tableColumn id="3" name="Imp. aplic." totalsRowFunction="sum" dataDxfId="1" totalsRow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38"/>
  <sheetViews>
    <sheetView showGridLines="0" zoomScale="120" zoomScaleNormal="12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" sqref="A1:B29"/>
    </sheetView>
  </sheetViews>
  <sheetFormatPr baseColWidth="10" defaultColWidth="10.28515625" defaultRowHeight="11.25"/>
  <cols>
    <col width="5" customWidth="1" style="58" min="1" max="1"/>
    <col width="29.7109375" customWidth="1" style="58" min="2" max="4"/>
    <col width="40.7109375" customWidth="1" style="58" min="5" max="5"/>
    <col width="9.140625" customWidth="1" style="58" min="6" max="6"/>
    <col width="9.7109375" customWidth="1" style="58" min="7" max="7"/>
    <col width="14.42578125" customWidth="1" style="58" min="8" max="8"/>
    <col width="5.85546875" customWidth="1" style="58" min="9" max="9"/>
    <col width="25.7109375" customWidth="1" style="58" min="10" max="10"/>
    <col width="5.140625" customWidth="1" style="58" min="11" max="12"/>
    <col width="4.42578125" customWidth="1" style="58" min="13" max="13"/>
    <col width="4.85546875" customWidth="1" style="58" min="14" max="14"/>
    <col width="4.85546875" customWidth="1" style="9" min="15" max="15"/>
    <col width="4.85546875" customWidth="1" style="58" min="16" max="16"/>
    <col width="3.5703125" customWidth="1" style="9" min="17" max="17"/>
    <col width="3.5703125" customWidth="1" style="58" min="18" max="18"/>
    <col width="5.140625" customWidth="1" style="58" min="19" max="21"/>
    <col width="10.28515625" customWidth="1" style="58" min="22" max="16384"/>
  </cols>
  <sheetData>
    <row r="1" ht="45" customHeight="1">
      <c r="A1" s="1" t="inlineStr">
        <is>
          <t>C.D.</t>
        </is>
      </c>
      <c r="B1" s="2" t="inlineStr">
        <is>
          <t>Departamento</t>
        </is>
      </c>
      <c r="C1" s="2" t="inlineStr">
        <is>
          <t>Plan</t>
        </is>
      </c>
      <c r="D1" s="2" t="inlineStr">
        <is>
          <t>Alumno</t>
        </is>
      </c>
      <c r="E1" s="2" t="inlineStr">
        <is>
          <t>Tesis</t>
        </is>
      </c>
      <c r="F1" s="2" t="inlineStr">
        <is>
          <t>Fecha</t>
        </is>
      </c>
      <c r="G1" s="2" t="inlineStr">
        <is>
          <t>Tutor</t>
        </is>
      </c>
      <c r="H1" s="2" t="inlineStr">
        <is>
          <t>Rol</t>
        </is>
      </c>
      <c r="I1" s="1" t="inlineStr">
        <is>
          <t>C.DEP.</t>
        </is>
      </c>
      <c r="J1" s="2" t="inlineStr">
        <is>
          <t>Departamento Tutor</t>
        </is>
      </c>
      <c r="K1" s="1" t="inlineStr">
        <is>
          <t>ASIGNACIÓN</t>
        </is>
      </c>
      <c r="L1" s="2" t="inlineStr">
        <is>
          <t>DEP.ASIG.</t>
        </is>
      </c>
      <c r="M1" s="3" t="inlineStr">
        <is>
          <t>EJERCICIO</t>
        </is>
      </c>
      <c r="N1" s="4" t="inlineStr">
        <is>
          <t>INS 1</t>
        </is>
      </c>
      <c r="O1" s="5" t="inlineStr">
        <is>
          <t>DED INS 1</t>
        </is>
      </c>
      <c r="P1" s="4" t="inlineStr">
        <is>
          <t>INS 2</t>
        </is>
      </c>
      <c r="Q1" s="5" t="inlineStr">
        <is>
          <t>DED INS 2</t>
        </is>
      </c>
      <c r="R1" s="4" t="inlineStr">
        <is>
          <t>DED DEP</t>
        </is>
      </c>
      <c r="S1" s="4" t="inlineStr">
        <is>
          <t>TDOC DEP</t>
        </is>
      </c>
      <c r="T1" s="4" t="inlineStr">
        <is>
          <t>TDOC INST 1</t>
        </is>
      </c>
      <c r="U1" s="4" t="inlineStr">
        <is>
          <t>TDOC INST 2</t>
        </is>
      </c>
    </row>
    <row r="2" ht="12" customHeight="1" thickBot="1">
      <c r="A2" s="57" t="inlineStr">
        <is>
          <t xml:space="preserve">U023 </t>
        </is>
      </c>
      <c r="B2" s="57" t="inlineStr">
        <is>
          <t xml:space="preserve">ADM. FACULTAD DE FILOSOFIA Y LETRAS </t>
        </is>
      </c>
      <c r="C2" s="57" t="inlineStr">
        <is>
          <t xml:space="preserve">DOCTORADO EN FILOSOFÍA Y LETRAS </t>
        </is>
      </c>
      <c r="D2" s="57" t="inlineStr">
        <is>
          <t xml:space="preserve">Ríos Pérez, Manuel </t>
        </is>
      </c>
      <c r="E2" s="57" t="inlineStr">
        <is>
          <t xml:space="preserve">Concesiones de transporte público regular de viajeros por carretera y su dependencia territorial. Evolución, contexto socioeconómico y modelo desarrollado en la provincia de Alicante </t>
        </is>
      </c>
      <c r="F2" s="57" t="inlineStr">
        <is>
          <t xml:space="preserve">05/11/2020 </t>
        </is>
      </c>
      <c r="G2" s="57" t="inlineStr">
        <is>
          <t xml:space="preserve">21490870S </t>
        </is>
      </c>
      <c r="H2" s="57" t="inlineStr">
        <is>
          <t xml:space="preserve">Codirector de tesis </t>
        </is>
      </c>
      <c r="I2" s="57" t="inlineStr">
        <is>
          <t xml:space="preserve">B175 </t>
        </is>
      </c>
      <c r="J2" s="57" t="inlineStr">
        <is>
          <t xml:space="preserve">COMUNICACIÓN Y PSICOLOGÍA SOCIAL </t>
        </is>
      </c>
      <c r="K2" s="23" t="n">
        <v>0.5</v>
      </c>
      <c r="L2" s="23" t="inlineStr">
        <is>
          <t>B175</t>
        </is>
      </c>
      <c r="M2" s="24" t="n">
        <v>2019</v>
      </c>
      <c r="N2" s="57" t="inlineStr">
        <is>
          <t>10.23</t>
        </is>
      </c>
      <c r="O2" s="22" t="n">
        <v>20</v>
      </c>
      <c r="P2" s="57" t="inlineStr">
        <is>
          <t>10.25</t>
        </is>
      </c>
      <c r="Q2" s="22" t="n">
        <v>30</v>
      </c>
      <c r="R2" s="57" t="n">
        <v>50</v>
      </c>
      <c r="S2" s="57" t="n">
        <v>0.25</v>
      </c>
      <c r="T2" s="57" t="n">
        <v>0.1</v>
      </c>
      <c r="U2" s="57" t="n">
        <v>0.15</v>
      </c>
    </row>
    <row r="3" ht="12" customHeight="1" thickBot="1">
      <c r="A3" s="18" t="inlineStr">
        <is>
          <t xml:space="preserve">B112 </t>
        </is>
      </c>
      <c r="B3" s="18" t="inlineStr">
        <is>
          <t xml:space="preserve">DIDACTICA GENERAL Y DIDÁCTICAS ESPECÍFICAS </t>
        </is>
      </c>
      <c r="C3" s="18" t="inlineStr">
        <is>
          <t xml:space="preserve">DOCTORADO EN INVESTIGACIÓN EDUCATIVA </t>
        </is>
      </c>
      <c r="D3" s="18" t="inlineStr">
        <is>
          <t xml:space="preserve">Alas Trujillo, Norman Noel </t>
        </is>
      </c>
      <c r="E3" s="18" t="inlineStr">
        <is>
          <t xml:space="preserve">Fotoperiodismo y violencia en la prensa online de El Salvador. Estudio transversal desde una perspectiva profesional y universitaria </t>
        </is>
      </c>
      <c r="F3" s="18" t="inlineStr">
        <is>
          <t xml:space="preserve">25/05/2021 </t>
        </is>
      </c>
      <c r="G3" s="19" t="inlineStr">
        <is>
          <t xml:space="preserve">22455996S </t>
        </is>
      </c>
      <c r="H3" s="20" t="inlineStr">
        <is>
          <t xml:space="preserve">Director de tesis </t>
        </is>
      </c>
      <c r="I3" s="20" t="inlineStr">
        <is>
          <t xml:space="preserve">B175 </t>
        </is>
      </c>
      <c r="J3" s="21" t="inlineStr">
        <is>
          <t xml:space="preserve">COMUNICACIÓN Y PSICOLOGÍA SOCIAL </t>
        </is>
      </c>
      <c r="K3" s="23" t="n">
        <v>1</v>
      </c>
      <c r="L3" s="23" t="inlineStr">
        <is>
          <t>B175</t>
        </is>
      </c>
      <c r="M3" s="57" t="n">
        <v>2020</v>
      </c>
      <c r="N3" s="57" t="inlineStr">
        <is>
          <t>10.25</t>
        </is>
      </c>
      <c r="O3" s="22" t="n">
        <v>50</v>
      </c>
      <c r="P3" s="57" t="inlineStr"/>
      <c r="Q3" s="22" t="n">
        <v>0</v>
      </c>
      <c r="R3" s="57" t="n">
        <v>50</v>
      </c>
      <c r="S3" s="57" t="n">
        <v>0.5</v>
      </c>
      <c r="T3" s="57" t="n">
        <v>0.5</v>
      </c>
      <c r="U3" s="57" t="n">
        <v>0</v>
      </c>
    </row>
    <row r="4" ht="12" customHeight="1" thickBot="1">
      <c r="A4" s="18" t="inlineStr">
        <is>
          <t xml:space="preserve">B112 </t>
        </is>
      </c>
      <c r="B4" s="18" t="inlineStr">
        <is>
          <t xml:space="preserve">DIDACTICA GENERAL Y DIDÁCTICAS ESPECÍFICAS </t>
        </is>
      </c>
      <c r="C4" s="18" t="inlineStr">
        <is>
          <t xml:space="preserve">DOCTORADO EN INVESTIGACIÓN EDUCATIVA </t>
        </is>
      </c>
      <c r="D4" s="18" t="inlineStr">
        <is>
          <t xml:space="preserve">Aparicio Pacheco, Rafael Orlando </t>
        </is>
      </c>
      <c r="E4" s="18" t="inlineStr">
        <is>
          <t xml:space="preserve">Las Radios Comunitarias y su influencia en el proceso de desarrollo local en las comunidades salvadoreñas </t>
        </is>
      </c>
      <c r="F4" s="18" t="inlineStr">
        <is>
          <t xml:space="preserve">08/07/2021 </t>
        </is>
      </c>
      <c r="G4" s="19" t="inlineStr">
        <is>
          <t xml:space="preserve">22455996S </t>
        </is>
      </c>
      <c r="H4" s="20" t="inlineStr">
        <is>
          <t xml:space="preserve">Director de tesis </t>
        </is>
      </c>
      <c r="I4" s="20" t="inlineStr">
        <is>
          <t xml:space="preserve">B175 </t>
        </is>
      </c>
      <c r="J4" s="21" t="inlineStr">
        <is>
          <t xml:space="preserve">COMUNICACIÓN Y PSICOLOGÍA SOCIAL </t>
        </is>
      </c>
      <c r="K4" s="23" t="n">
        <v>1</v>
      </c>
      <c r="L4" s="23" t="inlineStr">
        <is>
          <t>B175</t>
        </is>
      </c>
      <c r="M4" s="57" t="n">
        <v>2020</v>
      </c>
      <c r="N4" s="57" t="inlineStr">
        <is>
          <t>10.25</t>
        </is>
      </c>
      <c r="O4" s="22" t="n">
        <v>50</v>
      </c>
      <c r="P4" s="57" t="inlineStr"/>
      <c r="Q4" s="22" t="n">
        <v>0</v>
      </c>
      <c r="R4" s="57" t="n">
        <v>50</v>
      </c>
      <c r="S4" s="57" t="n">
        <v>0.5</v>
      </c>
      <c r="T4" s="57" t="n">
        <v>0.5</v>
      </c>
      <c r="U4" s="57" t="n">
        <v>0</v>
      </c>
    </row>
    <row r="5" ht="12" customHeight="1" thickBot="1">
      <c r="A5" s="18" t="inlineStr">
        <is>
          <t xml:space="preserve">B177 </t>
        </is>
      </c>
      <c r="B5" s="18" t="inlineStr">
        <is>
          <t xml:space="preserve">PSICOLOGÍA EVOLUTIVA Y DIDÁCTICA </t>
        </is>
      </c>
      <c r="C5" s="18" t="inlineStr">
        <is>
          <t xml:space="preserve">DOCTORADO EN INVESTIGACIÓN EDUCATIVA </t>
        </is>
      </c>
      <c r="D5" s="18" t="inlineStr">
        <is>
          <t xml:space="preserve">Alfaro Alfaro, Domingo Orlando </t>
        </is>
      </c>
      <c r="E5" s="18" t="inlineStr">
        <is>
          <t xml:space="preserve">TELEVISIÓN SALVADOREÑA DIRIGIDA A JÓVENES: EDUCACIÓN VERSUS ENTRETENIMIENTO </t>
        </is>
      </c>
      <c r="F5" s="18" t="inlineStr">
        <is>
          <t xml:space="preserve">15/01/2021 </t>
        </is>
      </c>
      <c r="G5" s="19" t="inlineStr">
        <is>
          <t xml:space="preserve">21463378P </t>
        </is>
      </c>
      <c r="H5" s="20" t="inlineStr">
        <is>
          <t xml:space="preserve">Director de tesis </t>
        </is>
      </c>
      <c r="I5" s="20" t="inlineStr">
        <is>
          <t xml:space="preserve">B175 </t>
        </is>
      </c>
      <c r="J5" s="21" t="inlineStr">
        <is>
          <t xml:space="preserve">COMUNICACIÓN Y PSICOLOGÍA SOCIAL </t>
        </is>
      </c>
      <c r="K5" s="23" t="n">
        <v>1</v>
      </c>
      <c r="L5" s="23" t="inlineStr">
        <is>
          <t>B175</t>
        </is>
      </c>
      <c r="M5" s="57" t="n">
        <v>2020</v>
      </c>
      <c r="N5" s="57" t="inlineStr">
        <is>
          <t>10.25</t>
        </is>
      </c>
      <c r="O5" s="22" t="n">
        <v>30</v>
      </c>
      <c r="P5" s="57" t="inlineStr"/>
      <c r="Q5" s="22" t="n">
        <v>0</v>
      </c>
      <c r="R5" s="57" t="n">
        <v>70</v>
      </c>
      <c r="S5" s="57" t="n">
        <v>0.7</v>
      </c>
      <c r="T5" s="57" t="n">
        <v>0.3</v>
      </c>
      <c r="U5" s="57" t="n">
        <v>0</v>
      </c>
    </row>
    <row r="6" ht="12" customHeight="1" thickBot="1">
      <c r="A6" s="18" t="inlineStr">
        <is>
          <t xml:space="preserve">U023 </t>
        </is>
      </c>
      <c r="B6" s="18" t="inlineStr">
        <is>
          <t xml:space="preserve">ADM. FACULTAD DE FILOSOFIA Y LETRAS </t>
        </is>
      </c>
      <c r="C6" s="18" t="inlineStr">
        <is>
          <t xml:space="preserve">DOCTORADO EN FILOSOFÍA Y LETRAS </t>
        </is>
      </c>
      <c r="D6" s="18" t="inlineStr">
        <is>
          <t xml:space="preserve">Santa Soriano, Alba </t>
        </is>
      </c>
      <c r="E6" s="18" t="inlineStr">
        <is>
          <t xml:space="preserve">Relaciones públicas e inteligencia estratégica en la era digital: contexto, convergencia y aplicaciones desde el engagement para maximizar el impacto de los proyectos europeos </t>
        </is>
      </c>
      <c r="F6" s="18" t="inlineStr">
        <is>
          <t xml:space="preserve">22/06/2021 </t>
        </is>
      </c>
      <c r="G6" s="19" t="inlineStr">
        <is>
          <t xml:space="preserve">21490870S </t>
        </is>
      </c>
      <c r="H6" s="20" t="inlineStr">
        <is>
          <t xml:space="preserve">Director de tesis </t>
        </is>
      </c>
      <c r="I6" s="20" t="inlineStr">
        <is>
          <t xml:space="preserve">B175 </t>
        </is>
      </c>
      <c r="J6" s="21" t="inlineStr">
        <is>
          <t xml:space="preserve">COMUNICACIÓN Y PSICOLOGÍA SOCIAL </t>
        </is>
      </c>
      <c r="K6" s="23" t="n">
        <v>1</v>
      </c>
      <c r="L6" s="23" t="inlineStr">
        <is>
          <t>B175</t>
        </is>
      </c>
      <c r="M6" s="57" t="n">
        <v>2020</v>
      </c>
      <c r="N6" s="57" t="inlineStr">
        <is>
          <t>10.23</t>
        </is>
      </c>
      <c r="O6" s="22" t="n">
        <v>20</v>
      </c>
      <c r="P6" s="57" t="inlineStr">
        <is>
          <t>10.25</t>
        </is>
      </c>
      <c r="Q6" s="22" t="n">
        <v>30</v>
      </c>
      <c r="R6" s="57" t="n">
        <v>50</v>
      </c>
      <c r="S6" s="57" t="n">
        <v>0.5</v>
      </c>
      <c r="T6" s="57" t="n">
        <v>0.2</v>
      </c>
      <c r="U6" s="57" t="n">
        <v>0.3</v>
      </c>
    </row>
    <row r="7" ht="12" customHeight="1" thickBot="1">
      <c r="A7" s="18" t="inlineStr">
        <is>
          <t xml:space="preserve">U036 </t>
        </is>
      </c>
      <c r="B7" s="18" t="inlineStr">
        <is>
          <t xml:space="preserve">ADM. FACULTAD DE CIENCIAS ECONÓMICAS </t>
        </is>
      </c>
      <c r="C7" s="18" t="inlineStr">
        <is>
          <t xml:space="preserve">DOCTORADO EN EMPRESA, ECONOMÍA Y SOCIEDAD </t>
        </is>
      </c>
      <c r="D7" s="18" t="inlineStr">
        <is>
          <t xml:space="preserve">Poveda Salvá, Miquel </t>
        </is>
      </c>
      <c r="E7" s="18" t="inlineStr">
        <is>
          <t xml:space="preserve">LAS AGENCIAS DE PUBLICIDAD ALICANTINAS EN EL SIGLO XXI: EVOLUCIÓN Y CAMBIO </t>
        </is>
      </c>
      <c r="F7" s="18" t="inlineStr">
        <is>
          <t xml:space="preserve">20/07/2021 </t>
        </is>
      </c>
      <c r="G7" s="19" t="inlineStr">
        <is>
          <t xml:space="preserve">47076186Q </t>
        </is>
      </c>
      <c r="H7" s="20" t="inlineStr">
        <is>
          <t xml:space="preserve">Codirector de tesis </t>
        </is>
      </c>
      <c r="I7" s="20" t="inlineStr">
        <is>
          <t xml:space="preserve">B175 </t>
        </is>
      </c>
      <c r="J7" s="21" t="inlineStr">
        <is>
          <t xml:space="preserve">COMUNICACIÓN Y PSICOLOGÍA SOCIAL </t>
        </is>
      </c>
      <c r="K7" s="23" t="n">
        <v>0.5</v>
      </c>
      <c r="L7" s="23" t="inlineStr">
        <is>
          <t>B175</t>
        </is>
      </c>
      <c r="M7" s="57" t="n">
        <v>2020</v>
      </c>
      <c r="N7" s="57" t="inlineStr"/>
      <c r="O7" s="22" t="inlineStr"/>
      <c r="P7" s="57" t="inlineStr"/>
      <c r="Q7" s="22" t="inlineStr"/>
      <c r="R7" s="57" t="n">
        <v>100</v>
      </c>
      <c r="S7" s="57" t="n">
        <v>0.5</v>
      </c>
      <c r="T7" s="57" t="n">
        <v>0</v>
      </c>
      <c r="U7" s="57" t="n">
        <v>0</v>
      </c>
    </row>
    <row r="8" ht="12" customHeight="1" thickBot="1">
      <c r="A8" s="18" t="inlineStr">
        <is>
          <t xml:space="preserve">U036 </t>
        </is>
      </c>
      <c r="B8" s="18" t="inlineStr">
        <is>
          <t xml:space="preserve">ADM. FACULTAD DE CIENCIAS ECONÓMICAS </t>
        </is>
      </c>
      <c r="C8" s="18" t="inlineStr">
        <is>
          <t xml:space="preserve">DOCTORADO EN EMPRESA, ECONOMÍA Y SOCIEDAD </t>
        </is>
      </c>
      <c r="D8" s="18" t="inlineStr">
        <is>
          <t xml:space="preserve">Escandell Poveda, Raquel </t>
        </is>
      </c>
      <c r="E8" s="18" t="inlineStr">
        <is>
          <t xml:space="preserve">Radiografía del Seo en España: demanda laboral, sector empresarial y perfil profesional del posicionamiento web </t>
        </is>
      </c>
      <c r="F8" s="18" t="inlineStr">
        <is>
          <t xml:space="preserve">28/07/2021 </t>
        </is>
      </c>
      <c r="G8" s="19" t="inlineStr">
        <is>
          <t xml:space="preserve">33921041C </t>
        </is>
      </c>
      <c r="H8" s="20" t="inlineStr">
        <is>
          <t xml:space="preserve">Codirector de tesis </t>
        </is>
      </c>
      <c r="I8" s="20" t="inlineStr">
        <is>
          <t xml:space="preserve">B175 </t>
        </is>
      </c>
      <c r="J8" s="21" t="inlineStr">
        <is>
          <t xml:space="preserve">COMUNICACIÓN Y PSICOLOGÍA SOCIAL </t>
        </is>
      </c>
      <c r="K8" s="23" t="n">
        <v>0.5</v>
      </c>
      <c r="L8" s="23" t="inlineStr">
        <is>
          <t>B175</t>
        </is>
      </c>
      <c r="M8" s="57" t="n">
        <v>2020</v>
      </c>
      <c r="N8" s="57" t="inlineStr"/>
      <c r="O8" s="22" t="inlineStr"/>
      <c r="P8" s="57" t="inlineStr"/>
      <c r="Q8" s="22" t="inlineStr"/>
      <c r="R8" s="57" t="n">
        <v>100</v>
      </c>
      <c r="S8" s="57" t="n">
        <v>0.5</v>
      </c>
      <c r="T8" s="57" t="n">
        <v>0</v>
      </c>
      <c r="U8" s="57" t="n">
        <v>0</v>
      </c>
    </row>
    <row r="9" ht="12" customHeight="1" thickBot="1">
      <c r="A9" s="18" t="inlineStr">
        <is>
          <t xml:space="preserve">U036 </t>
        </is>
      </c>
      <c r="B9" s="18" t="inlineStr">
        <is>
          <t xml:space="preserve">ADM. FACULTAD DE CIENCIAS ECONÓMICAS </t>
        </is>
      </c>
      <c r="C9" s="18" t="inlineStr">
        <is>
          <t xml:space="preserve">DOCTORADO EN EMPRESA, ECONOMÍA Y SOCIEDAD </t>
        </is>
      </c>
      <c r="D9" s="18" t="inlineStr">
        <is>
          <t xml:space="preserve">Escandell Poveda, Raquel </t>
        </is>
      </c>
      <c r="E9" s="18" t="inlineStr">
        <is>
          <t xml:space="preserve">Radiografía del Seo en España: demanda laboral, sector empresarial y perfil profesional del posicionamiento web </t>
        </is>
      </c>
      <c r="F9" s="18" t="inlineStr">
        <is>
          <t xml:space="preserve">28/07/2021 </t>
        </is>
      </c>
      <c r="G9" s="19" t="inlineStr">
        <is>
          <t xml:space="preserve">21499146B </t>
        </is>
      </c>
      <c r="H9" s="20" t="inlineStr">
        <is>
          <t xml:space="preserve">Codirector de tesis </t>
        </is>
      </c>
      <c r="I9" s="20" t="inlineStr">
        <is>
          <t xml:space="preserve">B175 </t>
        </is>
      </c>
      <c r="J9" s="21" t="inlineStr">
        <is>
          <t xml:space="preserve">COMUNICACIÓN Y PSICOLOGÍA SOCIAL </t>
        </is>
      </c>
      <c r="K9" s="23" t="n">
        <v>0.5</v>
      </c>
      <c r="L9" s="23" t="inlineStr">
        <is>
          <t>B175</t>
        </is>
      </c>
      <c r="M9" s="57" t="n">
        <v>2020</v>
      </c>
      <c r="N9" s="57" t="inlineStr">
        <is>
          <t>10.06</t>
        </is>
      </c>
      <c r="O9" s="22" t="n">
        <v>20</v>
      </c>
      <c r="P9" s="57" t="inlineStr">
        <is>
          <t>10.23</t>
        </is>
      </c>
      <c r="Q9" s="22" t="n">
        <v>20</v>
      </c>
      <c r="R9" s="57" t="n">
        <v>60</v>
      </c>
      <c r="S9" s="57" t="n">
        <v>0.3</v>
      </c>
      <c r="T9" s="57" t="n">
        <v>0.1</v>
      </c>
      <c r="U9" s="57" t="n">
        <v>0.1</v>
      </c>
    </row>
    <row r="10">
      <c r="A10" s="57" t="inlineStr">
        <is>
          <t xml:space="preserve">U073 </t>
        </is>
      </c>
      <c r="B10" s="57" t="inlineStr">
        <is>
          <t xml:space="preserve">ADM. I.U. INVESTIGACIÓN DE ESTUDIOS DE GÉNERO </t>
        </is>
      </c>
      <c r="C10" s="57" t="inlineStr">
        <is>
          <t xml:space="preserve">DOCTORADO EN ESTUDIOS INTERDISCIPLINARES DE GÉNERO </t>
        </is>
      </c>
      <c r="D10" s="57" t="inlineStr">
        <is>
          <t xml:space="preserve">Aragonés González, María </t>
        </is>
      </c>
      <c r="E10" s="57" t="inlineStr">
        <is>
          <t xml:space="preserve">La coeducación como metodología transformadora hacia la igualdad de género </t>
        </is>
      </c>
      <c r="F10" s="57" t="inlineStr">
        <is>
          <t xml:space="preserve">22/09/2021 </t>
        </is>
      </c>
      <c r="G10" s="57" t="inlineStr">
        <is>
          <t xml:space="preserve">21449137G </t>
        </is>
      </c>
      <c r="H10" s="57" t="inlineStr">
        <is>
          <t xml:space="preserve">Codirector de tesis </t>
        </is>
      </c>
      <c r="I10" s="57" t="inlineStr">
        <is>
          <t xml:space="preserve">B175 </t>
        </is>
      </c>
      <c r="J10" s="57" t="inlineStr">
        <is>
          <t xml:space="preserve">COMUNICACIÓN Y PSICOLOGÍA SOCIAL </t>
        </is>
      </c>
      <c r="K10" s="23" t="n">
        <v>0.5</v>
      </c>
      <c r="L10" s="23" t="inlineStr">
        <is>
          <t>B175</t>
        </is>
      </c>
      <c r="M10" s="57" t="n">
        <v>2020</v>
      </c>
      <c r="N10" s="57" t="inlineStr">
        <is>
          <t>10.23</t>
        </is>
      </c>
      <c r="O10" s="22" t="n">
        <v>20</v>
      </c>
      <c r="P10" s="57" t="inlineStr"/>
      <c r="Q10" s="22" t="n">
        <v>0</v>
      </c>
      <c r="R10" s="57" t="n">
        <v>80</v>
      </c>
      <c r="S10" s="57" t="n">
        <v>0.4</v>
      </c>
      <c r="T10" s="57" t="n">
        <v>0.1</v>
      </c>
      <c r="U10" s="57" t="n">
        <v>0</v>
      </c>
    </row>
    <row r="11">
      <c r="A11" s="57" t="inlineStr">
        <is>
          <t xml:space="preserve">ZZ </t>
        </is>
      </c>
      <c r="B11" s="57" t="inlineStr">
        <is>
          <t xml:space="preserve">SIN ASIGNAR </t>
        </is>
      </c>
      <c r="C11" s="57" t="inlineStr">
        <is>
          <t xml:space="preserve">DOCTORADO EN EMPRESA, ECONOMÍA Y SOCIEDAD </t>
        </is>
      </c>
      <c r="D11" s="57" t="inlineStr">
        <is>
          <t xml:space="preserve">Coll ép. Medina Aguerrebere , Eva,Aline </t>
        </is>
      </c>
      <c r="E11" s="57" t="inlineStr">
        <is>
          <t xml:space="preserve">Le principe d¿autonomie de la volonté de la patiente enceinte avant l¿accouchement: modèle de communication hospitalière. </t>
        </is>
      </c>
      <c r="F11" s="57" t="inlineStr">
        <is>
          <t xml:space="preserve">23/04/2021 </t>
        </is>
      </c>
      <c r="G11" s="57" t="inlineStr">
        <is>
          <t xml:space="preserve">29154009Z </t>
        </is>
      </c>
      <c r="H11" s="57" t="inlineStr">
        <is>
          <t xml:space="preserve">Director de tesis </t>
        </is>
      </c>
      <c r="I11" s="57" t="inlineStr">
        <is>
          <t xml:space="preserve">B175 </t>
        </is>
      </c>
      <c r="J11" s="57" t="inlineStr">
        <is>
          <t xml:space="preserve">COMUNICACIÓN Y PSICOLOGÍA SOCIAL </t>
        </is>
      </c>
      <c r="K11" s="23" t="n">
        <v>1</v>
      </c>
      <c r="L11" s="23" t="inlineStr">
        <is>
          <t>B175</t>
        </is>
      </c>
      <c r="M11" s="57" t="n">
        <v>2020</v>
      </c>
      <c r="N11" s="57" t="inlineStr"/>
      <c r="O11" s="22" t="inlineStr"/>
      <c r="P11" s="57" t="inlineStr"/>
      <c r="Q11" s="22" t="inlineStr"/>
      <c r="R11" s="57" t="n">
        <v>100</v>
      </c>
      <c r="S11" s="57" t="n">
        <v>1</v>
      </c>
      <c r="T11" s="57" t="n">
        <v>0</v>
      </c>
      <c r="U11" s="57" t="n">
        <v>0</v>
      </c>
    </row>
    <row r="12">
      <c r="A12" s="57" t="inlineStr">
        <is>
          <t xml:space="preserve">B112 </t>
        </is>
      </c>
      <c r="B12" s="57" t="inlineStr">
        <is>
          <t xml:space="preserve">DIDACTICA GENERAL Y DIDÁCTICAS ESPECÍFICAS </t>
        </is>
      </c>
      <c r="C12" s="57" t="inlineStr">
        <is>
          <t xml:space="preserve">DOCTORADO EN INVESTIGACIÓN EDUCATIVA </t>
        </is>
      </c>
      <c r="D12" s="57" t="inlineStr">
        <is>
          <t xml:space="preserve">García del Castillo López, Fernando </t>
        </is>
      </c>
      <c r="E12" s="57" t="inlineStr">
        <is>
          <t xml:space="preserve">Estilos de vida, comportamiento digital, estado emocional y actividad física en situación de confinamiento por la COVID-19, en una muestra de estudiantes universitarios </t>
        </is>
      </c>
      <c r="F12" s="57" t="inlineStr">
        <is>
          <t xml:space="preserve">11/03/2022 </t>
        </is>
      </c>
      <c r="G12" s="57" t="inlineStr">
        <is>
          <t xml:space="preserve">21495354Z </t>
        </is>
      </c>
      <c r="H12" s="57" t="inlineStr">
        <is>
          <t xml:space="preserve">Codirector de tesis </t>
        </is>
      </c>
      <c r="I12" s="57" t="inlineStr">
        <is>
          <t xml:space="preserve">B175 </t>
        </is>
      </c>
      <c r="J12" s="57" t="inlineStr">
        <is>
          <t xml:space="preserve">COMUNICACIÓN Y PSICOLOGÍA SOCIAL </t>
        </is>
      </c>
      <c r="K12" s="23" t="n">
        <v>0.5</v>
      </c>
      <c r="L12" s="23" t="inlineStr">
        <is>
          <t>B175</t>
        </is>
      </c>
      <c r="M12" s="57" t="n">
        <v>2021</v>
      </c>
      <c r="N12" s="57" t="inlineStr">
        <is>
          <t>10.25</t>
        </is>
      </c>
      <c r="O12" s="22" t="n">
        <v>30</v>
      </c>
      <c r="P12" s="57" t="inlineStr"/>
      <c r="Q12" s="22" t="n">
        <v>0</v>
      </c>
      <c r="R12" s="57" t="n">
        <v>70</v>
      </c>
      <c r="S12" s="57" t="n">
        <v>0.35</v>
      </c>
      <c r="T12" s="57" t="n">
        <v>0.15</v>
      </c>
      <c r="U12" s="57" t="n">
        <v>0</v>
      </c>
    </row>
    <row r="13">
      <c r="A13" s="57" t="inlineStr">
        <is>
          <t xml:space="preserve">U023 </t>
        </is>
      </c>
      <c r="B13" s="57" t="inlineStr">
        <is>
          <t xml:space="preserve">ADM. FACULTAD DE FILOSOFIA Y LETRAS </t>
        </is>
      </c>
      <c r="C13" s="57" t="inlineStr">
        <is>
          <t xml:space="preserve">DOCTORADO EN FILOSOFÍA Y LETRAS </t>
        </is>
      </c>
      <c r="D13" s="57" t="inlineStr">
        <is>
          <t xml:space="preserve">Mateu Torres, Francisco Jose </t>
        </is>
      </c>
      <c r="E13" s="57" t="inlineStr">
        <is>
          <t xml:space="preserve">Los nombres de la rosa: Ecos transmedia y laberintos lúdicos. </t>
        </is>
      </c>
      <c r="F13" s="57" t="inlineStr">
        <is>
          <t xml:space="preserve">27/07/2022 </t>
        </is>
      </c>
      <c r="G13" s="57" t="inlineStr">
        <is>
          <t xml:space="preserve">28991817H </t>
        </is>
      </c>
      <c r="H13" s="57" t="inlineStr">
        <is>
          <t xml:space="preserve">Director de tesis </t>
        </is>
      </c>
      <c r="I13" s="57" t="inlineStr">
        <is>
          <t xml:space="preserve">B175 </t>
        </is>
      </c>
      <c r="J13" s="57" t="inlineStr">
        <is>
          <t xml:space="preserve">COMUNICACIÓN Y PSICOLOGÍA SOCIAL </t>
        </is>
      </c>
      <c r="K13" s="23" t="n">
        <v>1</v>
      </c>
      <c r="L13" s="23" t="inlineStr">
        <is>
          <t>B175</t>
        </is>
      </c>
      <c r="M13" s="57" t="n">
        <v>2021</v>
      </c>
      <c r="N13" s="57" t="inlineStr"/>
      <c r="O13" s="22" t="inlineStr"/>
      <c r="P13" s="57" t="inlineStr"/>
      <c r="Q13" s="22" t="inlineStr"/>
      <c r="R13" s="57" t="n">
        <v>100</v>
      </c>
      <c r="S13" s="57" t="n">
        <v>1</v>
      </c>
      <c r="T13" s="57" t="n">
        <v>0</v>
      </c>
      <c r="U13" s="57" t="n">
        <v>0</v>
      </c>
    </row>
    <row r="14">
      <c r="A14" s="57" t="inlineStr">
        <is>
          <t xml:space="preserve">U036 </t>
        </is>
      </c>
      <c r="B14" s="57" t="inlineStr">
        <is>
          <t xml:space="preserve">ADM. FACULTAD DE CIENCIAS ECONÓMICAS </t>
        </is>
      </c>
      <c r="C14" s="57" t="inlineStr">
        <is>
          <t xml:space="preserve">DOCTORADO EN EMPRESA, ECONOMÍA Y SOCIEDAD </t>
        </is>
      </c>
      <c r="D14" s="57" t="inlineStr">
        <is>
          <t xml:space="preserve">Igual Anton, Diego </t>
        </is>
      </c>
      <c r="E14" s="57" t="inlineStr">
        <is>
          <t xml:space="preserve">Modelo de gestión y comunicación de la RSC en las cooperativas eléctricas </t>
        </is>
      </c>
      <c r="F14" s="57" t="inlineStr">
        <is>
          <t xml:space="preserve">04/02/2022 </t>
        </is>
      </c>
      <c r="G14" s="57" t="inlineStr">
        <is>
          <t xml:space="preserve">33480107L </t>
        </is>
      </c>
      <c r="H14" s="57" t="inlineStr">
        <is>
          <t xml:space="preserve">Director de tesis </t>
        </is>
      </c>
      <c r="I14" s="57" t="inlineStr">
        <is>
          <t xml:space="preserve">B175 </t>
        </is>
      </c>
      <c r="J14" s="57" t="inlineStr">
        <is>
          <t xml:space="preserve">COMUNICACIÓN Y PSICOLOGÍA SOCIAL </t>
        </is>
      </c>
      <c r="K14" s="23" t="n">
        <v>1</v>
      </c>
      <c r="L14" s="23" t="inlineStr">
        <is>
          <t>B175</t>
        </is>
      </c>
      <c r="M14" s="57" t="n">
        <v>2021</v>
      </c>
      <c r="N14" s="57" t="inlineStr">
        <is>
          <t>10.25</t>
        </is>
      </c>
      <c r="O14" s="22" t="n">
        <v>30</v>
      </c>
      <c r="P14" s="57" t="inlineStr"/>
      <c r="Q14" s="22" t="n">
        <v>0</v>
      </c>
      <c r="R14" s="57" t="n">
        <v>70</v>
      </c>
      <c r="S14" s="57" t="n">
        <v>0.7</v>
      </c>
      <c r="T14" s="57" t="n">
        <v>0.3</v>
      </c>
      <c r="U14" s="57" t="n">
        <v>0</v>
      </c>
    </row>
    <row r="15" ht="15" customHeight="1">
      <c r="A15" s="57" t="inlineStr">
        <is>
          <t xml:space="preserve">U023 </t>
        </is>
      </c>
      <c r="B15" s="57" t="inlineStr">
        <is>
          <t xml:space="preserve">ADM. FACULTAD DE FILOSOFIA Y LETRAS </t>
        </is>
      </c>
      <c r="C15" s="57" t="inlineStr">
        <is>
          <t xml:space="preserve">DOCTORADO EN FILOSOFÍA Y LETRAS </t>
        </is>
      </c>
      <c r="D15" s="57" t="inlineStr">
        <is>
          <t xml:space="preserve">Lorenzo Álvarez, Carolina </t>
        </is>
      </c>
      <c r="E15" s="57" t="inlineStr">
        <is>
          <t xml:space="preserve">Estudio de la percepción social sobre comportamientos considerados corruptos y/o éticamente reprobables en la política desde una perspectiva de género. </t>
        </is>
      </c>
      <c r="F15" s="57" t="inlineStr">
        <is>
          <t xml:space="preserve">12/09/2023 </t>
        </is>
      </c>
      <c r="G15" s="57" t="inlineStr">
        <is>
          <t xml:space="preserve">21490870S </t>
        </is>
      </c>
      <c r="H15" s="57" t="inlineStr">
        <is>
          <t xml:space="preserve">Director de tesis </t>
        </is>
      </c>
      <c r="I15" s="57" t="inlineStr">
        <is>
          <t xml:space="preserve">B175 </t>
        </is>
      </c>
      <c r="J15" s="57" t="inlineStr">
        <is>
          <t xml:space="preserve">COMUNICACIÓN Y PSICOLOGÍA SOCIAL </t>
        </is>
      </c>
      <c r="K15" s="30" t="n">
        <v>1</v>
      </c>
      <c r="L15" s="30" t="inlineStr">
        <is>
          <t>B175</t>
        </is>
      </c>
      <c r="M15" s="57" t="n">
        <v>2022</v>
      </c>
      <c r="N15" s="30" t="inlineStr">
        <is>
          <t>10.23</t>
        </is>
      </c>
      <c r="O15" s="30" t="n">
        <v>20</v>
      </c>
      <c r="P15" s="30" t="inlineStr">
        <is>
          <t>10.25</t>
        </is>
      </c>
      <c r="Q15" s="30" t="n">
        <v>30</v>
      </c>
      <c r="R15" s="30" t="n">
        <v>50</v>
      </c>
      <c r="S15" s="30" t="n">
        <v>0.5</v>
      </c>
      <c r="T15" s="30" t="n">
        <v>0.2</v>
      </c>
      <c r="U15" s="30" t="n">
        <v>0.3</v>
      </c>
    </row>
    <row r="16" ht="15" customHeight="1">
      <c r="A16" s="57" t="inlineStr">
        <is>
          <t xml:space="preserve">U023 </t>
        </is>
      </c>
      <c r="B16" s="57" t="inlineStr">
        <is>
          <t xml:space="preserve">ADM. FACULTAD DE FILOSOFIA Y LETRAS </t>
        </is>
      </c>
      <c r="C16" s="57" t="inlineStr">
        <is>
          <t xml:space="preserve">DOCTORADO EN FILOSOFÍA Y LETRAS </t>
        </is>
      </c>
      <c r="D16" s="57" t="inlineStr">
        <is>
          <t xml:space="preserve">Domínguez Hernández, Alexandra </t>
        </is>
      </c>
      <c r="E16" s="57" t="inlineStr">
        <is>
          <t xml:space="preserve">Empleo de eReaders en la lectura de libros digitales: surgimiento, evolución, comportamiento y evaluación de usabilidad del dispositivo para la determinación de un diseño de interfaz en países de habla hispana. </t>
        </is>
      </c>
      <c r="F16" s="57" t="inlineStr">
        <is>
          <t xml:space="preserve">25/11/2022 </t>
        </is>
      </c>
      <c r="G16" s="57" t="inlineStr">
        <is>
          <t xml:space="preserve">21423152D </t>
        </is>
      </c>
      <c r="H16" s="57" t="inlineStr">
        <is>
          <t xml:space="preserve">Codirector de tesis </t>
        </is>
      </c>
      <c r="I16" s="57" t="inlineStr">
        <is>
          <t xml:space="preserve">B175 </t>
        </is>
      </c>
      <c r="J16" s="57" t="inlineStr">
        <is>
          <t xml:space="preserve">COMUNICACIÓN Y PSICOLOGÍA SOCIAL </t>
        </is>
      </c>
      <c r="K16" s="30" t="n">
        <v>0.5</v>
      </c>
      <c r="L16" s="30" t="inlineStr">
        <is>
          <t>B175</t>
        </is>
      </c>
      <c r="M16" s="57" t="n">
        <v>2022</v>
      </c>
      <c r="N16" s="30" t="inlineStr">
        <is>
          <t>10.17</t>
        </is>
      </c>
      <c r="O16" s="30" t="n">
        <v>10</v>
      </c>
      <c r="P16" s="30" t="inlineStr"/>
      <c r="Q16" s="30" t="n">
        <v>0</v>
      </c>
      <c r="R16" s="30" t="n">
        <v>90</v>
      </c>
      <c r="S16" s="30" t="n">
        <v>0.45</v>
      </c>
      <c r="T16" s="30" t="n">
        <v>0.05</v>
      </c>
      <c r="U16" s="30" t="n">
        <v>0</v>
      </c>
    </row>
    <row r="17" ht="15" customHeight="1">
      <c r="A17" s="57" t="inlineStr">
        <is>
          <t xml:space="preserve">U023 </t>
        </is>
      </c>
      <c r="B17" s="57" t="inlineStr">
        <is>
          <t xml:space="preserve">ADM. FACULTAD DE FILOSOFIA Y LETRAS </t>
        </is>
      </c>
      <c r="C17" s="57" t="inlineStr">
        <is>
          <t xml:space="preserve">DOCTORADO EN FILOSOFÍA Y LETRAS </t>
        </is>
      </c>
      <c r="D17" s="57" t="inlineStr">
        <is>
          <t xml:space="preserve">Domínguez Hernández, Alexandra </t>
        </is>
      </c>
      <c r="E17" s="57" t="inlineStr">
        <is>
          <t xml:space="preserve">Empleo de eReaders en la lectura de libros digitales: surgimiento, evolución, comportamiento y evaluación de usabilidad del dispositivo para la determinación de un diseño de interfaz en países de habla hispana. </t>
        </is>
      </c>
      <c r="F17" s="57" t="inlineStr">
        <is>
          <t xml:space="preserve">25/11/2022 </t>
        </is>
      </c>
      <c r="G17" s="57" t="inlineStr">
        <is>
          <t xml:space="preserve">25408576Q </t>
        </is>
      </c>
      <c r="H17" s="57" t="inlineStr">
        <is>
          <t xml:space="preserve">Codirector de tesis </t>
        </is>
      </c>
      <c r="I17" s="57" t="inlineStr">
        <is>
          <t xml:space="preserve">B175 </t>
        </is>
      </c>
      <c r="J17" s="57" t="inlineStr">
        <is>
          <t xml:space="preserve">COMUNICACIÓN Y PSICOLOGÍA SOCIAL </t>
        </is>
      </c>
      <c r="K17" s="30" t="n">
        <v>0.5</v>
      </c>
      <c r="L17" s="30" t="inlineStr">
        <is>
          <t>B175</t>
        </is>
      </c>
      <c r="M17" s="57" t="n">
        <v>2022</v>
      </c>
      <c r="N17" s="30" t="inlineStr"/>
      <c r="O17" s="30" t="inlineStr"/>
      <c r="P17" s="30" t="inlineStr"/>
      <c r="Q17" s="30" t="inlineStr"/>
      <c r="R17" s="30" t="n">
        <v>100</v>
      </c>
      <c r="S17" s="30" t="n">
        <v>0.5</v>
      </c>
      <c r="T17" s="30" t="n">
        <v>0</v>
      </c>
      <c r="U17" s="30" t="n">
        <v>0</v>
      </c>
    </row>
    <row r="18" ht="15" customHeight="1">
      <c r="A18" s="57" t="inlineStr">
        <is>
          <t xml:space="preserve">U036 </t>
        </is>
      </c>
      <c r="B18" s="57" t="inlineStr">
        <is>
          <t xml:space="preserve">ADM. FACULTAD DE CIENCIAS ECONÓMICAS </t>
        </is>
      </c>
      <c r="C18" s="57" t="inlineStr">
        <is>
          <t xml:space="preserve">DOCTORADO EN EMPRESA, ECONOMÍA Y SOCIEDAD </t>
        </is>
      </c>
      <c r="D18" s="57" t="inlineStr">
        <is>
          <t xml:space="preserve">López Belda, Luis Antonio </t>
        </is>
      </c>
      <c r="E18" s="57" t="inlineStr">
        <is>
          <t xml:space="preserve">EL MODELO DE NETFLIX (2015-2020): ESTRATEGIAS DEL SERVICIO DE STREAMING APLICABLES A LAS TIENDAS FNAC. </t>
        </is>
      </c>
      <c r="F18" s="57" t="inlineStr">
        <is>
          <t xml:space="preserve">27/09/2023 </t>
        </is>
      </c>
      <c r="G18" s="57" t="inlineStr">
        <is>
          <t xml:space="preserve">21470210D </t>
        </is>
      </c>
      <c r="H18" s="57" t="inlineStr">
        <is>
          <t xml:space="preserve">Director de tesis </t>
        </is>
      </c>
      <c r="I18" s="57" t="inlineStr">
        <is>
          <t xml:space="preserve">B175 </t>
        </is>
      </c>
      <c r="J18" s="57" t="inlineStr">
        <is>
          <t xml:space="preserve">COMUNICACIÓN Y PSICOLOGÍA SOCIAL </t>
        </is>
      </c>
      <c r="K18" s="30" t="n">
        <v>1</v>
      </c>
      <c r="L18" s="30" t="inlineStr">
        <is>
          <t>B175</t>
        </is>
      </c>
      <c r="M18" s="57" t="n">
        <v>2022</v>
      </c>
      <c r="N18" s="30" t="inlineStr"/>
      <c r="O18" s="30" t="inlineStr"/>
      <c r="P18" s="30" t="inlineStr"/>
      <c r="Q18" s="30" t="inlineStr"/>
      <c r="R18" s="30" t="n">
        <v>100</v>
      </c>
      <c r="S18" s="30" t="n">
        <v>1</v>
      </c>
      <c r="T18" s="30" t="n">
        <v>0</v>
      </c>
      <c r="U18" s="30" t="n">
        <v>0</v>
      </c>
    </row>
    <row r="19" ht="15" customHeight="1">
      <c r="A19" s="57" t="inlineStr">
        <is>
          <t xml:space="preserve">U036 </t>
        </is>
      </c>
      <c r="B19" s="57" t="inlineStr">
        <is>
          <t xml:space="preserve">ADM. FACULTAD DE CIENCIAS ECONÓMICAS </t>
        </is>
      </c>
      <c r="C19" s="57" t="inlineStr">
        <is>
          <t xml:space="preserve">DOCTORADO EN EMPRESA, ECONOMÍA Y SOCIEDAD </t>
        </is>
      </c>
      <c r="D19" s="57" t="inlineStr">
        <is>
          <t xml:space="preserve">González Ros, Ana </t>
        </is>
      </c>
      <c r="E19" s="57" t="inlineStr">
        <is>
          <t xml:space="preserve">Emprendimientos femeninos de moda en Nicaragua </t>
        </is>
      </c>
      <c r="F19" s="57" t="inlineStr">
        <is>
          <t xml:space="preserve">17/03/2023 </t>
        </is>
      </c>
      <c r="G19" s="57" t="inlineStr">
        <is>
          <t xml:space="preserve">21463378P </t>
        </is>
      </c>
      <c r="H19" s="57" t="inlineStr">
        <is>
          <t xml:space="preserve">Director de tesis </t>
        </is>
      </c>
      <c r="I19" s="57" t="inlineStr">
        <is>
          <t xml:space="preserve">B175 </t>
        </is>
      </c>
      <c r="J19" s="57" t="inlineStr">
        <is>
          <t xml:space="preserve">COMUNICACIÓN Y PSICOLOGÍA SOCIAL </t>
        </is>
      </c>
      <c r="K19" s="30" t="n">
        <v>1</v>
      </c>
      <c r="L19" s="30" t="inlineStr">
        <is>
          <t>B175</t>
        </is>
      </c>
      <c r="M19" s="57" t="n">
        <v>2022</v>
      </c>
      <c r="N19" s="30" t="inlineStr">
        <is>
          <t>10.25</t>
        </is>
      </c>
      <c r="O19" s="30" t="n">
        <v>30</v>
      </c>
      <c r="P19" s="30" t="inlineStr"/>
      <c r="Q19" s="30" t="n">
        <v>0</v>
      </c>
      <c r="R19" s="30" t="n">
        <v>70</v>
      </c>
      <c r="S19" s="30" t="n">
        <v>0.7</v>
      </c>
      <c r="T19" s="30" t="n">
        <v>0.3</v>
      </c>
      <c r="U19" s="30" t="n">
        <v>0</v>
      </c>
    </row>
    <row r="20" ht="15" customHeight="1">
      <c r="A20" s="57" t="inlineStr">
        <is>
          <t xml:space="preserve">ZZ </t>
        </is>
      </c>
      <c r="B20" s="57" t="inlineStr">
        <is>
          <t xml:space="preserve">SIN ASIGNAR </t>
        </is>
      </c>
      <c r="C20" s="57" t="inlineStr">
        <is>
          <t xml:space="preserve">DOCTORADO EN EMPRESA, ECONOMÍA Y SOCIEDAD </t>
        </is>
      </c>
      <c r="D20" s="57" t="inlineStr">
        <is>
          <t xml:space="preserve">Llopis Ripoll, Carolina </t>
        </is>
      </c>
      <c r="E20" s="57" t="inlineStr">
        <is>
          <t xml:space="preserve">RESPONSABILIDAD CORPORATIVA Y SOSTENIBILIDAD COMO INTANGIBLES EN LA ESTRATEGIA DE COMUNICACIÓN. EL CASO DE LAS INDUSTRIAS CREATIVAS ESPAÑOLAS DE MODA Y COSMÉTICA </t>
        </is>
      </c>
      <c r="F20" s="57" t="inlineStr">
        <is>
          <t xml:space="preserve">08/09/2023 </t>
        </is>
      </c>
      <c r="G20" s="57" t="inlineStr">
        <is>
          <t xml:space="preserve">21463378P </t>
        </is>
      </c>
      <c r="H20" s="57" t="inlineStr">
        <is>
          <t xml:space="preserve">Codirector de tesis </t>
        </is>
      </c>
      <c r="I20" s="57" t="inlineStr">
        <is>
          <t xml:space="preserve">B175 </t>
        </is>
      </c>
      <c r="J20" s="57" t="inlineStr">
        <is>
          <t xml:space="preserve">COMUNICACIÓN Y PSICOLOGÍA SOCIAL </t>
        </is>
      </c>
      <c r="K20" s="30" t="n">
        <v>0.5</v>
      </c>
      <c r="L20" s="30" t="inlineStr">
        <is>
          <t>B175</t>
        </is>
      </c>
      <c r="M20" s="57" t="n">
        <v>2022</v>
      </c>
      <c r="N20" s="30" t="inlineStr">
        <is>
          <t>10.25</t>
        </is>
      </c>
      <c r="O20" s="30" t="n">
        <v>30</v>
      </c>
      <c r="P20" s="30" t="inlineStr"/>
      <c r="Q20" s="30" t="n">
        <v>0</v>
      </c>
      <c r="R20" s="30" t="n">
        <v>70</v>
      </c>
      <c r="S20" s="30" t="n">
        <v>0.35</v>
      </c>
      <c r="T20" s="30" t="n">
        <v>0.15</v>
      </c>
      <c r="U20" s="30" t="n">
        <v>0</v>
      </c>
    </row>
    <row r="21" ht="15" customHeight="1">
      <c r="A21" s="57" t="inlineStr">
        <is>
          <t xml:space="preserve">ZZ </t>
        </is>
      </c>
      <c r="B21" s="57" t="inlineStr">
        <is>
          <t xml:space="preserve">SIN ASIGNAR </t>
        </is>
      </c>
      <c r="C21" s="57" t="inlineStr">
        <is>
          <t xml:space="preserve">DOCTORADO EN EMPRESA, ECONOMÍA Y SOCIEDAD </t>
        </is>
      </c>
      <c r="D21" s="57" t="inlineStr">
        <is>
          <t xml:space="preserve">Llopis Ripoll, Carolina </t>
        </is>
      </c>
      <c r="E21" s="57" t="inlineStr">
        <is>
          <t xml:space="preserve">RESPONSABILIDAD CORPORATIVA Y SOSTENIBILIDAD COMO INTANGIBLES EN LA ESTRATEGIA DE COMUNICACIÓN. EL CASO DE LAS INDUSTRIAS CREATIVAS ESPAÑOLAS DE MODA Y COSMÉTICA </t>
        </is>
      </c>
      <c r="F21" s="57" t="inlineStr">
        <is>
          <t xml:space="preserve">08/09/2023 </t>
        </is>
      </c>
      <c r="G21" s="57" t="inlineStr">
        <is>
          <t xml:space="preserve">28996174M </t>
        </is>
      </c>
      <c r="H21" s="57" t="inlineStr">
        <is>
          <t xml:space="preserve">Codirector de tesis </t>
        </is>
      </c>
      <c r="I21" s="57" t="inlineStr">
        <is>
          <t xml:space="preserve">B175 </t>
        </is>
      </c>
      <c r="J21" s="57" t="inlineStr">
        <is>
          <t xml:space="preserve">COMUNICACIÓN Y PSICOLOGÍA SOCIAL </t>
        </is>
      </c>
      <c r="K21" s="30" t="n">
        <v>0.5</v>
      </c>
      <c r="L21" s="30" t="inlineStr">
        <is>
          <t>B175</t>
        </is>
      </c>
      <c r="M21" s="57" t="n">
        <v>2022</v>
      </c>
      <c r="N21" s="30" t="inlineStr"/>
      <c r="O21" s="30" t="inlineStr"/>
      <c r="P21" s="30" t="inlineStr"/>
      <c r="Q21" s="30" t="inlineStr"/>
      <c r="R21" s="30" t="n">
        <v>100</v>
      </c>
      <c r="S21" s="30" t="n">
        <v>0.5</v>
      </c>
      <c r="T21" s="30" t="n">
        <v>0</v>
      </c>
      <c r="U21" s="30" t="n">
        <v>0</v>
      </c>
    </row>
    <row r="22">
      <c r="A22" s="57" t="inlineStr">
        <is>
          <t>U036</t>
        </is>
      </c>
      <c r="B22" s="57" t="inlineStr">
        <is>
          <t>ADM. FACULTAD DE CIENCIAS ECONÓMICAS</t>
        </is>
      </c>
      <c r="C22" s="57" t="inlineStr">
        <is>
          <t>DOCTORADO EN EMPRESA, ECONOMÍA Y SOCIEDAD</t>
        </is>
      </c>
      <c r="D22" s="57" t="inlineStr">
        <is>
          <t>Ibañez Hernández, Ana Isabel</t>
        </is>
      </c>
      <c r="E22" s="57" t="inlineStr">
        <is>
          <t>Enfoque crítico de la comunicación responsable en el sector farmacéutico</t>
        </is>
      </c>
      <c r="F22" s="57" t="inlineStr">
        <is>
          <t>26/07/2024</t>
        </is>
      </c>
      <c r="G22" s="57" t="inlineStr">
        <is>
          <t>21499146B</t>
        </is>
      </c>
      <c r="H22" s="57" t="inlineStr">
        <is>
          <t>Codirector de tesis</t>
        </is>
      </c>
      <c r="I22" s="57" t="inlineStr">
        <is>
          <t>B175</t>
        </is>
      </c>
      <c r="J22" s="57" t="inlineStr">
        <is>
          <t>COMUNICACIÓN Y PSICOLOGÍA SOCIAL</t>
        </is>
      </c>
      <c r="K22" s="57" t="n">
        <v>0.5</v>
      </c>
      <c r="L22" s="57" t="inlineStr">
        <is>
          <t>B175</t>
        </is>
      </c>
      <c r="M22" s="57" t="n">
        <v>2023</v>
      </c>
      <c r="N22" s="57" t="inlineStr">
        <is>
          <t>10.06</t>
        </is>
      </c>
      <c r="O22" s="57" t="inlineStr">
        <is>
          <t>20</t>
        </is>
      </c>
      <c r="P22" s="57" t="inlineStr">
        <is>
          <t>10.23</t>
        </is>
      </c>
      <c r="Q22" s="57" t="inlineStr">
        <is>
          <t>20</t>
        </is>
      </c>
      <c r="R22" s="57" t="n">
        <v>60</v>
      </c>
      <c r="S22" s="57" t="n">
        <v>0.3</v>
      </c>
      <c r="T22" s="57" t="n">
        <v>0.1</v>
      </c>
      <c r="U22" s="57" t="n">
        <v>0.1</v>
      </c>
    </row>
    <row r="23">
      <c r="A23" s="57" t="inlineStr">
        <is>
          <t>U036</t>
        </is>
      </c>
      <c r="B23" s="57" t="inlineStr">
        <is>
          <t>ADM. FACULTAD DE CIENCIAS ECONÓMICAS</t>
        </is>
      </c>
      <c r="C23" s="57" t="inlineStr">
        <is>
          <t>DOCTORADO EN EMPRESA, ECONOMÍA Y SOCIEDAD</t>
        </is>
      </c>
      <c r="D23" s="57" t="inlineStr">
        <is>
          <t>Ibañez Hernández, Ana Isabel</t>
        </is>
      </c>
      <c r="E23" s="57" t="inlineStr">
        <is>
          <t>Enfoque crítico de la comunicación responsable en el sector farmacéutico</t>
        </is>
      </c>
      <c r="F23" s="57" t="inlineStr">
        <is>
          <t>26/07/2024</t>
        </is>
      </c>
      <c r="G23" s="57" t="inlineStr">
        <is>
          <t>52772110J</t>
        </is>
      </c>
      <c r="H23" s="57" t="inlineStr">
        <is>
          <t>Codirector de tesis</t>
        </is>
      </c>
      <c r="I23" s="57" t="inlineStr">
        <is>
          <t>B175</t>
        </is>
      </c>
      <c r="J23" s="57" t="inlineStr">
        <is>
          <t>COMUNICACIÓN Y PSICOLOGÍA SOCIAL</t>
        </is>
      </c>
      <c r="K23" s="57" t="n">
        <v>0.5</v>
      </c>
      <c r="L23" s="57" t="inlineStr">
        <is>
          <t>B175</t>
        </is>
      </c>
      <c r="M23" s="57" t="n">
        <v>2023</v>
      </c>
      <c r="N23" s="57" t="inlineStr">
        <is>
          <t>10.25</t>
        </is>
      </c>
      <c r="O23" s="57" t="inlineStr">
        <is>
          <t>30</t>
        </is>
      </c>
      <c r="P23" s="57" t="inlineStr"/>
      <c r="Q23" s="57" t="inlineStr"/>
      <c r="R23" s="57" t="n">
        <v>70</v>
      </c>
      <c r="S23" s="57" t="n">
        <v>0.35</v>
      </c>
      <c r="T23" s="57" t="n">
        <v>0.15</v>
      </c>
      <c r="U23" s="57" t="n">
        <v>0</v>
      </c>
    </row>
    <row r="24">
      <c r="A24" s="57" t="inlineStr">
        <is>
          <t>U036</t>
        </is>
      </c>
      <c r="B24" s="57" t="inlineStr">
        <is>
          <t>ADM. FACULTAD DE CIENCIAS ECONÓMICAS</t>
        </is>
      </c>
      <c r="C24" s="57" t="inlineStr">
        <is>
          <t>DOCTORADO EN EMPRESA, ECONOMÍA Y SOCIEDAD</t>
        </is>
      </c>
      <c r="D24" s="57" t="inlineStr">
        <is>
          <t>Pérez Femenia, Esther</t>
        </is>
      </c>
      <c r="E24" s="57" t="inlineStr">
        <is>
          <t>L¿ÚS DE LA RÀDIO EN ESO I BATXILLERAT COM A EINA DE MOTIVACIÓ PER A MILLORAR L¿APRENENTATGE DE LLENGÜES</t>
        </is>
      </c>
      <c r="F24" s="57" t="inlineStr">
        <is>
          <t>24/05/2024</t>
        </is>
      </c>
      <c r="G24" s="57" t="inlineStr">
        <is>
          <t>33921041C</t>
        </is>
      </c>
      <c r="H24" s="57" t="inlineStr">
        <is>
          <t>Director de tesis</t>
        </is>
      </c>
      <c r="I24" s="57" t="inlineStr">
        <is>
          <t>B175</t>
        </is>
      </c>
      <c r="J24" s="57" t="inlineStr">
        <is>
          <t>COMUNICACIÓN Y PSICOLOGÍA SOCIAL</t>
        </is>
      </c>
      <c r="K24" s="57" t="n">
        <v>1</v>
      </c>
      <c r="L24" s="57" t="inlineStr">
        <is>
          <t>B175</t>
        </is>
      </c>
      <c r="M24" s="57" t="n">
        <v>2023</v>
      </c>
      <c r="N24" s="57" t="inlineStr"/>
      <c r="O24" s="57" t="inlineStr"/>
      <c r="P24" s="57" t="inlineStr"/>
      <c r="Q24" s="57" t="inlineStr"/>
      <c r="R24" s="57" t="n">
        <v>100</v>
      </c>
      <c r="S24" s="57" t="n">
        <v>1</v>
      </c>
      <c r="T24" s="57" t="n">
        <v>0</v>
      </c>
      <c r="U24" s="57" t="n">
        <v>0</v>
      </c>
    </row>
    <row r="25">
      <c r="A25" s="57" t="inlineStr">
        <is>
          <t>U036</t>
        </is>
      </c>
      <c r="B25" s="57" t="inlineStr">
        <is>
          <t>ADM. FACULTAD DE CIENCIAS ECONÓMICAS</t>
        </is>
      </c>
      <c r="C25" s="57" t="inlineStr">
        <is>
          <t>DOCTORADO EN EMPRESA, ECONOMÍA Y SOCIEDAD</t>
        </is>
      </c>
      <c r="D25" s="57" t="inlineStr">
        <is>
          <t>García Martínez, María Ester</t>
        </is>
      </c>
      <c r="E25" s="57" t="inlineStr">
        <is>
          <t>ANALÍTICA DE LOS PROCESOS DE OPTIMIZACIÓN DE LA CONVERSIÓN WEB: INFLUENCIA DE LA VARIABLE TIPOGRÁFICA</t>
        </is>
      </c>
      <c r="F25" s="57" t="inlineStr">
        <is>
          <t>05/07/2024</t>
        </is>
      </c>
      <c r="G25" s="57" t="inlineStr">
        <is>
          <t>52773057V</t>
        </is>
      </c>
      <c r="H25" s="57" t="inlineStr">
        <is>
          <t>Codirector de tesis</t>
        </is>
      </c>
      <c r="I25" s="57" t="inlineStr">
        <is>
          <t>B175</t>
        </is>
      </c>
      <c r="J25" s="57" t="inlineStr">
        <is>
          <t>COMUNICACIÓN Y PSICOLOGÍA SOCIAL</t>
        </is>
      </c>
      <c r="K25" s="57" t="n">
        <v>0.5</v>
      </c>
      <c r="L25" s="57" t="inlineStr">
        <is>
          <t>B175</t>
        </is>
      </c>
      <c r="M25" s="57" t="n">
        <v>2023</v>
      </c>
      <c r="N25" s="57" t="inlineStr">
        <is>
          <t>10.25</t>
        </is>
      </c>
      <c r="O25" s="57" t="inlineStr">
        <is>
          <t>30</t>
        </is>
      </c>
      <c r="P25" s="57" t="inlineStr"/>
      <c r="Q25" s="57" t="inlineStr"/>
      <c r="R25" s="57" t="n">
        <v>70</v>
      </c>
      <c r="S25" s="57" t="n">
        <v>0.35</v>
      </c>
      <c r="T25" s="57" t="n">
        <v>0.15</v>
      </c>
      <c r="U25" s="57" t="n">
        <v>0</v>
      </c>
    </row>
    <row r="26">
      <c r="A26" s="57" t="inlineStr">
        <is>
          <t>U036</t>
        </is>
      </c>
      <c r="B26" s="57" t="inlineStr">
        <is>
          <t>ADM. FACULTAD DE CIENCIAS ECONÓMICAS</t>
        </is>
      </c>
      <c r="C26" s="57" t="inlineStr">
        <is>
          <t>DOCTORADO EN EMPRESA, ECONOMÍA Y SOCIEDAD</t>
        </is>
      </c>
      <c r="D26" s="57" t="inlineStr">
        <is>
          <t>García Martínez, María Ester</t>
        </is>
      </c>
      <c r="E26" s="57" t="inlineStr">
        <is>
          <t>ANALÍTICA DE LOS PROCESOS DE OPTIMIZACIÓN DE LA CONVERSIÓN WEB: INFLUENCIA DE LA VARIABLE TIPOGRÁFICA</t>
        </is>
      </c>
      <c r="F26" s="57" t="inlineStr">
        <is>
          <t>05/07/2024</t>
        </is>
      </c>
      <c r="G26" s="57" t="inlineStr">
        <is>
          <t>21490836G</t>
        </is>
      </c>
      <c r="H26" s="57" t="inlineStr">
        <is>
          <t>Codirector de tesis</t>
        </is>
      </c>
      <c r="I26" s="57" t="inlineStr">
        <is>
          <t>B175</t>
        </is>
      </c>
      <c r="J26" s="57" t="inlineStr">
        <is>
          <t>COMUNICACIÓN Y PSICOLOGÍA SOCIAL</t>
        </is>
      </c>
      <c r="K26" s="57" t="n">
        <v>0.5</v>
      </c>
      <c r="L26" s="57" t="inlineStr">
        <is>
          <t>B175</t>
        </is>
      </c>
      <c r="M26" s="57" t="n">
        <v>2023</v>
      </c>
      <c r="N26" s="57" t="inlineStr"/>
      <c r="O26" s="57" t="inlineStr"/>
      <c r="P26" s="57" t="inlineStr"/>
      <c r="Q26" s="57" t="inlineStr"/>
      <c r="R26" s="57" t="n">
        <v>100</v>
      </c>
      <c r="S26" s="57" t="n">
        <v>0.5</v>
      </c>
      <c r="T26" s="57" t="n">
        <v>0</v>
      </c>
      <c r="U26" s="57" t="n">
        <v>0</v>
      </c>
    </row>
    <row r="27">
      <c r="A27" s="57" t="inlineStr">
        <is>
          <t>U036</t>
        </is>
      </c>
      <c r="B27" s="57" t="inlineStr">
        <is>
          <t>ADM. FACULTAD DE CIENCIAS ECONÓMICAS</t>
        </is>
      </c>
      <c r="C27" s="57" t="inlineStr">
        <is>
          <t>DOCTORADO EN EMPRESA, ECONOMÍA Y SOCIEDAD</t>
        </is>
      </c>
      <c r="D27" s="57" t="inlineStr">
        <is>
          <t>Guijarro Sánchez, Rocío</t>
        </is>
      </c>
      <c r="E27" s="57" t="inlineStr">
        <is>
          <t>Las TIC en los museos de arte contemporáneo. Estudio de caso del Museo de Arte Contemporáneo de Alicante, MACA</t>
        </is>
      </c>
      <c r="F27" s="57" t="inlineStr">
        <is>
          <t>09/02/2024</t>
        </is>
      </c>
      <c r="G27" s="57" t="inlineStr">
        <is>
          <t>33921041C</t>
        </is>
      </c>
      <c r="H27" s="57" t="inlineStr">
        <is>
          <t>Director de tesis</t>
        </is>
      </c>
      <c r="I27" s="57" t="inlineStr">
        <is>
          <t>B175</t>
        </is>
      </c>
      <c r="J27" s="57" t="inlineStr">
        <is>
          <t>COMUNICACIÓN Y PSICOLOGÍA SOCIAL</t>
        </is>
      </c>
      <c r="K27" s="57" t="n">
        <v>1</v>
      </c>
      <c r="L27" s="57" t="inlineStr">
        <is>
          <t>B175</t>
        </is>
      </c>
      <c r="M27" s="57" t="n">
        <v>2023</v>
      </c>
      <c r="N27" s="57" t="inlineStr"/>
      <c r="O27" s="57" t="inlineStr"/>
      <c r="P27" s="57" t="inlineStr"/>
      <c r="Q27" s="57" t="inlineStr"/>
      <c r="R27" s="57" t="n">
        <v>100</v>
      </c>
      <c r="S27" s="57" t="n">
        <v>1</v>
      </c>
      <c r="T27" s="57" t="n">
        <v>0</v>
      </c>
      <c r="U27" s="57" t="n">
        <v>0</v>
      </c>
    </row>
    <row r="28">
      <c r="A28" s="57" t="inlineStr">
        <is>
          <t xml:space="preserve">U023 </t>
        </is>
      </c>
      <c r="B28" s="57" t="inlineStr">
        <is>
          <t>ADM. FACULTAD DE FILOSOFIA Y LETRAS</t>
        </is>
      </c>
      <c r="C28" s="57" t="inlineStr">
        <is>
          <t>DOCTORADO EN FILOSOFÍA Y LETRAS</t>
        </is>
      </c>
      <c r="D28" s="57" t="inlineStr">
        <is>
          <t>Juárez Varón, Manuel Ángel</t>
        </is>
      </c>
      <c r="E28" s="57" t="inlineStr">
        <is>
          <t>POSICIONAMIENTO WEB VERSUS USABILIDAD WEB EMPLEANDO BIOMETRÍA DE NEUROCIENCIA. CASO DEL SECTOR DEL JUGUETE EN ESPAÑA</t>
        </is>
      </c>
      <c r="F28" s="57" t="inlineStr">
        <is>
          <t>27/09/2023</t>
        </is>
      </c>
      <c r="G28" s="57" t="inlineStr">
        <is>
          <t xml:space="preserve">21463378P </t>
        </is>
      </c>
      <c r="H28" s="57" t="inlineStr">
        <is>
          <t>Director de tesis</t>
        </is>
      </c>
      <c r="I28" s="57" t="inlineStr">
        <is>
          <t>B175</t>
        </is>
      </c>
      <c r="J28" s="57" t="inlineStr">
        <is>
          <t>COMUNICACIÓN Y PSICOLOGÍA SOCIAL</t>
        </is>
      </c>
      <c r="K28" s="57" t="n">
        <v>1</v>
      </c>
      <c r="L28" s="57" t="inlineStr">
        <is>
          <t>B175</t>
        </is>
      </c>
      <c r="M28" s="57" t="n">
        <v>2022</v>
      </c>
      <c r="N28" s="57" t="inlineStr">
        <is>
          <t>10.25</t>
        </is>
      </c>
      <c r="O28" s="57" t="n">
        <v>30</v>
      </c>
      <c r="P28" s="57" t="inlineStr"/>
      <c r="Q28" s="57" t="n">
        <v>0</v>
      </c>
      <c r="R28" s="57" t="n">
        <v>70</v>
      </c>
      <c r="S28" s="57" t="n">
        <v>0.7</v>
      </c>
      <c r="T28" s="57" t="n">
        <v>0.3</v>
      </c>
      <c r="U28" s="57" t="n">
        <v>0</v>
      </c>
    </row>
    <row r="29" ht="15" customFormat="1" customHeight="1" s="60">
      <c r="A29" s="55" t="inlineStr">
        <is>
          <t>U075</t>
        </is>
      </c>
      <c r="B29" s="55" t="inlineStr">
        <is>
          <t>I.U.INVESTIGACIÓN DE ESTUDIOS SOCIALES DE AMÉRICA LATINA (10.25)</t>
        </is>
      </c>
      <c r="C29" s="55" t="inlineStr">
        <is>
          <t>DOCTORADO EN HUMANIDADES Y ESTUDIOS SOCIALES DE AMÉRICA LATINA</t>
        </is>
      </c>
      <c r="D29" s="55" t="inlineStr">
        <is>
          <t>Rodríguez Sánchez, Dolores Amparito</t>
        </is>
      </c>
      <c r="E29" s="55" t="inlineStr">
        <is>
          <t>CONSUMO DE DROGAS Y SUS CONSECUENCIAS PSICOLÓGICAS EN PACIENTES INTERNOS EN COMUNIDADES TERAPÉUTICAS DE ECUADOR</t>
        </is>
      </c>
      <c r="F29" s="55" t="inlineStr">
        <is>
          <t>26/09/2024</t>
        </is>
      </c>
      <c r="G29" s="55" t="inlineStr">
        <is>
          <t>22455996S</t>
        </is>
      </c>
      <c r="H29" s="55" t="inlineStr">
        <is>
          <t>Codirector de tesis</t>
        </is>
      </c>
      <c r="I29" s="56" t="inlineStr">
        <is>
          <t>B175</t>
        </is>
      </c>
      <c r="J29" s="55" t="inlineStr">
        <is>
          <t>COMUNICACIÓN Y PSICOLOGÍA SOCIAL</t>
        </is>
      </c>
      <c r="K29" s="30" t="n">
        <v>0.5</v>
      </c>
      <c r="L29" s="30" t="inlineStr">
        <is>
          <t>B175</t>
        </is>
      </c>
      <c r="M29" s="57" t="n">
        <v>2023</v>
      </c>
      <c r="N29" s="30" t="inlineStr">
        <is>
          <t>10.25</t>
        </is>
      </c>
      <c r="O29" s="30" t="inlineStr">
        <is>
          <t>50</t>
        </is>
      </c>
      <c r="P29" s="30" t="inlineStr"/>
      <c r="Q29" s="30" t="inlineStr"/>
      <c r="R29" s="30" t="n">
        <v>50</v>
      </c>
      <c r="S29" s="30" t="n">
        <v>0.25</v>
      </c>
      <c r="T29" s="30" t="n">
        <v>0.25</v>
      </c>
      <c r="U29" s="30" t="n">
        <v>0</v>
      </c>
      <c r="V29" s="58" t="n"/>
      <c r="W29" s="59" t="n"/>
      <c r="Z29" s="58" t="n"/>
    </row>
    <row r="30" ht="15" customFormat="1" customHeight="1" s="60">
      <c r="A30" s="55" t="inlineStr">
        <is>
          <t>U023</t>
        </is>
      </c>
      <c r="B30" s="55" t="inlineStr">
        <is>
          <t>Administración Facultad de Filosofía y Letras</t>
        </is>
      </c>
      <c r="C30" s="55" t="inlineStr">
        <is>
          <t>DOCTORADO EN FILOSOFÍA Y LETRAS</t>
        </is>
      </c>
      <c r="D30" s="55" t="inlineStr">
        <is>
          <t>Pérez Prefasi, Alejandro Jesús</t>
        </is>
      </c>
      <c r="E30" s="55" t="inlineStr">
        <is>
          <t>La evolución de las anclas en la navegación desde la prehistoria hasta el s. XVIII d.C.: La bahía del Portitxol (Xàbia. Alicante) como caso de estudio</t>
        </is>
      </c>
      <c r="F30" s="55" t="inlineStr">
        <is>
          <t>17/02/2025</t>
        </is>
      </c>
      <c r="G30" s="55" t="inlineStr">
        <is>
          <t>21418377H</t>
        </is>
      </c>
      <c r="H30" s="55" t="inlineStr">
        <is>
          <t>Codirector de tesis</t>
        </is>
      </c>
      <c r="I30" s="56" t="inlineStr">
        <is>
          <t>B175</t>
        </is>
      </c>
      <c r="J30" s="55" t="inlineStr">
        <is>
          <t>Comunicación y Psicología Social</t>
        </is>
      </c>
      <c r="K30" s="30" t="n">
        <v>0.5</v>
      </c>
      <c r="L30" s="30" t="inlineStr">
        <is>
          <t>B175</t>
        </is>
      </c>
      <c r="M30" s="57" t="n">
        <v>2024</v>
      </c>
      <c r="N30" s="30" t="inlineStr">
        <is>
          <t>10.24</t>
        </is>
      </c>
      <c r="O30" s="30" t="inlineStr">
        <is>
          <t>50</t>
        </is>
      </c>
      <c r="P30" s="30" t="inlineStr"/>
      <c r="Q30" s="30" t="inlineStr"/>
      <c r="R30" s="30" t="n">
        <v>50</v>
      </c>
      <c r="S30" s="30" t="n">
        <v>0.25</v>
      </c>
      <c r="T30" s="30" t="n">
        <v>0.25</v>
      </c>
      <c r="U30" s="30" t="n">
        <v>0</v>
      </c>
      <c r="V30" s="58" t="n"/>
      <c r="W30" s="59" t="n"/>
      <c r="Z30" s="58" t="n"/>
    </row>
    <row r="31" ht="15" customFormat="1" customHeight="1" s="60">
      <c r="A31" s="55" t="inlineStr">
        <is>
          <t>U036</t>
        </is>
      </c>
      <c r="B31" s="55" t="inlineStr">
        <is>
          <t>Administración Facultad de Ciencias Económicas</t>
        </is>
      </c>
      <c r="C31" s="55" t="inlineStr">
        <is>
          <t>DOCTORADO EN EMPRESA, ECONOMÍA Y SOCIEDAD</t>
        </is>
      </c>
      <c r="D31" s="55" t="inlineStr">
        <is>
          <t>Fernández Torres, Fernando</t>
        </is>
      </c>
      <c r="E31" s="55" t="inlineStr">
        <is>
          <t>Análisis exploratorio y descriptivo sobre la representación del colectivo LGTBIQ+ en el videoclip musical
español (1980-2024)</t>
        </is>
      </c>
      <c r="F31" s="55" t="inlineStr">
        <is>
          <t>16/05/2025</t>
        </is>
      </c>
      <c r="G31" s="55" t="inlineStr">
        <is>
          <t>33921041C</t>
        </is>
      </c>
      <c r="H31" s="55" t="inlineStr">
        <is>
          <t>Codirector de tesis</t>
        </is>
      </c>
      <c r="I31" s="56" t="inlineStr">
        <is>
          <t>B175</t>
        </is>
      </c>
      <c r="J31" s="55" t="inlineStr">
        <is>
          <t>Comunicación y Psicología Social</t>
        </is>
      </c>
      <c r="K31" s="30" t="n">
        <v>0.5</v>
      </c>
      <c r="L31" s="30" t="inlineStr">
        <is>
          <t>B175</t>
        </is>
      </c>
      <c r="M31" s="57" t="n">
        <v>2024</v>
      </c>
      <c r="N31" s="30" t="inlineStr"/>
      <c r="O31" s="30" t="inlineStr"/>
      <c r="P31" s="30" t="inlineStr"/>
      <c r="Q31" s="30" t="inlineStr"/>
      <c r="R31" s="30" t="n">
        <v>100</v>
      </c>
      <c r="S31" s="30" t="n">
        <v>0.5</v>
      </c>
      <c r="T31" s="30" t="n">
        <v>0</v>
      </c>
      <c r="U31" s="30" t="n">
        <v>0</v>
      </c>
      <c r="V31" s="58" t="n"/>
      <c r="W31" s="59" t="n"/>
      <c r="Z31" s="58" t="n"/>
    </row>
    <row r="32" ht="15" customFormat="1" customHeight="1" s="60">
      <c r="A32" s="55" t="inlineStr">
        <is>
          <t>U036</t>
        </is>
      </c>
      <c r="B32" s="55" t="inlineStr">
        <is>
          <t>Administración Facultad de Ciencias Económicas</t>
        </is>
      </c>
      <c r="C32" s="55" t="inlineStr">
        <is>
          <t>DOCTORADO EN EMPRESA, ECONOMÍA Y SOCIEDAD</t>
        </is>
      </c>
      <c r="D32" s="55" t="inlineStr">
        <is>
          <t>Fernández Torres, Fernando</t>
        </is>
      </c>
      <c r="E32" s="55" t="inlineStr">
        <is>
          <t>Análisis exploratorio y descriptivo sobre la representación del colectivo LGTBIQ+ en el videoclip musical
español (1980-2024)</t>
        </is>
      </c>
      <c r="F32" s="55" t="inlineStr">
        <is>
          <t>16/05/2025</t>
        </is>
      </c>
      <c r="G32" s="55" t="inlineStr">
        <is>
          <t>28996231Q</t>
        </is>
      </c>
      <c r="H32" s="55" t="inlineStr">
        <is>
          <t>Codirector de tesis</t>
        </is>
      </c>
      <c r="I32" s="56" t="inlineStr">
        <is>
          <t>B175</t>
        </is>
      </c>
      <c r="J32" s="55" t="inlineStr">
        <is>
          <t>Comunicación y Psicología Social</t>
        </is>
      </c>
      <c r="K32" s="30" t="n">
        <v>0.5</v>
      </c>
      <c r="L32" s="30" t="inlineStr">
        <is>
          <t>B175</t>
        </is>
      </c>
      <c r="M32" s="57" t="n">
        <v>2024</v>
      </c>
      <c r="N32" s="30" t="inlineStr"/>
      <c r="O32" s="30" t="inlineStr"/>
      <c r="P32" s="30" t="inlineStr"/>
      <c r="Q32" s="30" t="inlineStr"/>
      <c r="R32" s="30" t="n">
        <v>100</v>
      </c>
      <c r="S32" s="30" t="n">
        <v>0.5</v>
      </c>
      <c r="T32" s="30" t="n">
        <v>0</v>
      </c>
      <c r="U32" s="30" t="n">
        <v>0</v>
      </c>
      <c r="V32" s="58" t="n"/>
      <c r="W32" s="59" t="n"/>
      <c r="Z32" s="58" t="n"/>
    </row>
    <row r="33" ht="15" customFormat="1" customHeight="1" s="60">
      <c r="A33" s="55" t="inlineStr">
        <is>
          <t>U036</t>
        </is>
      </c>
      <c r="B33" s="55" t="inlineStr">
        <is>
          <t>Administración Facultad de Ciencias Económicas</t>
        </is>
      </c>
      <c r="C33" s="55" t="inlineStr">
        <is>
          <t>DOCTORADO EN EMPRESA, ECONOMÍA Y SOCIEDAD</t>
        </is>
      </c>
      <c r="D33" s="55" t="inlineStr">
        <is>
          <t>Leal Rico, Ines Maria</t>
        </is>
      </c>
      <c r="E33" s="55" t="inlineStr">
        <is>
          <t>Redefiniendo la contrapublicidad en la encrucijada digital: funciones, impacto y sabotaje 
cultural</t>
        </is>
      </c>
      <c r="F33" s="55" t="inlineStr">
        <is>
          <t>16/12/2024</t>
        </is>
      </c>
      <c r="G33" s="55" t="inlineStr">
        <is>
          <t>21499146B</t>
        </is>
      </c>
      <c r="H33" s="55" t="inlineStr">
        <is>
          <t>Codirector de tesis</t>
        </is>
      </c>
      <c r="I33" s="56" t="inlineStr">
        <is>
          <t>B175</t>
        </is>
      </c>
      <c r="J33" s="55" t="inlineStr">
        <is>
          <t>Comunicación y Psicología Social</t>
        </is>
      </c>
      <c r="K33" s="30" t="n">
        <v>0.5</v>
      </c>
      <c r="L33" s="30" t="inlineStr">
        <is>
          <t>B175</t>
        </is>
      </c>
      <c r="M33" s="57" t="n">
        <v>2024</v>
      </c>
      <c r="N33" s="30" t="inlineStr">
        <is>
          <t>10.23</t>
        </is>
      </c>
      <c r="O33" s="30" t="inlineStr">
        <is>
          <t>20</t>
        </is>
      </c>
      <c r="P33" s="30" t="inlineStr">
        <is>
          <t>10.06</t>
        </is>
      </c>
      <c r="Q33" s="30" t="inlineStr">
        <is>
          <t>20</t>
        </is>
      </c>
      <c r="R33" s="30" t="n">
        <v>60</v>
      </c>
      <c r="S33" s="30" t="n">
        <v>0.3</v>
      </c>
      <c r="T33" s="30" t="n">
        <v>0.1</v>
      </c>
      <c r="U33" s="30" t="n">
        <v>0.1</v>
      </c>
      <c r="V33" s="58" t="n"/>
      <c r="W33" s="59" t="n"/>
      <c r="Z33" s="58" t="n"/>
    </row>
    <row r="34" ht="15" customFormat="1" customHeight="1" s="60">
      <c r="A34" s="55" t="inlineStr">
        <is>
          <t>U036</t>
        </is>
      </c>
      <c r="B34" s="55" t="inlineStr">
        <is>
          <t>Administración Facultad de Ciencias Económicas</t>
        </is>
      </c>
      <c r="C34" s="55" t="inlineStr">
        <is>
          <t>DOCTORADO EN EMPRESA, ECONOMÍA Y SOCIEDAD</t>
        </is>
      </c>
      <c r="D34" s="55" t="inlineStr">
        <is>
          <t>Leal Rico, Ines Maria</t>
        </is>
      </c>
      <c r="E34" s="55" t="inlineStr">
        <is>
          <t>Redefiniendo la contrapublicidad en la encrucijada digital: funciones, impacto y sabotaje 
cultural</t>
        </is>
      </c>
      <c r="F34" s="55" t="inlineStr">
        <is>
          <t>16/12/2024</t>
        </is>
      </c>
      <c r="G34" s="55" t="inlineStr">
        <is>
          <t>44754494J</t>
        </is>
      </c>
      <c r="H34" s="55" t="inlineStr">
        <is>
          <t>Codirector de tesis</t>
        </is>
      </c>
      <c r="I34" s="56" t="inlineStr">
        <is>
          <t>B175</t>
        </is>
      </c>
      <c r="J34" s="55" t="inlineStr">
        <is>
          <t>Comunicación y Psicología Social</t>
        </is>
      </c>
      <c r="K34" s="30" t="n">
        <v>0.5</v>
      </c>
      <c r="L34" s="30" t="inlineStr">
        <is>
          <t>B175</t>
        </is>
      </c>
      <c r="M34" s="57" t="n">
        <v>2024</v>
      </c>
      <c r="N34" s="30" t="inlineStr"/>
      <c r="O34" s="30" t="inlineStr"/>
      <c r="P34" s="30" t="inlineStr"/>
      <c r="Q34" s="30" t="inlineStr"/>
      <c r="R34" s="30" t="n">
        <v>100</v>
      </c>
      <c r="S34" s="30" t="n">
        <v>0.5</v>
      </c>
      <c r="T34" s="30" t="n">
        <v>0</v>
      </c>
      <c r="U34" s="30" t="n">
        <v>0</v>
      </c>
      <c r="V34" s="58" t="n"/>
      <c r="W34" s="59" t="n"/>
      <c r="Z34" s="58" t="n"/>
    </row>
    <row r="35" ht="15" customFormat="1" customHeight="1" s="60">
      <c r="A35" s="55" t="inlineStr">
        <is>
          <t>U073</t>
        </is>
      </c>
      <c r="B35" s="55" t="inlineStr">
        <is>
          <t>Instituto Universitario Investigación de Estudios de Género (10.23)</t>
        </is>
      </c>
      <c r="C35" s="55" t="inlineStr">
        <is>
          <t>DOCTORADO EN ESTUDIOS INTERDISCIPLINARES DE GÉNERO</t>
        </is>
      </c>
      <c r="D35" s="55" t="inlineStr">
        <is>
          <t>SAMANIEGO GISBERT, Juan Andres</t>
        </is>
      </c>
      <c r="E35" s="55" t="inlineStr">
        <is>
          <t>VULNERABILIDAD FEMENINA EN ACTIVIDADES LÚDICAS: ANÁLISIS DE JUEGOS Y APUESTAS ONLINE EN UNA MUESTRA UNIVERSITARIA</t>
        </is>
      </c>
      <c r="F35" s="55" t="inlineStr">
        <is>
          <t>16/12/2024</t>
        </is>
      </c>
      <c r="G35" s="55" t="inlineStr">
        <is>
          <t>52777601F</t>
        </is>
      </c>
      <c r="H35" s="55" t="inlineStr">
        <is>
          <t>Director de tesis</t>
        </is>
      </c>
      <c r="I35" s="56" t="inlineStr">
        <is>
          <t>B175</t>
        </is>
      </c>
      <c r="J35" s="55" t="inlineStr">
        <is>
          <t>Comunicación y Psicología Social</t>
        </is>
      </c>
      <c r="K35" s="30" t="n">
        <v>1</v>
      </c>
      <c r="L35" s="30" t="inlineStr">
        <is>
          <t>B175</t>
        </is>
      </c>
      <c r="M35" s="57" t="n">
        <v>2024</v>
      </c>
      <c r="N35" s="30" t="inlineStr">
        <is>
          <t>10.25</t>
        </is>
      </c>
      <c r="O35" s="30" t="inlineStr">
        <is>
          <t>30</t>
        </is>
      </c>
      <c r="P35" s="30" t="inlineStr">
        <is>
          <t>10.23</t>
        </is>
      </c>
      <c r="Q35" s="30" t="inlineStr">
        <is>
          <t>20</t>
        </is>
      </c>
      <c r="R35" s="30" t="n">
        <v>50</v>
      </c>
      <c r="S35" s="30" t="n">
        <v>0.5</v>
      </c>
      <c r="T35" s="30" t="n">
        <v>0.3</v>
      </c>
      <c r="U35" s="30" t="n">
        <v>0.2</v>
      </c>
      <c r="V35" s="58" t="n"/>
      <c r="W35" s="59" t="n"/>
      <c r="Z35" s="58" t="n"/>
    </row>
    <row r="36">
      <c r="A36" s="57" t="inlineStr">
        <is>
          <t>U073</t>
        </is>
      </c>
      <c r="B36" s="57" t="inlineStr">
        <is>
          <t>Instituto Universitario Investigación de Estudios de Género (10.23)</t>
        </is>
      </c>
      <c r="C36" s="57" t="inlineStr">
        <is>
          <t>DOCTORADO EN ESTUDIOS INTERDISCIPLINARES DE GÉNERO</t>
        </is>
      </c>
      <c r="D36" s="57" t="inlineStr">
        <is>
          <t>Ibañez Torres, Nerea</t>
        </is>
      </c>
      <c r="E36" s="57" t="inlineStr">
        <is>
          <t>Más Allá de los Límites: empoderamiento Sexual y Asistencia para Mujeres con Discapacidad Motora</t>
        </is>
      </c>
      <c r="F36" s="57" t="inlineStr">
        <is>
          <t>15/04/2025</t>
        </is>
      </c>
      <c r="G36" s="57" t="inlineStr">
        <is>
          <t>52777601F</t>
        </is>
      </c>
      <c r="H36" s="57" t="inlineStr">
        <is>
          <t>Director de tesis</t>
        </is>
      </c>
      <c r="I36" s="57" t="inlineStr">
        <is>
          <t>B175</t>
        </is>
      </c>
      <c r="J36" s="57" t="inlineStr">
        <is>
          <t>Comunicación y Psicología Social</t>
        </is>
      </c>
      <c r="K36" s="57" t="n">
        <v>1</v>
      </c>
      <c r="L36" s="57" t="inlineStr">
        <is>
          <t>B175</t>
        </is>
      </c>
      <c r="M36" s="57" t="n">
        <v>2024</v>
      </c>
      <c r="N36" s="57" t="inlineStr">
        <is>
          <t>10.25</t>
        </is>
      </c>
      <c r="O36" s="57" t="inlineStr">
        <is>
          <t>30</t>
        </is>
      </c>
      <c r="P36" s="57" t="inlineStr">
        <is>
          <t>10.23</t>
        </is>
      </c>
      <c r="Q36" s="57" t="inlineStr">
        <is>
          <t>20</t>
        </is>
      </c>
      <c r="R36" s="57" t="n">
        <v>50</v>
      </c>
      <c r="S36" s="57" t="n">
        <v>0.5</v>
      </c>
      <c r="T36" s="57" t="n">
        <v>0.3</v>
      </c>
      <c r="U36" s="57" t="n">
        <v>0.2</v>
      </c>
    </row>
    <row r="37" ht="15" customFormat="1" customHeight="1" s="60">
      <c r="A37" s="55" t="inlineStr">
        <is>
          <t>U075</t>
        </is>
      </c>
      <c r="B37" s="55" t="inlineStr">
        <is>
          <t>Instituto Universitario Investigación de Estudios Sociales de América Latina (10</t>
        </is>
      </c>
      <c r="C37" s="55" t="inlineStr">
        <is>
          <t>DOCTORADO EN HUMANIDADES Y ESTUDIOS SOCIALES DE AMÉRICA LATINA</t>
        </is>
      </c>
      <c r="D37" s="55" t="inlineStr">
        <is>
          <t>Barceló Hidalgo, Mayre</t>
        </is>
      </c>
      <c r="E37" s="55" t="inlineStr">
        <is>
          <t>Modelo de gestión de la comunicación pública de la ciencia para universidades adscritas al Ministerio de Educación Superior de Cuba</t>
        </is>
      </c>
      <c r="F37" s="55" t="inlineStr">
        <is>
          <t>17/06/2025</t>
        </is>
      </c>
      <c r="G37" s="55" t="inlineStr">
        <is>
          <t>21463378P</t>
        </is>
      </c>
      <c r="H37" s="55" t="inlineStr">
        <is>
          <t>Codirector de tesis</t>
        </is>
      </c>
      <c r="I37" s="56" t="inlineStr">
        <is>
          <t>B175</t>
        </is>
      </c>
      <c r="J37" s="55" t="inlineStr">
        <is>
          <t>Comunicación y Psicología Social</t>
        </is>
      </c>
      <c r="K37" s="30" t="n">
        <v>0.5</v>
      </c>
      <c r="L37" s="30" t="inlineStr">
        <is>
          <t>B175</t>
        </is>
      </c>
      <c r="M37" s="57" t="n">
        <v>2024</v>
      </c>
      <c r="N37" s="30" t="inlineStr">
        <is>
          <t>10.25</t>
        </is>
      </c>
      <c r="O37" s="30" t="inlineStr">
        <is>
          <t>30</t>
        </is>
      </c>
      <c r="P37" s="30" t="inlineStr"/>
      <c r="Q37" s="30" t="inlineStr"/>
      <c r="R37" s="30" t="n">
        <v>70</v>
      </c>
      <c r="S37" s="30" t="n">
        <v>0.35</v>
      </c>
      <c r="T37" s="30" t="n">
        <v>0.15</v>
      </c>
      <c r="U37" s="30" t="n">
        <v>0</v>
      </c>
      <c r="V37" s="58" t="n"/>
      <c r="W37" s="59" t="n"/>
      <c r="Z37" s="58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8" t="n"/>
      <c r="P38" s="7" t="n"/>
      <c r="Q38" s="8" t="n"/>
      <c r="R38" s="7" t="n"/>
      <c r="S38" s="39">
        <f>SUM(S2:S37)</f>
        <v/>
      </c>
      <c r="T38" s="7" t="n"/>
      <c r="U38" s="7" t="n"/>
    </row>
  </sheetData>
  <autoFilter ref="A1:U38">
    <sortState ref="A2:T1910">
      <sortCondition ref="K2:K1910"/>
      <sortCondition ref="L2:L1910"/>
      <sortCondition ref="D2:D1910"/>
    </sortState>
  </autoFilter>
  <printOptions horizontalCentered="1"/>
  <pageMargins left="0.1968503937007874" right="0.1968503937007874" top="0.3937007874015748" bottom="0.3937007874015748" header="0.7874015748031497" footer="0"/>
  <pageSetup orientation="landscape" paperSize="9" scale="93" fitToHeight="50" fitToWidth="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T37"/>
  <sheetViews>
    <sheetView zoomScaleNormal="100" workbookViewId="0">
      <selection activeCell="W18" sqref="W18"/>
    </sheetView>
  </sheetViews>
  <sheetFormatPr baseColWidth="10" defaultColWidth="11.42578125" defaultRowHeight="12.75"/>
  <cols>
    <col width="10.5703125" bestFit="1" customWidth="1" style="13" min="1" max="1"/>
    <col width="45.42578125" bestFit="1" customWidth="1" style="13" min="2" max="2"/>
    <col width="17" bestFit="1" customWidth="1" style="13" min="3" max="3"/>
    <col width="3.28515625" bestFit="1" customWidth="1" style="13" min="4" max="9"/>
    <col width="13.140625" bestFit="1" customWidth="1" style="13" min="10" max="10"/>
    <col width="5.28515625" bestFit="1" customWidth="1" style="13" min="11" max="11"/>
    <col width="5.7109375" bestFit="1" customWidth="1" style="13" min="12" max="13"/>
    <col width="5.7109375" bestFit="1" customWidth="1" style="14" min="14" max="14"/>
    <col width="5.7109375" bestFit="1" customWidth="1" style="13" min="15" max="15"/>
    <col width="5.7109375" bestFit="1" customWidth="1" style="14" min="16" max="16"/>
    <col width="5.7109375" bestFit="1" customWidth="1" style="13" min="17" max="19"/>
    <col width="11.42578125" customWidth="1" style="13" min="20" max="16384"/>
  </cols>
  <sheetData>
    <row r="1" ht="60" customFormat="1" customHeight="1" s="12">
      <c r="A1" s="15" t="inlineStr">
        <is>
          <t>NIF</t>
        </is>
      </c>
      <c r="B1" s="15" t="inlineStr">
        <is>
          <t>NOMBRE_COMPLETO</t>
        </is>
      </c>
      <c r="C1" s="15" t="inlineStr">
        <is>
          <t>TIPO_SEXENIO</t>
        </is>
      </c>
      <c r="D1" s="16" t="inlineStr">
        <is>
          <t>2020</t>
        </is>
      </c>
      <c r="E1" s="16" t="inlineStr">
        <is>
          <t>2021</t>
        </is>
      </c>
      <c r="F1" s="16" t="inlineStr">
        <is>
          <t>2022</t>
        </is>
      </c>
      <c r="G1" s="16" t="inlineStr">
        <is>
          <t>2023</t>
        </is>
      </c>
      <c r="H1" s="16" t="inlineStr">
        <is>
          <t>2024</t>
        </is>
      </c>
      <c r="I1" s="16" t="inlineStr">
        <is>
          <t>2025</t>
        </is>
      </c>
      <c r="J1" s="15" t="inlineStr">
        <is>
          <t>Total general</t>
        </is>
      </c>
      <c r="K1" s="25" t="inlineStr">
        <is>
          <t>COD DEP</t>
        </is>
      </c>
      <c r="L1" s="10" t="inlineStr">
        <is>
          <t>INS
1</t>
        </is>
      </c>
      <c r="M1" s="10" t="inlineStr">
        <is>
          <t>DED
INS 1</t>
        </is>
      </c>
      <c r="N1" s="10" t="inlineStr">
        <is>
          <t>INS
2</t>
        </is>
      </c>
      <c r="O1" s="10" t="inlineStr">
        <is>
          <t>DED
INS 2</t>
        </is>
      </c>
      <c r="P1" s="11" t="inlineStr">
        <is>
          <t>DED
DEP</t>
        </is>
      </c>
      <c r="Q1" s="11" t="inlineStr">
        <is>
          <t>SEX
INS 1</t>
        </is>
      </c>
      <c r="R1" s="11" t="inlineStr">
        <is>
          <t>SEX
INS 2</t>
        </is>
      </c>
      <c r="S1" s="11" t="inlineStr">
        <is>
          <t>SEX
DEP</t>
        </is>
      </c>
    </row>
    <row r="2">
      <c r="A2" s="37" t="inlineStr">
        <is>
          <t>07555417D</t>
        </is>
      </c>
      <c r="B2" s="37" t="inlineStr">
        <is>
          <t>Beléndez Vázquez, Marina</t>
        </is>
      </c>
      <c r="C2" s="37" t="inlineStr">
        <is>
          <t>FUNCIONARIO</t>
        </is>
      </c>
      <c r="D2" s="37" t="n">
        <v>1</v>
      </c>
      <c r="E2" s="37" t="n"/>
      <c r="F2" s="37" t="n"/>
      <c r="G2" s="37" t="n"/>
      <c r="H2" s="37" t="n"/>
      <c r="I2" s="37" t="n"/>
      <c r="J2" s="37" t="n">
        <v>1</v>
      </c>
      <c r="K2" s="37" t="inlineStr">
        <is>
          <t>B175</t>
        </is>
      </c>
      <c r="L2" s="37" t="n">
        <v>0</v>
      </c>
      <c r="M2" s="37" t="n">
        <v>0</v>
      </c>
      <c r="N2" s="38" t="inlineStr"/>
      <c r="O2" s="37" t="inlineStr"/>
      <c r="P2" s="38" t="n">
        <v>100</v>
      </c>
      <c r="Q2" s="37" t="n">
        <v>0</v>
      </c>
      <c r="R2" s="37" t="n">
        <v>0</v>
      </c>
      <c r="S2" s="37" t="n">
        <v>1</v>
      </c>
    </row>
    <row r="3">
      <c r="A3" s="37" t="inlineStr">
        <is>
          <t>20045325C</t>
        </is>
      </c>
      <c r="B3" s="37" t="inlineStr">
        <is>
          <t>Hidalgo Marí, Tatiana</t>
        </is>
      </c>
      <c r="C3" s="37" t="inlineStr">
        <is>
          <t>FUNCIONARIO</t>
        </is>
      </c>
      <c r="D3" s="37" t="n"/>
      <c r="E3" s="37" t="n"/>
      <c r="F3" s="37" t="n">
        <v>1</v>
      </c>
      <c r="G3" s="37" t="n"/>
      <c r="H3" s="37" t="n"/>
      <c r="I3" s="37" t="n"/>
      <c r="J3" s="37" t="n">
        <v>1</v>
      </c>
      <c r="K3" s="37" t="inlineStr">
        <is>
          <t>B175</t>
        </is>
      </c>
      <c r="L3" s="37" t="inlineStr">
        <is>
          <t>10.17</t>
        </is>
      </c>
      <c r="M3" s="37" t="inlineStr">
        <is>
          <t>20</t>
        </is>
      </c>
      <c r="N3" s="38" t="inlineStr"/>
      <c r="O3" s="37" t="inlineStr"/>
      <c r="P3" s="38" t="n">
        <v>80</v>
      </c>
      <c r="Q3" s="37" t="n">
        <v>0.2</v>
      </c>
      <c r="R3" s="37" t="n">
        <v>0</v>
      </c>
      <c r="S3" s="37" t="n">
        <v>0.8</v>
      </c>
    </row>
    <row r="4">
      <c r="A4" s="37" t="inlineStr">
        <is>
          <t>21418377H</t>
        </is>
      </c>
      <c r="B4" s="37" t="inlineStr">
        <is>
          <t>Moya Montoya, José Antonio</t>
        </is>
      </c>
      <c r="C4" s="37" t="inlineStr">
        <is>
          <t>FUNCIONARIO</t>
        </is>
      </c>
      <c r="D4" s="37" t="n"/>
      <c r="E4" s="37" t="n"/>
      <c r="F4" s="37" t="n"/>
      <c r="G4" s="37" t="n"/>
      <c r="H4" s="37" t="n"/>
      <c r="I4" s="37" t="n">
        <v>1</v>
      </c>
      <c r="J4" s="37" t="n">
        <v>1</v>
      </c>
      <c r="K4" s="37" t="inlineStr">
        <is>
          <t>B175</t>
        </is>
      </c>
      <c r="L4" s="37" t="inlineStr">
        <is>
          <t>10.24</t>
        </is>
      </c>
      <c r="M4" s="37" t="inlineStr">
        <is>
          <t>50</t>
        </is>
      </c>
      <c r="N4" s="38" t="inlineStr"/>
      <c r="O4" s="37" t="inlineStr"/>
      <c r="P4" s="38" t="n">
        <v>50</v>
      </c>
      <c r="Q4" s="37" t="n">
        <v>0.5</v>
      </c>
      <c r="R4" s="37" t="n">
        <v>0</v>
      </c>
      <c r="S4" s="37" t="n">
        <v>0.5</v>
      </c>
    </row>
    <row r="5">
      <c r="A5" s="37" t="inlineStr">
        <is>
          <t>21423152D</t>
        </is>
      </c>
      <c r="B5" s="37" t="inlineStr">
        <is>
          <t>Fernández Poyatos, María Dolores</t>
        </is>
      </c>
      <c r="C5" s="37" t="inlineStr">
        <is>
          <t>FUNCIONARIO</t>
        </is>
      </c>
      <c r="D5" s="37" t="n"/>
      <c r="E5" s="37" t="n">
        <v>1</v>
      </c>
      <c r="F5" s="37" t="n"/>
      <c r="G5" s="37" t="n"/>
      <c r="H5" s="37" t="n"/>
      <c r="I5" s="37" t="n"/>
      <c r="J5" s="37" t="n">
        <v>1</v>
      </c>
      <c r="K5" s="37" t="inlineStr">
        <is>
          <t>B175</t>
        </is>
      </c>
      <c r="L5" s="37" t="inlineStr">
        <is>
          <t>10.17</t>
        </is>
      </c>
      <c r="M5" s="37" t="inlineStr">
        <is>
          <t>10</t>
        </is>
      </c>
      <c r="N5" s="38" t="inlineStr"/>
      <c r="O5" s="37" t="inlineStr"/>
      <c r="P5" s="38" t="n">
        <v>90</v>
      </c>
      <c r="Q5" s="37" t="n">
        <v>0.1</v>
      </c>
      <c r="R5" s="37" t="n">
        <v>0</v>
      </c>
      <c r="S5" s="37" t="n">
        <v>0.9</v>
      </c>
    </row>
    <row r="6">
      <c r="A6" s="37" t="inlineStr">
        <is>
          <t>21463378P</t>
        </is>
      </c>
      <c r="B6" s="37" t="inlineStr">
        <is>
          <t>Tur Viñes, Maria Victoria</t>
        </is>
      </c>
      <c r="C6" s="37" t="inlineStr">
        <is>
          <t>FUNCIONARIO</t>
        </is>
      </c>
      <c r="D6" s="37" t="n"/>
      <c r="E6" s="37" t="n"/>
      <c r="F6" s="37" t="n">
        <v>1</v>
      </c>
      <c r="G6" s="37" t="n"/>
      <c r="H6" s="37" t="n"/>
      <c r="I6" s="37" t="n"/>
      <c r="J6" s="37" t="n">
        <v>1</v>
      </c>
      <c r="K6" s="37" t="inlineStr">
        <is>
          <t>B175</t>
        </is>
      </c>
      <c r="L6" s="37" t="inlineStr">
        <is>
          <t>10.25</t>
        </is>
      </c>
      <c r="M6" s="37" t="inlineStr">
        <is>
          <t>30</t>
        </is>
      </c>
      <c r="N6" s="38" t="inlineStr"/>
      <c r="O6" s="37" t="inlineStr"/>
      <c r="P6" s="38" t="n">
        <v>70</v>
      </c>
      <c r="Q6" s="37" t="n">
        <v>0.3</v>
      </c>
      <c r="R6" s="37" t="n">
        <v>0</v>
      </c>
      <c r="S6" s="37" t="n">
        <v>0.7</v>
      </c>
    </row>
    <row r="7">
      <c r="A7" s="37" t="inlineStr">
        <is>
          <t>21470210D</t>
        </is>
      </c>
      <c r="B7" s="37" t="inlineStr">
        <is>
          <t>Mora Contreras, Francisco Javier</t>
        </is>
      </c>
      <c r="C7" s="37" t="inlineStr">
        <is>
          <t>FUNCIONARIO</t>
        </is>
      </c>
      <c r="D7" s="37" t="n"/>
      <c r="E7" s="37" t="n"/>
      <c r="F7" s="37" t="n"/>
      <c r="G7" s="37" t="n">
        <v>1</v>
      </c>
      <c r="H7" s="37" t="n"/>
      <c r="I7" s="37" t="n"/>
      <c r="J7" s="37" t="n">
        <v>1</v>
      </c>
      <c r="K7" s="37" t="inlineStr">
        <is>
          <t>B175</t>
        </is>
      </c>
      <c r="L7" s="37" t="n">
        <v>0</v>
      </c>
      <c r="M7" s="37" t="n">
        <v>0</v>
      </c>
      <c r="N7" s="38" t="inlineStr"/>
      <c r="O7" s="37" t="inlineStr"/>
      <c r="P7" s="38" t="n">
        <v>100</v>
      </c>
      <c r="Q7" s="37" t="n">
        <v>0</v>
      </c>
      <c r="R7" s="37" t="n">
        <v>0</v>
      </c>
      <c r="S7" s="37" t="n">
        <v>1</v>
      </c>
    </row>
    <row r="8">
      <c r="A8" s="37" t="inlineStr">
        <is>
          <t>21490836G</t>
        </is>
      </c>
      <c r="B8" s="37" t="inlineStr">
        <is>
          <t>Olivares Delgado, Fernando</t>
        </is>
      </c>
      <c r="C8" s="37" t="inlineStr">
        <is>
          <t>FUNCIONARIO</t>
        </is>
      </c>
      <c r="D8" s="37" t="n"/>
      <c r="E8" s="37" t="n"/>
      <c r="F8" s="37" t="n"/>
      <c r="G8" s="37" t="n">
        <v>1</v>
      </c>
      <c r="H8" s="37" t="n"/>
      <c r="I8" s="37" t="n"/>
      <c r="J8" s="37" t="n">
        <v>1</v>
      </c>
      <c r="K8" s="37" t="inlineStr">
        <is>
          <t>B175</t>
        </is>
      </c>
      <c r="L8" s="37" t="n">
        <v>0</v>
      </c>
      <c r="M8" s="37" t="n">
        <v>0</v>
      </c>
      <c r="N8" s="38" t="inlineStr"/>
      <c r="O8" s="37" t="inlineStr"/>
      <c r="P8" s="38" t="n">
        <v>100</v>
      </c>
      <c r="Q8" s="37" t="n">
        <v>0</v>
      </c>
      <c r="R8" s="37" t="n">
        <v>0</v>
      </c>
      <c r="S8" s="37" t="n">
        <v>1</v>
      </c>
    </row>
    <row r="9">
      <c r="A9" s="37" t="inlineStr">
        <is>
          <t>21490870S</t>
        </is>
      </c>
      <c r="B9" s="37" t="inlineStr">
        <is>
          <t>Torres Valdés, Rosa Mª</t>
        </is>
      </c>
      <c r="C9" s="37" t="inlineStr">
        <is>
          <t>FUNCIONARIO</t>
        </is>
      </c>
      <c r="D9" s="37" t="n"/>
      <c r="E9" s="37" t="n">
        <v>1</v>
      </c>
      <c r="F9" s="37" t="n">
        <v>1</v>
      </c>
      <c r="G9" s="37" t="n"/>
      <c r="H9" s="37" t="n"/>
      <c r="I9" s="37" t="n"/>
      <c r="J9" s="37" t="n">
        <v>2</v>
      </c>
      <c r="K9" s="37" t="inlineStr">
        <is>
          <t>B175</t>
        </is>
      </c>
      <c r="L9" s="37" t="inlineStr">
        <is>
          <t>10.25</t>
        </is>
      </c>
      <c r="M9" s="37" t="inlineStr">
        <is>
          <t>30</t>
        </is>
      </c>
      <c r="N9" s="38" t="inlineStr">
        <is>
          <t>10.23</t>
        </is>
      </c>
      <c r="O9" s="37" t="inlineStr">
        <is>
          <t>20</t>
        </is>
      </c>
      <c r="P9" s="38" t="n">
        <v>50</v>
      </c>
      <c r="Q9" s="37" t="n">
        <v>0.6</v>
      </c>
      <c r="R9" s="37" t="n">
        <v>0.4</v>
      </c>
      <c r="S9" s="37" t="n">
        <v>1</v>
      </c>
    </row>
    <row r="10">
      <c r="A10" s="37" t="inlineStr">
        <is>
          <t>21490998M</t>
        </is>
      </c>
      <c r="B10" s="37" t="inlineStr">
        <is>
          <t>Ortiz Díaz-Guerra, María Jesús</t>
        </is>
      </c>
      <c r="C10" s="37" t="inlineStr">
        <is>
          <t>FUNCIONARIO</t>
        </is>
      </c>
      <c r="D10" s="37" t="n"/>
      <c r="E10" s="37" t="n"/>
      <c r="F10" s="37" t="n"/>
      <c r="G10" s="37" t="n">
        <v>1</v>
      </c>
      <c r="H10" s="37" t="n"/>
      <c r="I10" s="37" t="n"/>
      <c r="J10" s="37" t="n">
        <v>1</v>
      </c>
      <c r="K10" s="37" t="inlineStr">
        <is>
          <t>B175</t>
        </is>
      </c>
      <c r="L10" s="37" t="inlineStr">
        <is>
          <t>10.06</t>
        </is>
      </c>
      <c r="M10" s="37" t="inlineStr">
        <is>
          <t>10</t>
        </is>
      </c>
      <c r="N10" s="38" t="inlineStr"/>
      <c r="O10" s="37" t="inlineStr"/>
      <c r="P10" s="38" t="n">
        <v>90</v>
      </c>
      <c r="Q10" s="37" t="n">
        <v>0.1</v>
      </c>
      <c r="R10" s="37" t="n">
        <v>0</v>
      </c>
      <c r="S10" s="37" t="n">
        <v>0.9</v>
      </c>
    </row>
    <row r="11">
      <c r="A11" s="37" t="inlineStr">
        <is>
          <t>21491812Z</t>
        </is>
      </c>
      <c r="B11" s="37" t="inlineStr">
        <is>
          <t>Martínez Sala, Alba María</t>
        </is>
      </c>
      <c r="C11" s="37" t="inlineStr">
        <is>
          <t>FUNCIONARIO</t>
        </is>
      </c>
      <c r="D11" s="37" t="n"/>
      <c r="E11" s="37" t="n"/>
      <c r="F11" s="37" t="n">
        <v>1</v>
      </c>
      <c r="G11" s="37" t="n"/>
      <c r="H11" s="37" t="n"/>
      <c r="I11" s="37" t="n"/>
      <c r="J11" s="37" t="n">
        <v>1</v>
      </c>
      <c r="K11" s="37" t="inlineStr">
        <is>
          <t>B175</t>
        </is>
      </c>
      <c r="L11" s="37" t="inlineStr">
        <is>
          <t>10.25</t>
        </is>
      </c>
      <c r="M11" s="37" t="inlineStr">
        <is>
          <t>30</t>
        </is>
      </c>
      <c r="N11" s="38" t="inlineStr"/>
      <c r="O11" s="37" t="inlineStr"/>
      <c r="P11" s="38" t="n">
        <v>70</v>
      </c>
      <c r="Q11" s="37" t="n">
        <v>0.3</v>
      </c>
      <c r="R11" s="37" t="n">
        <v>0</v>
      </c>
      <c r="S11" s="37" t="n">
        <v>0.7</v>
      </c>
    </row>
    <row r="12">
      <c r="A12" s="37" t="inlineStr">
        <is>
          <t>21495354Z</t>
        </is>
      </c>
      <c r="B12" s="37" t="inlineStr">
        <is>
          <t>Ramos Soler, Irene</t>
        </is>
      </c>
      <c r="C12" s="37" t="inlineStr">
        <is>
          <t>FUNCIONARIO</t>
        </is>
      </c>
      <c r="D12" s="37" t="n">
        <v>1</v>
      </c>
      <c r="E12" s="37" t="n"/>
      <c r="F12" s="37" t="n"/>
      <c r="G12" s="37" t="n"/>
      <c r="H12" s="37" t="n"/>
      <c r="I12" s="37" t="n"/>
      <c r="J12" s="37" t="n">
        <v>1</v>
      </c>
      <c r="K12" s="37" t="inlineStr">
        <is>
          <t>B175</t>
        </is>
      </c>
      <c r="L12" s="37" t="inlineStr">
        <is>
          <t>10.25</t>
        </is>
      </c>
      <c r="M12" s="37" t="inlineStr">
        <is>
          <t>30</t>
        </is>
      </c>
      <c r="N12" s="38" t="inlineStr"/>
      <c r="O12" s="37" t="inlineStr"/>
      <c r="P12" s="38" t="n">
        <v>70</v>
      </c>
      <c r="Q12" s="37" t="n">
        <v>0.3</v>
      </c>
      <c r="R12" s="37" t="n">
        <v>0</v>
      </c>
      <c r="S12" s="37" t="n">
        <v>0.7</v>
      </c>
    </row>
    <row r="13">
      <c r="A13" s="37" t="inlineStr">
        <is>
          <t>21499146B</t>
        </is>
      </c>
      <c r="B13" s="37" t="inlineStr">
        <is>
          <t>Papí Gálvez, Natalia</t>
        </is>
      </c>
      <c r="C13" s="37" t="inlineStr">
        <is>
          <t>FUNCIONARIO</t>
        </is>
      </c>
      <c r="D13" s="37" t="n">
        <v>1</v>
      </c>
      <c r="E13" s="37" t="n"/>
      <c r="F13" s="37" t="n"/>
      <c r="G13" s="37" t="n"/>
      <c r="H13" s="37" t="n"/>
      <c r="I13" s="37" t="n"/>
      <c r="J13" s="37" t="n">
        <v>1</v>
      </c>
      <c r="K13" s="37" t="inlineStr">
        <is>
          <t>B175</t>
        </is>
      </c>
      <c r="L13" s="37" t="inlineStr">
        <is>
          <t>10.23</t>
        </is>
      </c>
      <c r="M13" s="37" t="inlineStr">
        <is>
          <t>20</t>
        </is>
      </c>
      <c r="N13" s="38" t="inlineStr">
        <is>
          <t>10.06</t>
        </is>
      </c>
      <c r="O13" s="37" t="inlineStr">
        <is>
          <t>20</t>
        </is>
      </c>
      <c r="P13" s="38" t="n">
        <v>60</v>
      </c>
      <c r="Q13" s="37" t="n">
        <v>0.2</v>
      </c>
      <c r="R13" s="37" t="n">
        <v>0.2</v>
      </c>
      <c r="S13" s="37" t="n">
        <v>0.6</v>
      </c>
    </row>
    <row r="14">
      <c r="A14" s="37" t="inlineStr">
        <is>
          <t>21506826D</t>
        </is>
      </c>
      <c r="B14" s="37" t="inlineStr">
        <is>
          <t>López Berna, Sonia María</t>
        </is>
      </c>
      <c r="C14" s="37" t="inlineStr">
        <is>
          <t>NO FUNCIONARIO</t>
        </is>
      </c>
      <c r="D14" s="37" t="n"/>
      <c r="E14" s="37" t="n">
        <v>1</v>
      </c>
      <c r="F14" s="37" t="n"/>
      <c r="G14" s="37" t="n"/>
      <c r="H14" s="37" t="n"/>
      <c r="I14" s="37" t="n"/>
      <c r="J14" s="37" t="n">
        <v>1</v>
      </c>
      <c r="K14" s="37" t="inlineStr">
        <is>
          <t>B175</t>
        </is>
      </c>
      <c r="L14" s="37" t="n">
        <v>0</v>
      </c>
      <c r="M14" s="37" t="n">
        <v>0</v>
      </c>
      <c r="N14" s="38" t="inlineStr"/>
      <c r="O14" s="37" t="inlineStr"/>
      <c r="P14" s="38" t="n">
        <v>100</v>
      </c>
      <c r="Q14" s="37" t="n">
        <v>0</v>
      </c>
      <c r="R14" s="37" t="n">
        <v>0</v>
      </c>
      <c r="S14" s="37" t="n">
        <v>1</v>
      </c>
    </row>
    <row r="15">
      <c r="A15" s="37" t="inlineStr">
        <is>
          <t>21683022W</t>
        </is>
      </c>
      <c r="B15" s="37" t="inlineStr">
        <is>
          <t>Vilaplana Aparicio, María José</t>
        </is>
      </c>
      <c r="C15" s="37" t="inlineStr">
        <is>
          <t>FUNCIONARIO</t>
        </is>
      </c>
      <c r="D15" s="37" t="n"/>
      <c r="E15" s="37" t="n"/>
      <c r="F15" s="37" t="n"/>
      <c r="G15" s="37" t="n">
        <v>1</v>
      </c>
      <c r="H15" s="37" t="n"/>
      <c r="I15" s="37" t="n"/>
      <c r="J15" s="37" t="n">
        <v>1</v>
      </c>
      <c r="K15" s="37" t="inlineStr">
        <is>
          <t>B175</t>
        </is>
      </c>
      <c r="L15" s="37" t="n">
        <v>0</v>
      </c>
      <c r="M15" s="37" t="n">
        <v>0</v>
      </c>
      <c r="N15" s="38" t="inlineStr"/>
      <c r="O15" s="37" t="inlineStr"/>
      <c r="P15" s="38" t="n">
        <v>100</v>
      </c>
      <c r="Q15" s="37" t="n">
        <v>0</v>
      </c>
      <c r="R15" s="37" t="n">
        <v>0</v>
      </c>
      <c r="S15" s="37" t="n">
        <v>1</v>
      </c>
    </row>
    <row r="16">
      <c r="A16" s="37" t="inlineStr">
        <is>
          <t>22143242S</t>
        </is>
      </c>
      <c r="B16" s="37" t="inlineStr">
        <is>
          <t>Castelló Martínez, Araceli</t>
        </is>
      </c>
      <c r="C16" s="37" t="inlineStr">
        <is>
          <t>FUNCIONARIO</t>
        </is>
      </c>
      <c r="D16" s="37" t="n"/>
      <c r="E16" s="37" t="n"/>
      <c r="F16" s="37" t="n"/>
      <c r="G16" s="37" t="n"/>
      <c r="H16" s="37" t="n">
        <v>1</v>
      </c>
      <c r="I16" s="37" t="n"/>
      <c r="J16" s="37" t="n">
        <v>1</v>
      </c>
      <c r="K16" s="37" t="inlineStr">
        <is>
          <t>B175</t>
        </is>
      </c>
      <c r="L16" s="37" t="inlineStr">
        <is>
          <t>10.25</t>
        </is>
      </c>
      <c r="M16" s="37" t="inlineStr">
        <is>
          <t>30</t>
        </is>
      </c>
      <c r="N16" s="38" t="inlineStr"/>
      <c r="O16" s="37" t="inlineStr"/>
      <c r="P16" s="38" t="n">
        <v>70</v>
      </c>
      <c r="Q16" s="37" t="n">
        <v>0.3</v>
      </c>
      <c r="R16" s="37" t="n">
        <v>0</v>
      </c>
      <c r="S16" s="37" t="n">
        <v>0.7</v>
      </c>
    </row>
    <row r="17">
      <c r="A17" s="37" t="inlineStr">
        <is>
          <t>22455996S</t>
        </is>
      </c>
      <c r="B17" s="37" t="inlineStr">
        <is>
          <t>López Sánchez, María del Carmen</t>
        </is>
      </c>
      <c r="C17" s="37" t="inlineStr">
        <is>
          <t>FUNCIONARIO</t>
        </is>
      </c>
      <c r="D17" s="37" t="n">
        <v>1</v>
      </c>
      <c r="E17" s="37" t="n"/>
      <c r="F17" s="37" t="n"/>
      <c r="G17" s="37" t="n"/>
      <c r="H17" s="37" t="n"/>
      <c r="I17" s="37" t="n"/>
      <c r="J17" s="37" t="n">
        <v>1</v>
      </c>
      <c r="K17" s="37" t="inlineStr">
        <is>
          <t>B175</t>
        </is>
      </c>
      <c r="L17" s="37" t="inlineStr">
        <is>
          <t>10.25</t>
        </is>
      </c>
      <c r="M17" s="37" t="inlineStr">
        <is>
          <t>50</t>
        </is>
      </c>
      <c r="N17" s="38" t="inlineStr"/>
      <c r="O17" s="37" t="inlineStr"/>
      <c r="P17" s="38" t="n">
        <v>50</v>
      </c>
      <c r="Q17" s="37" t="n">
        <v>0.5</v>
      </c>
      <c r="R17" s="37" t="n">
        <v>0</v>
      </c>
      <c r="S17" s="37" t="n">
        <v>0.5</v>
      </c>
    </row>
    <row r="18">
      <c r="A18" s="37" t="inlineStr">
        <is>
          <t>28991817H</t>
        </is>
      </c>
      <c r="B18" s="37" t="inlineStr">
        <is>
          <t>Rodríguez Ferrandiz, Raul</t>
        </is>
      </c>
      <c r="C18" s="37" t="inlineStr">
        <is>
          <t>FUNCIONARIO</t>
        </is>
      </c>
      <c r="D18" s="37" t="n"/>
      <c r="E18" s="37" t="n"/>
      <c r="F18" s="37" t="n"/>
      <c r="G18" s="37" t="n"/>
      <c r="H18" s="37" t="n">
        <v>1</v>
      </c>
      <c r="I18" s="37" t="n"/>
      <c r="J18" s="37" t="n">
        <v>1</v>
      </c>
      <c r="K18" s="37" t="inlineStr">
        <is>
          <t>B175</t>
        </is>
      </c>
      <c r="L18" s="37" t="n">
        <v>0</v>
      </c>
      <c r="M18" s="37" t="n">
        <v>0</v>
      </c>
      <c r="N18" s="38" t="inlineStr"/>
      <c r="O18" s="37" t="inlineStr"/>
      <c r="P18" s="38" t="n">
        <v>100</v>
      </c>
      <c r="Q18" s="37" t="n">
        <v>0</v>
      </c>
      <c r="R18" s="37" t="n">
        <v>0</v>
      </c>
      <c r="S18" s="37" t="n">
        <v>1</v>
      </c>
    </row>
    <row r="19">
      <c r="A19" s="37" t="inlineStr">
        <is>
          <t>28996174M</t>
        </is>
      </c>
      <c r="B19" s="37" t="inlineStr">
        <is>
          <t>Monserrat Gauchi, Juan Miguel</t>
        </is>
      </c>
      <c r="C19" s="37" t="inlineStr">
        <is>
          <t>FUNCIONARIO</t>
        </is>
      </c>
      <c r="D19" s="37" t="n">
        <v>1</v>
      </c>
      <c r="E19" s="37" t="n"/>
      <c r="F19" s="37" t="n"/>
      <c r="G19" s="37" t="n"/>
      <c r="H19" s="37" t="n"/>
      <c r="I19" s="37" t="n"/>
      <c r="J19" s="37" t="n">
        <v>1</v>
      </c>
      <c r="K19" s="37" t="inlineStr">
        <is>
          <t>B175</t>
        </is>
      </c>
      <c r="L19" s="37" t="n">
        <v>0</v>
      </c>
      <c r="M19" s="37" t="n">
        <v>0</v>
      </c>
      <c r="N19" s="38" t="inlineStr"/>
      <c r="O19" s="37" t="inlineStr"/>
      <c r="P19" s="38" t="n">
        <v>100</v>
      </c>
      <c r="Q19" s="37" t="n">
        <v>0</v>
      </c>
      <c r="R19" s="37" t="n">
        <v>0</v>
      </c>
      <c r="S19" s="37" t="n">
        <v>1</v>
      </c>
    </row>
    <row r="20">
      <c r="A20" s="37" t="inlineStr">
        <is>
          <t>29154009Z</t>
        </is>
      </c>
      <c r="B20" s="37" t="inlineStr">
        <is>
          <t>González Pacanowski, Antonio Francisco</t>
        </is>
      </c>
      <c r="C20" s="37" t="inlineStr">
        <is>
          <t>FUNCIONARIO</t>
        </is>
      </c>
      <c r="D20" s="37" t="n"/>
      <c r="E20" s="37" t="n">
        <v>2</v>
      </c>
      <c r="F20" s="37" t="n"/>
      <c r="G20" s="37" t="n"/>
      <c r="H20" s="37" t="n"/>
      <c r="I20" s="37" t="n"/>
      <c r="J20" s="37" t="n">
        <v>2</v>
      </c>
      <c r="K20" s="37" t="inlineStr">
        <is>
          <t>B175</t>
        </is>
      </c>
      <c r="L20" s="37" t="n">
        <v>0</v>
      </c>
      <c r="M20" s="37" t="n">
        <v>0</v>
      </c>
      <c r="N20" s="38" t="inlineStr"/>
      <c r="O20" s="37" t="inlineStr"/>
      <c r="P20" s="38" t="n">
        <v>100</v>
      </c>
      <c r="Q20" s="37" t="n">
        <v>0</v>
      </c>
      <c r="R20" s="37" t="n">
        <v>0</v>
      </c>
      <c r="S20" s="37" t="n">
        <v>2</v>
      </c>
    </row>
    <row r="21">
      <c r="A21" s="37" t="inlineStr">
        <is>
          <t>33480107L</t>
        </is>
      </c>
      <c r="B21" s="37" t="inlineStr">
        <is>
          <t>Campillo Alhama, Concepción</t>
        </is>
      </c>
      <c r="C21" s="37" t="inlineStr">
        <is>
          <t>FUNCIONARIO</t>
        </is>
      </c>
      <c r="D21" s="37" t="n">
        <v>1</v>
      </c>
      <c r="E21" s="37" t="n"/>
      <c r="F21" s="37" t="n"/>
      <c r="G21" s="37" t="n"/>
      <c r="H21" s="37" t="n"/>
      <c r="I21" s="37" t="n"/>
      <c r="J21" s="37" t="n">
        <v>1</v>
      </c>
      <c r="K21" s="37" t="inlineStr">
        <is>
          <t>B175</t>
        </is>
      </c>
      <c r="L21" s="37" t="inlineStr">
        <is>
          <t>10.25</t>
        </is>
      </c>
      <c r="M21" s="37" t="inlineStr">
        <is>
          <t>10</t>
        </is>
      </c>
      <c r="N21" s="38" t="inlineStr">
        <is>
          <t>10.22</t>
        </is>
      </c>
      <c r="O21" s="37" t="inlineStr">
        <is>
          <t>20</t>
        </is>
      </c>
      <c r="P21" s="38" t="n">
        <v>70</v>
      </c>
      <c r="Q21" s="37" t="n">
        <v>0.1</v>
      </c>
      <c r="R21" s="37" t="n">
        <v>0.2</v>
      </c>
      <c r="S21" s="37" t="n">
        <v>0.7</v>
      </c>
    </row>
    <row r="22">
      <c r="A22" s="37" t="inlineStr">
        <is>
          <t>33485113B</t>
        </is>
      </c>
      <c r="B22" s="37" t="inlineStr">
        <is>
          <t>Martin Llaguno, Marta</t>
        </is>
      </c>
      <c r="C22" s="71" t="inlineStr">
        <is>
          <t>FUNCIONARIO</t>
        </is>
      </c>
      <c r="D22" s="37" t="n"/>
      <c r="E22" s="37" t="n"/>
      <c r="F22" s="37" t="n"/>
      <c r="G22" s="37" t="n">
        <v>1</v>
      </c>
      <c r="H22" s="37" t="n"/>
      <c r="I22" s="70" t="n"/>
      <c r="J22" s="37" t="n">
        <v>1</v>
      </c>
      <c r="K22" s="37" t="inlineStr">
        <is>
          <t>B175</t>
        </is>
      </c>
      <c r="L22" s="37" t="inlineStr">
        <is>
          <t>10.25</t>
        </is>
      </c>
      <c r="M22" s="37" t="inlineStr">
        <is>
          <t>30</t>
        </is>
      </c>
      <c r="N22" s="38" t="inlineStr">
        <is>
          <t>10.23</t>
        </is>
      </c>
      <c r="O22" s="37" t="inlineStr">
        <is>
          <t>30</t>
        </is>
      </c>
      <c r="P22" s="38" t="n">
        <v>40</v>
      </c>
      <c r="Q22" s="37" t="n">
        <v>0.3</v>
      </c>
      <c r="R22" s="37" t="n">
        <v>0.3</v>
      </c>
      <c r="S22" s="71" t="n">
        <v>0.4</v>
      </c>
    </row>
    <row r="23">
      <c r="A23" s="37" t="inlineStr">
        <is>
          <t>33921041C</t>
        </is>
      </c>
      <c r="B23" s="37" t="inlineStr">
        <is>
          <t>Iglesias García, Mar</t>
        </is>
      </c>
      <c r="C23" s="37" t="inlineStr">
        <is>
          <t>FUNCIONARIO</t>
        </is>
      </c>
      <c r="D23" s="37" t="n"/>
      <c r="E23" s="37" t="n"/>
      <c r="F23" s="37" t="n"/>
      <c r="G23" s="37" t="n"/>
      <c r="H23" s="37" t="n">
        <v>2</v>
      </c>
      <c r="I23" s="37" t="n"/>
      <c r="J23" s="37" t="n">
        <v>2</v>
      </c>
      <c r="K23" s="37" t="inlineStr">
        <is>
          <t>B175</t>
        </is>
      </c>
      <c r="L23" s="37" t="n">
        <v>0</v>
      </c>
      <c r="M23" s="37" t="n">
        <v>0</v>
      </c>
      <c r="N23" s="38" t="inlineStr"/>
      <c r="O23" s="37" t="inlineStr"/>
      <c r="P23" s="38" t="n">
        <v>100</v>
      </c>
      <c r="Q23" s="37" t="n">
        <v>0</v>
      </c>
      <c r="R23" s="37" t="n">
        <v>0</v>
      </c>
      <c r="S23" s="37" t="n">
        <v>2</v>
      </c>
    </row>
    <row r="24">
      <c r="A24" s="37" t="inlineStr">
        <is>
          <t>44754494J</t>
        </is>
      </c>
      <c r="B24" s="37" t="inlineStr">
        <is>
          <t>Sánchez Olmos, Candelaria</t>
        </is>
      </c>
      <c r="C24" s="37" t="inlineStr">
        <is>
          <t>FUNCIONARIO</t>
        </is>
      </c>
      <c r="D24" s="37" t="n"/>
      <c r="E24" s="37" t="n">
        <v>1</v>
      </c>
      <c r="F24" s="37" t="n"/>
      <c r="G24" s="37" t="n"/>
      <c r="H24" s="37" t="n"/>
      <c r="I24" s="37" t="n"/>
      <c r="J24" s="37" t="n">
        <v>1</v>
      </c>
      <c r="K24" s="37" t="inlineStr">
        <is>
          <t>B175</t>
        </is>
      </c>
      <c r="L24" s="37" t="n">
        <v>0</v>
      </c>
      <c r="M24" s="37" t="n">
        <v>0</v>
      </c>
      <c r="N24" s="38" t="inlineStr"/>
      <c r="O24" s="37" t="inlineStr"/>
      <c r="P24" s="38" t="n">
        <v>100</v>
      </c>
      <c r="Q24" s="37" t="n">
        <v>0</v>
      </c>
      <c r="R24" s="37" t="n">
        <v>0</v>
      </c>
      <c r="S24" s="37" t="n">
        <v>1</v>
      </c>
    </row>
    <row r="25">
      <c r="A25" s="37" t="inlineStr">
        <is>
          <t>47065493H</t>
        </is>
      </c>
      <c r="B25" s="37" t="inlineStr">
        <is>
          <t>González Díaz, Cristina</t>
        </is>
      </c>
      <c r="C25" s="37" t="inlineStr">
        <is>
          <t>FUNCIONARIO</t>
        </is>
      </c>
      <c r="D25" s="37" t="n">
        <v>1</v>
      </c>
      <c r="E25" s="37" t="n"/>
      <c r="F25" s="37" t="n"/>
      <c r="G25" s="37" t="n"/>
      <c r="H25" s="37" t="n"/>
      <c r="I25" s="37" t="n"/>
      <c r="J25" s="37" t="n">
        <v>1</v>
      </c>
      <c r="K25" s="37" t="inlineStr">
        <is>
          <t>B175</t>
        </is>
      </c>
      <c r="L25" s="37" t="inlineStr">
        <is>
          <t>10.25</t>
        </is>
      </c>
      <c r="M25" s="37" t="inlineStr">
        <is>
          <t>30</t>
        </is>
      </c>
      <c r="N25" s="38" t="inlineStr"/>
      <c r="O25" s="37" t="inlineStr"/>
      <c r="P25" s="38" t="n">
        <v>70</v>
      </c>
      <c r="Q25" s="37" t="n">
        <v>0.3</v>
      </c>
      <c r="R25" s="37" t="n">
        <v>0</v>
      </c>
      <c r="S25" s="37" t="n">
        <v>0.7</v>
      </c>
    </row>
    <row r="26">
      <c r="A26" s="37" t="inlineStr">
        <is>
          <t>48358432N</t>
        </is>
      </c>
      <c r="B26" s="37" t="inlineStr">
        <is>
          <t>Hernández Ruiz, Alejandra</t>
        </is>
      </c>
      <c r="C26" s="37" t="inlineStr">
        <is>
          <t>FUNCIONARIO</t>
        </is>
      </c>
      <c r="D26" s="37" t="n"/>
      <c r="E26" s="37" t="n"/>
      <c r="F26" s="37" t="n"/>
      <c r="G26" s="37" t="n"/>
      <c r="H26" s="37" t="n"/>
      <c r="I26" s="37" t="n">
        <v>1</v>
      </c>
      <c r="J26" s="37" t="n">
        <v>1</v>
      </c>
      <c r="K26" s="37" t="inlineStr">
        <is>
          <t>B175</t>
        </is>
      </c>
      <c r="L26" s="37" t="inlineStr">
        <is>
          <t>10.23</t>
        </is>
      </c>
      <c r="M26" s="37" t="inlineStr">
        <is>
          <t>60</t>
        </is>
      </c>
      <c r="N26" s="38" t="inlineStr"/>
      <c r="O26" s="37" t="inlineStr"/>
      <c r="P26" s="38" t="n">
        <v>40</v>
      </c>
      <c r="Q26" s="37" t="n">
        <v>0.6</v>
      </c>
      <c r="R26" s="37" t="n">
        <v>0</v>
      </c>
      <c r="S26" s="37" t="n">
        <v>0.4</v>
      </c>
    </row>
    <row r="27">
      <c r="A27" s="37" t="inlineStr">
        <is>
          <t>48365003M</t>
        </is>
      </c>
      <c r="B27" s="37" t="inlineStr">
        <is>
          <t>Quiles Soler, María del Carmen</t>
        </is>
      </c>
      <c r="C27" s="37" t="inlineStr">
        <is>
          <t>FUNCIONARIO</t>
        </is>
      </c>
      <c r="D27" s="37" t="n"/>
      <c r="E27" s="37" t="n"/>
      <c r="F27" s="37" t="n">
        <v>1</v>
      </c>
      <c r="G27" s="37" t="n"/>
      <c r="H27" s="37" t="n"/>
      <c r="I27" s="37" t="n"/>
      <c r="J27" s="37" t="n">
        <v>1</v>
      </c>
      <c r="K27" s="37" t="inlineStr">
        <is>
          <t>B175</t>
        </is>
      </c>
      <c r="L27" s="37" t="inlineStr">
        <is>
          <t>10.25</t>
        </is>
      </c>
      <c r="M27" s="37" t="inlineStr">
        <is>
          <t>30</t>
        </is>
      </c>
      <c r="N27" s="38" t="inlineStr"/>
      <c r="O27" s="37" t="inlineStr"/>
      <c r="P27" s="38" t="n">
        <v>70</v>
      </c>
      <c r="Q27" s="37" t="n">
        <v>0.3</v>
      </c>
      <c r="R27" s="37" t="n">
        <v>0</v>
      </c>
      <c r="S27" s="37" t="n">
        <v>0.7</v>
      </c>
    </row>
    <row r="28">
      <c r="A28" s="37" t="inlineStr">
        <is>
          <t>48472057V</t>
        </is>
      </c>
      <c r="B28" s="37" t="inlineStr">
        <is>
          <t>Santa Soriano, Alba</t>
        </is>
      </c>
      <c r="C28" s="37" t="inlineStr">
        <is>
          <t>NO FUNCIONARIO</t>
        </is>
      </c>
      <c r="D28" s="37" t="n"/>
      <c r="E28" s="37" t="n"/>
      <c r="F28" s="37" t="n"/>
      <c r="G28" s="37" t="n"/>
      <c r="H28" s="37" t="n"/>
      <c r="I28" s="37" t="n">
        <v>1</v>
      </c>
      <c r="J28" s="37" t="n">
        <v>1</v>
      </c>
      <c r="K28" s="37" t="inlineStr">
        <is>
          <t>B175</t>
        </is>
      </c>
      <c r="L28" s="37" t="n">
        <v>0</v>
      </c>
      <c r="M28" s="37" t="n">
        <v>0</v>
      </c>
      <c r="N28" s="38" t="inlineStr"/>
      <c r="O28" s="37" t="inlineStr"/>
      <c r="P28" s="38" t="n">
        <v>100</v>
      </c>
      <c r="Q28" s="37" t="n">
        <v>0</v>
      </c>
      <c r="R28" s="37" t="n">
        <v>0</v>
      </c>
      <c r="S28" s="37" t="n">
        <v>1</v>
      </c>
    </row>
    <row r="29">
      <c r="A29" s="37" t="inlineStr">
        <is>
          <t>52772110J</t>
        </is>
      </c>
      <c r="B29" s="37" t="inlineStr">
        <is>
          <t>Carretón Ballester, María del Carmen</t>
        </is>
      </c>
      <c r="C29" s="37" t="inlineStr">
        <is>
          <t>FUNCIONARIO</t>
        </is>
      </c>
      <c r="D29" s="37" t="n"/>
      <c r="E29" s="37" t="n"/>
      <c r="F29" s="37" t="n"/>
      <c r="G29" s="37" t="n"/>
      <c r="H29" s="37" t="n"/>
      <c r="I29" s="37" t="n">
        <v>1</v>
      </c>
      <c r="J29" s="37" t="n">
        <v>1</v>
      </c>
      <c r="K29" s="37" t="inlineStr">
        <is>
          <t>B175</t>
        </is>
      </c>
      <c r="L29" s="37" t="inlineStr">
        <is>
          <t>10.25</t>
        </is>
      </c>
      <c r="M29" s="37" t="inlineStr">
        <is>
          <t>30</t>
        </is>
      </c>
      <c r="N29" s="38" t="inlineStr"/>
      <c r="O29" s="37" t="inlineStr"/>
      <c r="P29" s="38" t="n">
        <v>70</v>
      </c>
      <c r="Q29" s="37" t="n">
        <v>0.3</v>
      </c>
      <c r="R29" s="37" t="n">
        <v>0</v>
      </c>
      <c r="S29" s="37" t="n">
        <v>0.7</v>
      </c>
    </row>
    <row r="30">
      <c r="A30" s="37" t="inlineStr">
        <is>
          <t>52773057V</t>
        </is>
      </c>
      <c r="B30" s="37" t="inlineStr">
        <is>
          <t>Rodríguez Valero, Daniel</t>
        </is>
      </c>
      <c r="C30" s="37" t="inlineStr">
        <is>
          <t>NO FUNCIONARIO</t>
        </is>
      </c>
      <c r="D30" s="37" t="n"/>
      <c r="E30" s="37" t="n"/>
      <c r="F30" s="37" t="n"/>
      <c r="G30" s="37" t="n">
        <v>1</v>
      </c>
      <c r="H30" s="37" t="n"/>
      <c r="I30" s="37" t="n"/>
      <c r="J30" s="37" t="n">
        <v>1</v>
      </c>
      <c r="K30" s="37" t="inlineStr">
        <is>
          <t>B175</t>
        </is>
      </c>
      <c r="L30" s="37" t="inlineStr">
        <is>
          <t>10.25</t>
        </is>
      </c>
      <c r="M30" s="37" t="inlineStr">
        <is>
          <t>30</t>
        </is>
      </c>
      <c r="N30" s="38" t="inlineStr"/>
      <c r="O30" s="37" t="inlineStr"/>
      <c r="P30" s="38" t="n">
        <v>70</v>
      </c>
      <c r="Q30" s="37" t="n">
        <v>0.3</v>
      </c>
      <c r="R30" s="37" t="n">
        <v>0</v>
      </c>
      <c r="S30" s="37" t="n">
        <v>0.7</v>
      </c>
    </row>
    <row r="31">
      <c r="A31" s="37" t="inlineStr">
        <is>
          <t>52777601F</t>
        </is>
      </c>
      <c r="B31" s="37" t="inlineStr">
        <is>
          <t>Suriá Martínez, Soledad Raquel</t>
        </is>
      </c>
      <c r="C31" s="37" t="inlineStr">
        <is>
          <t>FUNCIONARIO</t>
        </is>
      </c>
      <c r="D31" s="37" t="n"/>
      <c r="E31" s="37" t="n"/>
      <c r="F31" s="37" t="n">
        <v>1</v>
      </c>
      <c r="G31" s="37" t="n"/>
      <c r="H31" s="37" t="n"/>
      <c r="I31" s="37" t="n"/>
      <c r="J31" s="37" t="n">
        <v>1</v>
      </c>
      <c r="K31" s="37" t="inlineStr">
        <is>
          <t>B175</t>
        </is>
      </c>
      <c r="L31" s="37" t="inlineStr">
        <is>
          <t>10.25</t>
        </is>
      </c>
      <c r="M31" s="37" t="inlineStr">
        <is>
          <t>30</t>
        </is>
      </c>
      <c r="N31" s="38" t="inlineStr">
        <is>
          <t>10.23</t>
        </is>
      </c>
      <c r="O31" s="37" t="inlineStr">
        <is>
          <t>20</t>
        </is>
      </c>
      <c r="P31" s="38" t="n">
        <v>50</v>
      </c>
      <c r="Q31" s="37" t="n">
        <v>0.3</v>
      </c>
      <c r="R31" s="37" t="n">
        <v>0.2</v>
      </c>
      <c r="S31" s="37" t="n">
        <v>0.5</v>
      </c>
    </row>
    <row r="32">
      <c r="A32" s="37" t="inlineStr">
        <is>
          <t>74001487E</t>
        </is>
      </c>
      <c r="B32" s="37" t="inlineStr">
        <is>
          <t>Segarra Saavedra, Jesús Antonio</t>
        </is>
      </c>
      <c r="C32" s="37" t="inlineStr">
        <is>
          <t>FUNCIONARIO</t>
        </is>
      </c>
      <c r="D32" s="37" t="n"/>
      <c r="E32" s="37" t="n"/>
      <c r="F32" s="37" t="n"/>
      <c r="G32" s="37" t="n">
        <v>1</v>
      </c>
      <c r="H32" s="37" t="n"/>
      <c r="I32" s="37" t="n"/>
      <c r="J32" s="37" t="n">
        <v>1</v>
      </c>
      <c r="K32" s="37" t="inlineStr">
        <is>
          <t>B175</t>
        </is>
      </c>
      <c r="L32" s="37" t="inlineStr">
        <is>
          <t>10.25</t>
        </is>
      </c>
      <c r="M32" s="37" t="inlineStr">
        <is>
          <t>30</t>
        </is>
      </c>
      <c r="N32" s="38" t="inlineStr"/>
      <c r="O32" s="37" t="inlineStr"/>
      <c r="P32" s="38" t="n">
        <v>70</v>
      </c>
      <c r="Q32" s="37" t="n">
        <v>0.3</v>
      </c>
      <c r="R32" s="37" t="n">
        <v>0</v>
      </c>
      <c r="S32" s="37" t="n">
        <v>0.7</v>
      </c>
    </row>
    <row r="33">
      <c r="A33" s="37" t="inlineStr">
        <is>
          <t>74082575N</t>
        </is>
      </c>
      <c r="B33" s="37" t="inlineStr">
        <is>
          <t>Mira Pastor, Enric</t>
        </is>
      </c>
      <c r="C33" s="37" t="inlineStr">
        <is>
          <t>FUNCIONARIO</t>
        </is>
      </c>
      <c r="D33" s="37" t="n"/>
      <c r="E33" s="37" t="n">
        <v>1</v>
      </c>
      <c r="F33" s="37" t="n"/>
      <c r="G33" s="37" t="n"/>
      <c r="H33" s="37" t="n"/>
      <c r="I33" s="37" t="n"/>
      <c r="J33" s="37" t="n">
        <v>1</v>
      </c>
      <c r="K33" s="37" t="inlineStr">
        <is>
          <t>B175</t>
        </is>
      </c>
      <c r="L33" s="37" t="n">
        <v>0</v>
      </c>
      <c r="M33" s="37" t="n">
        <v>0</v>
      </c>
      <c r="N33" s="38" t="inlineStr"/>
      <c r="O33" s="37" t="inlineStr"/>
      <c r="P33" s="38" t="n">
        <v>100</v>
      </c>
      <c r="Q33" s="37" t="n">
        <v>0</v>
      </c>
      <c r="R33" s="37" t="n">
        <v>0</v>
      </c>
      <c r="S33" s="37" t="n">
        <v>1</v>
      </c>
    </row>
    <row r="34">
      <c r="A34" s="37" t="inlineStr">
        <is>
          <t>74219380J</t>
        </is>
      </c>
      <c r="B34" s="37" t="inlineStr">
        <is>
          <t>Escandell Poveda, Raquel</t>
        </is>
      </c>
      <c r="C34" s="37" t="inlineStr">
        <is>
          <t>NO FUNCIONARIO</t>
        </is>
      </c>
      <c r="D34" s="37" t="n"/>
      <c r="E34" s="37" t="n"/>
      <c r="F34" s="37" t="n"/>
      <c r="G34" s="37" t="n"/>
      <c r="H34" s="37" t="n"/>
      <c r="I34" s="37" t="n">
        <v>1</v>
      </c>
      <c r="J34" s="37" t="n">
        <v>1</v>
      </c>
      <c r="K34" s="37" t="inlineStr">
        <is>
          <t>B175</t>
        </is>
      </c>
      <c r="L34" s="37" t="n">
        <v>0</v>
      </c>
      <c r="M34" s="37" t="n">
        <v>0</v>
      </c>
      <c r="N34" s="38" t="inlineStr"/>
      <c r="O34" s="37" t="inlineStr"/>
      <c r="P34" s="38" t="n">
        <v>100</v>
      </c>
      <c r="Q34" s="37" t="n">
        <v>0</v>
      </c>
      <c r="R34" s="37" t="n">
        <v>0</v>
      </c>
      <c r="S34" s="37" t="n">
        <v>1</v>
      </c>
    </row>
    <row r="35">
      <c r="A35" s="34" t="n"/>
      <c r="B35" s="34" t="n"/>
      <c r="C35" s="34" t="n"/>
      <c r="D35" s="34" t="n"/>
      <c r="E35" s="34" t="n"/>
      <c r="F35" s="34" t="n"/>
      <c r="G35" s="34" t="n"/>
      <c r="H35" s="34" t="n"/>
      <c r="I35" s="34" t="n"/>
      <c r="J35" s="34" t="n"/>
      <c r="K35" s="34" t="n"/>
      <c r="L35" s="34" t="n"/>
      <c r="M35" s="34" t="n"/>
      <c r="N35" s="35" t="n"/>
      <c r="O35" s="34" t="n"/>
      <c r="P35" s="35" t="n"/>
      <c r="Q35" s="34" t="n"/>
      <c r="R35" s="34" t="n"/>
      <c r="S35" s="36">
        <f>SUM(S2:S34)</f>
        <v/>
      </c>
    </row>
    <row r="37" ht="60" customFormat="1" customHeight="1" s="12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4" t="n"/>
      <c r="O37" s="13" t="n"/>
      <c r="P37" s="14" t="n"/>
      <c r="Q37" s="13" t="n"/>
      <c r="R37" s="13" t="n"/>
      <c r="S37" s="13" t="n"/>
      <c r="T37" s="13" t="n"/>
    </row>
  </sheetData>
  <pageMargins left="0.3937007874015748" right="0.3937007874015748" top="0.3937007874015748" bottom="0.3937007874015748" header="0.3149606299212598" footer="0.3149606299212598"/>
  <pageSetup orientation="landscape" paperSize="9" scale="1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B18" sqref="B18"/>
    </sheetView>
  </sheetViews>
  <sheetFormatPr baseColWidth="10" defaultRowHeight="15"/>
  <cols>
    <col width="16.42578125" customWidth="1" min="1" max="1"/>
    <col width="66" customWidth="1" min="2" max="2"/>
    <col width="15.42578125" customWidth="1" min="3" max="3"/>
  </cols>
  <sheetData>
    <row r="1">
      <c r="A1" s="43" t="inlineStr">
        <is>
          <t>Cód. org. aplic.</t>
        </is>
      </c>
      <c r="B1" s="43" t="inlineStr">
        <is>
          <t>Descripción justificante</t>
        </is>
      </c>
      <c r="C1" s="43" t="inlineStr">
        <is>
          <t>Imp.cob.aplic.</t>
        </is>
      </c>
    </row>
    <row r="2">
      <c r="A2" s="31" t="inlineStr">
        <is>
          <t>36.80.6C.00.21</t>
        </is>
      </c>
      <c r="B2" s="31" t="inlineStr">
        <is>
          <t>"GUÍA PRÁCTICA SOBRE EL TRATAMIENTO DE LAS PERSONAS MAYORES EN LOS MEDIOS DE COMUNICACIÓN". Inicio</t>
        </is>
      </c>
      <c r="C2" s="85" t="n">
        <v>1760</v>
      </c>
    </row>
    <row r="3">
      <c r="A3" s="32" t="inlineStr">
        <is>
          <t>36.80.6C.00.21</t>
        </is>
      </c>
      <c r="B3" s="32" t="inlineStr">
        <is>
          <t>"GUÍA PRÁCTICA SOBRE EL TRATAMIENTO DE LAS PERSONAS MAYORES EN LOS MEDIOS DE COMUNICACIÓN" Finalización</t>
        </is>
      </c>
      <c r="C3" s="86" t="n">
        <v>1760</v>
      </c>
    </row>
    <row r="4">
      <c r="A4" s="31" t="inlineStr">
        <is>
          <t>36.80.6M.00.08</t>
        </is>
      </c>
      <c r="B4" s="31" t="inlineStr">
        <is>
          <t>Sponsorship of the organisation and implementation of the research project CAMINOS DE IGUALDAD Y NO VIOLENCIA (LABORAMUSIC II) by the University of Alicante</t>
        </is>
      </c>
      <c r="C4" s="85" t="n">
        <v>853.6</v>
      </c>
    </row>
    <row r="5">
      <c r="A5" s="32" t="inlineStr">
        <is>
          <t>36.80.6P.00.15</t>
        </is>
      </c>
      <c r="B5" s="32" t="inlineStr">
        <is>
          <t>DEVOLUCIÓN DE INGRESOS_MODELO 047_ Nº de liquidación:46/2023/RAS/10224/1_Número de justificante: 047/1/002367815_Nº de referencia:047/1/002367815</t>
        </is>
      </c>
      <c r="C5" s="86" t="n">
        <v>-522.33</v>
      </c>
    </row>
    <row r="6">
      <c r="A6" s="31" t="inlineStr">
        <is>
          <t>36.80.6P.00.18</t>
        </is>
      </c>
      <c r="B6" s="31" t="inlineStr">
        <is>
          <t xml:space="preserve">CIAEST/2021/35/41/52 </t>
        </is>
      </c>
      <c r="C6" s="85" t="n">
        <v>9000</v>
      </c>
    </row>
    <row r="7">
      <c r="A7" s="32" t="inlineStr">
        <is>
          <t>36.80.6P.00.21</t>
        </is>
      </c>
      <c r="B7" s="32" t="inlineStr">
        <is>
          <t xml:space="preserve">AYUDAS CIAORG/2022/45, CIAORG/2022/15, CIAORG/2022/44, CIAORG/2022/140, CIAORG/2022/89, CIAORG/2022/10, CIAORG/2022/115, CIAORG/2022/27, CIAORG/2022/117, CIAORG/2022/128, CIAORG/2022/83, CIAORG/2022/74, CIAORG/2022/125 </t>
        </is>
      </c>
      <c r="C7" s="86" t="n">
        <v>9000</v>
      </c>
    </row>
    <row r="8">
      <c r="A8" s="31" t="inlineStr">
        <is>
          <t>36.80.6P.00.22</t>
        </is>
      </c>
      <c r="B8" s="31" t="inlineStr">
        <is>
          <t xml:space="preserve">ayudas PID2022  138464NB-142516OB-139990NB-141382OB-137350NB-139899OB--136847NB-137385NB-139294NB-137873NA-138786NB-141712NB-136590OB-139105OB-142356NB-141694NB-136399NB  </t>
        </is>
      </c>
      <c r="C8" s="85" t="n">
        <v>54150</v>
      </c>
    </row>
    <row r="9">
      <c r="A9" s="32" t="inlineStr">
        <is>
          <t>36.80.6P.00.23</t>
        </is>
      </c>
      <c r="B9" s="32" t="inlineStr">
        <is>
          <t xml:space="preserve">SUBV23/00025 MINISTERIO CONSUMO </t>
        </is>
      </c>
      <c r="C9" s="86" t="n">
        <v>35960</v>
      </c>
    </row>
    <row r="10">
      <c r="A10" s="32" t="inlineStr">
        <is>
          <t>36.80.6Q.00.03</t>
        </is>
      </c>
      <c r="B10" s="32" t="inlineStr">
        <is>
          <t>PAGAMENT CONVENIO CON LA UA, FINANCIACIÓN GASTOS DE FUNCIONAMIENTO DE LA CÁTEDRA DE BRECHA DIGITAL GENERACIONAL 2023</t>
        </is>
      </c>
      <c r="C10" s="86" t="n">
        <v>20000</v>
      </c>
    </row>
    <row r="11">
      <c r="A11" s="31" t="inlineStr">
        <is>
          <t>36.80.6Q.00.03</t>
        </is>
      </c>
      <c r="B11" s="31" t="inlineStr">
        <is>
          <t>ANTICIPO 50% CONVENIO ENTRE CIUCSD Y LAUA, FINANC. GASTOS DE FUNC. DE LA CÁTEDRA DE BRECHA DIGITAL GENERACIONAL 2023</t>
        </is>
      </c>
      <c r="C11" s="85" t="n">
        <v>20000</v>
      </c>
    </row>
    <row r="12">
      <c r="A12" s="46" t="inlineStr">
        <is>
          <t>Total</t>
        </is>
      </c>
      <c r="B12" s="46" t="n"/>
      <c r="C12" s="87">
        <f>SUBTOTAL(109,Tabla2[Imp.cob.aplic.])</f>
        <v/>
      </c>
    </row>
    <row r="13">
      <c r="C13" s="88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E30" sqref="E30"/>
    </sheetView>
  </sheetViews>
  <sheetFormatPr baseColWidth="10" defaultRowHeight="15"/>
  <cols>
    <col width="21" customWidth="1" min="1" max="1"/>
    <col width="53.85546875" customWidth="1" min="2" max="2"/>
    <col width="13.28515625" customWidth="1" min="3" max="3"/>
  </cols>
  <sheetData>
    <row r="1">
      <c r="A1" s="50" t="inlineStr">
        <is>
          <t>Org. aplic.</t>
        </is>
      </c>
      <c r="B1" s="50" t="inlineStr">
        <is>
          <t>Descripción justificante</t>
        </is>
      </c>
      <c r="C1" s="89" t="inlineStr">
        <is>
          <t>Imp. aplic.</t>
        </is>
      </c>
    </row>
    <row r="2">
      <c r="A2" s="48" t="inlineStr">
        <is>
          <t>36.80.6C.00.23</t>
        </is>
      </c>
      <c r="B2" s="48" t="inlineStr">
        <is>
          <t>ASESORÍA CIENTÍFICO-TÉCNICA-HUMANÍSTICA EN MATERIA DE COMUNICACIÓN PARA LA PREVENCIÓN DE CONFLICTOS, GESTIÓN DE PROBLEMAS RELACIONALES Y CONFLICTOS, MONITOREO DEL NIVEL DE DIÁLOGO SOCIAL EN EL GRUPO EUROSOL-Taller nº 1 "TRABAJO EN EQUIPO. Cultura laboral para una organización inteligente y feliz"</t>
        </is>
      </c>
      <c r="C2" s="85" t="n">
        <v>440</v>
      </c>
    </row>
    <row r="3">
      <c r="A3" s="49" t="inlineStr">
        <is>
          <t>36.80.6C.00.23</t>
        </is>
      </c>
      <c r="B3" s="49" t="inlineStr">
        <is>
          <t>CONCEPTO ASESORÍA CIENTÍFICO-TÉCNICA-HUMANÍSTICA EN MATERIA DE COMUNICACIÓN PARA LA PREVENCIÓN DE CONFLICTOS, GESTIÓN DE PROBLEMAS RELACIONALES Y CONFLICTOS, MONITOREO DEL NIVEL DE DIÁLOGO SOCIAL EN EL GRUPO EUROSOL-Taller nº 2 "TRABAJO EN EQUIPO. Cultura laboral para una organización inteligente y feliz"</t>
        </is>
      </c>
      <c r="C3" s="86" t="n">
        <v>440</v>
      </c>
    </row>
    <row r="4">
      <c r="A4" s="48" t="inlineStr">
        <is>
          <t>36.80.6C.00.25</t>
        </is>
      </c>
      <c r="B4" s="48" t="inlineStr">
        <is>
          <t>Asesoramiento y asistencia científico-técnica-humanística: "Conferencia-taller Inteligencia emocional colectiva y reflexión consciente: Experiencias, lecciones aprendidas y nuevos retos en EUROSOL", en el marco de la jornada EUROSOL sobre construcción consciente de un vivir colaborativo en armonía realizado el día 23 de noviembre de 2024</t>
        </is>
      </c>
      <c r="C4" s="85" t="n">
        <v>440</v>
      </c>
    </row>
    <row r="5">
      <c r="A5" s="49" t="inlineStr">
        <is>
          <t>36.80.6P.00.21</t>
        </is>
      </c>
      <c r="B5" s="49" t="inlineStr">
        <is>
          <t xml:space="preserve">DEVOLUCIÓN DE INGRESOS_MODELO 047_ Nº LIQUIDACIÓN:46/2024/RAS/10317/1 Nº DE JUSTIFICANTE: 047/1/002550144_Nº DE REFERENCIA:  047/1/002550144 </t>
        </is>
      </c>
      <c r="C5" s="86" t="n">
        <v>-764.4</v>
      </c>
    </row>
    <row r="6">
      <c r="A6" s="48" t="inlineStr">
        <is>
          <t>36.80.6P.00.22</t>
        </is>
      </c>
      <c r="B6" s="48" t="inlineStr">
        <is>
          <t>PID2022-138464NB-I00-142516OB-I00-139990NB-I00-141382OB-I00-139899OB-I00-136847NB-I00-137385NB-I00-139294NB-I00-137873NA-I00-138786NB-I00-136590OB-C43</t>
        </is>
      </c>
      <c r="C6" s="85" t="n">
        <v>12900</v>
      </c>
    </row>
    <row r="7">
      <c r="A7" s="49" t="inlineStr">
        <is>
          <t>36.80.6Q.00.02</t>
        </is>
      </c>
      <c r="B7" s="49" t="inlineStr">
        <is>
          <t>Anulación por error en derecho de cobro pendiente_Mecenazgo de la Cátedra Institucional de la Marca Corporativa de la Universidad de Alicante. Aportación anual 2020.</t>
        </is>
      </c>
      <c r="C7" s="86" t="n">
        <v>-50000</v>
      </c>
    </row>
    <row r="8">
      <c r="A8" s="48" t="inlineStr">
        <is>
          <t>36.80.6Q.00.03</t>
        </is>
      </c>
      <c r="B8" s="48" t="inlineStr">
        <is>
          <t>CATEDRA BRECHA DIGITAL (LÍNEA S0820) 50%</t>
        </is>
      </c>
      <c r="C8" s="85" t="n">
        <v>20000</v>
      </c>
    </row>
    <row r="9">
      <c r="A9" s="49" t="inlineStr">
        <is>
          <t>36.80.6Q.00.03</t>
        </is>
      </c>
      <c r="B9" s="49" t="inlineStr">
        <is>
          <t>CATEDRA BRECHA DIGITAL (LÍNEA S0820) 50%  FACT: 6003262583</t>
        </is>
      </c>
      <c r="C9" s="86" t="n">
        <v>20000</v>
      </c>
    </row>
    <row r="10">
      <c r="A10" s="48" t="inlineStr">
        <is>
          <t>36.80.6Q.00.04</t>
        </is>
      </c>
      <c r="B10" s="48" t="inlineStr">
        <is>
          <t>CÁTEDRA AUDIOVISUAL "Acuerdo de cooperacion CACV y la UA para actividades de la Catedra de Analisis y Prospectiva del Audiovisual para 2023"</t>
        </is>
      </c>
      <c r="C10" s="85" t="n">
        <v>31328.78</v>
      </c>
    </row>
    <row r="11">
      <c r="A11" s="49" t="inlineStr">
        <is>
          <t>36.80.6Q.00.04</t>
        </is>
      </c>
      <c r="B11" s="49" t="inlineStr">
        <is>
          <t>ANTICIPO DEL 50% DEL TOTAL PREVISTO EN EL ACUERDO DE COLABORACIÓN CÁTEDRA ANALISIS Y PROSPECTIVA DEL AUDIOVISUAL 2024</t>
        </is>
      </c>
      <c r="C11" s="86" t="n">
        <v>12500</v>
      </c>
    </row>
    <row r="12">
      <c r="A12" s="52" t="inlineStr">
        <is>
          <t>36.80.6Q.00.04</t>
        </is>
      </c>
      <c r="B12" s="52" t="inlineStr">
        <is>
          <t>Último cobro anualidad 2024: Acuerdo de cooperacion CACV y la Universidad de Alicante para actividades de la Cátedra de Análisis y Prospectiva</t>
        </is>
      </c>
      <c r="C12" s="90" t="n">
        <v>11494.34</v>
      </c>
    </row>
    <row r="13">
      <c r="A13" s="53" t="inlineStr">
        <is>
          <t>Total</t>
        </is>
      </c>
      <c r="B13" s="53" t="n"/>
      <c r="C13" s="91">
        <f>SUBTOTAL(109,Tabla3[Imp. aplic.])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B26" sqref="B26"/>
    </sheetView>
  </sheetViews>
  <sheetFormatPr baseColWidth="10" defaultRowHeight="15"/>
  <cols>
    <col width="18.140625" customWidth="1" min="1" max="1"/>
    <col width="61.42578125" customWidth="1" min="2" max="2"/>
    <col width="20.5703125" customWidth="1" min="3" max="3"/>
  </cols>
  <sheetData>
    <row r="1">
      <c r="A1" s="72" t="inlineStr">
        <is>
          <t>Org. aplic.</t>
        </is>
      </c>
      <c r="B1" s="73" t="inlineStr">
        <is>
          <t>Descripción justificante</t>
        </is>
      </c>
      <c r="C1" s="73" t="inlineStr">
        <is>
          <t>Imp. aplic.</t>
        </is>
      </c>
    </row>
    <row r="2">
      <c r="A2" s="74" t="inlineStr">
        <is>
          <t>36.80.6C.00.24</t>
        </is>
      </c>
      <c r="B2" s="75" t="inlineStr">
        <is>
          <t>Procesado de imágenes y creación audiovisual de la extracción y tratamiento del pecio Mazarrón 2 (Murcia)</t>
        </is>
      </c>
      <c r="C2" s="92" t="n">
        <v>5196.4</v>
      </c>
    </row>
    <row r="3">
      <c r="A3" s="77" t="inlineStr">
        <is>
          <t>36.80.6C.00.26</t>
        </is>
      </c>
      <c r="B3" s="78" t="inlineStr">
        <is>
          <t>ASESORAMIENTO Y ASISTENCIA CIENTÍFICO TÉCNICA PARA LA ELABORACIÓN DE MATERIAL DOCENTE PARA UN CURSO CON DOS SESIONES SOBRE "DEBIDA DILIGENCIA" Y ELABORACIÓN DE DOCUMENTO EN FORMATO PPT PARA SER UTILIZADO POR LA EMPRESA, PARA PERSONAL DIRECTIVO Y PARA GRUPOS DE TRABAJO TERCEROS.</t>
        </is>
      </c>
      <c r="C3" s="93" t="n">
        <v>880</v>
      </c>
    </row>
    <row r="4">
      <c r="A4" s="74" t="inlineStr">
        <is>
          <t>36.80.6C.00.27</t>
        </is>
      </c>
      <c r="B4" s="75" t="inlineStr">
        <is>
          <t>ELABORACIÓN DE DIAGNÓSTICO INTEGRAL DE COMUNICACIÓN</t>
        </is>
      </c>
      <c r="C4" s="92" t="n">
        <v>10560</v>
      </c>
    </row>
    <row r="5">
      <c r="A5" s="77" t="inlineStr">
        <is>
          <t>36.80.6C.00.28</t>
        </is>
      </c>
      <c r="B5" s="78" t="inlineStr">
        <is>
          <t>Fotogrametría y fotografía subacuática en el proyecto de Reexcavación del pecio de El Sec de Mallorca: Caracterizando una empresa púnica EXCIIBB 2024-01</t>
        </is>
      </c>
      <c r="C5" s="93" t="n">
        <v>1056</v>
      </c>
    </row>
    <row r="6">
      <c r="A6" s="74" t="inlineStr">
        <is>
          <t>36.80.6C.00.29</t>
        </is>
      </c>
      <c r="B6" s="75" t="inlineStr">
        <is>
          <t>Elaboración de plan de comunicación integral</t>
        </is>
      </c>
      <c r="C6" s="92" t="n">
        <v>10560</v>
      </c>
    </row>
    <row r="7">
      <c r="A7" s="77" t="inlineStr">
        <is>
          <t>36.80.6C.00.30</t>
        </is>
      </c>
      <c r="B7" s="78" t="inlineStr">
        <is>
          <t>Asesoramiento científico-técnico especializado en marketing digital local (Primer pago fraccionado 50%)</t>
        </is>
      </c>
      <c r="C7" s="93" t="n">
        <v>642.4</v>
      </c>
    </row>
    <row r="8">
      <c r="A8" s="74" t="inlineStr">
        <is>
          <t>36.80.6C.00.30</t>
        </is>
      </c>
      <c r="B8" s="75" t="inlineStr">
        <is>
          <t>Asesoramiento científico-técnico especializado en marketing digital local. (Segundo pago fraccionado 50%)</t>
        </is>
      </c>
      <c r="C8" s="92" t="n">
        <v>642.4</v>
      </c>
    </row>
    <row r="9">
      <c r="A9" s="77" t="inlineStr">
        <is>
          <t>36.80.6C.00.31</t>
        </is>
      </c>
      <c r="B9" s="78" t="inlineStr">
        <is>
          <t>Asesoramiento científico-técnico para la gestión y optimización de campañas publicitarias locales en Google Ads orientadas a tres líneas de producto: baterías solares, placas fotovoltaicas y cargadores para el hogar.</t>
        </is>
      </c>
      <c r="C9" s="93" t="n">
        <v>299.2</v>
      </c>
    </row>
    <row r="10">
      <c r="A10" s="74" t="inlineStr">
        <is>
          <t>36.80.6C.00.32</t>
        </is>
      </c>
      <c r="B10" s="75" t="inlineStr">
        <is>
          <t>Elaboración de vídeos corporativos</t>
        </is>
      </c>
      <c r="C10" s="92" t="n">
        <v>3749.58</v>
      </c>
    </row>
    <row r="11">
      <c r="A11" s="77" t="inlineStr">
        <is>
          <t>36.80.6C.00.33</t>
        </is>
      </c>
      <c r="B11" s="78" t="inlineStr">
        <is>
          <t>ASESORÍA CIENTÍFICA EN MARKETING DIGITAL APLICADA A CAMPAÑAS NACIONALES E INTERNACIONALES Y EXPANSIÓN DE MERCADOS MEDIANTE GOOGLE ADS PARA CASA FARLET - CASAFARLET1-25A - GARCIA MARTINEZ, MARIA ESTER</t>
        </is>
      </c>
      <c r="C11" s="93" t="n">
        <v>607.2</v>
      </c>
    </row>
    <row r="12">
      <c r="A12" s="74" t="inlineStr">
        <is>
          <t>36.80.6C.00.34</t>
        </is>
      </c>
      <c r="B12" s="75" t="inlineStr">
        <is>
          <t>Realización de un análisis científico-técnico del trabajo desarrollado por la agencia Puntual Comunicación en materia de marketing digital para sus clientes durante los meses de julio, agosto y septiembre de 2025. PUNTUALCOMUNICACION1-25A - GARCÍA MARTÍNEZ, MARÍA ESTER</t>
        </is>
      </c>
      <c r="C12" s="92" t="n">
        <v>2296.8</v>
      </c>
    </row>
    <row r="13">
      <c r="A13" s="77" t="inlineStr">
        <is>
          <t>36.80.6C.00.35</t>
        </is>
      </c>
      <c r="B13" s="78" t="inlineStr">
        <is>
          <t xml:space="preserve">ASISTENCIA EN LA CREACIÓN DE NUEVA IDENTIDAD VISUAL PARA UNA MARCA DEL GRUPO, DESARROLLO DE MANUAL DE IDENTIDAD CORPORATIVA Y DISEÑO DE CARPETA/DÍPTICO DE LANZAMIENTO </t>
        </is>
      </c>
      <c r="C13" s="93" t="n">
        <v>2068</v>
      </c>
    </row>
    <row r="14">
      <c r="A14" s="74" t="inlineStr">
        <is>
          <t>36.80.6P.00.22</t>
        </is>
      </c>
      <c r="B14" s="75" t="inlineStr">
        <is>
          <t>AYUDAS PID2022-138464NB-I00, PID2022-142516OB-I00, PID2022-139990NB-I00, PID2022-141382OB-, 00, PID2022-139899OB-I00, PID2022-136847NB-I00, PID2022-137385NB-I00, PID2022-139294NB-I00, PID2022-137873NA-I00, PID2022-138786NB-I00,PID2022-136590OB-C43, PID2022-139105OB-I00, PID2022-141712NB-C22, PID2022-142356NB-I00, PID2022-141694NB-I00, PID2022-136399NB-C21, PID2022-142159OB-I00,PID2022-137566OB-I00, PID2022-139552OB-C22, PID2022-137302NB-C33, PID2022-139820NB-I00, PID2022-142960OB-C21, PID2022-138111NB-I00, PID2022-141543OB-I00, PID2022-137350NB-I00, PID2022-138491OB-C32, PID2022-137364OB-I00, PID2022-138329NB-I00, PID2022-142830NB-I00, PID2022-138453OB-I00, PID2022-138696OB-C22, PID2022-138853NB-I00, PID2022-142712NB-I00,</t>
        </is>
      </c>
      <c r="C14" s="92" t="n">
        <v>7950</v>
      </c>
    </row>
    <row r="15">
      <c r="A15" s="77" t="inlineStr">
        <is>
          <t>36.80.6P.00.23</t>
        </is>
      </c>
      <c r="B15" s="78" t="inlineStr">
        <is>
          <t>DEVOLUCIÓN DE INGRESOS_ MODELO 069_EXPEDIENTE O REFERENCIA: SUBV23 / 025</t>
        </is>
      </c>
      <c r="C15" s="93" t="n">
        <v>-5466.16</v>
      </c>
    </row>
    <row r="16">
      <c r="A16" s="74" t="inlineStr">
        <is>
          <t>36.80.6P.00.25</t>
        </is>
      </c>
      <c r="B16" s="75" t="inlineStr">
        <is>
          <t>PROGRAMA PROPIO DEL CENTRO DE GASTRONOMÍA DEL MEDITERRÁNEO (GASTERRA) UA_DENIA PARA EL FOMENTO DE LA I+D+I EN EL ÁMBITO DE LA GASTRONOMÍA 2025</t>
        </is>
      </c>
      <c r="C16" s="92" t="n">
        <v>2300</v>
      </c>
    </row>
    <row r="17">
      <c r="A17" s="77" t="inlineStr">
        <is>
          <t>36.80.6P.00.26</t>
        </is>
      </c>
      <c r="B17" s="78" t="inlineStr">
        <is>
          <t xml:space="preserve">CIAORG/2024/003. CIAORG/2024/005.  CIAORG/2024/017. CIAORG/2024/035. CIAORG/2024/079. CIAORG/2024/085. CIAORG/2024/098. CIAORG/2024/123. CIAORG/2024/158. CIAORG/2024/187. CIAORG/2024/193         </t>
        </is>
      </c>
      <c r="C17" s="93" t="n">
        <v>9000</v>
      </c>
    </row>
    <row r="18">
      <c r="A18" s="74" t="inlineStr">
        <is>
          <t>36.80.6P.00.28</t>
        </is>
      </c>
      <c r="B18" s="75" t="inlineStr">
        <is>
          <t>Ingreso ayudas CIGE/2024/56/95/108/145/178/184/194/199/200/201/202/203/204/205/208/209/212/213</t>
        </is>
      </c>
      <c r="C18" s="92" t="n">
        <v>5000</v>
      </c>
    </row>
    <row r="19">
      <c r="A19" s="77" t="inlineStr">
        <is>
          <t>36.80.6Q.00.04</t>
        </is>
      </c>
      <c r="B19" s="78" t="inlineStr">
        <is>
          <t>INGRESO PERCIBIDO POR LA UNIVERSIDAD DE ALICANTE EN VIRTUD DE ACUERDO DE COOPERACIÓN PARA LA REALIZACIÓN DE ACTIVIDADES DE AL CÁTEDRA DE ANÁLISIS Y PROSPECTIVA AUDIOVISUAL DURANTE 2025.</t>
        </is>
      </c>
      <c r="C19" s="93" t="n">
        <v>17500</v>
      </c>
    </row>
    <row r="20" ht="15.75" customHeight="1" thickBot="1">
      <c r="A20" s="74" t="inlineStr">
        <is>
          <t>36.80.6Q.00.04</t>
        </is>
      </c>
      <c r="B20" s="75" t="inlineStr">
        <is>
          <t>2º INGRESO PERCIBIDO POR LA UNIVERSIDAD DE ALICANTE EN VIRTUD DE ACUERDO DE COOPERACIÓN PARA LA REALIZACIÓN DE ACTIVIDADES DE AL CÁTEDRA DE ANÁLISIS Y PROSPECTIVA AUDIOVISUAL DURANTE 2025.</t>
        </is>
      </c>
      <c r="C20" s="92" t="n">
        <v>17233.57</v>
      </c>
    </row>
    <row r="21" ht="15.75" customHeight="1" thickTop="1">
      <c r="A21" s="80" t="inlineStr">
        <is>
          <t>Total</t>
        </is>
      </c>
      <c r="B21" s="81" t="n"/>
      <c r="C21" s="94" t="n">
        <v>92075.39000000001</v>
      </c>
    </row>
    <row r="25">
      <c r="B25" s="26" t="inlineStr">
        <is>
          <t>Total ingresos investigación 2023-25</t>
        </is>
      </c>
      <c r="C25" s="27">
        <f>'Ingresos investigación 2024'!C13+Tabla2[[#Totals],[Imp.cob.aplic.]]+C21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C15" sqref="C15"/>
    </sheetView>
  </sheetViews>
  <sheetFormatPr baseColWidth="10" defaultRowHeight="15"/>
  <cols>
    <col width="16.42578125" customWidth="1" min="1" max="1"/>
    <col width="59" customWidth="1" min="2" max="2"/>
    <col width="15.42578125" customWidth="1" min="3" max="3"/>
  </cols>
  <sheetData>
    <row r="1">
      <c r="A1" s="43" t="inlineStr">
        <is>
          <t>Cód. org. aplic.</t>
        </is>
      </c>
      <c r="B1" s="43" t="inlineStr">
        <is>
          <t>Descripción justificante</t>
        </is>
      </c>
      <c r="C1" s="43" t="inlineStr">
        <is>
          <t>Imp.cob.aplic.</t>
        </is>
      </c>
    </row>
    <row r="2">
      <c r="A2" s="31" t="inlineStr">
        <is>
          <t>36.80.2T.00.20</t>
        </is>
      </c>
      <c r="B2" s="31" t="inlineStr">
        <is>
          <t>Carolina Paz Sinde. EXPERTO/A EN REDES SOCIALES, ESTRATEGIA Y COMUNICACIÓN DIGITAL</t>
        </is>
      </c>
      <c r="C2" s="85" t="n">
        <v>2796.97</v>
      </c>
    </row>
    <row r="3">
      <c r="A3" s="32" t="inlineStr">
        <is>
          <t>36.80.2T.00.20</t>
        </is>
      </c>
      <c r="B3" s="32" t="inlineStr">
        <is>
          <t xml:space="preserve">DEVOLUCIÓN TASAS NÓMINAS_ REMESA Nº 2023DTR302407  RDT INVERSA_2023EXPADM1734 </t>
        </is>
      </c>
      <c r="C3" s="86" t="n">
        <v>-346.8</v>
      </c>
    </row>
    <row r="4">
      <c r="A4" s="31" t="inlineStr">
        <is>
          <t>36.80.2T.00.20</t>
        </is>
      </c>
      <c r="B4" s="31" t="inlineStr">
        <is>
          <t xml:space="preserve">LIQ-TitProp_9393-1-2 Curso_2023-24 Emitido_2023-24 - EXPERTO/A EN REDES SOCIALES, ESTRATEGIA Y COMUNICACIÓN DIGITAL </t>
        </is>
      </c>
      <c r="C4" s="85" t="n">
        <v>22276.8</v>
      </c>
    </row>
    <row r="5">
      <c r="A5" s="44" t="inlineStr">
        <is>
          <t>36.80.2T.00.20</t>
        </is>
      </c>
      <c r="B5" s="44" t="inlineStr">
        <is>
          <t xml:space="preserve">Plan_GI84 Curso_2023-24 Emitido_2023-24 - REDES SOCIALES, ESTRATEGIA Y COMUNICACIÓN DIGITAL </t>
        </is>
      </c>
      <c r="C5" s="95" t="n">
        <v>27072</v>
      </c>
    </row>
    <row r="6">
      <c r="A6" s="63" t="inlineStr">
        <is>
          <t>10.91.2T.00.07</t>
        </is>
      </c>
      <c r="B6" s="63" t="inlineStr">
        <is>
          <t>COLABORACIÓN EN LOS GASTOS DE ORGANIZACIÓN Y DOCENCIA DEL CURSO DE FORMACIÓN CONTINUA "MEDICIÓN Y EVALUACIÓN DE VALORES HUMANOS EN LA COMUNICACIÓN"</t>
        </is>
      </c>
      <c r="C6" s="95" t="n">
        <v>500</v>
      </c>
    </row>
    <row r="7">
      <c r="A7" s="41" t="inlineStr">
        <is>
          <t>Total</t>
        </is>
      </c>
      <c r="B7" s="41" t="n"/>
      <c r="C7" s="96">
        <f>SUBTOTAL(109,Tabla5[Imp.cob.aplic.])</f>
        <v/>
      </c>
    </row>
  </sheetData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B14" sqref="B14:C14"/>
    </sheetView>
  </sheetViews>
  <sheetFormatPr baseColWidth="10" defaultRowHeight="15"/>
  <cols>
    <col width="24.140625" customWidth="1" min="1" max="1"/>
    <col width="47.28515625" customWidth="1" min="2" max="2"/>
    <col width="11.7109375" customWidth="1" min="3" max="3"/>
  </cols>
  <sheetData>
    <row r="1">
      <c r="A1" s="50" t="inlineStr">
        <is>
          <t>Org. aplic.</t>
        </is>
      </c>
      <c r="B1" s="50" t="inlineStr">
        <is>
          <t>Descripción justificante</t>
        </is>
      </c>
      <c r="C1" s="50" t="inlineStr">
        <is>
          <t>Imp. aplic.</t>
        </is>
      </c>
    </row>
    <row r="2">
      <c r="A2" s="64" t="inlineStr">
        <is>
          <t>36.80.2T.00.20</t>
        </is>
      </c>
      <c r="B2" s="64" t="inlineStr">
        <is>
          <t>Paloma Palazuelos Carrasco. EXPERTO/A EN REDES SOCIALES, ESTRATEGIA Y COMUNICACIÓN DIGITAL</t>
        </is>
      </c>
      <c r="C2" s="97" t="n">
        <v>2796.97</v>
      </c>
    </row>
    <row r="3">
      <c r="A3" s="66" t="inlineStr">
        <is>
          <t>36.80.2T.00.20</t>
        </is>
      </c>
      <c r="B3" s="66" t="inlineStr">
        <is>
          <t>RUBÉN MARTÍNEZ RIERA, EXPERTO/A EN REDES SOCIALES, ESTRATEGIA Y COMUNICACIÓN DIGITAL (PLAN 9393), RECIBO Nº 2024739165318</t>
        </is>
      </c>
      <c r="C3" s="98" t="n">
        <v>2796.97</v>
      </c>
    </row>
    <row r="4">
      <c r="A4" s="64" t="inlineStr">
        <is>
          <t>36.80.2T.00.20</t>
        </is>
      </c>
      <c r="B4" s="64" t="inlineStr">
        <is>
          <t xml:space="preserve">LIQ-TitProp_9393-N Curso_2024-25_AñoCont_2024 TipoRec_Emitido - EXPERTO/A EN REDES SOCIALES, ESTRATEGIA Y COMUNICACIÓN DIGITAL (1)  </t>
        </is>
      </c>
      <c r="C4" s="97" t="n">
        <v>14926</v>
      </c>
    </row>
    <row r="5">
      <c r="A5" s="46" t="inlineStr">
        <is>
          <t>36.80.2T.00.20</t>
        </is>
      </c>
      <c r="B5" s="46" t="inlineStr">
        <is>
          <t xml:space="preserve">LIQ-TitProp_GK37-1 Curso_2024-25 AñoCont_2024 - REDES SOCIALES, ESTRATEGIA Y COMUNICACIÓN DIGITAL </t>
        </is>
      </c>
      <c r="C5" s="99" t="n">
        <v>25560</v>
      </c>
    </row>
    <row r="6">
      <c r="A6" s="63" t="inlineStr">
        <is>
          <t>10.91.2T.00.32</t>
        </is>
      </c>
      <c r="B6" s="63" t="inlineStr">
        <is>
          <t xml:space="preserve">LIQ-TitProp_GL93-1 Curso_2024-25 AñoCont_2024 - INTELIGENCIA ARTIFICIAL RESPONSABLE APLICADA A LA PUBLICIDAD (NIVEL I) </t>
        </is>
      </c>
      <c r="C6" s="97" t="n">
        <v>792.2</v>
      </c>
    </row>
    <row r="7">
      <c r="A7" s="63" t="inlineStr">
        <is>
          <t>10.91.2T.00.44</t>
        </is>
      </c>
      <c r="B7" s="63" t="inlineStr">
        <is>
          <t>CÓD: GL94. Microcredencial: LA SEGURIDAD MARÍTIMA EN EL MARCO DE LA OPERACIÓN ATALANTA</t>
        </is>
      </c>
      <c r="C7" s="99" t="n">
        <v>1326</v>
      </c>
    </row>
    <row r="8">
      <c r="A8" s="63" t="inlineStr">
        <is>
          <t>10.91.2T.00.56</t>
        </is>
      </c>
      <c r="B8" s="63" t="inlineStr">
        <is>
          <t>CÓD: GL93. Microcredencial: INTELIGENCIA ARTIFICIAL RESPONSABLE APLICADA A LA PUBLICIDAD (NIVEL I)</t>
        </is>
      </c>
      <c r="C8" s="97" t="n">
        <v>1564</v>
      </c>
    </row>
    <row r="9">
      <c r="A9" s="63" t="inlineStr">
        <is>
          <t>10.91.2T.00.71</t>
        </is>
      </c>
      <c r="B9" s="63" t="inlineStr">
        <is>
          <t>CÓD: GL94. Microcredencial: La Seguridad Marítima en la Unión Europea. Análisis de la Operación Atalanta</t>
        </is>
      </c>
      <c r="C9" s="99" t="n">
        <v>459</v>
      </c>
    </row>
    <row r="10">
      <c r="A10" s="41" t="inlineStr">
        <is>
          <t>Total</t>
        </is>
      </c>
      <c r="B10" s="41" t="n"/>
      <c r="C10" s="100">
        <f>SUBTOTAL(109,Tabla7[Imp. aplic.])</f>
        <v/>
      </c>
    </row>
  </sheetData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"/>
  <sheetViews>
    <sheetView tabSelected="1" workbookViewId="0">
      <selection activeCell="C19" sqref="C19"/>
    </sheetView>
  </sheetViews>
  <sheetFormatPr baseColWidth="10" defaultRowHeight="15"/>
  <cols>
    <col width="19.42578125" customWidth="1" min="1" max="1"/>
    <col width="54.42578125" customWidth="1" min="2" max="2"/>
    <col width="19.85546875" customWidth="1" min="3" max="3"/>
  </cols>
  <sheetData>
    <row r="1">
      <c r="A1" s="72" t="inlineStr">
        <is>
          <t>Org. aplic.</t>
        </is>
      </c>
      <c r="B1" s="73" t="inlineStr">
        <is>
          <t>Descripción justificante</t>
        </is>
      </c>
      <c r="C1" s="101" t="inlineStr">
        <is>
          <t>Imp. aplic.</t>
        </is>
      </c>
    </row>
    <row r="2">
      <c r="A2" s="74" t="inlineStr">
        <is>
          <t>36.80.2T.00.20</t>
        </is>
      </c>
      <c r="B2" s="75" t="inlineStr">
        <is>
          <t xml:space="preserve">LIQ-TitProp_GK37-1 Curso_2024-25 AñoCont_2025 - REDES SOCIALES, ESTRATEGIA Y COMUNICACIÓN DIGITAL </t>
        </is>
      </c>
      <c r="C2" s="92" t="n">
        <v>5328</v>
      </c>
    </row>
    <row r="3">
      <c r="A3" s="77" t="inlineStr">
        <is>
          <t>36.80.2T.00.20</t>
        </is>
      </c>
      <c r="B3" s="78" t="inlineStr">
        <is>
          <t>ADRIÁN MUÑOZ GARCÍA. CURSO REDES SOCIALES, ESTRATEGIA Y COMUNICACIÓN DIGITAL (PLAN GK37), RECIBO Nº 2024748129288</t>
        </is>
      </c>
      <c r="C3" s="93" t="n">
        <v>2996.97</v>
      </c>
    </row>
    <row r="4">
      <c r="A4" s="74" t="inlineStr">
        <is>
          <t>36.80.2T.00.20</t>
        </is>
      </c>
      <c r="B4" s="75" t="inlineStr">
        <is>
          <t xml:space="preserve">PABLO LÓPEZ BALBOA, EXPERTO EN REDES SOCIALES, ESTRATEGIA Y COMUNICACIÓN SOCIAL, 2025995300552 </t>
        </is>
      </c>
      <c r="C4" s="92" t="n">
        <v>2996.97</v>
      </c>
    </row>
    <row r="5">
      <c r="A5" s="77" t="inlineStr">
        <is>
          <t>36.80.2T.00.20</t>
        </is>
      </c>
      <c r="B5" s="78" t="inlineStr">
        <is>
          <t>LIQ-TitProp_GK37-N Curso_2025-26 AñoCont_2025 - REDES SOCIALES, ESTRATEGIA Y COMUNICACIÓN DIGITAL</t>
        </is>
      </c>
      <c r="C5" s="93" t="n">
        <v>18654.77</v>
      </c>
    </row>
    <row r="6">
      <c r="A6" s="74" t="inlineStr">
        <is>
          <t>36.80.2T.00.20</t>
        </is>
      </c>
      <c r="B6" s="75" t="inlineStr">
        <is>
          <t xml:space="preserve">LIQ-TitProp_9393-1 Curso_2025-26 AñoCont_2025 - EXPERTO/A EN REDES SOCIALES, ESTRATEGIA Y COMUNICACIÓN DIGITAL </t>
        </is>
      </c>
      <c r="C6" s="92" t="n">
        <v>30192</v>
      </c>
    </row>
    <row r="7">
      <c r="A7" s="77" t="inlineStr">
        <is>
          <t>36.80.2T.00.20</t>
        </is>
      </c>
      <c r="B7" s="78" t="inlineStr">
        <is>
          <t xml:space="preserve">LIQ-TitProp_GK37-2 Curso_2025-26 AñoCont_2025 - REDES SOCIALES, ESTRATEGIA Y COMUNICACIÓN DIGITAL </t>
        </is>
      </c>
      <c r="C7" s="93" t="n">
        <v>3196.8</v>
      </c>
    </row>
    <row r="8">
      <c r="A8" s="74" t="inlineStr">
        <is>
          <t>36.80.2T.00.20</t>
        </is>
      </c>
      <c r="B8" s="75" t="inlineStr">
        <is>
          <t xml:space="preserve">LIQ-TitProp_9393-2 Curso_2025-26 AñoCont_2025 - EXPERTO/A EN REDES SOCIALES, ESTRATEGIA Y COMUNICACIÓN DIGITAL </t>
        </is>
      </c>
      <c r="C8" s="92" t="n">
        <v>2516</v>
      </c>
    </row>
    <row r="9">
      <c r="A9" s="77" t="inlineStr">
        <is>
          <t>36.80.2T.00.20</t>
        </is>
      </c>
      <c r="B9" s="78" t="inlineStr">
        <is>
          <t xml:space="preserve">LIQ-TitProp_GK37-N Curso_2025-26 AñoCont_2025 - REDES SOCIALES, ESTRATEGIA Y COMUNICACIÓN DIGITAL _ (Cierre-25) (EMITIDO-25 NO-COBRADO) </t>
        </is>
      </c>
      <c r="C9" s="93" t="n">
        <v>8.67</v>
      </c>
    </row>
    <row r="10">
      <c r="A10" s="74" t="inlineStr">
        <is>
          <t>10.91.2T.00.44</t>
        </is>
      </c>
      <c r="B10" s="75" t="inlineStr">
        <is>
          <t>CÓD: GL94. Microcredencial: LA SEGURIDAD MARÍTIMA EN EL MARCO DE LA OPERACIÓN ATALANTA</t>
        </is>
      </c>
      <c r="C10" s="92" t="n">
        <v>71.40000000000001</v>
      </c>
    </row>
    <row r="11">
      <c r="A11" s="77" t="inlineStr">
        <is>
          <t>10.91.2T.01.85</t>
        </is>
      </c>
      <c r="B11" s="78" t="inlineStr">
        <is>
          <t xml:space="preserve">CÓD: GN24. MICROCREDENCIAL. LIQ-TitProp_GN24-N Curso_2025-26 AñoCont_2025 - DOMINANDO LA IA EN COMUNICACIÓN COMERCIAL  </t>
        </is>
      </c>
      <c r="C11" s="93" t="n">
        <v>2040</v>
      </c>
    </row>
    <row r="12">
      <c r="A12" s="74" t="inlineStr">
        <is>
          <t>10.91.2T.01.86</t>
        </is>
      </c>
      <c r="B12" s="75" t="inlineStr">
        <is>
          <t xml:space="preserve">LIQ-TitProp_GN24-N Curso_2025-26 AñoCont_2025 - DOMINANDO LA IA EN COMUNICACIÓN COMERCIAL </t>
        </is>
      </c>
      <c r="C12" s="92" t="n">
        <v>489.6</v>
      </c>
    </row>
    <row r="13">
      <c r="A13" s="77" t="inlineStr">
        <is>
          <t>10.91.2T.01.90</t>
        </is>
      </c>
      <c r="B13" s="78" t="inlineStr">
        <is>
          <t xml:space="preserve">LIQ-TitProp_GN72-N Curso_2025-26 AñoCont_2025 - COMUNICACIÓN DE INFLUENCIA: CLAVES ÉTICAS Y PROFESIONALES </t>
        </is>
      </c>
      <c r="C13" s="93" t="n">
        <v>1785</v>
      </c>
    </row>
    <row r="14" ht="15.75" customHeight="1" thickBot="1">
      <c r="A14" s="74" t="inlineStr">
        <is>
          <t>10.91.2T.01.90</t>
        </is>
      </c>
      <c r="B14" s="75" t="inlineStr">
        <is>
          <t xml:space="preserve">DEVOLUCIÓN DE PRECIOS PÚBLICOS_ REMESA Nº 2025DTR364090_  RDT INVERSA 2025EXPADM2092 </t>
        </is>
      </c>
      <c r="C14" s="92" t="n">
        <v>-25.5</v>
      </c>
    </row>
    <row r="15" ht="15.75" customHeight="1" thickTop="1">
      <c r="A15" s="80" t="inlineStr">
        <is>
          <t>Total</t>
        </is>
      </c>
      <c r="B15" s="81" t="n"/>
      <c r="C15" s="102">
        <f>SUM(C2:C14)</f>
        <v/>
      </c>
    </row>
    <row r="18">
      <c r="B18" s="61" t="inlineStr">
        <is>
          <t>Total ingresos formación 2023-25</t>
        </is>
      </c>
      <c r="C18" s="62">
        <f>C15+Tabla5[[#Totals],[Imp.cob.aplic.]]+Tabla7[[#Totals],[Imp. aplic.]]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dchj@ua.es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21387280V</dc:creator>
  <dcterms:created xsi:type="dcterms:W3CDTF">2019-07-03T07:15:54Z</dcterms:created>
  <dcterms:modified xsi:type="dcterms:W3CDTF">2026-05-28T21:59:09Z</dcterms:modified>
  <cp:lastModifiedBy>mayte.pujalte</cp:lastModifiedBy>
</cp:coreProperties>
</file>