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5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'Tesis'!$A$1:$U$2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0" fillId="0" borderId="0"/>
  </cellStyleXfs>
  <cellXfs count="8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1" pivotButton="0" quotePrefix="0" xfId="1"/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1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165" fontId="0" fillId="7" borderId="2" pivotButton="0" quotePrefix="0" xfId="6"/>
    <xf numFmtId="165" fontId="0" fillId="0" borderId="2" pivotButton="0" quotePrefix="0" xfId="6"/>
    <xf numFmtId="0" fontId="13" fillId="7" borderId="2" pivotButton="0" quotePrefix="0" xfId="0"/>
    <xf numFmtId="0" fontId="13" fillId="0" borderId="2" pivotButton="0" quotePrefix="0" xfId="0"/>
    <xf numFmtId="165" fontId="0" fillId="0" borderId="0" pivotButton="0" quotePrefix="0" xfId="0"/>
    <xf numFmtId="0" fontId="9" fillId="8" borderId="0" pivotButton="0" quotePrefix="0" xfId="5"/>
    <xf numFmtId="0" fontId="9" fillId="8" borderId="0" applyAlignment="1" pivotButton="0" quotePrefix="0" xfId="5">
      <alignment horizontal="right"/>
    </xf>
    <xf numFmtId="0" fontId="11" fillId="8" borderId="0" pivotButton="0" quotePrefix="0" xfId="5"/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0" fontId="3" fillId="2" borderId="0" pivotButton="0" quotePrefix="0" xfId="1"/>
    <xf numFmtId="0" fontId="0" fillId="0" borderId="4" pivotButton="0" quotePrefix="0" xfId="0"/>
    <xf numFmtId="0" fontId="12" fillId="6" borderId="3" pivotButton="0" quotePrefix="0" xfId="0"/>
    <xf numFmtId="0" fontId="13" fillId="7" borderId="4" pivotButton="0" quotePrefix="0" xfId="0"/>
    <xf numFmtId="165" fontId="0" fillId="7" borderId="4" pivotButton="0" quotePrefix="0" xfId="6"/>
    <xf numFmtId="0" fontId="9" fillId="9" borderId="4" pivotButton="0" quotePrefix="0" xfId="0"/>
    <xf numFmtId="165" fontId="10" fillId="9" borderId="4" pivotButton="0" quotePrefix="0" xfId="0"/>
    <xf numFmtId="0" fontId="0" fillId="10" borderId="0" pivotButton="0" quotePrefix="0" xfId="0"/>
    <xf numFmtId="0" fontId="0" fillId="7" borderId="2" pivotButton="0" quotePrefix="0" xfId="0"/>
    <xf numFmtId="0" fontId="0" fillId="0" borderId="2" pivotButton="0" quotePrefix="0" xfId="0"/>
    <xf numFmtId="0" fontId="14" fillId="6" borderId="3" pivotButton="0" quotePrefix="0" xfId="0"/>
    <xf numFmtId="165" fontId="14" fillId="6" borderId="3" pivotButton="0" quotePrefix="0" xfId="6"/>
    <xf numFmtId="0" fontId="0" fillId="7" borderId="4" pivotButton="0" quotePrefix="0" xfId="0"/>
    <xf numFmtId="165" fontId="0" fillId="0" borderId="4" pivotButton="0" quotePrefix="0" xfId="0"/>
    <xf numFmtId="0" fontId="15" fillId="0" borderId="0" pivotButton="0" quotePrefix="0" xfId="0"/>
    <xf numFmtId="165" fontId="15" fillId="0" borderId="0" pivotButton="0" quotePrefix="0" xfId="0"/>
    <xf numFmtId="0" fontId="15" fillId="0" borderId="1" pivotButton="0" quotePrefix="0" xfId="0"/>
    <xf numFmtId="165" fontId="15" fillId="0" borderId="1" pivotButton="0" quotePrefix="0" xfId="0"/>
    <xf numFmtId="0" fontId="16" fillId="11" borderId="5" pivotButton="0" quotePrefix="0" xfId="0"/>
    <xf numFmtId="0" fontId="16" fillId="11" borderId="6" pivotButton="0" quotePrefix="0" xfId="0"/>
    <xf numFmtId="0" fontId="17" fillId="12" borderId="5" pivotButton="0" quotePrefix="0" xfId="0"/>
    <xf numFmtId="0" fontId="17" fillId="12" borderId="6" pivotButton="0" quotePrefix="0" xfId="0"/>
    <xf numFmtId="166" fontId="17" fillId="12" borderId="6" pivotButton="0" quotePrefix="0" xfId="6"/>
    <xf numFmtId="0" fontId="17" fillId="0" borderId="5" pivotButton="0" quotePrefix="0" xfId="0"/>
    <xf numFmtId="0" fontId="17" fillId="0" borderId="6" pivotButton="0" quotePrefix="0" xfId="0"/>
    <xf numFmtId="166" fontId="17" fillId="0" borderId="6" pivotButton="0" quotePrefix="0" xfId="6"/>
    <xf numFmtId="0" fontId="18" fillId="0" borderId="7" pivotButton="0" quotePrefix="0" xfId="0"/>
    <xf numFmtId="0" fontId="18" fillId="0" borderId="8" pivotButton="0" quotePrefix="0" xfId="0"/>
    <xf numFmtId="166" fontId="18" fillId="0" borderId="8" pivotButton="0" quotePrefix="0" xfId="6"/>
    <xf numFmtId="166" fontId="16" fillId="11" borderId="6" pivotButton="0" quotePrefix="0" xfId="6"/>
    <xf numFmtId="166" fontId="18" fillId="0" borderId="8" pivotButton="0" quotePrefix="0" xfId="0"/>
    <xf numFmtId="164" fontId="2" fillId="4" borderId="1" pivotButton="0" quotePrefix="0" xfId="1"/>
    <xf numFmtId="164" fontId="3" fillId="2" borderId="1" pivotButton="0" quotePrefix="0" xfId="1"/>
    <xf numFmtId="165" fontId="0" fillId="7" borderId="2" pivotButton="0" quotePrefix="0" xfId="6"/>
    <xf numFmtId="165" fontId="0" fillId="0" borderId="2" pivotButton="0" quotePrefix="0" xfId="6"/>
    <xf numFmtId="165" fontId="0" fillId="7" borderId="4" pivotButton="0" quotePrefix="0" xfId="6"/>
    <xf numFmtId="165" fontId="10" fillId="9" borderId="4" pivotButton="0" quotePrefix="0" xfId="0"/>
    <xf numFmtId="165" fontId="0" fillId="0" borderId="0" pivotButton="0" quotePrefix="0" xfId="0"/>
    <xf numFmtId="165" fontId="14" fillId="6" borderId="3" pivotButton="0" quotePrefix="0" xfId="6"/>
    <xf numFmtId="165" fontId="0" fillId="0" borderId="4" pivotButton="0" quotePrefix="0" xfId="0"/>
    <xf numFmtId="166" fontId="17" fillId="12" borderId="6" pivotButton="0" quotePrefix="0" xfId="6"/>
    <xf numFmtId="166" fontId="17" fillId="0" borderId="6" pivotButton="0" quotePrefix="0" xfId="6"/>
    <xf numFmtId="166" fontId="18" fillId="0" borderId="8" pivotButton="0" quotePrefix="0" xfId="6"/>
    <xf numFmtId="165" fontId="15" fillId="0" borderId="1" pivotButton="0" quotePrefix="0" xfId="0"/>
    <xf numFmtId="165" fontId="15" fillId="0" borderId="0" pivotButton="0" quotePrefix="0" xfId="0"/>
    <xf numFmtId="166" fontId="16" fillId="11" borderId="6" pivotButton="0" quotePrefix="0" xfId="6"/>
    <xf numFmtId="166" fontId="18" fillId="0" borderId="8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0"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7" headerRowCount="1" totalsRowCount="1" headerRowDxfId="19" totalsRowDxfId="16" headerRowBorderDxfId="18" tableBorderDxfId="17" totalsRowBorderDxfId="15">
  <autoFilter ref="A1:C6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5" headerRowCount="1" totalsRowCount="1" headerRowBorderDxfId="8" tableBorderDxfId="7" totalsRowBorderDxfId="6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5" displayName="Tabla35" ref="A1:C4" headerRowCount="1" totalsRowCount="1" headerRowBorderDxfId="5" tableBorderDxfId="4" totalsRowBorderDxfId="3">
  <autoFilter ref="A1:C3"/>
  <tableColumns count="3">
    <tableColumn id="1" name="Org. aplic." totalsRowLabel="Total" totalsRowDxfId="2"/>
    <tableColumn id="2" name="Descripción justificante" totalsRowDxfId="1"/>
    <tableColumn id="3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3" sqref="Q1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14" min="15" max="15"/>
    <col width="4.88671875" customWidth="1" style="6" min="16" max="16"/>
    <col width="3.5546875" customWidth="1" style="14" min="17" max="17"/>
    <col width="9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7" t="inlineStr">
        <is>
          <t>U025</t>
        </is>
      </c>
      <c r="B2" s="7" t="inlineStr">
        <is>
          <t>ADM. FACULTAD DE DERECHO</t>
        </is>
      </c>
      <c r="C2" s="7" t="inlineStr">
        <is>
          <t>DOCTORADO EN DERECHO</t>
        </is>
      </c>
      <c r="D2" s="7" t="inlineStr">
        <is>
          <t>Aranda Martínez, María Carmen</t>
        </is>
      </c>
      <c r="E2" s="7" t="inlineStr">
        <is>
          <t>Dirección y control de la prestación de trabajo</t>
        </is>
      </c>
      <c r="F2" s="7" t="inlineStr">
        <is>
          <t>08/03/2024</t>
        </is>
      </c>
      <c r="G2" s="7" t="inlineStr">
        <is>
          <t>21416360W</t>
        </is>
      </c>
      <c r="H2" s="7" t="inlineStr">
        <is>
          <t>Codirector de tesis</t>
        </is>
      </c>
      <c r="I2" s="7" t="inlineStr">
        <is>
          <t>B140</t>
        </is>
      </c>
      <c r="J2" s="7" t="inlineStr">
        <is>
          <t>DERECHO DEL TRABAJO Y DE LA SEGURIDAD SOCIAL</t>
        </is>
      </c>
      <c r="K2" s="7" t="n">
        <v>0.5</v>
      </c>
      <c r="L2" s="7" t="inlineStr">
        <is>
          <t>B140</t>
        </is>
      </c>
      <c r="M2" s="7" t="n">
        <v>2023</v>
      </c>
      <c r="N2" s="9" t="inlineStr"/>
      <c r="O2" s="7" t="inlineStr"/>
      <c r="P2" s="9" t="inlineStr"/>
      <c r="Q2" s="10" t="inlineStr"/>
      <c r="R2" s="64" t="n">
        <v>100</v>
      </c>
      <c r="S2" s="64" t="n">
        <v>0.5</v>
      </c>
      <c r="T2" s="64" t="n">
        <v>0</v>
      </c>
      <c r="U2" s="6" t="n">
        <v>0</v>
      </c>
      <c r="V2" s="6" t="inlineStr">
        <is>
          <t>S</t>
        </is>
      </c>
    </row>
    <row r="3">
      <c r="A3" s="7" t="inlineStr">
        <is>
          <t>U025</t>
        </is>
      </c>
      <c r="B3" s="7" t="inlineStr">
        <is>
          <t>ADM. FACULTAD DE DERECHO</t>
        </is>
      </c>
      <c r="C3" s="7" t="inlineStr">
        <is>
          <t>DOCTORADO EN DERECHO</t>
        </is>
      </c>
      <c r="D3" s="7" t="inlineStr">
        <is>
          <t>Aranda Martínez, María Carmen</t>
        </is>
      </c>
      <c r="E3" s="7" t="inlineStr">
        <is>
          <t>Dirección y control de la prestación de trabajo</t>
        </is>
      </c>
      <c r="F3" s="7" t="inlineStr">
        <is>
          <t>08/03/2024</t>
        </is>
      </c>
      <c r="G3" s="7" t="inlineStr">
        <is>
          <t>21495623F</t>
        </is>
      </c>
      <c r="H3" s="7" t="inlineStr">
        <is>
          <t>Codirector de tesis</t>
        </is>
      </c>
      <c r="I3" s="7" t="inlineStr">
        <is>
          <t>B140</t>
        </is>
      </c>
      <c r="J3" s="7" t="inlineStr">
        <is>
          <t>DERECHO DEL TRABAJO Y DE LA SEGURIDAD SOCIAL</t>
        </is>
      </c>
      <c r="K3" s="7" t="n">
        <v>0.5</v>
      </c>
      <c r="L3" s="7" t="inlineStr">
        <is>
          <t>B140</t>
        </is>
      </c>
      <c r="M3" s="7" t="n">
        <v>2023</v>
      </c>
      <c r="N3" s="9" t="inlineStr"/>
      <c r="O3" s="7" t="inlineStr"/>
      <c r="P3" s="9" t="inlineStr"/>
      <c r="Q3" s="10" t="inlineStr"/>
      <c r="R3" s="64" t="n">
        <v>100</v>
      </c>
      <c r="S3" s="64" t="n">
        <v>0.5</v>
      </c>
      <c r="T3" s="64" t="n">
        <v>0</v>
      </c>
      <c r="U3" s="6" t="n">
        <v>0</v>
      </c>
      <c r="V3" s="6" t="inlineStr">
        <is>
          <t>S</t>
        </is>
      </c>
    </row>
    <row r="4">
      <c r="A4" s="7" t="inlineStr">
        <is>
          <t>U025</t>
        </is>
      </c>
      <c r="B4" s="7" t="inlineStr">
        <is>
          <t>Administración Facultad de Derecho</t>
        </is>
      </c>
      <c r="C4" s="7" t="inlineStr">
        <is>
          <t>DOCTORADO EN DERECHO</t>
        </is>
      </c>
      <c r="D4" s="7" t="inlineStr">
        <is>
          <t>Parres Miralles, Rubén</t>
        </is>
      </c>
      <c r="E4" s="7" t="inlineStr">
        <is>
          <t>La forma del despido por causas objetivas</t>
        </is>
      </c>
      <c r="F4" s="7" t="inlineStr">
        <is>
          <t>04/11/2024</t>
        </is>
      </c>
      <c r="G4" s="7" t="inlineStr">
        <is>
          <t>74219509G</t>
        </is>
      </c>
      <c r="H4" s="7" t="inlineStr">
        <is>
          <t>Codirector de tesis</t>
        </is>
      </c>
      <c r="I4" s="7" t="inlineStr">
        <is>
          <t>B140</t>
        </is>
      </c>
      <c r="J4" s="7" t="inlineStr">
        <is>
          <t>Derecho del Trabajo y de la Seguridad Social</t>
        </is>
      </c>
      <c r="K4" s="7" t="n">
        <v>0.5</v>
      </c>
      <c r="L4" s="7" t="inlineStr">
        <is>
          <t>B140</t>
        </is>
      </c>
      <c r="M4" s="7" t="n">
        <v>2024</v>
      </c>
      <c r="N4" s="9" t="inlineStr"/>
      <c r="O4" s="7" t="inlineStr"/>
      <c r="P4" s="9" t="inlineStr"/>
      <c r="Q4" s="10" t="inlineStr"/>
      <c r="R4" s="64" t="n">
        <v>100</v>
      </c>
      <c r="S4" s="64" t="n">
        <v>0.5</v>
      </c>
      <c r="T4" s="64" t="n">
        <v>0</v>
      </c>
      <c r="U4" s="6" t="n">
        <v>0</v>
      </c>
    </row>
    <row r="5">
      <c r="A5" s="7" t="inlineStr">
        <is>
          <t>U025</t>
        </is>
      </c>
      <c r="B5" s="7" t="inlineStr">
        <is>
          <t>Administración Facultad de Derecho</t>
        </is>
      </c>
      <c r="C5" s="7" t="inlineStr">
        <is>
          <t>DOCTORADO EN DERECHO</t>
        </is>
      </c>
      <c r="D5" s="7" t="inlineStr">
        <is>
          <t>Parres Miralles, Rubén</t>
        </is>
      </c>
      <c r="E5" s="7" t="inlineStr">
        <is>
          <t>La forma del despido por causas objetivas</t>
        </is>
      </c>
      <c r="F5" s="7" t="inlineStr">
        <is>
          <t>04/11/2024</t>
        </is>
      </c>
      <c r="G5" s="7" t="inlineStr">
        <is>
          <t>21416360W</t>
        </is>
      </c>
      <c r="H5" s="7" t="inlineStr">
        <is>
          <t>Codirector de tesis</t>
        </is>
      </c>
      <c r="I5" s="7" t="inlineStr">
        <is>
          <t>B140</t>
        </is>
      </c>
      <c r="J5" s="7" t="inlineStr">
        <is>
          <t>Derecho del Trabajo y de la Seguridad Social</t>
        </is>
      </c>
      <c r="K5" s="7" t="n">
        <v>0.5</v>
      </c>
      <c r="L5" s="7" t="inlineStr">
        <is>
          <t>B140</t>
        </is>
      </c>
      <c r="M5" s="7" t="n">
        <v>2024</v>
      </c>
      <c r="N5" s="9" t="inlineStr"/>
      <c r="O5" s="7" t="inlineStr"/>
      <c r="P5" s="9" t="inlineStr"/>
      <c r="Q5" s="10" t="inlineStr"/>
      <c r="R5" s="64" t="n">
        <v>100</v>
      </c>
      <c r="S5" s="64" t="n">
        <v>0.5</v>
      </c>
      <c r="T5" s="64" t="n">
        <v>0</v>
      </c>
      <c r="U5" s="6" t="n">
        <v>0</v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2" t="n"/>
      <c r="O6" s="11" t="n"/>
      <c r="P6" s="12" t="n"/>
      <c r="Q6" s="11" t="n"/>
      <c r="R6" s="65" t="n"/>
      <c r="S6" s="33">
        <f>SUM(S2:S5)</f>
        <v/>
      </c>
      <c r="T6" s="11" t="n"/>
      <c r="U6" s="11" t="n"/>
    </row>
  </sheetData>
  <autoFilter ref="A1:U2">
    <sortState ref="A2:U1910">
      <sortCondition ref="L2:L1910"/>
      <sortCondition ref="M2:M1910"/>
      <sortCondition ref="D2:D191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zoomScaleNormal="100" workbookViewId="0">
      <selection activeCell="X11" sqref="X11"/>
    </sheetView>
  </sheetViews>
  <sheetFormatPr baseColWidth="10" defaultColWidth="11.44140625" defaultRowHeight="13.2"/>
  <cols>
    <col width="10.88671875" bestFit="1" customWidth="1" style="18" min="1" max="1"/>
    <col width="36.88671875" bestFit="1" customWidth="1" style="18" min="2" max="2"/>
    <col width="14.5546875" bestFit="1" customWidth="1" style="18" min="3" max="3"/>
    <col width="3.33203125" bestFit="1" customWidth="1" style="18" min="4" max="9"/>
    <col width="13.109375" bestFit="1" customWidth="1" style="18" min="10" max="10"/>
    <col width="5.33203125" bestFit="1" customWidth="1" style="18" min="11" max="11"/>
    <col width="5.6640625" bestFit="1" customWidth="1" style="18" min="12" max="13"/>
    <col width="5.6640625" bestFit="1" customWidth="1" style="19" min="14" max="14"/>
    <col width="5.6640625" bestFit="1" customWidth="1" style="18" min="15" max="15"/>
    <col width="5.6640625" bestFit="1" customWidth="1" style="19" min="16" max="16"/>
    <col width="5.6640625" bestFit="1" customWidth="1" style="18" min="17" max="19"/>
    <col width="11.44140625" customWidth="1" style="18" min="20" max="16384"/>
  </cols>
  <sheetData>
    <row r="1" ht="60" customFormat="1" customHeight="1" s="17">
      <c r="A1" s="20" t="inlineStr">
        <is>
          <t>NIF</t>
        </is>
      </c>
      <c r="B1" s="20" t="inlineStr">
        <is>
          <t>NOMBRE_COMPLETO</t>
        </is>
      </c>
      <c r="C1" s="20" t="inlineStr">
        <is>
          <t>TIPO_SEXENIO</t>
        </is>
      </c>
      <c r="D1" s="21" t="inlineStr">
        <is>
          <t>2020</t>
        </is>
      </c>
      <c r="E1" s="21" t="inlineStr">
        <is>
          <t>2021</t>
        </is>
      </c>
      <c r="F1" s="21" t="inlineStr">
        <is>
          <t>2022</t>
        </is>
      </c>
      <c r="G1" s="21" t="inlineStr">
        <is>
          <t>2023</t>
        </is>
      </c>
      <c r="H1" s="21" t="inlineStr">
        <is>
          <t>2024</t>
        </is>
      </c>
      <c r="I1" s="21" t="inlineStr">
        <is>
          <t>2025</t>
        </is>
      </c>
      <c r="J1" s="20" t="inlineStr">
        <is>
          <t>Total general</t>
        </is>
      </c>
      <c r="K1" s="22" t="inlineStr">
        <is>
          <t>COD DEP</t>
        </is>
      </c>
      <c r="L1" s="15" t="inlineStr">
        <is>
          <t>INS
1</t>
        </is>
      </c>
      <c r="M1" s="15" t="inlineStr">
        <is>
          <t>DED
INS 1</t>
        </is>
      </c>
      <c r="N1" s="15" t="inlineStr">
        <is>
          <t>INS
2</t>
        </is>
      </c>
      <c r="O1" s="15" t="inlineStr">
        <is>
          <t>DED
INS 2</t>
        </is>
      </c>
      <c r="P1" s="16" t="inlineStr">
        <is>
          <t>DED
DEP</t>
        </is>
      </c>
      <c r="Q1" s="16" t="inlineStr">
        <is>
          <t>SEX
INS 1</t>
        </is>
      </c>
      <c r="R1" s="16" t="inlineStr">
        <is>
          <t>SEX
INS 2</t>
        </is>
      </c>
      <c r="S1" s="16" t="inlineStr">
        <is>
          <t>SEX
DEP</t>
        </is>
      </c>
    </row>
    <row r="2">
      <c r="A2" s="31" t="inlineStr">
        <is>
          <t>21416360W</t>
        </is>
      </c>
      <c r="B2" s="31" t="inlineStr">
        <is>
          <t>Viqueira Pérez, María del Carmen</t>
        </is>
      </c>
      <c r="C2" s="31" t="inlineStr">
        <is>
          <t>FUNCIONARIO</t>
        </is>
      </c>
      <c r="D2" s="31" t="n">
        <v>1</v>
      </c>
      <c r="E2" s="31" t="n"/>
      <c r="F2" s="31" t="n"/>
      <c r="G2" s="31" t="n"/>
      <c r="H2" s="31" t="n"/>
      <c r="I2" s="31" t="n"/>
      <c r="J2" s="31" t="n">
        <v>1</v>
      </c>
      <c r="K2" s="31" t="inlineStr">
        <is>
          <t>B140</t>
        </is>
      </c>
      <c r="L2" s="31" t="n">
        <v>0</v>
      </c>
      <c r="M2" s="31" t="n">
        <v>0</v>
      </c>
      <c r="N2" s="32" t="inlineStr"/>
      <c r="O2" s="31" t="inlineStr"/>
      <c r="P2" s="32" t="n">
        <v>100</v>
      </c>
      <c r="Q2" s="31" t="n">
        <v>0</v>
      </c>
      <c r="R2" s="31" t="n">
        <v>0</v>
      </c>
      <c r="S2" s="31" t="n">
        <v>1</v>
      </c>
    </row>
    <row r="3">
      <c r="A3" s="31" t="inlineStr">
        <is>
          <t>21455665T</t>
        </is>
      </c>
      <c r="B3" s="31" t="inlineStr">
        <is>
          <t>Rivera Sánchez, Juan Ramón</t>
        </is>
      </c>
      <c r="C3" s="31" t="inlineStr">
        <is>
          <t>FUNCIONARIO</t>
        </is>
      </c>
      <c r="D3" s="31" t="n"/>
      <c r="E3" s="31" t="n">
        <v>1</v>
      </c>
      <c r="F3" s="31" t="n"/>
      <c r="G3" s="31" t="n"/>
      <c r="H3" s="31" t="n"/>
      <c r="I3" s="31" t="n"/>
      <c r="J3" s="31" t="n">
        <v>1</v>
      </c>
      <c r="K3" s="31" t="inlineStr">
        <is>
          <t>B140</t>
        </is>
      </c>
      <c r="L3" s="31" t="inlineStr">
        <is>
          <t>10.25</t>
        </is>
      </c>
      <c r="M3" s="31" t="inlineStr">
        <is>
          <t>50</t>
        </is>
      </c>
      <c r="N3" s="32" t="inlineStr"/>
      <c r="O3" s="31" t="inlineStr"/>
      <c r="P3" s="32" t="n">
        <v>50</v>
      </c>
      <c r="Q3" s="31" t="n">
        <v>0.5</v>
      </c>
      <c r="R3" s="31" t="n">
        <v>0</v>
      </c>
      <c r="S3" s="31" t="n">
        <v>0.5</v>
      </c>
    </row>
    <row r="4">
      <c r="A4" s="31" t="inlineStr">
        <is>
          <t>21495623F</t>
        </is>
      </c>
      <c r="B4" s="31" t="inlineStr">
        <is>
          <t>Montoya Medina, David</t>
        </is>
      </c>
      <c r="C4" s="31" t="inlineStr">
        <is>
          <t>FUNCIONARIO</t>
        </is>
      </c>
      <c r="D4" s="31" t="n"/>
      <c r="E4" s="31" t="n"/>
      <c r="F4" s="31" t="n"/>
      <c r="G4" s="31" t="n">
        <v>1</v>
      </c>
      <c r="H4" s="31" t="n"/>
      <c r="I4" s="31" t="n"/>
      <c r="J4" s="31" t="n">
        <v>1</v>
      </c>
      <c r="K4" s="31" t="inlineStr">
        <is>
          <t>B140</t>
        </is>
      </c>
      <c r="L4" s="31" t="n">
        <v>0</v>
      </c>
      <c r="M4" s="31" t="n">
        <v>0</v>
      </c>
      <c r="N4" s="32" t="inlineStr"/>
      <c r="O4" s="31" t="inlineStr"/>
      <c r="P4" s="32" t="n">
        <v>100</v>
      </c>
      <c r="Q4" s="31" t="n">
        <v>0</v>
      </c>
      <c r="R4" s="31" t="n">
        <v>0</v>
      </c>
      <c r="S4" s="31" t="n">
        <v>1</v>
      </c>
    </row>
    <row r="5">
      <c r="A5" s="31" t="inlineStr">
        <is>
          <t>21673749K</t>
        </is>
      </c>
      <c r="B5" s="31" t="inlineStr">
        <is>
          <t>Fernández-Peinado Martínez, Alicia</t>
        </is>
      </c>
      <c r="C5" s="31" t="inlineStr">
        <is>
          <t>NO FUNCIONARIO</t>
        </is>
      </c>
      <c r="D5" s="31" t="n"/>
      <c r="E5" s="31" t="n"/>
      <c r="F5" s="31" t="n"/>
      <c r="G5" s="31" t="n"/>
      <c r="H5" s="31" t="n">
        <v>1</v>
      </c>
      <c r="I5" s="31" t="n"/>
      <c r="J5" s="31" t="n">
        <v>1</v>
      </c>
      <c r="K5" s="31" t="inlineStr">
        <is>
          <t>B140</t>
        </is>
      </c>
      <c r="L5" s="31" t="n">
        <v>0</v>
      </c>
      <c r="M5" s="31" t="n">
        <v>0</v>
      </c>
      <c r="N5" s="32" t="inlineStr"/>
      <c r="O5" s="31" t="inlineStr"/>
      <c r="P5" s="32" t="n">
        <v>100</v>
      </c>
      <c r="Q5" s="31" t="n">
        <v>0</v>
      </c>
      <c r="R5" s="31" t="n">
        <v>0</v>
      </c>
      <c r="S5" s="31" t="n">
        <v>1</v>
      </c>
    </row>
    <row r="6">
      <c r="A6" s="31" t="inlineStr">
        <is>
          <t>29008313T</t>
        </is>
      </c>
      <c r="B6" s="31" t="inlineStr">
        <is>
          <t>Ballester Laguna, Fernando</t>
        </is>
      </c>
      <c r="C6" s="31" t="inlineStr">
        <is>
          <t>FUNCIONARIO</t>
        </is>
      </c>
      <c r="D6" s="31" t="n"/>
      <c r="E6" s="31" t="n">
        <v>1</v>
      </c>
      <c r="F6" s="31" t="n"/>
      <c r="G6" s="31" t="n"/>
      <c r="H6" s="31" t="n"/>
      <c r="I6" s="31" t="n"/>
      <c r="J6" s="31" t="n">
        <v>1</v>
      </c>
      <c r="K6" s="31" t="inlineStr">
        <is>
          <t>B140</t>
        </is>
      </c>
      <c r="L6" s="31" t="n">
        <v>0</v>
      </c>
      <c r="M6" s="31" t="n">
        <v>0</v>
      </c>
      <c r="N6" s="32" t="inlineStr"/>
      <c r="O6" s="31" t="inlineStr"/>
      <c r="P6" s="32" t="n">
        <v>100</v>
      </c>
      <c r="Q6" s="31" t="n">
        <v>0</v>
      </c>
      <c r="R6" s="31" t="n">
        <v>0</v>
      </c>
      <c r="S6" s="31" t="n">
        <v>1</v>
      </c>
    </row>
    <row r="7">
      <c r="A7" s="31" t="inlineStr">
        <is>
          <t>29019785H</t>
        </is>
      </c>
      <c r="B7" s="31" t="inlineStr">
        <is>
          <t>Bajo García, Irene</t>
        </is>
      </c>
      <c r="C7" s="31" t="inlineStr">
        <is>
          <t>FUNCIONARIO</t>
        </is>
      </c>
      <c r="D7" s="31" t="n"/>
      <c r="E7" s="31" t="n"/>
      <c r="F7" s="31" t="n"/>
      <c r="G7" s="31" t="n">
        <v>1</v>
      </c>
      <c r="H7" s="31" t="n"/>
      <c r="I7" s="31" t="n"/>
      <c r="J7" s="31" t="n">
        <v>1</v>
      </c>
      <c r="K7" s="31" t="inlineStr">
        <is>
          <t>B140</t>
        </is>
      </c>
      <c r="L7" s="31" t="inlineStr">
        <is>
          <t>10.23</t>
        </is>
      </c>
      <c r="M7" s="31" t="inlineStr">
        <is>
          <t>20</t>
        </is>
      </c>
      <c r="N7" s="32" t="inlineStr"/>
      <c r="O7" s="31" t="inlineStr"/>
      <c r="P7" s="32" t="n">
        <v>80</v>
      </c>
      <c r="Q7" s="31" t="n">
        <v>0.2</v>
      </c>
      <c r="R7" s="31" t="n">
        <v>0</v>
      </c>
      <c r="S7" s="31" t="n">
        <v>0.8</v>
      </c>
    </row>
    <row r="8">
      <c r="A8" s="31" t="inlineStr">
        <is>
          <t>48622474Z</t>
        </is>
      </c>
      <c r="B8" s="31" t="inlineStr">
        <is>
          <t>Basterra Hernández, Miguel</t>
        </is>
      </c>
      <c r="C8" s="31" t="inlineStr">
        <is>
          <t>FUNCIONARIO</t>
        </is>
      </c>
      <c r="D8" s="31" t="n"/>
      <c r="E8" s="31" t="n"/>
      <c r="F8" s="31" t="n"/>
      <c r="G8" s="31" t="n">
        <v>1</v>
      </c>
      <c r="H8" s="31" t="n"/>
      <c r="I8" s="31" t="n"/>
      <c r="J8" s="31" t="n">
        <v>1</v>
      </c>
      <c r="K8" s="31" t="inlineStr">
        <is>
          <t>B140</t>
        </is>
      </c>
      <c r="L8" s="31" t="n">
        <v>0</v>
      </c>
      <c r="M8" s="31" t="n">
        <v>0</v>
      </c>
      <c r="N8" s="32" t="inlineStr"/>
      <c r="O8" s="31" t="inlineStr"/>
      <c r="P8" s="32" t="n">
        <v>100</v>
      </c>
      <c r="Q8" s="31" t="n">
        <v>0</v>
      </c>
      <c r="R8" s="31" t="n">
        <v>0</v>
      </c>
      <c r="S8" s="31" t="n">
        <v>1</v>
      </c>
    </row>
    <row r="9">
      <c r="A9" s="31" t="inlineStr">
        <is>
          <t>74086488S</t>
        </is>
      </c>
      <c r="B9" s="31" t="inlineStr">
        <is>
          <t>Sirvent Hernández, Nancy</t>
        </is>
      </c>
      <c r="C9" s="31" t="inlineStr">
        <is>
          <t>FUNCIONARIO</t>
        </is>
      </c>
      <c r="D9" s="31" t="n">
        <v>1</v>
      </c>
      <c r="E9" s="31" t="n"/>
      <c r="F9" s="31" t="n"/>
      <c r="G9" s="31" t="n"/>
      <c r="H9" s="31" t="n"/>
      <c r="I9" s="31" t="n"/>
      <c r="J9" s="31" t="n">
        <v>1</v>
      </c>
      <c r="K9" s="31" t="inlineStr">
        <is>
          <t>B140</t>
        </is>
      </c>
      <c r="L9" s="31" t="n">
        <v>0</v>
      </c>
      <c r="M9" s="31" t="n">
        <v>0</v>
      </c>
      <c r="N9" s="32" t="inlineStr"/>
      <c r="O9" s="31" t="inlineStr"/>
      <c r="P9" s="32" t="n">
        <v>100</v>
      </c>
      <c r="Q9" s="31" t="n">
        <v>0</v>
      </c>
      <c r="R9" s="31" t="n">
        <v>0</v>
      </c>
      <c r="S9" s="31" t="n">
        <v>1</v>
      </c>
    </row>
    <row r="10">
      <c r="A10" s="31" t="inlineStr">
        <is>
          <t>74219509G</t>
        </is>
      </c>
      <c r="B10" s="31" t="inlineStr">
        <is>
          <t>Blasco Jover, Carolina</t>
        </is>
      </c>
      <c r="C10" s="31" t="inlineStr">
        <is>
          <t>FUNCIONARIO</t>
        </is>
      </c>
      <c r="D10" s="31" t="n"/>
      <c r="E10" s="31" t="n"/>
      <c r="F10" s="31" t="n"/>
      <c r="G10" s="31" t="n">
        <v>1</v>
      </c>
      <c r="H10" s="31" t="n"/>
      <c r="I10" s="31" t="n"/>
      <c r="J10" s="31" t="n">
        <v>1</v>
      </c>
      <c r="K10" s="31" t="inlineStr">
        <is>
          <t>B140</t>
        </is>
      </c>
      <c r="L10" s="31" t="n">
        <v>0</v>
      </c>
      <c r="M10" s="31" t="n">
        <v>0</v>
      </c>
      <c r="N10" s="32" t="inlineStr"/>
      <c r="O10" s="31" t="inlineStr"/>
      <c r="P10" s="32" t="n">
        <v>100</v>
      </c>
      <c r="Q10" s="31" t="n">
        <v>0</v>
      </c>
      <c r="R10" s="31" t="n">
        <v>0</v>
      </c>
      <c r="S10" s="31" t="n">
        <v>1</v>
      </c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9" t="n"/>
      <c r="O11" s="28" t="n"/>
      <c r="P11" s="29" t="n"/>
      <c r="Q11" s="28" t="n"/>
      <c r="R11" s="28" t="n"/>
      <c r="S11" s="30">
        <f>SUM(S2:S10)</f>
        <v/>
      </c>
    </row>
    <row r="14" ht="60" customFormat="1" customHeight="1" s="17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  <c r="O14" s="18" t="n"/>
      <c r="P14" s="19" t="n"/>
      <c r="Q14" s="18" t="n"/>
      <c r="R14" s="18" t="n"/>
      <c r="S14" s="18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16" sqref="B16"/>
    </sheetView>
  </sheetViews>
  <sheetFormatPr baseColWidth="10" defaultRowHeight="14.4"/>
  <cols>
    <col width="16.44140625" customWidth="1" min="1" max="1"/>
    <col width="77.5546875" customWidth="1" min="2" max="2"/>
    <col width="15.44140625" customWidth="1" min="3" max="3"/>
  </cols>
  <sheetData>
    <row r="1">
      <c r="A1" s="35" t="inlineStr">
        <is>
          <t>Cód. org. aplic.</t>
        </is>
      </c>
      <c r="B1" s="35" t="inlineStr">
        <is>
          <t>Descripción justificante</t>
        </is>
      </c>
      <c r="C1" s="35" t="inlineStr">
        <is>
          <t>Imp.cob.aplic.</t>
        </is>
      </c>
    </row>
    <row r="2">
      <c r="A2" s="25" t="inlineStr">
        <is>
          <t>34.10.6C.00.08</t>
        </is>
      </c>
      <c r="B2" s="25" t="inlineStr">
        <is>
          <t>ELABORACIÓN PROPUESTA TÉCNICA RELATIVA A LA CONFECCIÓN DE LA RELACÓN DE PUESTOS DE TRABAJO Y VALORACIÓN PUESTOS TRABAJO DEL PERSONAL MANCOMUNIDAD DEL VALLE DEL VINALOPO.</t>
        </is>
      </c>
      <c r="C2" s="66" t="n">
        <v>4312</v>
      </c>
    </row>
    <row r="3">
      <c r="A3" s="26" t="inlineStr">
        <is>
          <t>34.10.6P.00.07</t>
        </is>
      </c>
      <c r="B3" s="26" t="inlineStr">
        <is>
          <t>CIGE/2021/021/041/046/103/136/162/178/153</t>
        </is>
      </c>
      <c r="C3" s="67" t="n">
        <v>10000</v>
      </c>
    </row>
    <row r="4">
      <c r="A4" s="25" t="inlineStr">
        <is>
          <t>34.10.6P.00.07</t>
        </is>
      </c>
      <c r="B4" s="25" t="inlineStr">
        <is>
          <t>DEVOLUCIÓN DE INGRESOS_ MODELO 047_Nº de liquidación:46/2023/RAS/10321/1_ Número de justificante:047/1/002385120_Nº de referencia:047/1/002385120</t>
        </is>
      </c>
      <c r="C4" s="66" t="n">
        <v>-10000</v>
      </c>
    </row>
    <row r="5">
      <c r="A5" s="26" t="inlineStr">
        <is>
          <t>34.10.6P.00.08</t>
        </is>
      </c>
      <c r="B5" s="26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5" s="67" t="n">
        <v>1960</v>
      </c>
    </row>
    <row r="6">
      <c r="A6" s="36" t="inlineStr">
        <is>
          <t>34.10.6X.00.01</t>
        </is>
      </c>
      <c r="B6" s="36" t="inlineStr">
        <is>
          <t>Primer cobro del Proyecto BUDGET IT.</t>
        </is>
      </c>
      <c r="C6" s="68" t="n">
        <v>109832.25</v>
      </c>
    </row>
    <row r="7" customFormat="1" s="40">
      <c r="A7" s="38" t="inlineStr">
        <is>
          <t>Total</t>
        </is>
      </c>
      <c r="B7" s="38" t="n"/>
      <c r="C7" s="69">
        <f>SUBTOTAL(109,Tabla2[Imp.cob.aplic.])</f>
        <v/>
      </c>
    </row>
    <row r="8">
      <c r="C8" s="7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19.109375" customWidth="1" min="1" max="1"/>
    <col width="50.6640625" customWidth="1" min="2" max="2"/>
    <col width="13.33203125" customWidth="1" min="3" max="3"/>
  </cols>
  <sheetData>
    <row r="1">
      <c r="A1" s="43" t="inlineStr">
        <is>
          <t>Org. aplic.</t>
        </is>
      </c>
      <c r="B1" s="43" t="inlineStr">
        <is>
          <t>Descripción justificante</t>
        </is>
      </c>
      <c r="C1" s="71" t="inlineStr">
        <is>
          <t>Imp. aplic.</t>
        </is>
      </c>
    </row>
    <row r="2">
      <c r="A2" s="41" t="inlineStr">
        <is>
          <t>34.10.6C.00.11</t>
        </is>
      </c>
      <c r="B2" s="41" t="inlineStr">
        <is>
          <t>PAGO 30% DEL PRESUPUESTO A LA FIRMA DEL CONTRATO</t>
        </is>
      </c>
      <c r="C2" s="66" t="n">
        <v>11880</v>
      </c>
    </row>
    <row r="3">
      <c r="A3" s="42" t="inlineStr">
        <is>
          <t>34.10.6P.00.07</t>
        </is>
      </c>
      <c r="B3" s="42" t="inlineStr">
        <is>
          <t>DEVOLUCIÓN DE INGRESOS_MODELO 047_Nº DE LIQUIDACIÓN: 46/2024/RAS/10112/1_ Nº DE JUSTIFICANTE: 047/1/002477921_ Nº DE REFERENCIA: 047/1/002477921</t>
        </is>
      </c>
      <c r="C3" s="67" t="n">
        <v>-6339.39</v>
      </c>
    </row>
    <row r="4">
      <c r="A4" s="45" t="inlineStr">
        <is>
          <t>34.10.6X.00.01</t>
        </is>
      </c>
      <c r="B4" s="45" t="inlineStr">
        <is>
          <t>Cobro proyecto BUDGET IT (Interim payment)</t>
        </is>
      </c>
      <c r="C4" s="68" t="n">
        <v>14644.3</v>
      </c>
    </row>
    <row r="5">
      <c r="A5" s="34" t="inlineStr">
        <is>
          <t>Total</t>
        </is>
      </c>
      <c r="B5" s="34" t="n"/>
      <c r="C5" s="72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5" sqref="B15"/>
    </sheetView>
  </sheetViews>
  <sheetFormatPr baseColWidth="10" defaultRowHeight="14.4"/>
  <cols>
    <col width="19.109375" customWidth="1" min="1" max="1"/>
    <col width="54" customWidth="1" min="2" max="2"/>
    <col width="22.33203125" customWidth="1" min="3" max="3"/>
  </cols>
  <sheetData>
    <row r="1">
      <c r="A1" s="51" t="inlineStr">
        <is>
          <t>Org. aplic.</t>
        </is>
      </c>
      <c r="B1" s="52" t="inlineStr">
        <is>
          <t>Descripción justificante</t>
        </is>
      </c>
      <c r="C1" s="52" t="inlineStr">
        <is>
          <t>Imp. aplic.</t>
        </is>
      </c>
    </row>
    <row r="2">
      <c r="A2" s="53" t="inlineStr">
        <is>
          <t>34.10.6C.00.11</t>
        </is>
      </c>
      <c r="B2" s="54" t="inlineStr">
        <is>
          <t>70% del total presupuestado tras la entrega del informe final de resultados. Ref: CESCV1-23I  Proyecto: Economía sumergida en la Comunitat Valenciana.</t>
        </is>
      </c>
      <c r="C2" s="73" t="n">
        <v>27720</v>
      </c>
    </row>
    <row r="3">
      <c r="A3" s="56" t="inlineStr">
        <is>
          <t>34.10.6P.00.08</t>
        </is>
      </c>
      <c r="B3" s="57" t="inlineStr">
        <is>
          <t>DEVOLUCIÓN DE INGRESOS_CARTA DE PAGO_REFERENCIA: TED2021-130070B-I00, anualidad: 2023</t>
        </is>
      </c>
      <c r="C3" s="74" t="n">
        <v>-694.22</v>
      </c>
    </row>
    <row r="4">
      <c r="A4" s="53" t="inlineStr">
        <is>
          <t>34.10.6P.00.10</t>
        </is>
      </c>
      <c r="B4" s="54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4" s="73" t="n">
        <v>3600</v>
      </c>
    </row>
    <row r="5" ht="15" customHeight="1" thickBot="1">
      <c r="A5" s="56" t="inlineStr">
        <is>
          <t>34.10.6P.00.10</t>
        </is>
      </c>
      <c r="B5" s="5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5" s="74" t="n">
        <v>2040</v>
      </c>
    </row>
    <row r="6" ht="15" customHeight="1" thickTop="1">
      <c r="A6" s="59" t="inlineStr">
        <is>
          <t>Total</t>
        </is>
      </c>
      <c r="B6" s="60" t="n"/>
      <c r="C6" s="75" t="n">
        <v>32665.78</v>
      </c>
    </row>
    <row r="9">
      <c r="B9" s="49" t="inlineStr">
        <is>
          <t>Total ingresos investigación 2023-25</t>
        </is>
      </c>
      <c r="C9" s="76">
        <f>Tabla3[[#Totals],[Imp. aplic.]]+Tabla2[[#Totals],[Imp.cob.aplic.]]+C6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10" defaultRowHeight="14.4"/>
  <cols>
    <col width="15.33203125" customWidth="1" min="1" max="1"/>
    <col width="50.6640625" customWidth="1" min="2" max="2"/>
    <col width="13.33203125" customWidth="1" min="3" max="3"/>
  </cols>
  <sheetData>
    <row r="1">
      <c r="A1" s="43" t="inlineStr">
        <is>
          <t>Org. aplic.</t>
        </is>
      </c>
      <c r="B1" s="43" t="inlineStr">
        <is>
          <t>Descripción justificante</t>
        </is>
      </c>
      <c r="C1" s="71" t="inlineStr">
        <is>
          <t>Imp. aplic.</t>
        </is>
      </c>
    </row>
    <row r="2">
      <c r="A2" s="41" t="inlineStr">
        <is>
          <t>10.91.2T.00.17</t>
        </is>
      </c>
      <c r="B2" s="41" t="inlineStr">
        <is>
          <t>MARIA VICTORIA GONZÁLEZ - GI83 POLÍTICAS DE IGUALDAD</t>
        </is>
      </c>
      <c r="C2" s="66" t="n">
        <v>55</v>
      </c>
    </row>
    <row r="3">
      <c r="A3" s="42" t="inlineStr">
        <is>
          <t>10.91.2T.00.17</t>
        </is>
      </c>
      <c r="B3" s="42" t="inlineStr">
        <is>
          <t xml:space="preserve">Plan_GI83 Curso_2023-24 Emitido_2023-24 - POLÍTICAS DE IGUALDAD. PLANES DE IGUALDAD Y OTRAS HERRAMIENTAS </t>
        </is>
      </c>
      <c r="C3" s="67" t="n">
        <v>981.75</v>
      </c>
    </row>
    <row r="4">
      <c r="A4" s="34" t="inlineStr">
        <is>
          <t>Total</t>
        </is>
      </c>
      <c r="B4" s="34" t="n"/>
      <c r="C4" s="72">
        <f>SUBTOTAL(109,Tabla35[Imp. aplic.])</f>
        <v/>
      </c>
    </row>
    <row r="7">
      <c r="B7" s="47" t="n"/>
      <c r="C7" s="7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7" sqref="E17"/>
    </sheetView>
  </sheetViews>
  <sheetFormatPr baseColWidth="10" defaultRowHeight="14.4"/>
  <cols>
    <col width="32.6640625" customWidth="1" min="2" max="2"/>
  </cols>
  <sheetData>
    <row r="1">
      <c r="A1" t="inlineStr">
        <is>
          <t>Sin ingresos de formación en el año 2024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14" sqref="B14"/>
    </sheetView>
  </sheetViews>
  <sheetFormatPr baseColWidth="10" defaultRowHeight="14.4"/>
  <cols>
    <col width="19.5546875" customWidth="1" min="1" max="1"/>
    <col width="71" customWidth="1" min="2" max="2"/>
    <col width="15" customWidth="1" min="3" max="3"/>
  </cols>
  <sheetData>
    <row r="1">
      <c r="A1" s="51" t="inlineStr">
        <is>
          <t>Org. aplic.</t>
        </is>
      </c>
      <c r="B1" s="52" t="inlineStr">
        <is>
          <t>Descripción justificante</t>
        </is>
      </c>
      <c r="C1" s="78" t="inlineStr">
        <is>
          <t>Imp. aplic.</t>
        </is>
      </c>
    </row>
    <row r="2">
      <c r="A2" s="53" t="inlineStr">
        <is>
          <t>10.91.2T.01.76</t>
        </is>
      </c>
      <c r="B2" s="54" t="inlineStr">
        <is>
          <t>CÓD: GL60. MICROCREDENCIAL. POLÍTICAS DE IGUALDAD. PLANES DE IGUALDAD Y OTRAS HERRAMIENTAS.</t>
        </is>
      </c>
      <c r="C2" s="73" t="n">
        <v>635.16</v>
      </c>
    </row>
    <row r="3" ht="15" customHeight="1" thickBot="1">
      <c r="A3" s="56" t="inlineStr">
        <is>
          <t>10.91.2T.01.77</t>
        </is>
      </c>
      <c r="B3" s="57" t="inlineStr">
        <is>
          <t xml:space="preserve">CÓD: GL60. MICROCREDENCIAL. LIQ-TitProp_GL60-N Curso_2024-25 AñoCont_2025 - POLÍTICAS DE IGUALDAD. PLANES DE IGUALDAD Y OTRAS HERRAMIENTAS </t>
        </is>
      </c>
      <c r="C3" s="74" t="n">
        <v>299.2</v>
      </c>
    </row>
    <row r="4" ht="15" customHeight="1" thickTop="1">
      <c r="A4" s="59" t="inlineStr">
        <is>
          <t>Total</t>
        </is>
      </c>
      <c r="B4" s="60" t="n"/>
      <c r="C4" s="79" t="n">
        <v>934.3599999999999</v>
      </c>
    </row>
    <row r="7">
      <c r="B7" s="49" t="inlineStr">
        <is>
          <t>Total ingresos formación 2023-25</t>
        </is>
      </c>
      <c r="C7" s="76">
        <f>Tabla35[[#Totals],[Imp. aplic.]]+C4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ddipdp@ua.es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2026-05-28T21:59:10Z</dcterms:modified>
  <cp:lastModifiedBy>MARIA TERESA PUJALTE DEVIS</cp:lastModifiedBy>
</cp:coreProperties>
</file>