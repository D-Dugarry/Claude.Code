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'Tesis'!$A$1:$T$10</definedName>
    <definedName name="_xlnm.Print_Titles" localSheetId="0">'Tesis'!$1:$1,'Tesis'!$D:$D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"/>
    <numFmt numFmtId="166" formatCode="_-* #,##0.00\ _€_-;\-* #,##0.00\ _€_-;_-* &quot;-&quot;??\ _€_-;_-@_-"/>
  </numFmts>
  <fonts count="16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0" fillId="0" borderId="0"/>
  </cellStyleXfs>
  <cellXfs count="82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0" fillId="0" borderId="1" pivotButton="0" quotePrefix="0" xfId="0"/>
    <xf numFmtId="0" fontId="8" fillId="3" borderId="1" applyAlignment="1" pivotButton="0" quotePrefix="0" xfId="3">
      <alignment horizontal="center" wrapText="1"/>
    </xf>
    <xf numFmtId="164" fontId="0" fillId="7" borderId="2" pivotButton="0" quotePrefix="0" xfId="6"/>
    <xf numFmtId="164" fontId="0" fillId="0" borderId="2" pivotButton="0" quotePrefix="0" xfId="6"/>
    <xf numFmtId="0" fontId="2" fillId="0" borderId="1" pivotButton="0" quotePrefix="0" xfId="1"/>
    <xf numFmtId="0" fontId="2" fillId="4" borderId="3" pivotButton="0" quotePrefix="0" xfId="1"/>
    <xf numFmtId="0" fontId="13" fillId="8" borderId="1" applyAlignment="1" pivotButton="0" quotePrefix="0" xfId="0">
      <alignment horizontal="left" vertical="center"/>
    </xf>
    <xf numFmtId="0" fontId="13" fillId="8" borderId="4" applyAlignment="1" pivotButton="0" quotePrefix="0" xfId="0">
      <alignment horizontal="left" vertical="center"/>
    </xf>
    <xf numFmtId="0" fontId="13" fillId="8" borderId="5" applyAlignment="1" pivotButton="0" quotePrefix="0" xfId="0">
      <alignment horizontal="left" vertical="center"/>
    </xf>
    <xf numFmtId="0" fontId="13" fillId="8" borderId="6" applyAlignment="1" pivotButton="0" quotePrefix="0" xfId="0">
      <alignment horizontal="left" vertical="center"/>
    </xf>
    <xf numFmtId="0" fontId="2" fillId="0" borderId="1" pivotButton="0" quotePrefix="0" xfId="0"/>
    <xf numFmtId="0" fontId="6" fillId="0" borderId="0" pivotButton="0" quotePrefix="0" xfId="0"/>
    <xf numFmtId="0" fontId="2" fillId="2" borderId="0" pivotButton="0" quotePrefix="0" xfId="1"/>
    <xf numFmtId="165" fontId="2" fillId="2" borderId="0" pivotButton="0" quotePrefix="0" xfId="1"/>
    <xf numFmtId="0" fontId="2" fillId="2" borderId="0" applyAlignment="1" pivotButton="0" quotePrefix="0" xfId="1">
      <alignment horizontal="right"/>
    </xf>
    <xf numFmtId="165" fontId="3" fillId="2" borderId="0" pivotButton="0" quotePrefix="0" xfId="1"/>
    <xf numFmtId="0" fontId="9" fillId="7" borderId="2" pivotButton="0" quotePrefix="0" xfId="0"/>
    <xf numFmtId="164" fontId="6" fillId="7" borderId="2" pivotButton="0" quotePrefix="0" xfId="6"/>
    <xf numFmtId="0" fontId="9" fillId="0" borderId="2" pivotButton="0" quotePrefix="0" xfId="0"/>
    <xf numFmtId="164" fontId="6" fillId="0" borderId="2" pivotButton="0" quotePrefix="0" xfId="6"/>
    <xf numFmtId="164" fontId="0" fillId="0" borderId="0" pivotButton="0" quotePrefix="0" xfId="0"/>
    <xf numFmtId="0" fontId="9" fillId="2" borderId="0" pivotButton="0" quotePrefix="0" xfId="5"/>
    <xf numFmtId="0" fontId="9" fillId="2" borderId="0" applyAlignment="1" pivotButton="0" quotePrefix="0" xfId="5">
      <alignment horizontal="right"/>
    </xf>
    <xf numFmtId="0" fontId="9" fillId="0" borderId="1" pivotButton="0" quotePrefix="0" xfId="5"/>
    <xf numFmtId="0" fontId="9" fillId="0" borderId="1" applyAlignment="1" pivotButton="0" quotePrefix="0" xfId="5">
      <alignment horizontal="right"/>
    </xf>
    <xf numFmtId="0" fontId="12" fillId="2" borderId="0" pivotButton="0" quotePrefix="0" xfId="5"/>
    <xf numFmtId="0" fontId="11" fillId="6" borderId="7" pivotButton="0" quotePrefix="0" xfId="0"/>
    <xf numFmtId="0" fontId="9" fillId="0" borderId="8" pivotButton="0" quotePrefix="0" xfId="0"/>
    <xf numFmtId="164" fontId="6" fillId="0" borderId="8" pivotButton="0" quotePrefix="0" xfId="6"/>
    <xf numFmtId="164" fontId="6" fillId="0" borderId="8" pivotButton="0" quotePrefix="0" xfId="0"/>
    <xf numFmtId="0" fontId="0" fillId="7" borderId="2" pivotButton="0" quotePrefix="0" xfId="0"/>
    <xf numFmtId="0" fontId="0" fillId="0" borderId="2" pivotButton="0" quotePrefix="0" xfId="0"/>
    <xf numFmtId="0" fontId="14" fillId="6" borderId="7" pivotButton="0" quotePrefix="0" xfId="0"/>
    <xf numFmtId="164" fontId="14" fillId="6" borderId="7" pivotButton="0" quotePrefix="0" xfId="6"/>
    <xf numFmtId="0" fontId="0" fillId="0" borderId="8" pivotButton="0" quotePrefix="0" xfId="0"/>
    <xf numFmtId="164" fontId="0" fillId="0" borderId="8" pivotButton="0" quotePrefix="0" xfId="6"/>
    <xf numFmtId="0" fontId="0" fillId="0" borderId="8" pivotButton="0" quotePrefix="0" xfId="0"/>
    <xf numFmtId="164" fontId="10" fillId="0" borderId="8" pivotButton="0" quotePrefix="0" xfId="0"/>
    <xf numFmtId="4" fontId="15" fillId="0" borderId="1" pivotButton="0" quotePrefix="0" xfId="0"/>
    <xf numFmtId="0" fontId="1" fillId="0" borderId="1" pivotButton="0" quotePrefix="0" xfId="0"/>
    <xf numFmtId="0" fontId="11" fillId="9" borderId="9" pivotButton="0" quotePrefix="0" xfId="0"/>
    <xf numFmtId="0" fontId="11" fillId="9" borderId="10" pivotButton="0" quotePrefix="0" xfId="0"/>
    <xf numFmtId="0" fontId="9" fillId="10" borderId="9" pivotButton="0" quotePrefix="0" xfId="0"/>
    <xf numFmtId="0" fontId="9" fillId="10" borderId="10" pivotButton="0" quotePrefix="0" xfId="0"/>
    <xf numFmtId="166" fontId="9" fillId="10" borderId="10" pivotButton="0" quotePrefix="0" xfId="6"/>
    <xf numFmtId="0" fontId="9" fillId="0" borderId="9" pivotButton="0" quotePrefix="0" xfId="0"/>
    <xf numFmtId="0" fontId="9" fillId="0" borderId="10" pivotButton="0" quotePrefix="0" xfId="0"/>
    <xf numFmtId="166" fontId="9" fillId="0" borderId="10" pivotButton="0" quotePrefix="0" xfId="6"/>
    <xf numFmtId="0" fontId="12" fillId="0" borderId="11" pivotButton="0" quotePrefix="0" xfId="0"/>
    <xf numFmtId="0" fontId="12" fillId="0" borderId="12" pivotButton="0" quotePrefix="0" xfId="0"/>
    <xf numFmtId="166" fontId="12" fillId="0" borderId="12" pivotButton="0" quotePrefix="0" xfId="6"/>
    <xf numFmtId="0" fontId="15" fillId="0" borderId="1" applyAlignment="1" pivotButton="0" quotePrefix="0" xfId="0">
      <alignment horizontal="left"/>
    </xf>
    <xf numFmtId="164" fontId="6" fillId="7" borderId="2" pivotButton="0" quotePrefix="0" xfId="6"/>
    <xf numFmtId="164" fontId="6" fillId="0" borderId="2" pivotButton="0" quotePrefix="0" xfId="6"/>
    <xf numFmtId="164" fontId="6" fillId="0" borderId="8" pivotButton="0" quotePrefix="0" xfId="6"/>
    <xf numFmtId="164" fontId="6" fillId="0" borderId="8" pivotButton="0" quotePrefix="0" xfId="0"/>
    <xf numFmtId="164" fontId="0" fillId="0" borderId="0" pivotButton="0" quotePrefix="0" xfId="0"/>
    <xf numFmtId="164" fontId="14" fillId="6" borderId="7" pivotButton="0" quotePrefix="0" xfId="6"/>
    <xf numFmtId="164" fontId="0" fillId="7" borderId="2" pivotButton="0" quotePrefix="0" xfId="6"/>
    <xf numFmtId="164" fontId="0" fillId="0" borderId="2" pivotButton="0" quotePrefix="0" xfId="6"/>
    <xf numFmtId="164" fontId="0" fillId="0" borderId="8" pivotButton="0" quotePrefix="0" xfId="6"/>
    <xf numFmtId="164" fontId="10" fillId="0" borderId="8" pivotButton="0" quotePrefix="0" xfId="0"/>
    <xf numFmtId="166" fontId="9" fillId="10" borderId="10" pivotButton="0" quotePrefix="0" xfId="6"/>
    <xf numFmtId="166" fontId="9" fillId="0" borderId="10" pivotButton="0" quotePrefix="0" xfId="6"/>
    <xf numFmtId="166" fontId="12" fillId="0" borderId="12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9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3" displayName="Tabla3" ref="A1:C10" headerRowCount="1" totalsRowCount="1" headerRowDxfId="18" headerRowBorderDxfId="17" tableBorderDxfId="16" totalsRowBorderDxfId="15">
  <autoFilter ref="A1:C9"/>
  <tableColumns count="3">
    <tableColumn id="1" name="Cód. org. aplic." totalsRowLabel="Total" dataDxfId="14" totalsRowDxfId="13"/>
    <tableColumn id="2" name="Descripción justificante" dataDxfId="12" totalsRowDxfId="11"/>
    <tableColumn id="3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1:C14" headerRowCount="1" totalsRowCount="1" headerRowBorderDxfId="8" tableBorderDxfId="7" totalsRowBorderDxfId="6">
  <autoFilter ref="A1:C13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0"/>
  <sheetViews>
    <sheetView showGridLines="0" zoomScale="146" zoomScaleNormal="146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Q46" sqref="Q46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39.7109375" customWidth="1" style="6" min="10" max="10"/>
    <col width="5.140625" customWidth="1" style="6" min="11" max="11"/>
    <col width="4.42578125" customWidth="1" style="6" min="12" max="12"/>
    <col width="4.85546875" customWidth="1" style="6" min="13" max="13"/>
    <col width="4.85546875" customWidth="1" style="7" min="14" max="14"/>
    <col width="4.85546875" customWidth="1" style="6" min="15" max="15"/>
    <col width="3.5703125" customWidth="1" style="7" min="16" max="16"/>
    <col width="3.5703125" customWidth="1" style="6" min="17" max="17"/>
    <col width="5.140625" customWidth="1" style="6" min="18" max="20"/>
    <col width="10.28515625" customWidth="1" style="6" min="21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</row>
    <row r="2">
      <c r="A2" s="15" t="inlineStr">
        <is>
          <t xml:space="preserve">U013 </t>
        </is>
      </c>
      <c r="B2" s="15" t="inlineStr">
        <is>
          <t xml:space="preserve">ADM. I.U. BIODIVERSIDAD (CIBIO) </t>
        </is>
      </c>
      <c r="C2" s="15" t="inlineStr">
        <is>
          <t xml:space="preserve">DOCTORADO EN BIODIVERSIDAD Y CONSERVACIÓN </t>
        </is>
      </c>
      <c r="D2" s="15" t="inlineStr">
        <is>
          <t xml:space="preserve">Murillo Pacheco, Henry </t>
        </is>
      </c>
      <c r="E2" s="15" t="inlineStr">
        <is>
          <t xml:space="preserve">Interactions and mechanisms involved in host range expansion of endoparasitoids to native and invasive species of lepidopteran pests in horticultural agroecosystems in southwestern Ontario Canada </t>
        </is>
      </c>
      <c r="F2" s="15" t="inlineStr">
        <is>
          <t xml:space="preserve">10/12/2020 </t>
        </is>
      </c>
      <c r="G2" s="15" t="inlineStr">
        <is>
          <t xml:space="preserve">12715224L </t>
        </is>
      </c>
      <c r="H2" s="15" t="inlineStr">
        <is>
          <t xml:space="preserve">Codirector de tesis </t>
        </is>
      </c>
      <c r="I2" s="15" t="inlineStr">
        <is>
          <t xml:space="preserve">B103 </t>
        </is>
      </c>
      <c r="J2" s="15" t="inlineStr">
        <is>
          <t xml:space="preserve">CIENCIAS AMBIENTALES Y RECURSOS NATURALES </t>
        </is>
      </c>
      <c r="K2" s="21" t="n">
        <v>0.5</v>
      </c>
      <c r="L2" s="21" t="inlineStr">
        <is>
          <t>B103</t>
        </is>
      </c>
      <c r="M2" s="22" t="n">
        <v>2019</v>
      </c>
      <c r="N2" s="15" t="inlineStr">
        <is>
          <t>10.13</t>
        </is>
      </c>
      <c r="O2" s="16" t="n">
        <v>100</v>
      </c>
      <c r="P2" s="15" t="inlineStr"/>
      <c r="Q2" s="16" t="n">
        <v>0</v>
      </c>
      <c r="R2" s="15" t="n">
        <v>0</v>
      </c>
      <c r="S2" s="15" t="n">
        <v>0</v>
      </c>
      <c r="T2" s="15" t="n">
        <v>0.5</v>
      </c>
    </row>
    <row r="3">
      <c r="A3" s="15" t="inlineStr">
        <is>
          <t xml:space="preserve">U013 </t>
        </is>
      </c>
      <c r="B3" s="15" t="inlineStr">
        <is>
          <t xml:space="preserve">ADM. I.U. BIODIVERSIDAD (CIBIO) </t>
        </is>
      </c>
      <c r="C3" s="15" t="inlineStr">
        <is>
          <t xml:space="preserve">DOCTORADO EN BIODIVERSIDAD Y CONSERVACIÓN </t>
        </is>
      </c>
      <c r="D3" s="15" t="inlineStr">
        <is>
          <t xml:space="preserve">Hernández Corral, Jesús </t>
        </is>
      </c>
      <c r="E3" s="15" t="inlineStr">
        <is>
          <t xml:space="preserve">"Diversidad y ecología de araneae y pseudoscorpiones en oquedades arbóreas de quercus pyrenaica en bosques mediterráneos" </t>
        </is>
      </c>
      <c r="F3" s="15" t="inlineStr">
        <is>
          <t xml:space="preserve">16/11/2020 </t>
        </is>
      </c>
      <c r="G3" s="15" t="inlineStr">
        <is>
          <t xml:space="preserve">21501710E </t>
        </is>
      </c>
      <c r="H3" s="15" t="inlineStr">
        <is>
          <t xml:space="preserve">Codirector de tesis </t>
        </is>
      </c>
      <c r="I3" s="15" t="inlineStr">
        <is>
          <t xml:space="preserve">B103 </t>
        </is>
      </c>
      <c r="J3" s="15" t="inlineStr">
        <is>
          <t xml:space="preserve">CIENCIAS AMBIENTALES Y RECURSOS NATURALES </t>
        </is>
      </c>
      <c r="K3" s="21" t="n">
        <v>0.5</v>
      </c>
      <c r="L3" s="21" t="inlineStr">
        <is>
          <t>B103</t>
        </is>
      </c>
      <c r="M3" s="22" t="n">
        <v>2019</v>
      </c>
      <c r="N3" s="15" t="inlineStr">
        <is>
          <t>10.13</t>
        </is>
      </c>
      <c r="O3" s="16" t="n">
        <v>100</v>
      </c>
      <c r="P3" s="15" t="inlineStr"/>
      <c r="Q3" s="16" t="n">
        <v>0</v>
      </c>
      <c r="R3" s="15" t="n">
        <v>0</v>
      </c>
      <c r="S3" s="15" t="n">
        <v>0</v>
      </c>
      <c r="T3" s="15" t="n">
        <v>0.5</v>
      </c>
    </row>
    <row r="4">
      <c r="A4" s="15" t="inlineStr">
        <is>
          <t xml:space="preserve">U013 </t>
        </is>
      </c>
      <c r="B4" s="15" t="inlineStr">
        <is>
          <t xml:space="preserve">ADM. I.U. BIODIVERSIDAD (CIBIO) </t>
        </is>
      </c>
      <c r="C4" s="15" t="inlineStr">
        <is>
          <t xml:space="preserve">DOCTORADO EN BIODIVERSIDAD Y CONSERVACIÓN </t>
        </is>
      </c>
      <c r="D4" s="15" t="inlineStr">
        <is>
          <t xml:space="preserve">Pérez Sánchez, Diana </t>
        </is>
      </c>
      <c r="E4" s="15" t="inlineStr">
        <is>
          <t xml:space="preserve">Structure and function of the communities of saproxylic beetles in Mediterranean forests </t>
        </is>
      </c>
      <c r="F4" s="15" t="inlineStr">
        <is>
          <t xml:space="preserve">11/12/2020 </t>
        </is>
      </c>
      <c r="G4" s="15" t="inlineStr">
        <is>
          <t xml:space="preserve">18157732Z </t>
        </is>
      </c>
      <c r="H4" s="15" t="inlineStr">
        <is>
          <t xml:space="preserve">Codirector de tesis </t>
        </is>
      </c>
      <c r="I4" s="15" t="inlineStr">
        <is>
          <t xml:space="preserve">B103 </t>
        </is>
      </c>
      <c r="J4" s="15" t="inlineStr">
        <is>
          <t xml:space="preserve">CIENCIAS AMBIENTALES Y RECURSOS NATURALES </t>
        </is>
      </c>
      <c r="K4" s="21" t="n">
        <v>0.5</v>
      </c>
      <c r="L4" s="21" t="inlineStr">
        <is>
          <t>B103</t>
        </is>
      </c>
      <c r="M4" s="22" t="n">
        <v>2019</v>
      </c>
      <c r="N4" s="15" t="inlineStr">
        <is>
          <t>10.13</t>
        </is>
      </c>
      <c r="O4" s="16" t="n">
        <v>100</v>
      </c>
      <c r="P4" s="15" t="inlineStr"/>
      <c r="Q4" s="16" t="n">
        <v>0</v>
      </c>
      <c r="R4" s="15" t="n">
        <v>0</v>
      </c>
      <c r="S4" s="15" t="n">
        <v>0</v>
      </c>
      <c r="T4" s="15" t="n">
        <v>0.5</v>
      </c>
    </row>
    <row r="5">
      <c r="A5" s="15" t="inlineStr">
        <is>
          <t xml:space="preserve">U013 </t>
        </is>
      </c>
      <c r="B5" s="15" t="inlineStr">
        <is>
          <t xml:space="preserve">ADM. I.U. BIODIVERSIDAD (CIBIO) </t>
        </is>
      </c>
      <c r="C5" s="15" t="inlineStr">
        <is>
          <t xml:space="preserve">DOCTORADO EN BIODIVERSIDAD Y CONSERVACIÓN </t>
        </is>
      </c>
      <c r="D5" s="15" t="inlineStr">
        <is>
          <t xml:space="preserve">Pérez Sánchez, Diana </t>
        </is>
      </c>
      <c r="E5" s="15" t="inlineStr">
        <is>
          <t xml:space="preserve">Structure and function of the communities of saproxylic beetles in Mediterranean forests </t>
        </is>
      </c>
      <c r="F5" s="15" t="inlineStr">
        <is>
          <t xml:space="preserve">11/12/2020 </t>
        </is>
      </c>
      <c r="G5" s="15" t="inlineStr">
        <is>
          <t xml:space="preserve">21501710E </t>
        </is>
      </c>
      <c r="H5" s="15" t="inlineStr">
        <is>
          <t xml:space="preserve">Codirector de tesis </t>
        </is>
      </c>
      <c r="I5" s="15" t="inlineStr">
        <is>
          <t xml:space="preserve">B103 </t>
        </is>
      </c>
      <c r="J5" s="15" t="inlineStr">
        <is>
          <t xml:space="preserve">CIENCIAS AMBIENTALES Y RECURSOS NATURALES </t>
        </is>
      </c>
      <c r="K5" s="21" t="n">
        <v>0.5</v>
      </c>
      <c r="L5" s="21" t="inlineStr">
        <is>
          <t>B103</t>
        </is>
      </c>
      <c r="M5" s="22" t="n">
        <v>2019</v>
      </c>
      <c r="N5" s="15" t="inlineStr">
        <is>
          <t>10.13</t>
        </is>
      </c>
      <c r="O5" s="16" t="n">
        <v>100</v>
      </c>
      <c r="P5" s="15" t="inlineStr"/>
      <c r="Q5" s="16" t="n">
        <v>0</v>
      </c>
      <c r="R5" s="15" t="n">
        <v>0</v>
      </c>
      <c r="S5" s="15" t="n">
        <v>0</v>
      </c>
      <c r="T5" s="15" t="n">
        <v>0.5</v>
      </c>
    </row>
    <row r="6">
      <c r="A6" s="15" t="inlineStr">
        <is>
          <t xml:space="preserve">U022 </t>
        </is>
      </c>
      <c r="B6" s="15" t="inlineStr">
        <is>
          <t xml:space="preserve">ADM. FACULTAD DE CIENCIAS </t>
        </is>
      </c>
      <c r="C6" s="15" t="inlineStr">
        <is>
          <t xml:space="preserve">DOCTORADO EN CIENCIAS EXPERIMENTALES Y BIOSANITARIAS </t>
        </is>
      </c>
      <c r="D6" s="15" t="inlineStr">
        <is>
          <t xml:space="preserve">Rubio Silva, Patricia </t>
        </is>
      </c>
      <c r="E6" s="15" t="inlineStr">
        <is>
          <t xml:space="preserve">Determinación del contenido elemental de "Hermetia illucens" y otros dípteros descomponedores, como fuentes de proteínas en alimentación animal </t>
        </is>
      </c>
      <c r="F6" s="15" t="inlineStr">
        <is>
          <t xml:space="preserve">30/11/2020 </t>
        </is>
      </c>
      <c r="G6" s="15" t="inlineStr">
        <is>
          <t xml:space="preserve">09288920W </t>
        </is>
      </c>
      <c r="H6" s="15" t="inlineStr">
        <is>
          <t xml:space="preserve">Codirector de tesis </t>
        </is>
      </c>
      <c r="I6" s="15" t="inlineStr">
        <is>
          <t xml:space="preserve">B103 </t>
        </is>
      </c>
      <c r="J6" s="15" t="inlineStr">
        <is>
          <t xml:space="preserve">CIENCIAS AMBIENTALES Y RECURSOS NATURALES </t>
        </is>
      </c>
      <c r="K6" s="21" t="n">
        <v>0.3333333333333333</v>
      </c>
      <c r="L6" s="21" t="inlineStr">
        <is>
          <t>B103</t>
        </is>
      </c>
      <c r="M6" s="22" t="n">
        <v>2019</v>
      </c>
      <c r="N6" s="15" t="inlineStr"/>
      <c r="O6" s="16" t="inlineStr"/>
      <c r="P6" s="15" t="inlineStr"/>
      <c r="Q6" s="16" t="inlineStr"/>
      <c r="R6" s="15" t="n">
        <v>100</v>
      </c>
      <c r="S6" s="15" t="n">
        <v>0.3333333333333333</v>
      </c>
      <c r="T6" s="15" t="n">
        <v>0</v>
      </c>
    </row>
    <row r="7">
      <c r="A7" s="15" t="inlineStr">
        <is>
          <t xml:space="preserve">U022 </t>
        </is>
      </c>
      <c r="B7" s="15" t="inlineStr">
        <is>
          <t xml:space="preserve">ADM. FACULTAD DE CIENCIAS </t>
        </is>
      </c>
      <c r="C7" s="15" t="inlineStr">
        <is>
          <t xml:space="preserve">DOCTORADO EN CIENCIAS EXPERIMENTALES Y BIOSANITARIAS </t>
        </is>
      </c>
      <c r="D7" s="15" t="inlineStr">
        <is>
          <t xml:space="preserve">Rubio Silva, Patricia </t>
        </is>
      </c>
      <c r="E7" s="15" t="inlineStr">
        <is>
          <t xml:space="preserve">Determinación del contenido elemental de "Hermetia illucens" y otros dípteros descomponedores, como fuentes de proteínas en alimentación animal </t>
        </is>
      </c>
      <c r="F7" s="15" t="inlineStr">
        <is>
          <t xml:space="preserve">30/11/2020 </t>
        </is>
      </c>
      <c r="G7" s="15" t="inlineStr">
        <is>
          <t xml:space="preserve">44750133E </t>
        </is>
      </c>
      <c r="H7" s="15" t="inlineStr">
        <is>
          <t xml:space="preserve">Codirector de tesis </t>
        </is>
      </c>
      <c r="I7" s="15" t="inlineStr">
        <is>
          <t xml:space="preserve">B103 </t>
        </is>
      </c>
      <c r="J7" s="15" t="inlineStr">
        <is>
          <t xml:space="preserve">CIENCIAS AMBIENTALES Y RECURSOS NATURALES </t>
        </is>
      </c>
      <c r="K7" s="21" t="n">
        <v>0.3333333333333333</v>
      </c>
      <c r="L7" s="21" t="inlineStr">
        <is>
          <t>B103</t>
        </is>
      </c>
      <c r="M7" s="22" t="n">
        <v>2019</v>
      </c>
      <c r="N7" s="15" t="inlineStr"/>
      <c r="O7" s="16" t="inlineStr"/>
      <c r="P7" s="15" t="inlineStr"/>
      <c r="Q7" s="16" t="inlineStr"/>
      <c r="R7" s="15" t="n">
        <v>100</v>
      </c>
      <c r="S7" s="15" t="n">
        <v>0.3333333333333333</v>
      </c>
      <c r="T7" s="15" t="n">
        <v>0</v>
      </c>
    </row>
    <row r="8">
      <c r="A8" s="15" t="inlineStr">
        <is>
          <t xml:space="preserve">U022 </t>
        </is>
      </c>
      <c r="B8" s="15" t="inlineStr">
        <is>
          <t xml:space="preserve">ADM. FACULTAD DE CIENCIAS </t>
        </is>
      </c>
      <c r="C8" s="15" t="inlineStr">
        <is>
          <t xml:space="preserve">DOCTORADO EN CIENCIAS EXPERIMENTALES Y BIOSANITARIAS </t>
        </is>
      </c>
      <c r="D8" s="15" t="inlineStr">
        <is>
          <t xml:space="preserve">Soria Boix, María del Carmen </t>
        </is>
      </c>
      <c r="E8" s="15" t="inlineStr">
        <is>
          <t xml:space="preserve">ZOOGEOGRAFIA Y ECOLOGÍA EVOLUTIVA EL JABALÍ (SUS SCROFA) Y LAS LIEBRES (LEPUS SPP.) EN EL NOROESTE DE ÁFRICA </t>
        </is>
      </c>
      <c r="F8" s="15" t="inlineStr">
        <is>
          <t xml:space="preserve">14/10/2020 </t>
        </is>
      </c>
      <c r="G8" s="15" t="inlineStr">
        <is>
          <t xml:space="preserve">19834950A </t>
        </is>
      </c>
      <c r="H8" s="15" t="inlineStr">
        <is>
          <t xml:space="preserve">Codirector de tesis </t>
        </is>
      </c>
      <c r="I8" s="15" t="inlineStr">
        <is>
          <t xml:space="preserve">B103 </t>
        </is>
      </c>
      <c r="J8" s="15" t="inlineStr">
        <is>
          <t xml:space="preserve">CIENCIAS AMBIENTALES Y RECURSOS NATURALES </t>
        </is>
      </c>
      <c r="K8" s="21" t="n">
        <v>0.5</v>
      </c>
      <c r="L8" s="21" t="inlineStr">
        <is>
          <t>B103</t>
        </is>
      </c>
      <c r="M8" s="22" t="n">
        <v>2019</v>
      </c>
      <c r="N8" s="15" t="inlineStr"/>
      <c r="O8" s="16" t="inlineStr"/>
      <c r="P8" s="15" t="inlineStr"/>
      <c r="Q8" s="16" t="inlineStr"/>
      <c r="R8" s="15" t="n">
        <v>100</v>
      </c>
      <c r="S8" s="15" t="n">
        <v>0.5</v>
      </c>
      <c r="T8" s="15" t="n">
        <v>0</v>
      </c>
    </row>
    <row r="9">
      <c r="A9" s="15" t="inlineStr">
        <is>
          <t xml:space="preserve">U022 </t>
        </is>
      </c>
      <c r="B9" s="15" t="inlineStr">
        <is>
          <t xml:space="preserve">ADM. FACULTAD DE CIENCIAS </t>
        </is>
      </c>
      <c r="C9" s="15" t="inlineStr">
        <is>
          <t xml:space="preserve">DOCTORADO EN CIENCIAS EXPERIMENTALES Y BIOSANITARIAS </t>
        </is>
      </c>
      <c r="D9" s="15" t="inlineStr">
        <is>
          <t xml:space="preserve">Lillo , Maria Inés </t>
        </is>
      </c>
      <c r="E9" s="15" t="inlineStr">
        <is>
          <t xml:space="preserve">Mejora de la cría artificial de dípteros (Diptera: Syrphidae, Stratiomyidae) con potencial para su utilización en servicios ecosistémicos. Bases para su aplicación en Argentina" </t>
        </is>
      </c>
      <c r="F9" s="15" t="inlineStr">
        <is>
          <t xml:space="preserve">19/11/2020 </t>
        </is>
      </c>
      <c r="G9" s="15" t="inlineStr">
        <is>
          <t xml:space="preserve">09288920W </t>
        </is>
      </c>
      <c r="H9" s="15" t="inlineStr">
        <is>
          <t xml:space="preserve">Codirector de tesis </t>
        </is>
      </c>
      <c r="I9" s="15" t="inlineStr">
        <is>
          <t xml:space="preserve">B103 </t>
        </is>
      </c>
      <c r="J9" s="15" t="inlineStr">
        <is>
          <t xml:space="preserve">CIENCIAS AMBIENTALES Y RECURSOS NATURALES </t>
        </is>
      </c>
      <c r="K9" s="21" t="n">
        <v>0.5</v>
      </c>
      <c r="L9" s="21" t="inlineStr">
        <is>
          <t>B103</t>
        </is>
      </c>
      <c r="M9" s="22" t="n">
        <v>2019</v>
      </c>
      <c r="N9" s="15" t="inlineStr"/>
      <c r="O9" s="16" t="inlineStr"/>
      <c r="P9" s="15" t="inlineStr"/>
      <c r="Q9" s="16" t="inlineStr"/>
      <c r="R9" s="15" t="n">
        <v>100</v>
      </c>
      <c r="S9" s="15" t="n">
        <v>0.5</v>
      </c>
      <c r="T9" s="15" t="n">
        <v>0</v>
      </c>
    </row>
    <row r="10">
      <c r="A10" s="15" t="inlineStr">
        <is>
          <t xml:space="preserve">U022 </t>
        </is>
      </c>
      <c r="B10" s="15" t="inlineStr">
        <is>
          <t xml:space="preserve">ADM. FACULTAD DE CIENCIAS </t>
        </is>
      </c>
      <c r="C10" s="15" t="inlineStr">
        <is>
          <t xml:space="preserve">DOCTORADO EN CIENCIAS EXPERIMENTALES Y BIOSANITARIAS </t>
        </is>
      </c>
      <c r="D10" s="15" t="inlineStr">
        <is>
          <t xml:space="preserve">Lillo , Maria Inés </t>
        </is>
      </c>
      <c r="E10" s="15" t="inlineStr">
        <is>
          <t xml:space="preserve">Mejora de la cría artificial de dípteros (Diptera: Syrphidae, Stratiomyidae) con potencial para su utilización en servicios ecosistémicos. Bases para su aplicación en Argentina" </t>
        </is>
      </c>
      <c r="F10" s="15" t="inlineStr">
        <is>
          <t xml:space="preserve">19/11/2020 </t>
        </is>
      </c>
      <c r="G10" s="15" t="inlineStr">
        <is>
          <t xml:space="preserve">22140989Q </t>
        </is>
      </c>
      <c r="H10" s="15" t="inlineStr">
        <is>
          <t xml:space="preserve">Codirector de tesis </t>
        </is>
      </c>
      <c r="I10" s="15" t="inlineStr">
        <is>
          <t xml:space="preserve">B103 </t>
        </is>
      </c>
      <c r="J10" s="15" t="inlineStr">
        <is>
          <t xml:space="preserve">CIENCIAS AMBIENTALES Y RECURSOS NATURALES </t>
        </is>
      </c>
      <c r="K10" s="21" t="n">
        <v>0.5</v>
      </c>
      <c r="L10" s="21" t="inlineStr">
        <is>
          <t>B103</t>
        </is>
      </c>
      <c r="M10" s="22" t="n">
        <v>2019</v>
      </c>
      <c r="N10" s="15" t="inlineStr"/>
      <c r="O10" s="16" t="inlineStr"/>
      <c r="P10" s="15" t="inlineStr"/>
      <c r="Q10" s="16" t="inlineStr"/>
      <c r="R10" s="15" t="n">
        <v>100</v>
      </c>
      <c r="S10" s="15" t="n">
        <v>0.5</v>
      </c>
      <c r="T10" s="15" t="n">
        <v>0</v>
      </c>
    </row>
    <row r="11">
      <c r="A11" s="15" t="inlineStr">
        <is>
          <t xml:space="preserve">U022 </t>
        </is>
      </c>
      <c r="B11" s="15" t="inlineStr">
        <is>
          <t xml:space="preserve">ADM. FACULTAD DE CIENCIAS </t>
        </is>
      </c>
      <c r="C11" s="15" t="inlineStr">
        <is>
          <t xml:space="preserve">DOCTORADO EN CIENCIAS EXPERIMENTALES Y BIOSANITARIAS </t>
        </is>
      </c>
      <c r="D11" s="15" t="inlineStr">
        <is>
          <t xml:space="preserve">Thomas , Arianna </t>
        </is>
      </c>
      <c r="E11" s="15" t="inlineStr">
        <is>
          <t xml:space="preserve">Rhiniidae (Diptera: Oestroidea) diversity in South Africa. Taxonomic review and phylogenetic advances for the Afrotropical region </t>
        </is>
      </c>
      <c r="F11" s="15" t="inlineStr">
        <is>
          <t xml:space="preserve">24/11/2020 </t>
        </is>
      </c>
      <c r="G11" s="15" t="inlineStr">
        <is>
          <t xml:space="preserve">09288920W </t>
        </is>
      </c>
      <c r="H11" s="15" t="inlineStr">
        <is>
          <t xml:space="preserve">Codirector de tesis </t>
        </is>
      </c>
      <c r="I11" s="15" t="inlineStr">
        <is>
          <t xml:space="preserve">B103 </t>
        </is>
      </c>
      <c r="J11" s="15" t="inlineStr">
        <is>
          <t xml:space="preserve">CIENCIAS AMBIENTALES Y RECURSOS NATURALES </t>
        </is>
      </c>
      <c r="K11" s="21" t="n">
        <v>0.5</v>
      </c>
      <c r="L11" s="21" t="inlineStr">
        <is>
          <t>B103</t>
        </is>
      </c>
      <c r="M11" s="22" t="n">
        <v>2019</v>
      </c>
      <c r="N11" s="15" t="inlineStr"/>
      <c r="O11" s="16" t="inlineStr"/>
      <c r="P11" s="15" t="inlineStr"/>
      <c r="Q11" s="16" t="inlineStr"/>
      <c r="R11" s="15" t="n">
        <v>100</v>
      </c>
      <c r="S11" s="15" t="n">
        <v>0.5</v>
      </c>
      <c r="T11" s="15" t="n">
        <v>0</v>
      </c>
    </row>
    <row r="12" ht="12" customHeight="1" thickBot="1">
      <c r="A12" s="15" t="inlineStr">
        <is>
          <t xml:space="preserve">U022 </t>
        </is>
      </c>
      <c r="B12" s="15" t="inlineStr">
        <is>
          <t xml:space="preserve">ADM. FACULTAD DE CIENCIAS </t>
        </is>
      </c>
      <c r="C12" s="15" t="inlineStr">
        <is>
          <t xml:space="preserve">DOCTORADO EN CIENCIAS EXPERIMENTALES Y BIOSANITARIAS </t>
        </is>
      </c>
      <c r="D12" s="15" t="inlineStr">
        <is>
          <t xml:space="preserve">Thomas , Arianna </t>
        </is>
      </c>
      <c r="E12" s="15" t="inlineStr">
        <is>
          <t xml:space="preserve">Rhiniidae (Diptera: Oestroidea) diversity in South Africa. Taxonomic review and phylogenetic advances for the Afrotropical region </t>
        </is>
      </c>
      <c r="F12" s="15" t="inlineStr">
        <is>
          <t xml:space="preserve">24/11/2020 </t>
        </is>
      </c>
      <c r="G12" s="15" t="inlineStr">
        <is>
          <t xml:space="preserve">44750133E </t>
        </is>
      </c>
      <c r="H12" s="15" t="inlineStr">
        <is>
          <t xml:space="preserve">Codirector de tesis </t>
        </is>
      </c>
      <c r="I12" s="15" t="inlineStr">
        <is>
          <t xml:space="preserve">B103 </t>
        </is>
      </c>
      <c r="J12" s="15" t="inlineStr">
        <is>
          <t xml:space="preserve">CIENCIAS AMBIENTALES Y RECURSOS NATURALES </t>
        </is>
      </c>
      <c r="K12" s="21" t="n">
        <v>0.5</v>
      </c>
      <c r="L12" s="21" t="inlineStr">
        <is>
          <t>B103</t>
        </is>
      </c>
      <c r="M12" s="22" t="n">
        <v>2019</v>
      </c>
      <c r="N12" s="15" t="inlineStr"/>
      <c r="O12" s="16" t="inlineStr"/>
      <c r="P12" s="15" t="inlineStr"/>
      <c r="Q12" s="16" t="inlineStr"/>
      <c r="R12" s="15" t="n">
        <v>100</v>
      </c>
      <c r="S12" s="15" t="n">
        <v>0.5</v>
      </c>
      <c r="T12" s="15" t="n">
        <v>0</v>
      </c>
    </row>
    <row r="13" ht="12" customHeight="1" thickBot="1">
      <c r="A13" s="23" t="inlineStr">
        <is>
          <t xml:space="preserve">U013 </t>
        </is>
      </c>
      <c r="B13" s="23" t="inlineStr">
        <is>
          <t xml:space="preserve">ADM. I.U. BIODIVERSIDAD (CIBIO) </t>
        </is>
      </c>
      <c r="C13" s="23" t="inlineStr">
        <is>
          <t xml:space="preserve">DOCTORADO EN BIODIVERSIDAD Y CONSERVACIÓN </t>
        </is>
      </c>
      <c r="D13" s="23" t="inlineStr">
        <is>
          <t xml:space="preserve">Nolasco Soto, Janet </t>
        </is>
      </c>
      <c r="E13" s="23" t="inlineStr">
        <is>
          <t xml:space="preserve">Procesos históricos y contemporáneos que influyen en la estructura filogeográfica y diversidad fenotípica del complejo Canthon cyanellus LeConte (Scarabaeidae: Scarabaeinae) en el Neotrópico de México. </t>
        </is>
      </c>
      <c r="F13" s="23" t="inlineStr">
        <is>
          <t xml:space="preserve">01/03/2021 </t>
        </is>
      </c>
      <c r="G13" s="24" t="inlineStr">
        <is>
          <t xml:space="preserve">18157732Z </t>
        </is>
      </c>
      <c r="H13" s="25" t="inlineStr">
        <is>
          <t xml:space="preserve">Codirector de tesis </t>
        </is>
      </c>
      <c r="I13" s="25" t="inlineStr">
        <is>
          <t xml:space="preserve">B103 </t>
        </is>
      </c>
      <c r="J13" s="26" t="inlineStr">
        <is>
          <t xml:space="preserve">CIENCIAS AMBIENTALES Y RECURSOS NATURALES </t>
        </is>
      </c>
      <c r="K13" s="21" t="n">
        <v>0.5</v>
      </c>
      <c r="L13" s="21" t="inlineStr">
        <is>
          <t>B103</t>
        </is>
      </c>
      <c r="M13" s="15" t="n">
        <v>2020</v>
      </c>
      <c r="N13" s="15" t="inlineStr">
        <is>
          <t>10.13</t>
        </is>
      </c>
      <c r="O13" s="16" t="n">
        <v>100</v>
      </c>
      <c r="P13" s="15" t="inlineStr"/>
      <c r="Q13" s="16" t="n">
        <v>0</v>
      </c>
      <c r="R13" s="15" t="n">
        <v>0</v>
      </c>
      <c r="S13" s="15" t="n">
        <v>0</v>
      </c>
      <c r="T13" s="15" t="n">
        <v>0.5</v>
      </c>
    </row>
    <row r="14" ht="12" customHeight="1" thickBot="1">
      <c r="A14" s="23" t="inlineStr">
        <is>
          <t xml:space="preserve">U022 </t>
        </is>
      </c>
      <c r="B14" s="23" t="inlineStr">
        <is>
          <t xml:space="preserve">ADM. FACULTAD DE CIENCIAS </t>
        </is>
      </c>
      <c r="C14" s="23" t="inlineStr">
        <is>
          <t xml:space="preserve">DOCTORADO EN CIENCIAS EXPERIMENTALES Y BIOSANITARIAS </t>
        </is>
      </c>
      <c r="D14" s="23" t="inlineStr">
        <is>
          <t xml:space="preserve">Campoy Pomares, Andrés </t>
        </is>
      </c>
      <c r="E14" s="23" t="inlineStr">
        <is>
          <t xml:space="preserve">Análisis y mejora de los principales parámetros biológicos relacionados con la cría artificial de Eristalinus aeneus y Eristalis tenax (Diptera, Syrphidae) para su uso como polinizadores </t>
        </is>
      </c>
      <c r="F14" s="23" t="inlineStr">
        <is>
          <t xml:space="preserve">19/02/2021 </t>
        </is>
      </c>
      <c r="G14" s="24" t="inlineStr">
        <is>
          <t xml:space="preserve">09288920W </t>
        </is>
      </c>
      <c r="H14" s="25" t="inlineStr">
        <is>
          <t xml:space="preserve">Codirector de tesis </t>
        </is>
      </c>
      <c r="I14" s="25" t="inlineStr">
        <is>
          <t xml:space="preserve">B103 </t>
        </is>
      </c>
      <c r="J14" s="26" t="inlineStr">
        <is>
          <t xml:space="preserve">CIENCIAS AMBIENTALES Y RECURSOS NATURALES </t>
        </is>
      </c>
      <c r="K14" s="21" t="n">
        <v>0.5</v>
      </c>
      <c r="L14" s="21" t="inlineStr">
        <is>
          <t>B103</t>
        </is>
      </c>
      <c r="M14" s="15" t="n">
        <v>2020</v>
      </c>
      <c r="N14" s="15" t="inlineStr"/>
      <c r="O14" s="16" t="inlineStr"/>
      <c r="P14" s="15" t="inlineStr"/>
      <c r="Q14" s="16" t="inlineStr"/>
      <c r="R14" s="15" t="n">
        <v>100</v>
      </c>
      <c r="S14" s="15" t="n">
        <v>0.5</v>
      </c>
      <c r="T14" s="15" t="n">
        <v>0</v>
      </c>
    </row>
    <row r="15" ht="12" customHeight="1" thickBot="1">
      <c r="A15" s="23" t="inlineStr">
        <is>
          <t xml:space="preserve">U022 </t>
        </is>
      </c>
      <c r="B15" s="23" t="inlineStr">
        <is>
          <t xml:space="preserve">ADM. FACULTAD DE CIENCIAS </t>
        </is>
      </c>
      <c r="C15" s="23" t="inlineStr">
        <is>
          <t xml:space="preserve">DOCTORADO EN CIENCIAS EXPERIMENTALES Y BIOSANITARIAS </t>
        </is>
      </c>
      <c r="D15" s="23" t="inlineStr">
        <is>
          <t xml:space="preserve">Campoy Pomares, Andrés </t>
        </is>
      </c>
      <c r="E15" s="23" t="inlineStr">
        <is>
          <t xml:space="preserve">Análisis y mejora de los principales parámetros biológicos relacionados con la cría artificial de Eristalinus aeneus y Eristalis tenax (Diptera, Syrphidae) para su uso como polinizadores </t>
        </is>
      </c>
      <c r="F15" s="23" t="inlineStr">
        <is>
          <t xml:space="preserve">19/02/2021 </t>
        </is>
      </c>
      <c r="G15" s="24" t="inlineStr">
        <is>
          <t xml:space="preserve">22140989Q </t>
        </is>
      </c>
      <c r="H15" s="25" t="inlineStr">
        <is>
          <t xml:space="preserve">Codirector de tesis </t>
        </is>
      </c>
      <c r="I15" s="25" t="inlineStr">
        <is>
          <t xml:space="preserve">B103 </t>
        </is>
      </c>
      <c r="J15" s="26" t="inlineStr">
        <is>
          <t xml:space="preserve">CIENCIAS AMBIENTALES Y RECURSOS NATURALES </t>
        </is>
      </c>
      <c r="K15" s="21" t="n">
        <v>0.5</v>
      </c>
      <c r="L15" s="21" t="inlineStr">
        <is>
          <t>B103</t>
        </is>
      </c>
      <c r="M15" s="15" t="n">
        <v>2020</v>
      </c>
      <c r="N15" s="15" t="inlineStr"/>
      <c r="O15" s="16" t="inlineStr"/>
      <c r="P15" s="15" t="inlineStr"/>
      <c r="Q15" s="16" t="inlineStr"/>
      <c r="R15" s="15" t="n">
        <v>100</v>
      </c>
      <c r="S15" s="15" t="n">
        <v>0.5</v>
      </c>
      <c r="T15" s="15" t="n">
        <v>0</v>
      </c>
    </row>
    <row r="16" ht="12" customHeight="1" thickBot="1">
      <c r="A16" s="23" t="inlineStr">
        <is>
          <t xml:space="preserve">U022 </t>
        </is>
      </c>
      <c r="B16" s="23" t="inlineStr">
        <is>
          <t xml:space="preserve">ADM. FACULTAD DE CIENCIAS </t>
        </is>
      </c>
      <c r="C16" s="23" t="inlineStr">
        <is>
          <t xml:space="preserve">DOCTORADO EN CIENCIAS EXPERIMENTALES Y BIOSANITARIAS </t>
        </is>
      </c>
      <c r="D16" s="23" t="inlineStr">
        <is>
          <t xml:space="preserve">Cruz González, Carlos Antonio </t>
        </is>
      </c>
      <c r="E16" s="23" t="inlineStr">
        <is>
          <t xml:space="preserve">Ecología del movimiento del jaguar a distintas escalas espaciales </t>
        </is>
      </c>
      <c r="F16" s="23" t="inlineStr">
        <is>
          <t xml:space="preserve">03/06/2021 </t>
        </is>
      </c>
      <c r="G16" s="24" t="inlineStr">
        <is>
          <t xml:space="preserve">19834950A </t>
        </is>
      </c>
      <c r="H16" s="25" t="inlineStr">
        <is>
          <t xml:space="preserve">Codirector de tesis </t>
        </is>
      </c>
      <c r="I16" s="25" t="inlineStr">
        <is>
          <t xml:space="preserve">B103 </t>
        </is>
      </c>
      <c r="J16" s="26" t="inlineStr">
        <is>
          <t xml:space="preserve">CIENCIAS AMBIENTALES Y RECURSOS NATURALES </t>
        </is>
      </c>
      <c r="K16" s="21" t="n">
        <v>0.5</v>
      </c>
      <c r="L16" s="21" t="inlineStr">
        <is>
          <t>B103</t>
        </is>
      </c>
      <c r="M16" s="15" t="n">
        <v>2020</v>
      </c>
      <c r="N16" s="15" t="inlineStr"/>
      <c r="O16" s="16" t="inlineStr"/>
      <c r="P16" s="15" t="inlineStr"/>
      <c r="Q16" s="16" t="inlineStr"/>
      <c r="R16" s="15" t="n">
        <v>100</v>
      </c>
      <c r="S16" s="15" t="n">
        <v>0.5</v>
      </c>
      <c r="T16" s="15" t="n">
        <v>0</v>
      </c>
    </row>
    <row r="17">
      <c r="A17" s="15" t="inlineStr">
        <is>
          <t xml:space="preserve">U022 </t>
        </is>
      </c>
      <c r="B17" s="15" t="inlineStr">
        <is>
          <t xml:space="preserve">ADM. FACULTAD DE CIENCIAS </t>
        </is>
      </c>
      <c r="C17" s="15" t="inlineStr">
        <is>
          <t xml:space="preserve">DOCTORADO EN CIENCIAS EXPERIMENTALES Y BIOSANITARIAS </t>
        </is>
      </c>
      <c r="D17" s="15" t="inlineStr">
        <is>
          <t xml:space="preserve">Sáez Forcada, Lidia </t>
        </is>
      </c>
      <c r="E17" s="15" t="inlineStr">
        <is>
          <t xml:space="preserve">Effectiveness and management of eristaline hoverflies (Diptera: Syrphidae) as pollinators of protected crops. </t>
        </is>
      </c>
      <c r="F17" s="15" t="inlineStr">
        <is>
          <t xml:space="preserve">01/03/2022 </t>
        </is>
      </c>
      <c r="G17" s="15" t="inlineStr">
        <is>
          <t xml:space="preserve">09288920W </t>
        </is>
      </c>
      <c r="H17" s="15" t="inlineStr">
        <is>
          <t xml:space="preserve">Codirector de tesis </t>
        </is>
      </c>
      <c r="I17" s="15" t="inlineStr">
        <is>
          <t xml:space="preserve">B103 </t>
        </is>
      </c>
      <c r="J17" s="15" t="inlineStr">
        <is>
          <t xml:space="preserve">CIENCIAS AMBIENTALES Y RECURSOS NATURALES </t>
        </is>
      </c>
      <c r="K17" s="21" t="n">
        <v>0.5</v>
      </c>
      <c r="L17" s="21" t="inlineStr">
        <is>
          <t>B103</t>
        </is>
      </c>
      <c r="M17" s="15" t="n">
        <v>2021</v>
      </c>
      <c r="N17" s="15" t="inlineStr"/>
      <c r="O17" s="16" t="inlineStr"/>
      <c r="P17" s="15" t="inlineStr"/>
      <c r="Q17" s="16" t="inlineStr"/>
      <c r="R17" s="15" t="n">
        <v>100</v>
      </c>
      <c r="S17" s="15" t="n">
        <v>0.5</v>
      </c>
      <c r="T17" s="15" t="n">
        <v>0</v>
      </c>
    </row>
    <row r="18">
      <c r="A18" s="15" t="inlineStr">
        <is>
          <t xml:space="preserve">U022 </t>
        </is>
      </c>
      <c r="B18" s="15" t="inlineStr">
        <is>
          <t xml:space="preserve">ADM. FACULTAD DE CIENCIAS </t>
        </is>
      </c>
      <c r="C18" s="15" t="inlineStr">
        <is>
          <t xml:space="preserve">DOCTORADO EN CIENCIAS EXPERIMENTALES Y BIOSANITARIAS </t>
        </is>
      </c>
      <c r="D18" s="15" t="inlineStr">
        <is>
          <t xml:space="preserve">Sáez Forcada, Lidia </t>
        </is>
      </c>
      <c r="E18" s="15" t="inlineStr">
        <is>
          <t xml:space="preserve">Effectiveness and management of eristaline hoverflies (Diptera: Syrphidae) as pollinators of protected crops. </t>
        </is>
      </c>
      <c r="F18" s="15" t="inlineStr">
        <is>
          <t xml:space="preserve">01/03/2022 </t>
        </is>
      </c>
      <c r="G18" s="15" t="inlineStr">
        <is>
          <t xml:space="preserve">22140989Q </t>
        </is>
      </c>
      <c r="H18" s="15" t="inlineStr">
        <is>
          <t xml:space="preserve">Codirector de tesis </t>
        </is>
      </c>
      <c r="I18" s="15" t="inlineStr">
        <is>
          <t xml:space="preserve">B103 </t>
        </is>
      </c>
      <c r="J18" s="15" t="inlineStr">
        <is>
          <t xml:space="preserve">CIENCIAS AMBIENTALES Y RECURSOS NATURALES </t>
        </is>
      </c>
      <c r="K18" s="21" t="n">
        <v>0.5</v>
      </c>
      <c r="L18" s="21" t="inlineStr">
        <is>
          <t>B103</t>
        </is>
      </c>
      <c r="M18" s="15" t="n">
        <v>2021</v>
      </c>
      <c r="N18" s="15" t="inlineStr"/>
      <c r="O18" s="16" t="inlineStr"/>
      <c r="P18" s="15" t="inlineStr"/>
      <c r="Q18" s="16" t="inlineStr"/>
      <c r="R18" s="15" t="n">
        <v>100</v>
      </c>
      <c r="S18" s="15" t="n">
        <v>0.5</v>
      </c>
      <c r="T18" s="15" t="n">
        <v>0</v>
      </c>
    </row>
    <row r="19" ht="15" customHeight="1">
      <c r="A19" s="15" t="inlineStr">
        <is>
          <t xml:space="preserve">U022 </t>
        </is>
      </c>
      <c r="B19" s="15" t="inlineStr">
        <is>
          <t xml:space="preserve">ADM. FACULTAD DE CIENCIAS </t>
        </is>
      </c>
      <c r="C19" s="15" t="inlineStr">
        <is>
          <t xml:space="preserve">DOCTORADO EN CIENCIAS EXPERIMENTALES Y BIOSANITARIAS </t>
        </is>
      </c>
      <c r="D19" s="15" t="inlineStr">
        <is>
          <t xml:space="preserve">Aznar Esquembre, Daniel </t>
        </is>
      </c>
      <c r="E19" s="15" t="inlineStr">
        <is>
          <t xml:space="preserve">Improvement of the captive rearing and mass production of eristaline hoverflies (Diptera, Syrphidae) </t>
        </is>
      </c>
      <c r="F19" s="15" t="inlineStr">
        <is>
          <t xml:space="preserve">22/09/2022 </t>
        </is>
      </c>
      <c r="G19" s="15" t="inlineStr">
        <is>
          <t xml:space="preserve">09288920W </t>
        </is>
      </c>
      <c r="H19" s="15" t="inlineStr">
        <is>
          <t xml:space="preserve">Codirector de tesis </t>
        </is>
      </c>
      <c r="I19" s="15" t="inlineStr">
        <is>
          <t xml:space="preserve">B103 </t>
        </is>
      </c>
      <c r="J19" s="15" t="inlineStr">
        <is>
          <t xml:space="preserve">CIENCIAS AMBIENTALES Y RECURSOS NATURALES </t>
        </is>
      </c>
      <c r="K19" s="27" t="n">
        <v>0.5</v>
      </c>
      <c r="L19" s="27" t="inlineStr">
        <is>
          <t>B103</t>
        </is>
      </c>
      <c r="M19" s="15" t="n">
        <v>2021</v>
      </c>
      <c r="N19" s="27" t="inlineStr"/>
      <c r="O19" s="27" t="inlineStr"/>
      <c r="P19" s="27" t="inlineStr"/>
      <c r="Q19" s="27" t="inlineStr"/>
      <c r="R19" s="27" t="n">
        <v>100</v>
      </c>
      <c r="S19" s="27" t="n">
        <v>0.5</v>
      </c>
      <c r="T19" s="27" t="n">
        <v>0</v>
      </c>
      <c r="U19" s="28" t="inlineStr">
        <is>
          <t>S</t>
        </is>
      </c>
    </row>
    <row r="20" ht="15" customHeight="1">
      <c r="A20" s="15" t="inlineStr">
        <is>
          <t xml:space="preserve">U022 </t>
        </is>
      </c>
      <c r="B20" s="15" t="inlineStr">
        <is>
          <t xml:space="preserve">ADM. FACULTAD DE CIENCIAS </t>
        </is>
      </c>
      <c r="C20" s="15" t="inlineStr">
        <is>
          <t xml:space="preserve">DOCTORADO EN CIENCIAS EXPERIMENTALES Y BIOSANITARIAS </t>
        </is>
      </c>
      <c r="D20" s="15" t="inlineStr">
        <is>
          <t xml:space="preserve">Aznar Esquembre, Daniel </t>
        </is>
      </c>
      <c r="E20" s="15" t="inlineStr">
        <is>
          <t xml:space="preserve">Improvement of the captive rearing and mass production of eristaline hoverflies (Diptera, Syrphidae) </t>
        </is>
      </c>
      <c r="F20" s="15" t="inlineStr">
        <is>
          <t xml:space="preserve">22/09/2022 </t>
        </is>
      </c>
      <c r="G20" s="15" t="inlineStr">
        <is>
          <t xml:space="preserve">22140989Q </t>
        </is>
      </c>
      <c r="H20" s="15" t="inlineStr">
        <is>
          <t xml:space="preserve">Codirector de tesis </t>
        </is>
      </c>
      <c r="I20" s="15" t="inlineStr">
        <is>
          <t xml:space="preserve">B103 </t>
        </is>
      </c>
      <c r="J20" s="15" t="inlineStr">
        <is>
          <t xml:space="preserve">CIENCIAS AMBIENTALES Y RECURSOS NATURALES </t>
        </is>
      </c>
      <c r="K20" s="27" t="n">
        <v>0.5</v>
      </c>
      <c r="L20" s="27" t="inlineStr">
        <is>
          <t>B103</t>
        </is>
      </c>
      <c r="M20" s="15" t="n">
        <v>2021</v>
      </c>
      <c r="N20" s="27" t="inlineStr"/>
      <c r="O20" s="27" t="inlineStr"/>
      <c r="P20" s="27" t="inlineStr"/>
      <c r="Q20" s="27" t="inlineStr"/>
      <c r="R20" s="27" t="n">
        <v>100</v>
      </c>
      <c r="S20" s="27" t="n">
        <v>0.5</v>
      </c>
      <c r="T20" s="27" t="n">
        <v>0</v>
      </c>
      <c r="U20" s="28" t="inlineStr">
        <is>
          <t>S</t>
        </is>
      </c>
    </row>
    <row r="21" ht="15" customHeight="1">
      <c r="A21" s="15" t="inlineStr">
        <is>
          <t xml:space="preserve">U013 </t>
        </is>
      </c>
      <c r="B21" s="15" t="inlineStr">
        <is>
          <t xml:space="preserve">I.U. BIODIVERSIDAD (CIBIO) </t>
        </is>
      </c>
      <c r="C21" s="15" t="inlineStr">
        <is>
          <t xml:space="preserve">DOCTORADO EN BIODIVERSIDAD Y CONSERVACIÓN </t>
        </is>
      </c>
      <c r="D21" s="15" t="inlineStr">
        <is>
          <t xml:space="preserve">Martínez Francés, Vanessa </t>
        </is>
      </c>
      <c r="E21" s="15" t="inlineStr">
        <is>
          <t xml:space="preserve">ETHNOBOTANY AND ETHNOPHARMACOLOGY OF WESTERN MEDITERRANEAN HERBAL LIQUORS: FORMULAS AND INGREDIENTS. </t>
        </is>
      </c>
      <c r="F21" s="15" t="inlineStr">
        <is>
          <t xml:space="preserve">21/03/2023 </t>
        </is>
      </c>
      <c r="G21" s="15" t="inlineStr">
        <is>
          <t xml:space="preserve">74336031P </t>
        </is>
      </c>
      <c r="H21" s="15" t="inlineStr">
        <is>
          <t xml:space="preserve">Codirector de tesis </t>
        </is>
      </c>
      <c r="I21" s="15" t="inlineStr">
        <is>
          <t xml:space="preserve">B103 </t>
        </is>
      </c>
      <c r="J21" s="15" t="inlineStr">
        <is>
          <t xml:space="preserve">CIENCIAS AMBIENTALES Y RECURSOS NATURALES </t>
        </is>
      </c>
      <c r="K21" s="27" t="n">
        <v>0.5</v>
      </c>
      <c r="L21" s="27" t="inlineStr">
        <is>
          <t>B103</t>
        </is>
      </c>
      <c r="M21" s="15" t="n">
        <v>2022</v>
      </c>
      <c r="N21" s="27" t="inlineStr">
        <is>
          <t>10.13</t>
        </is>
      </c>
      <c r="O21" s="27" t="n">
        <v>100</v>
      </c>
      <c r="P21" s="27" t="inlineStr"/>
      <c r="Q21" s="27" t="n">
        <v>0</v>
      </c>
      <c r="R21" s="27" t="n">
        <v>0</v>
      </c>
      <c r="S21" s="27" t="n">
        <v>0</v>
      </c>
      <c r="T21" s="27" t="n">
        <v>0.5</v>
      </c>
    </row>
    <row r="22" ht="15" customHeight="1">
      <c r="A22" s="15" t="inlineStr">
        <is>
          <t xml:space="preserve">U022 </t>
        </is>
      </c>
      <c r="B22" s="15" t="inlineStr">
        <is>
          <t xml:space="preserve">ADM. FACULTAD DE CIENCIAS </t>
        </is>
      </c>
      <c r="C22" s="15" t="inlineStr">
        <is>
          <t xml:space="preserve">DOCTORADO EN CIENCIAS EXPERIMENTALES Y BIOSANITARIAS </t>
        </is>
      </c>
      <c r="D22" s="15" t="inlineStr">
        <is>
          <t xml:space="preserve">Morollón Ruiz, Sara Teresa </t>
        </is>
      </c>
      <c r="E22" s="15" t="inlineStr">
        <is>
          <t xml:space="preserve">Comportamiento espacial y territorial del a¿guila-azor perdicera Aquila fasciata y del a¿guila real Aquila chrysaetos en el sudeste de Espan¿a </t>
        </is>
      </c>
      <c r="F22" s="15" t="inlineStr">
        <is>
          <t xml:space="preserve">11/05/2023 </t>
        </is>
      </c>
      <c r="G22" s="15" t="inlineStr">
        <is>
          <t xml:space="preserve">19834950A </t>
        </is>
      </c>
      <c r="H22" s="15" t="inlineStr">
        <is>
          <t xml:space="preserve">Codirector de tesis </t>
        </is>
      </c>
      <c r="I22" s="15" t="inlineStr">
        <is>
          <t xml:space="preserve">B103 </t>
        </is>
      </c>
      <c r="J22" s="15" t="inlineStr">
        <is>
          <t xml:space="preserve">CIENCIAS AMBIENTALES Y RECURSOS NATURALES </t>
        </is>
      </c>
      <c r="K22" s="27" t="n">
        <v>0.5</v>
      </c>
      <c r="L22" s="27" t="inlineStr">
        <is>
          <t>B103</t>
        </is>
      </c>
      <c r="M22" s="15" t="n">
        <v>2022</v>
      </c>
      <c r="N22" s="27" t="inlineStr"/>
      <c r="O22" s="27" t="inlineStr"/>
      <c r="P22" s="27" t="inlineStr"/>
      <c r="Q22" s="27" t="inlineStr"/>
      <c r="R22" s="27" t="n">
        <v>100</v>
      </c>
      <c r="S22" s="27" t="n">
        <v>0.5</v>
      </c>
      <c r="T22" s="27" t="n">
        <v>0</v>
      </c>
    </row>
    <row r="23" ht="15" customHeight="1">
      <c r="A23" s="15" t="inlineStr">
        <is>
          <t>B177</t>
        </is>
      </c>
      <c r="B23" s="15" t="inlineStr">
        <is>
          <t>PSICOLOGÍA EVOLUTIVA Y DIDÁCTICA</t>
        </is>
      </c>
      <c r="C23" s="15" t="inlineStr">
        <is>
          <t>DOCTORADO EN INVESTIGACIÓN EDUCATIVA</t>
        </is>
      </c>
      <c r="D23" s="15" t="inlineStr">
        <is>
          <t>Almeida Shapán, Rita</t>
        </is>
      </c>
      <c r="E23" s="15" t="inlineStr">
        <is>
          <t>Integración de la etnobotánica en la formación del futuro profesorado de la carrera de pedagogía de las ciencias experimentales química y biología de la universidad central del ecuador.</t>
        </is>
      </c>
      <c r="F23" s="15" t="inlineStr">
        <is>
          <t>23/10/2023</t>
        </is>
      </c>
      <c r="G23" s="15" t="inlineStr">
        <is>
          <t>48351430W</t>
        </is>
      </c>
      <c r="H23" s="15" t="inlineStr">
        <is>
          <t>Codirector de tesis</t>
        </is>
      </c>
      <c r="I23" s="15" t="inlineStr">
        <is>
          <t>B103</t>
        </is>
      </c>
      <c r="J23" s="15" t="inlineStr">
        <is>
          <t>CIENCIAS AMBIENTALES Y RECURSOS NATURALES</t>
        </is>
      </c>
      <c r="K23" s="27" t="n">
        <v>0.5</v>
      </c>
      <c r="L23" s="15" t="inlineStr">
        <is>
          <t>B103</t>
        </is>
      </c>
      <c r="M23" s="27" t="n">
        <v>2023</v>
      </c>
      <c r="N23" s="27" t="inlineStr"/>
      <c r="O23" s="27" t="inlineStr"/>
      <c r="P23" s="27" t="inlineStr"/>
      <c r="Q23" s="27" t="inlineStr"/>
      <c r="R23" s="27" t="n">
        <v>100</v>
      </c>
      <c r="S23" s="27" t="n">
        <v>0.5</v>
      </c>
      <c r="T23" s="17" t="n">
        <v>0</v>
      </c>
    </row>
    <row r="24" ht="15" customHeight="1">
      <c r="A24" s="15" t="inlineStr">
        <is>
          <t>U013</t>
        </is>
      </c>
      <c r="B24" s="15" t="inlineStr">
        <is>
          <t>I.U. BIODIVERSIDAD (CIBIO)</t>
        </is>
      </c>
      <c r="C24" s="15" t="inlineStr">
        <is>
          <t>DOCTORADO EN BIODIVERSIDAD Y CONSERVACIÓN</t>
        </is>
      </c>
      <c r="D24" s="15" t="inlineStr">
        <is>
          <t>Monzo Gimenez, Jose Carlos</t>
        </is>
      </c>
      <c r="E24" s="15" t="inlineStr">
        <is>
          <t>Rehabilitación de infraestructuras hidráulicas tradicionales como estrategia de conservación de la biodiversidad en el humedal de Pinoso (Alicante)</t>
        </is>
      </c>
      <c r="F24" s="15" t="inlineStr">
        <is>
          <t>17/04/2024</t>
        </is>
      </c>
      <c r="G24" s="15" t="inlineStr">
        <is>
          <t>21487975H</t>
        </is>
      </c>
      <c r="H24" s="15" t="inlineStr">
        <is>
          <t>Director de tesis</t>
        </is>
      </c>
      <c r="I24" s="15" t="inlineStr">
        <is>
          <t>B103</t>
        </is>
      </c>
      <c r="J24" s="15" t="inlineStr">
        <is>
          <t>CIENCIAS AMBIENTALES Y RECURSOS NATURALES</t>
        </is>
      </c>
      <c r="K24" s="27" t="n">
        <v>1</v>
      </c>
      <c r="L24" s="15" t="inlineStr">
        <is>
          <t>B103</t>
        </is>
      </c>
      <c r="M24" s="27" t="n">
        <v>2023</v>
      </c>
      <c r="N24" s="27" t="inlineStr">
        <is>
          <t>10.13</t>
        </is>
      </c>
      <c r="O24" s="27" t="inlineStr">
        <is>
          <t>100</t>
        </is>
      </c>
      <c r="P24" s="27" t="inlineStr"/>
      <c r="Q24" s="27" t="inlineStr"/>
      <c r="R24" s="27" t="n">
        <v>0</v>
      </c>
      <c r="S24" s="27" t="n">
        <v>0</v>
      </c>
      <c r="T24" s="56" t="n">
        <v>1</v>
      </c>
    </row>
    <row r="25" ht="15" customHeight="1">
      <c r="A25" s="15" t="inlineStr">
        <is>
          <t>U013</t>
        </is>
      </c>
      <c r="B25" s="15" t="inlineStr">
        <is>
          <t>I.U. BIODIVERSIDAD (CIBIO)</t>
        </is>
      </c>
      <c r="C25" s="15" t="inlineStr">
        <is>
          <t>DOCTORADO EN BIODIVERSIDAD Y CONSERVACIÓN</t>
        </is>
      </c>
      <c r="D25" s="15" t="inlineStr">
        <is>
          <t>Aguado Aranda, Pablo</t>
        </is>
      </c>
      <c r="E25" s="15" t="inlineStr">
        <is>
          <t>Revisión taxonómica y sistemática del género Eumerus Meigen, 1822 (Diptera:Syrphidae) en el Mediterráneo occidental, con énfasis en el área ibero-balear</t>
        </is>
      </c>
      <c r="F25" s="15" t="inlineStr">
        <is>
          <t>03/07/2024</t>
        </is>
      </c>
      <c r="G25" s="15" t="inlineStr">
        <is>
          <t>53232946K</t>
        </is>
      </c>
      <c r="H25" s="15" t="inlineStr">
        <is>
          <t>Codirector de tesis</t>
        </is>
      </c>
      <c r="I25" s="15" t="inlineStr">
        <is>
          <t>B103</t>
        </is>
      </c>
      <c r="J25" s="15" t="inlineStr">
        <is>
          <t>CIENCIAS AMBIENTALES Y RECURSOS NATURALES</t>
        </is>
      </c>
      <c r="K25" s="27" t="n">
        <v>0.5</v>
      </c>
      <c r="L25" s="15" t="inlineStr">
        <is>
          <t>B103</t>
        </is>
      </c>
      <c r="M25" s="27" t="n">
        <v>2023</v>
      </c>
      <c r="N25" s="27" t="inlineStr">
        <is>
          <t>10.13</t>
        </is>
      </c>
      <c r="O25" s="27" t="inlineStr">
        <is>
          <t>100</t>
        </is>
      </c>
      <c r="P25" s="27" t="inlineStr"/>
      <c r="Q25" s="27" t="inlineStr"/>
      <c r="R25" s="27" t="n">
        <v>0</v>
      </c>
      <c r="S25" s="27" t="n">
        <v>0</v>
      </c>
      <c r="T25" s="56" t="n">
        <v>0.5</v>
      </c>
    </row>
    <row r="26" ht="15" customHeight="1">
      <c r="A26" s="15" t="inlineStr">
        <is>
          <t>U013</t>
        </is>
      </c>
      <c r="B26" s="15" t="inlineStr">
        <is>
          <t>I.U. BIODIVERSIDAD (CIBIO)</t>
        </is>
      </c>
      <c r="C26" s="15" t="inlineStr">
        <is>
          <t>DOCTORADO EN BIODIVERSIDAD Y CONSERVACIÓN</t>
        </is>
      </c>
      <c r="D26" s="15" t="inlineStr">
        <is>
          <t>Aguado Aranda, Pablo</t>
        </is>
      </c>
      <c r="E26" s="15" t="inlineStr">
        <is>
          <t>Revisión taxonómica y sistemática del género Eumerus Meigen, 1822 (Diptera:Syrphidae) en el Mediterráneo occidental, con énfasis en el área ibero-balear</t>
        </is>
      </c>
      <c r="F26" s="15" t="inlineStr">
        <is>
          <t>03/07/2024</t>
        </is>
      </c>
      <c r="G26" s="15" t="inlineStr">
        <is>
          <t>12715224L</t>
        </is>
      </c>
      <c r="H26" s="15" t="inlineStr">
        <is>
          <t>Codirector de tesis</t>
        </is>
      </c>
      <c r="I26" s="15" t="inlineStr">
        <is>
          <t>B103</t>
        </is>
      </c>
      <c r="J26" s="15" t="inlineStr">
        <is>
          <t>CIENCIAS AMBIENTALES Y RECURSOS NATURALES</t>
        </is>
      </c>
      <c r="K26" s="27" t="n">
        <v>0.5</v>
      </c>
      <c r="L26" s="15" t="inlineStr">
        <is>
          <t>B103</t>
        </is>
      </c>
      <c r="M26" s="27" t="n">
        <v>2023</v>
      </c>
      <c r="N26" s="27" t="inlineStr">
        <is>
          <t>10.13</t>
        </is>
      </c>
      <c r="O26" s="27" t="inlineStr">
        <is>
          <t>100</t>
        </is>
      </c>
      <c r="P26" s="27" t="inlineStr"/>
      <c r="Q26" s="27" t="inlineStr"/>
      <c r="R26" s="27" t="n">
        <v>0</v>
      </c>
      <c r="S26" s="27" t="n">
        <v>0</v>
      </c>
      <c r="T26" s="56" t="n">
        <v>0.5</v>
      </c>
    </row>
    <row r="27" ht="15" customHeight="1">
      <c r="A27" s="15" t="inlineStr">
        <is>
          <t>U013</t>
        </is>
      </c>
      <c r="B27" s="15" t="inlineStr">
        <is>
          <t>I.U. BIODIVERSIDAD (CIBIO)</t>
        </is>
      </c>
      <c r="C27" s="15" t="inlineStr">
        <is>
          <t>DOCTORADO EN BIODIVERSIDAD Y CONSERVACIÓN</t>
        </is>
      </c>
      <c r="D27" s="15" t="inlineStr">
        <is>
          <t>Orengo Green, José Javier</t>
        </is>
      </c>
      <c r="E27" s="15" t="inlineStr">
        <is>
          <t>Morfología funcional de las fases preimaginales de sírfidos de Eristalinae y Syrphinae (Diptera: Syrphidae)</t>
        </is>
      </c>
      <c r="F27" s="15" t="inlineStr">
        <is>
          <t>06/05/2024</t>
        </is>
      </c>
      <c r="G27" s="15" t="inlineStr">
        <is>
          <t>53232946K</t>
        </is>
      </c>
      <c r="H27" s="15" t="inlineStr">
        <is>
          <t>Codirector de tesis</t>
        </is>
      </c>
      <c r="I27" s="15" t="inlineStr">
        <is>
          <t>B103</t>
        </is>
      </c>
      <c r="J27" s="15" t="inlineStr">
        <is>
          <t>CIENCIAS AMBIENTALES Y RECURSOS NATURALES</t>
        </is>
      </c>
      <c r="K27" s="27" t="n">
        <v>0.5</v>
      </c>
      <c r="L27" s="15" t="inlineStr">
        <is>
          <t>B103</t>
        </is>
      </c>
      <c r="M27" s="27" t="n">
        <v>2023</v>
      </c>
      <c r="N27" s="27" t="inlineStr">
        <is>
          <t>10.13</t>
        </is>
      </c>
      <c r="O27" s="27" t="inlineStr">
        <is>
          <t>100</t>
        </is>
      </c>
      <c r="P27" s="27" t="inlineStr"/>
      <c r="Q27" s="27" t="inlineStr"/>
      <c r="R27" s="27" t="n">
        <v>0</v>
      </c>
      <c r="S27" s="27" t="n">
        <v>0</v>
      </c>
      <c r="T27" s="56" t="n">
        <v>0.5</v>
      </c>
    </row>
    <row r="28" ht="15" customHeight="1">
      <c r="A28" s="15" t="inlineStr">
        <is>
          <t>U013</t>
        </is>
      </c>
      <c r="B28" s="15" t="inlineStr">
        <is>
          <t>I.U. BIODIVERSIDAD (CIBIO)</t>
        </is>
      </c>
      <c r="C28" s="15" t="inlineStr">
        <is>
          <t>DOCTORADO EN BIODIVERSIDAD Y CONSERVACIÓN</t>
        </is>
      </c>
      <c r="D28" s="15" t="inlineStr">
        <is>
          <t>Orengo Green, José Javier</t>
        </is>
      </c>
      <c r="E28" s="15" t="inlineStr">
        <is>
          <t>Morfología funcional de las fases preimaginales de sírfidos de Eristalinae y Syrphinae (Diptera: Syrphidae)</t>
        </is>
      </c>
      <c r="F28" s="15" t="inlineStr">
        <is>
          <t>06/05/2024</t>
        </is>
      </c>
      <c r="G28" s="15" t="inlineStr">
        <is>
          <t>12715224L</t>
        </is>
      </c>
      <c r="H28" s="15" t="inlineStr">
        <is>
          <t>Codirector de tesis</t>
        </is>
      </c>
      <c r="I28" s="15" t="inlineStr">
        <is>
          <t>B103</t>
        </is>
      </c>
      <c r="J28" s="15" t="inlineStr">
        <is>
          <t>CIENCIAS AMBIENTALES Y RECURSOS NATURALES</t>
        </is>
      </c>
      <c r="K28" s="27" t="n">
        <v>0.5</v>
      </c>
      <c r="L28" s="15" t="inlineStr">
        <is>
          <t>B103</t>
        </is>
      </c>
      <c r="M28" s="27" t="n">
        <v>2023</v>
      </c>
      <c r="N28" s="27" t="inlineStr">
        <is>
          <t>10.13</t>
        </is>
      </c>
      <c r="O28" s="27" t="inlineStr">
        <is>
          <t>100</t>
        </is>
      </c>
      <c r="P28" s="27" t="inlineStr"/>
      <c r="Q28" s="27" t="inlineStr"/>
      <c r="R28" s="27" t="n">
        <v>0</v>
      </c>
      <c r="S28" s="27" t="n">
        <v>0</v>
      </c>
      <c r="T28" s="56" t="n">
        <v>0.5</v>
      </c>
    </row>
    <row r="29" ht="15" customHeight="1">
      <c r="A29" s="15" t="inlineStr">
        <is>
          <t>U013</t>
        </is>
      </c>
      <c r="B29" s="15" t="inlineStr">
        <is>
          <t>I.U. BIODIVERSIDAD (CIBIO)</t>
        </is>
      </c>
      <c r="C29" s="15" t="inlineStr">
        <is>
          <t>DOCTORADO EN BIODIVERSIDAD Y CONSERVACIÓN</t>
        </is>
      </c>
      <c r="D29" s="15" t="inlineStr">
        <is>
          <t>Martínez Pérez, Sandra</t>
        </is>
      </c>
      <c r="E29" s="15" t="inlineStr">
        <is>
          <t>COLEÓPTEROS SAPROXÍLICOS EN BOSQUE MEDITERRÁNEO: UNA APROXIMACIÓN</t>
        </is>
      </c>
      <c r="F29" s="15" t="inlineStr">
        <is>
          <t>24/10/2023</t>
        </is>
      </c>
      <c r="G29" s="15" t="inlineStr">
        <is>
          <t>18157732Z</t>
        </is>
      </c>
      <c r="H29" s="15" t="inlineStr">
        <is>
          <t>Codirector de tesis</t>
        </is>
      </c>
      <c r="I29" s="15" t="inlineStr">
        <is>
          <t>B103</t>
        </is>
      </c>
      <c r="J29" s="15" t="inlineStr">
        <is>
          <t>CIENCIAS AMBIENTALES Y RECURSOS NATURALES</t>
        </is>
      </c>
      <c r="K29" s="27" t="n">
        <v>0.5</v>
      </c>
      <c r="L29" s="15" t="inlineStr">
        <is>
          <t>B103</t>
        </is>
      </c>
      <c r="M29" s="27" t="n">
        <v>2023</v>
      </c>
      <c r="N29" s="27" t="inlineStr">
        <is>
          <t>10.13</t>
        </is>
      </c>
      <c r="O29" s="27" t="inlineStr">
        <is>
          <t>100</t>
        </is>
      </c>
      <c r="P29" s="27" t="inlineStr"/>
      <c r="Q29" s="27" t="inlineStr"/>
      <c r="R29" s="27" t="n">
        <v>0</v>
      </c>
      <c r="S29" s="27" t="n">
        <v>0</v>
      </c>
      <c r="T29" s="56" t="n">
        <v>0.5</v>
      </c>
    </row>
    <row r="30" ht="15" customHeight="1">
      <c r="A30" s="15" t="inlineStr">
        <is>
          <t>U013</t>
        </is>
      </c>
      <c r="B30" s="15" t="inlineStr">
        <is>
          <t>I.U. BIODIVERSIDAD (CIBIO)</t>
        </is>
      </c>
      <c r="C30" s="15" t="inlineStr">
        <is>
          <t>DOCTORADO EN BIODIVERSIDAD Y CONSERVACIÓN</t>
        </is>
      </c>
      <c r="D30" s="15" t="inlineStr">
        <is>
          <t>Martínez Pérez, Sandra</t>
        </is>
      </c>
      <c r="E30" s="15" t="inlineStr">
        <is>
          <t>COLEÓPTEROS SAPROXÍLICOS EN BOSQUE MEDITERRÁNEO: UNA APROXIMACIÓN</t>
        </is>
      </c>
      <c r="F30" s="15" t="inlineStr">
        <is>
          <t>24/10/2023</t>
        </is>
      </c>
      <c r="G30" s="15" t="inlineStr">
        <is>
          <t>21501710E</t>
        </is>
      </c>
      <c r="H30" s="15" t="inlineStr">
        <is>
          <t>Codirector de tesis</t>
        </is>
      </c>
      <c r="I30" s="15" t="inlineStr">
        <is>
          <t>B103</t>
        </is>
      </c>
      <c r="J30" s="15" t="inlineStr">
        <is>
          <t>CIENCIAS AMBIENTALES Y RECURSOS NATURALES</t>
        </is>
      </c>
      <c r="K30" s="27" t="n">
        <v>0.5</v>
      </c>
      <c r="L30" s="15" t="inlineStr">
        <is>
          <t>B103</t>
        </is>
      </c>
      <c r="M30" s="27" t="n">
        <v>2023</v>
      </c>
      <c r="N30" s="27" t="inlineStr">
        <is>
          <t>10.13</t>
        </is>
      </c>
      <c r="O30" s="27" t="inlineStr">
        <is>
          <t>100</t>
        </is>
      </c>
      <c r="P30" s="27" t="inlineStr"/>
      <c r="Q30" s="27" t="inlineStr"/>
      <c r="R30" s="27" t="n">
        <v>0</v>
      </c>
      <c r="S30" s="27" t="n">
        <v>0</v>
      </c>
      <c r="T30" s="56" t="n">
        <v>0.5</v>
      </c>
    </row>
    <row r="31" ht="15" customHeight="1">
      <c r="A31" s="15" t="inlineStr">
        <is>
          <t>U013</t>
        </is>
      </c>
      <c r="B31" s="15" t="inlineStr">
        <is>
          <t>I.U. BIODIVERSIDAD (CIBIO)</t>
        </is>
      </c>
      <c r="C31" s="15" t="inlineStr">
        <is>
          <t>DOCTORADO EN BIODIVERSIDAD Y CONSERVACIÓN</t>
        </is>
      </c>
      <c r="D31" s="15" t="inlineStr">
        <is>
          <t>Becerra Ramirez, Maria Teresa</t>
        </is>
      </c>
      <c r="E31" s="15" t="inlineStr">
        <is>
          <t>APORTES A LA TAXONOMÍA Y CONSERVACIÓN DE LAS ESPECIES DEL GÉNERO ESPELETIA (ASTERACEAE) EN COLOMBIA</t>
        </is>
      </c>
      <c r="F31" s="15" t="inlineStr">
        <is>
          <t>06/09/2024</t>
        </is>
      </c>
      <c r="G31" s="15" t="inlineStr">
        <is>
          <t>22682002T</t>
        </is>
      </c>
      <c r="H31" s="15" t="inlineStr">
        <is>
          <t>Director de tesis</t>
        </is>
      </c>
      <c r="I31" s="15" t="inlineStr">
        <is>
          <t>B103</t>
        </is>
      </c>
      <c r="J31" s="15" t="inlineStr">
        <is>
          <t>CIENCIAS AMBIENTALES Y RECURSOS NATURALES</t>
        </is>
      </c>
      <c r="K31" s="27" t="n">
        <v>1</v>
      </c>
      <c r="L31" s="15" t="inlineStr">
        <is>
          <t>B103</t>
        </is>
      </c>
      <c r="M31" s="27" t="n">
        <v>2023</v>
      </c>
      <c r="N31" s="27" t="inlineStr"/>
      <c r="O31" s="27" t="inlineStr"/>
      <c r="P31" s="27" t="inlineStr"/>
      <c r="Q31" s="27" t="inlineStr"/>
      <c r="R31" s="27" t="n">
        <v>100</v>
      </c>
      <c r="S31" s="27" t="n">
        <v>1</v>
      </c>
      <c r="T31" s="56" t="n">
        <v>0</v>
      </c>
    </row>
    <row r="32" ht="15" customHeight="1">
      <c r="A32" s="15" t="inlineStr">
        <is>
          <t>U013</t>
        </is>
      </c>
      <c r="B32" s="15" t="inlineStr">
        <is>
          <t>I.U. BIODIVERSIDAD (CIBIO)</t>
        </is>
      </c>
      <c r="C32" s="15" t="inlineStr">
        <is>
          <t>DOCTORADO EN BIODIVERSIDAD Y CONSERVACIÓN</t>
        </is>
      </c>
      <c r="D32" s="15" t="inlineStr">
        <is>
          <t>Urrutia Sánchez, Miguel Ángel</t>
        </is>
      </c>
      <c r="E32" s="15" t="inlineStr">
        <is>
          <t>Estudio de nuevos protocolos para analizar los efectos de la ivermectina en la ecofisiología y diversidad de los coleópteros coprófagos (Coleoptera: Scarabaeoidea: Aphodiidae, Geotrupidae, Scarabaeidae)</t>
        </is>
      </c>
      <c r="F32" s="15" t="inlineStr">
        <is>
          <t>13/09/2024</t>
        </is>
      </c>
      <c r="G32" s="15" t="inlineStr">
        <is>
          <t>21487975H</t>
        </is>
      </c>
      <c r="H32" s="15" t="inlineStr">
        <is>
          <t>Codirector de tesis</t>
        </is>
      </c>
      <c r="I32" s="15" t="inlineStr">
        <is>
          <t>B103</t>
        </is>
      </c>
      <c r="J32" s="15" t="inlineStr">
        <is>
          <t>CIENCIAS AMBIENTALES Y RECURSOS NATURALES</t>
        </is>
      </c>
      <c r="K32" s="27" t="n">
        <v>0.5</v>
      </c>
      <c r="L32" s="15" t="inlineStr">
        <is>
          <t>B103</t>
        </is>
      </c>
      <c r="M32" s="27" t="n">
        <v>2023</v>
      </c>
      <c r="N32" s="27" t="inlineStr">
        <is>
          <t>10.13</t>
        </is>
      </c>
      <c r="O32" s="27" t="inlineStr">
        <is>
          <t>100</t>
        </is>
      </c>
      <c r="P32" s="27" t="inlineStr"/>
      <c r="Q32" s="27" t="inlineStr"/>
      <c r="R32" s="27" t="n">
        <v>0</v>
      </c>
      <c r="S32" s="27" t="n">
        <v>0</v>
      </c>
      <c r="T32" s="56" t="n">
        <v>0.5</v>
      </c>
    </row>
    <row r="33" ht="15" customHeight="1">
      <c r="A33" s="15" t="inlineStr">
        <is>
          <t>U022</t>
        </is>
      </c>
      <c r="B33" s="15" t="inlineStr">
        <is>
          <t>ADM. FACULTAD DE CIENCIAS</t>
        </is>
      </c>
      <c r="C33" s="15" t="inlineStr">
        <is>
          <t>DOCTORADO EN CIENCIAS EXPERIMENTALES Y BIOSANITARIAS</t>
        </is>
      </c>
      <c r="D33" s="15" t="inlineStr">
        <is>
          <t>Aracil Gisbert, Andrea</t>
        </is>
      </c>
      <c r="E33" s="15" t="inlineStr">
        <is>
          <t>Morphological studies, life cycle and applied research on hoverflies: an approach from the tribes Merodontini and Eristalini (Diptera: Syrphidae, Eristalinae)</t>
        </is>
      </c>
      <c r="F33" s="15" t="inlineStr">
        <is>
          <t>02/05/2024</t>
        </is>
      </c>
      <c r="G33" s="15" t="inlineStr">
        <is>
          <t>09288920W</t>
        </is>
      </c>
      <c r="H33" s="15" t="inlineStr">
        <is>
          <t>Codirector de tesis</t>
        </is>
      </c>
      <c r="I33" s="15" t="inlineStr">
        <is>
          <t>B103</t>
        </is>
      </c>
      <c r="J33" s="15" t="inlineStr">
        <is>
          <t>CIENCIAS AMBIENTALES Y RECURSOS NATURALES</t>
        </is>
      </c>
      <c r="K33" s="27" t="n">
        <v>0.5</v>
      </c>
      <c r="L33" s="15" t="inlineStr">
        <is>
          <t>B103</t>
        </is>
      </c>
      <c r="M33" s="27" t="n">
        <v>2023</v>
      </c>
      <c r="N33" s="27" t="inlineStr"/>
      <c r="O33" s="27" t="inlineStr"/>
      <c r="P33" s="27" t="inlineStr"/>
      <c r="Q33" s="27" t="inlineStr"/>
      <c r="R33" s="27" t="n">
        <v>100</v>
      </c>
      <c r="S33" s="27" t="n">
        <v>0.5</v>
      </c>
      <c r="T33" s="56" t="n">
        <v>0</v>
      </c>
    </row>
    <row r="34" ht="15" customHeight="1">
      <c r="A34" s="15" t="inlineStr">
        <is>
          <t>U022</t>
        </is>
      </c>
      <c r="B34" s="15" t="inlineStr">
        <is>
          <t>ADM. FACULTAD DE CIENCIAS</t>
        </is>
      </c>
      <c r="C34" s="15" t="inlineStr">
        <is>
          <t>DOCTORADO EN CIENCIAS EXPERIMENTALES Y BIOSANITARIAS</t>
        </is>
      </c>
      <c r="D34" s="15" t="inlineStr">
        <is>
          <t>Aracil Gisbert, Andrea</t>
        </is>
      </c>
      <c r="E34" s="15" t="inlineStr">
        <is>
          <t>Morphological studies, life cycle and applied research on hoverflies: an approach from the tribes Merodontini and Eristalini (Diptera: Syrphidae, Eristalinae)</t>
        </is>
      </c>
      <c r="F34" s="15" t="inlineStr">
        <is>
          <t>02/05/2024</t>
        </is>
      </c>
      <c r="G34" s="15" t="inlineStr">
        <is>
          <t>22140989Q</t>
        </is>
      </c>
      <c r="H34" s="15" t="inlineStr">
        <is>
          <t>Codirector de tesis</t>
        </is>
      </c>
      <c r="I34" s="15" t="inlineStr">
        <is>
          <t>B103</t>
        </is>
      </c>
      <c r="J34" s="15" t="inlineStr">
        <is>
          <t>CIENCIAS AMBIENTALES Y RECURSOS NATURALES</t>
        </is>
      </c>
      <c r="K34" s="27" t="n">
        <v>0.5</v>
      </c>
      <c r="L34" s="15" t="inlineStr">
        <is>
          <t>B103</t>
        </is>
      </c>
      <c r="M34" s="27" t="n">
        <v>2023</v>
      </c>
      <c r="N34" s="27" t="inlineStr"/>
      <c r="O34" s="27" t="inlineStr"/>
      <c r="P34" s="27" t="inlineStr"/>
      <c r="Q34" s="27" t="inlineStr"/>
      <c r="R34" s="27" t="n">
        <v>100</v>
      </c>
      <c r="S34" s="27" t="n">
        <v>0.5</v>
      </c>
      <c r="T34" s="56" t="n">
        <v>0</v>
      </c>
    </row>
    <row r="35" ht="15" customHeight="1">
      <c r="A35" s="15" t="inlineStr">
        <is>
          <t>U022</t>
        </is>
      </c>
      <c r="B35" s="15" t="inlineStr">
        <is>
          <t>ADM. FACULTAD DE CIENCIAS</t>
        </is>
      </c>
      <c r="C35" s="15" t="inlineStr">
        <is>
          <t>DOCTORADO EN CIENCIAS EXPERIMENTALES Y BIOSANITARIAS</t>
        </is>
      </c>
      <c r="D35" s="15" t="inlineStr">
        <is>
          <t>García Macía, Jorge</t>
        </is>
      </c>
      <c r="E35" s="15" t="inlineStr">
        <is>
          <t>Comportamiento espacial y migratorio de aves rapaces (Accipitridae y Falconidae) en el Paleártico Occidental</t>
        </is>
      </c>
      <c r="F35" s="15" t="inlineStr">
        <is>
          <t>28/02/2024</t>
        </is>
      </c>
      <c r="G35" s="15" t="inlineStr">
        <is>
          <t>19834950A</t>
        </is>
      </c>
      <c r="H35" s="15" t="inlineStr">
        <is>
          <t>Director de tesis</t>
        </is>
      </c>
      <c r="I35" s="15" t="inlineStr">
        <is>
          <t>B103</t>
        </is>
      </c>
      <c r="J35" s="15" t="inlineStr">
        <is>
          <t>CIENCIAS AMBIENTALES Y RECURSOS NATURALES</t>
        </is>
      </c>
      <c r="K35" s="27" t="n">
        <v>1</v>
      </c>
      <c r="L35" s="15" t="inlineStr">
        <is>
          <t>B103</t>
        </is>
      </c>
      <c r="M35" s="27" t="n">
        <v>2023</v>
      </c>
      <c r="N35" s="27" t="inlineStr"/>
      <c r="O35" s="27" t="inlineStr"/>
      <c r="P35" s="27" t="inlineStr"/>
      <c r="Q35" s="27" t="inlineStr"/>
      <c r="R35" s="27" t="n">
        <v>100</v>
      </c>
      <c r="S35" s="27" t="n">
        <v>1</v>
      </c>
      <c r="T35" s="56" t="n">
        <v>0</v>
      </c>
    </row>
    <row r="36" ht="15" customHeight="1">
      <c r="A36" s="15" t="inlineStr">
        <is>
          <t>U013</t>
        </is>
      </c>
      <c r="B36" s="15" t="inlineStr">
        <is>
          <t>Administración Centro Iberoamericano de la Biodiversidad</t>
        </is>
      </c>
      <c r="C36" s="15" t="inlineStr">
        <is>
          <t>DOCTORADO EN BIODIVERSIDAD Y CONSERVACIÓN</t>
        </is>
      </c>
      <c r="D36" s="15" t="inlineStr">
        <is>
          <t>Terrones Contreras, Alejandro</t>
        </is>
      </c>
      <c r="E36" s="15" t="inlineStr">
        <is>
          <t>Filogeografía y procesos de hibridación a diferentes escalas en especies mediterráneas del género Tamarix (Tamaricaceae)</t>
        </is>
      </c>
      <c r="F36" s="15" t="inlineStr">
        <is>
          <t>26/05/2025</t>
        </is>
      </c>
      <c r="G36" s="15" t="inlineStr">
        <is>
          <t>22139388W</t>
        </is>
      </c>
      <c r="H36" s="15" t="inlineStr">
        <is>
          <t>Director de tesis</t>
        </is>
      </c>
      <c r="I36" s="15" t="inlineStr">
        <is>
          <t>B103</t>
        </is>
      </c>
      <c r="J36" s="15" t="inlineStr">
        <is>
          <t>Ciencias Ambientales y Recursos Naturales</t>
        </is>
      </c>
      <c r="K36" s="27" t="n">
        <v>1</v>
      </c>
      <c r="L36" s="15" t="inlineStr">
        <is>
          <t>B103</t>
        </is>
      </c>
      <c r="M36" s="27" t="n">
        <v>2024</v>
      </c>
      <c r="N36" s="27" t="inlineStr"/>
      <c r="O36" s="27" t="inlineStr"/>
      <c r="P36" s="27" t="inlineStr"/>
      <c r="Q36" s="27" t="inlineStr"/>
      <c r="R36" s="27" t="n">
        <v>100</v>
      </c>
      <c r="S36" s="27" t="n">
        <v>1</v>
      </c>
      <c r="T36" s="56" t="n">
        <v>0</v>
      </c>
    </row>
    <row r="37" ht="15" customHeight="1">
      <c r="A37" s="15" t="inlineStr">
        <is>
          <t>U022</t>
        </is>
      </c>
      <c r="B37" s="15" t="inlineStr">
        <is>
          <t>Administración Facultad de Ciencias</t>
        </is>
      </c>
      <c r="C37" s="15" t="inlineStr">
        <is>
          <t>DOCTORADO EN CIENCIAS EXPERIMENTALES Y BIOSANITARIAS</t>
        </is>
      </c>
      <c r="D37" s="15" t="inlineStr">
        <is>
          <t>Doménech Pérez, Carles</t>
        </is>
      </c>
      <c r="E37" s="15" t="inlineStr">
        <is>
          <t>Avances en sistemática, taxonomía, nomenclatura y distribución geográfica de ciempiés del
orden Scolopendromorpha (Myriapoda: Chilopoda), incluyendo la descripción de una nueva especie
del género Scolopendra Linnaeus, 1758</t>
        </is>
      </c>
      <c r="F37" s="15" t="inlineStr">
        <is>
          <t>19/09/2025</t>
        </is>
      </c>
      <c r="G37" s="15" t="inlineStr">
        <is>
          <t>09288920W</t>
        </is>
      </c>
      <c r="H37" s="15" t="inlineStr">
        <is>
          <t>Codirector de tesis</t>
        </is>
      </c>
      <c r="I37" s="15" t="inlineStr">
        <is>
          <t>B103</t>
        </is>
      </c>
      <c r="J37" s="15" t="inlineStr">
        <is>
          <t>Ciencias Ambientales y Recursos Naturales</t>
        </is>
      </c>
      <c r="K37" s="27" t="n">
        <v>0.3333333333333333</v>
      </c>
      <c r="L37" s="15" t="inlineStr">
        <is>
          <t>B103</t>
        </is>
      </c>
      <c r="M37" s="27" t="n">
        <v>2024</v>
      </c>
      <c r="N37" s="27" t="inlineStr"/>
      <c r="O37" s="27" t="inlineStr"/>
      <c r="P37" s="27" t="inlineStr"/>
      <c r="Q37" s="27" t="inlineStr"/>
      <c r="R37" s="27" t="n">
        <v>100</v>
      </c>
      <c r="S37" s="27" t="n">
        <v>0.3333333333333333</v>
      </c>
      <c r="T37" s="56" t="n">
        <v>0</v>
      </c>
    </row>
    <row r="38" ht="15" customHeight="1">
      <c r="A38" s="15" t="inlineStr">
        <is>
          <t>U022</t>
        </is>
      </c>
      <c r="B38" s="15" t="inlineStr">
        <is>
          <t>Administración Facultad de Ciencias</t>
        </is>
      </c>
      <c r="C38" s="15" t="inlineStr">
        <is>
          <t>DOCTORADO EN CIENCIAS EXPERIMENTALES Y BIOSANITARIAS</t>
        </is>
      </c>
      <c r="D38" s="15" t="inlineStr">
        <is>
          <t>Abellán Zárate, Mónica</t>
        </is>
      </c>
      <c r="E38" s="15" t="inlineStr">
        <is>
          <t>From basic biology to applied research: Multidisciplinary research on the housefly (Musca domestica) in the European context</t>
        </is>
      </c>
      <c r="F38" s="15" t="inlineStr">
        <is>
          <t>16/07/2025</t>
        </is>
      </c>
      <c r="G38" s="15" t="inlineStr">
        <is>
          <t>09288920W</t>
        </is>
      </c>
      <c r="H38" s="15" t="inlineStr">
        <is>
          <t>Codirector de tesis</t>
        </is>
      </c>
      <c r="I38" s="15" t="inlineStr">
        <is>
          <t>B103</t>
        </is>
      </c>
      <c r="J38" s="15" t="inlineStr">
        <is>
          <t>Ciencias Ambientales y Recursos Naturales</t>
        </is>
      </c>
      <c r="K38" s="27" t="n">
        <v>0.5</v>
      </c>
      <c r="L38" s="15" t="inlineStr">
        <is>
          <t>B103</t>
        </is>
      </c>
      <c r="M38" s="27" t="n">
        <v>2024</v>
      </c>
      <c r="N38" s="27" t="inlineStr"/>
      <c r="O38" s="27" t="inlineStr"/>
      <c r="P38" s="27" t="inlineStr"/>
      <c r="Q38" s="27" t="inlineStr"/>
      <c r="R38" s="27" t="n">
        <v>100</v>
      </c>
      <c r="S38" s="27" t="n">
        <v>0.5</v>
      </c>
      <c r="T38" s="56" t="n">
        <v>0</v>
      </c>
    </row>
    <row r="39" ht="15" customHeight="1">
      <c r="A39" s="15" t="inlineStr">
        <is>
          <t>U022</t>
        </is>
      </c>
      <c r="B39" s="15" t="inlineStr">
        <is>
          <t>Administración Facultad de Ciencias</t>
        </is>
      </c>
      <c r="C39" s="15" t="inlineStr">
        <is>
          <t>DOCTORADO EN CIENCIAS EXPERIMENTALES Y BIOSANITARIAS</t>
        </is>
      </c>
      <c r="D39" s="15" t="inlineStr">
        <is>
          <t>Abellán Zárate, Mónica</t>
        </is>
      </c>
      <c r="E39" s="15" t="inlineStr">
        <is>
          <t>From basic biology to applied research: Multidisciplinary research on the housefly (Musca domestica) in the European context</t>
        </is>
      </c>
      <c r="F39" s="15" t="inlineStr">
        <is>
          <t>16/07/2025</t>
        </is>
      </c>
      <c r="G39" s="15" t="inlineStr">
        <is>
          <t>44750133E</t>
        </is>
      </c>
      <c r="H39" s="15" t="inlineStr">
        <is>
          <t>Codirector de tesis</t>
        </is>
      </c>
      <c r="I39" s="15" t="inlineStr">
        <is>
          <t>B103</t>
        </is>
      </c>
      <c r="J39" s="15" t="inlineStr">
        <is>
          <t>Ciencias Ambientales y Recursos Naturales</t>
        </is>
      </c>
      <c r="K39" s="27" t="n">
        <v>0.5</v>
      </c>
      <c r="L39" s="15" t="inlineStr">
        <is>
          <t>B103</t>
        </is>
      </c>
      <c r="M39" s="27" t="n">
        <v>2024</v>
      </c>
      <c r="N39" s="27" t="inlineStr"/>
      <c r="O39" s="27" t="inlineStr"/>
      <c r="P39" s="27" t="inlineStr"/>
      <c r="Q39" s="27" t="inlineStr"/>
      <c r="R39" s="27" t="n">
        <v>100</v>
      </c>
      <c r="S39" s="27" t="n">
        <v>0.5</v>
      </c>
      <c r="T39" s="56" t="n">
        <v>0</v>
      </c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31" t="n"/>
      <c r="O40" s="29" t="n"/>
      <c r="P40" s="31" t="n"/>
      <c r="Q40" s="29" t="n"/>
      <c r="R40" s="30" t="n"/>
      <c r="S40" s="32">
        <f>SUM(S2:S39)</f>
        <v/>
      </c>
      <c r="T40" s="29" t="n"/>
    </row>
  </sheetData>
  <autoFilter ref="A1:T10">
    <sortState ref="A2:T1871">
      <sortCondition ref="K2:K1871"/>
      <sortCondition ref="L2:L1871"/>
      <sortCondition ref="D2:D1871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zoomScaleNormal="100" workbookViewId="0">
      <selection activeCell="K29" sqref="K29"/>
    </sheetView>
  </sheetViews>
  <sheetFormatPr baseColWidth="10" defaultColWidth="11.42578125" defaultRowHeight="12.75"/>
  <cols>
    <col width="10.85546875" bestFit="1" customWidth="1" style="11" min="1" max="1"/>
    <col width="41.28515625" bestFit="1" customWidth="1" style="11" min="2" max="2"/>
    <col width="17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3"/>
    <col width="5.7109375" bestFit="1" customWidth="1" style="12" min="14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3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8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</row>
    <row r="2">
      <c r="A2" s="40" t="inlineStr">
        <is>
          <t>09288920W</t>
        </is>
      </c>
      <c r="B2" s="40" t="inlineStr">
        <is>
          <t>Rojo Velasco, Santos</t>
        </is>
      </c>
      <c r="C2" s="40" t="inlineStr">
        <is>
          <t>FUNCIONARIO</t>
        </is>
      </c>
      <c r="D2" s="40" t="n">
        <v>1</v>
      </c>
      <c r="E2" s="40" t="n"/>
      <c r="F2" s="40" t="n"/>
      <c r="G2" s="40" t="n"/>
      <c r="H2" s="40" t="n"/>
      <c r="I2" s="40" t="n"/>
      <c r="J2" s="40" t="n">
        <v>1</v>
      </c>
      <c r="K2" s="40" t="inlineStr">
        <is>
          <t>B103</t>
        </is>
      </c>
      <c r="L2" s="40" t="n">
        <v>0</v>
      </c>
      <c r="M2" s="40" t="n">
        <v>0</v>
      </c>
      <c r="N2" s="41" t="inlineStr"/>
      <c r="O2" s="40" t="inlineStr"/>
      <c r="P2" s="41" t="n">
        <v>100</v>
      </c>
      <c r="Q2" s="40" t="n">
        <v>0</v>
      </c>
      <c r="R2" s="40" t="n">
        <v>0</v>
      </c>
      <c r="S2" s="40" t="n">
        <v>1</v>
      </c>
    </row>
    <row r="3">
      <c r="A3" s="40" t="inlineStr">
        <is>
          <t>12715224L</t>
        </is>
      </c>
      <c r="B3" s="40" t="inlineStr">
        <is>
          <t>Marcos García, María de los Ángeles</t>
        </is>
      </c>
      <c r="C3" s="40" t="inlineStr">
        <is>
          <t>FUNCIONARIO</t>
        </is>
      </c>
      <c r="D3" s="40" t="n"/>
      <c r="E3" s="40" t="n"/>
      <c r="F3" s="40" t="n">
        <v>1</v>
      </c>
      <c r="G3" s="40" t="n"/>
      <c r="H3" s="40" t="n"/>
      <c r="I3" s="40" t="n"/>
      <c r="J3" s="40" t="n">
        <v>1</v>
      </c>
      <c r="K3" s="40" t="inlineStr">
        <is>
          <t>B103</t>
        </is>
      </c>
      <c r="L3" s="40" t="inlineStr">
        <is>
          <t>10.13</t>
        </is>
      </c>
      <c r="M3" s="40" t="inlineStr">
        <is>
          <t>100</t>
        </is>
      </c>
      <c r="N3" s="41" t="inlineStr"/>
      <c r="O3" s="40" t="inlineStr"/>
      <c r="P3" s="41" t="n">
        <v>0</v>
      </c>
      <c r="Q3" s="40" t="n">
        <v>1</v>
      </c>
      <c r="R3" s="40" t="n">
        <v>0</v>
      </c>
      <c r="S3" s="40" t="n">
        <v>0</v>
      </c>
    </row>
    <row r="4">
      <c r="A4" s="40" t="inlineStr">
        <is>
          <t>18157732Z</t>
        </is>
      </c>
      <c r="B4" s="40" t="inlineStr">
        <is>
          <t>Galante Patiño, Eduardo</t>
        </is>
      </c>
      <c r="C4" s="40" t="inlineStr">
        <is>
          <t>Emérito</t>
        </is>
      </c>
      <c r="D4" s="40" t="n"/>
      <c r="E4" s="40" t="n"/>
      <c r="F4" s="40" t="n"/>
      <c r="G4" s="40" t="n"/>
      <c r="H4" s="40" t="n"/>
      <c r="I4" s="40" t="n">
        <v>1</v>
      </c>
      <c r="J4" s="40" t="n">
        <v>1</v>
      </c>
      <c r="K4" s="40" t="inlineStr">
        <is>
          <t>B103</t>
        </is>
      </c>
      <c r="L4" s="40" t="inlineStr">
        <is>
          <t>10.13</t>
        </is>
      </c>
      <c r="M4" s="40" t="inlineStr">
        <is>
          <t>100</t>
        </is>
      </c>
      <c r="N4" s="41" t="inlineStr"/>
      <c r="O4" s="40" t="inlineStr"/>
      <c r="P4" s="41" t="n">
        <v>0</v>
      </c>
      <c r="Q4" s="40" t="n">
        <v>1</v>
      </c>
      <c r="R4" s="40" t="n">
        <v>0</v>
      </c>
      <c r="S4" s="40" t="n">
        <v>0</v>
      </c>
    </row>
    <row r="5">
      <c r="A5" s="40" t="inlineStr">
        <is>
          <t>19834950A</t>
        </is>
      </c>
      <c r="B5" s="40" t="inlineStr">
        <is>
          <t>Urios Moliner, Vicente</t>
        </is>
      </c>
      <c r="C5" s="40" t="inlineStr">
        <is>
          <t>FUNCIONARIO</t>
        </is>
      </c>
      <c r="D5" s="40" t="n"/>
      <c r="E5" s="40" t="n"/>
      <c r="F5" s="40" t="n"/>
      <c r="G5" s="40" t="n"/>
      <c r="H5" s="40" t="n"/>
      <c r="I5" s="40" t="n">
        <v>1</v>
      </c>
      <c r="J5" s="40" t="n">
        <v>1</v>
      </c>
      <c r="K5" s="40" t="inlineStr">
        <is>
          <t>B103</t>
        </is>
      </c>
      <c r="L5" s="40" t="n">
        <v>0</v>
      </c>
      <c r="M5" s="40" t="n">
        <v>0</v>
      </c>
      <c r="N5" s="41" t="inlineStr"/>
      <c r="O5" s="40" t="inlineStr"/>
      <c r="P5" s="41" t="n">
        <v>100</v>
      </c>
      <c r="Q5" s="40" t="n">
        <v>0</v>
      </c>
      <c r="R5" s="40" t="n">
        <v>0</v>
      </c>
      <c r="S5" s="40" t="n">
        <v>1</v>
      </c>
    </row>
    <row r="6">
      <c r="A6" s="40" t="inlineStr">
        <is>
          <t>21487975H</t>
        </is>
      </c>
      <c r="B6" s="40" t="inlineStr">
        <is>
          <t>Verdú Faraco, José Ramón</t>
        </is>
      </c>
      <c r="C6" s="40" t="inlineStr">
        <is>
          <t>FUNCIONARIO</t>
        </is>
      </c>
      <c r="D6" s="40" t="n"/>
      <c r="E6" s="40" t="n">
        <v>1</v>
      </c>
      <c r="F6" s="40" t="n"/>
      <c r="G6" s="40" t="n"/>
      <c r="H6" s="40" t="n"/>
      <c r="I6" s="40" t="n"/>
      <c r="J6" s="40" t="n">
        <v>1</v>
      </c>
      <c r="K6" s="40" t="inlineStr">
        <is>
          <t>B103</t>
        </is>
      </c>
      <c r="L6" s="40" t="inlineStr">
        <is>
          <t>10.13</t>
        </is>
      </c>
      <c r="M6" s="40" t="inlineStr">
        <is>
          <t>100</t>
        </is>
      </c>
      <c r="N6" s="41" t="inlineStr"/>
      <c r="O6" s="40" t="inlineStr"/>
      <c r="P6" s="41" t="n">
        <v>0</v>
      </c>
      <c r="Q6" s="40" t="n">
        <v>1</v>
      </c>
      <c r="R6" s="40" t="n">
        <v>0</v>
      </c>
      <c r="S6" s="40" t="n">
        <v>0</v>
      </c>
    </row>
    <row r="7">
      <c r="A7" s="40" t="inlineStr">
        <is>
          <t>21501710E</t>
        </is>
      </c>
      <c r="B7" s="40" t="inlineStr">
        <is>
          <t xml:space="preserve">Micó  Balaguer, Estefanía </t>
        </is>
      </c>
      <c r="C7" s="40" t="inlineStr">
        <is>
          <t>FUNCIONARIO</t>
        </is>
      </c>
      <c r="D7" s="40" t="n"/>
      <c r="E7" s="40" t="n"/>
      <c r="F7" s="40" t="n">
        <v>1</v>
      </c>
      <c r="G7" s="40" t="n"/>
      <c r="H7" s="40" t="n"/>
      <c r="I7" s="40" t="n"/>
      <c r="J7" s="40" t="n">
        <v>1</v>
      </c>
      <c r="K7" s="40" t="inlineStr">
        <is>
          <t>B103</t>
        </is>
      </c>
      <c r="L7" s="40" t="inlineStr">
        <is>
          <t>10.13</t>
        </is>
      </c>
      <c r="M7" s="40" t="inlineStr">
        <is>
          <t>100</t>
        </is>
      </c>
      <c r="N7" s="41" t="inlineStr"/>
      <c r="O7" s="40" t="inlineStr"/>
      <c r="P7" s="41" t="n">
        <v>0</v>
      </c>
      <c r="Q7" s="40" t="n">
        <v>1</v>
      </c>
      <c r="R7" s="40" t="n">
        <v>0</v>
      </c>
      <c r="S7" s="40" t="n">
        <v>0</v>
      </c>
    </row>
    <row r="8">
      <c r="A8" s="40" t="inlineStr">
        <is>
          <t>22139388W</t>
        </is>
      </c>
      <c r="B8" s="40" t="inlineStr">
        <is>
          <t>Juan Gallardo, Ana Isabel</t>
        </is>
      </c>
      <c r="C8" s="40" t="inlineStr">
        <is>
          <t>FUNCIONARIO</t>
        </is>
      </c>
      <c r="D8" s="40" t="n"/>
      <c r="E8" s="40" t="n"/>
      <c r="F8" s="40" t="n"/>
      <c r="G8" s="40" t="n"/>
      <c r="H8" s="40" t="n">
        <v>1</v>
      </c>
      <c r="I8" s="40" t="n"/>
      <c r="J8" s="40" t="n">
        <v>1</v>
      </c>
      <c r="K8" s="40" t="inlineStr">
        <is>
          <t>B103</t>
        </is>
      </c>
      <c r="L8" s="40" t="n">
        <v>0</v>
      </c>
      <c r="M8" s="40" t="n">
        <v>0</v>
      </c>
      <c r="N8" s="41" t="inlineStr"/>
      <c r="O8" s="40" t="inlineStr"/>
      <c r="P8" s="41" t="n">
        <v>100</v>
      </c>
      <c r="Q8" s="40" t="n">
        <v>0</v>
      </c>
      <c r="R8" s="40" t="n">
        <v>0</v>
      </c>
      <c r="S8" s="40" t="n">
        <v>1</v>
      </c>
    </row>
    <row r="9">
      <c r="A9" s="40" t="inlineStr">
        <is>
          <t>22140989Q</t>
        </is>
      </c>
      <c r="B9" s="40" t="inlineStr">
        <is>
          <t>Pérez Bañón, Mª Celeste</t>
        </is>
      </c>
      <c r="C9" s="40" t="inlineStr">
        <is>
          <t>FUNCIONARIO</t>
        </is>
      </c>
      <c r="D9" s="40" t="n"/>
      <c r="E9" s="40" t="n"/>
      <c r="F9" s="40" t="n">
        <v>1</v>
      </c>
      <c r="G9" s="40" t="n"/>
      <c r="H9" s="40" t="n"/>
      <c r="I9" s="40" t="n"/>
      <c r="J9" s="40" t="n">
        <v>1</v>
      </c>
      <c r="K9" s="40" t="inlineStr">
        <is>
          <t>B103</t>
        </is>
      </c>
      <c r="L9" s="40" t="n">
        <v>0</v>
      </c>
      <c r="M9" s="40" t="n">
        <v>0</v>
      </c>
      <c r="N9" s="41" t="inlineStr"/>
      <c r="O9" s="40" t="inlineStr"/>
      <c r="P9" s="41" t="n">
        <v>100</v>
      </c>
      <c r="Q9" s="40" t="n">
        <v>0</v>
      </c>
      <c r="R9" s="40" t="n">
        <v>0</v>
      </c>
      <c r="S9" s="40" t="n">
        <v>1</v>
      </c>
    </row>
    <row r="10">
      <c r="A10" s="40" t="inlineStr">
        <is>
          <t>22682002T</t>
        </is>
      </c>
      <c r="B10" s="40" t="inlineStr">
        <is>
          <t>Crespo Villalba, Manuel Benito</t>
        </is>
      </c>
      <c r="C10" s="40" t="inlineStr">
        <is>
          <t>FUNCIONARIO</t>
        </is>
      </c>
      <c r="D10" s="40" t="n"/>
      <c r="E10" s="40" t="n">
        <v>1</v>
      </c>
      <c r="F10" s="40" t="n"/>
      <c r="G10" s="40" t="n"/>
      <c r="H10" s="40" t="n"/>
      <c r="I10" s="40" t="n"/>
      <c r="J10" s="40" t="n">
        <v>1</v>
      </c>
      <c r="K10" s="40" t="inlineStr">
        <is>
          <t>B103</t>
        </is>
      </c>
      <c r="L10" s="40" t="n">
        <v>0</v>
      </c>
      <c r="M10" s="40" t="n">
        <v>0</v>
      </c>
      <c r="N10" s="41" t="inlineStr"/>
      <c r="O10" s="40" t="inlineStr"/>
      <c r="P10" s="41" t="n">
        <v>100</v>
      </c>
      <c r="Q10" s="40" t="n">
        <v>0</v>
      </c>
      <c r="R10" s="40" t="n">
        <v>0</v>
      </c>
      <c r="S10" s="40" t="n">
        <v>1</v>
      </c>
    </row>
    <row r="11">
      <c r="A11" s="40" t="inlineStr">
        <is>
          <t>27456413W</t>
        </is>
      </c>
      <c r="B11" s="40" t="inlineStr">
        <is>
          <t>Casas Martínez, José Luis</t>
        </is>
      </c>
      <c r="C11" s="40" t="inlineStr">
        <is>
          <t>FUNCIONARIO</t>
        </is>
      </c>
      <c r="D11" s="40" t="n"/>
      <c r="E11" s="40" t="n"/>
      <c r="F11" s="40" t="n"/>
      <c r="G11" s="40" t="n">
        <v>1</v>
      </c>
      <c r="H11" s="40" t="n"/>
      <c r="I11" s="40" t="n"/>
      <c r="J11" s="40" t="n">
        <v>1</v>
      </c>
      <c r="K11" s="40" t="inlineStr">
        <is>
          <t>B103</t>
        </is>
      </c>
      <c r="L11" s="40" t="inlineStr">
        <is>
          <t>10.13</t>
        </is>
      </c>
      <c r="M11" s="40" t="inlineStr">
        <is>
          <t>100</t>
        </is>
      </c>
      <c r="N11" s="41" t="inlineStr"/>
      <c r="O11" s="40" t="inlineStr"/>
      <c r="P11" s="41" t="n">
        <v>0</v>
      </c>
      <c r="Q11" s="40" t="n">
        <v>1</v>
      </c>
      <c r="R11" s="40" t="n">
        <v>0</v>
      </c>
      <c r="S11" s="40" t="n">
        <v>0</v>
      </c>
    </row>
    <row r="12">
      <c r="A12" s="40" t="inlineStr">
        <is>
          <t>29071038G</t>
        </is>
      </c>
      <c r="B12" s="40" t="inlineStr">
        <is>
          <t>Alonso Vargas, María Ángeles</t>
        </is>
      </c>
      <c r="C12" s="40" t="inlineStr">
        <is>
          <t>FUNCIONARIO</t>
        </is>
      </c>
      <c r="D12" s="40" t="n">
        <v>1</v>
      </c>
      <c r="E12" s="40" t="n"/>
      <c r="F12" s="40" t="n"/>
      <c r="G12" s="40" t="n"/>
      <c r="H12" s="40" t="n"/>
      <c r="I12" s="40" t="n"/>
      <c r="J12" s="40" t="n">
        <v>1</v>
      </c>
      <c r="K12" s="40" t="inlineStr">
        <is>
          <t>B103</t>
        </is>
      </c>
      <c r="L12" s="40" t="n">
        <v>0</v>
      </c>
      <c r="M12" s="40" t="n">
        <v>0</v>
      </c>
      <c r="N12" s="41" t="inlineStr"/>
      <c r="O12" s="40" t="inlineStr"/>
      <c r="P12" s="41" t="n">
        <v>100</v>
      </c>
      <c r="Q12" s="40" t="n">
        <v>0</v>
      </c>
      <c r="R12" s="40" t="n">
        <v>0</v>
      </c>
      <c r="S12" s="40" t="n">
        <v>1</v>
      </c>
    </row>
    <row r="13">
      <c r="A13" s="40" t="inlineStr">
        <is>
          <t>44750133E</t>
        </is>
      </c>
      <c r="B13" s="40" t="inlineStr">
        <is>
          <t>Martínez Sánchez, Ana Isabel</t>
        </is>
      </c>
      <c r="C13" s="40" t="inlineStr">
        <is>
          <t>FUNCIONARIO</t>
        </is>
      </c>
      <c r="D13" s="40" t="n"/>
      <c r="E13" s="40" t="n"/>
      <c r="F13" s="40" t="n"/>
      <c r="G13" s="40" t="n">
        <v>1</v>
      </c>
      <c r="H13" s="40" t="n"/>
      <c r="I13" s="40" t="n"/>
      <c r="J13" s="40" t="n">
        <v>1</v>
      </c>
      <c r="K13" s="40" t="inlineStr">
        <is>
          <t>B103</t>
        </is>
      </c>
      <c r="L13" s="40" t="n">
        <v>0</v>
      </c>
      <c r="M13" s="40" t="n">
        <v>0</v>
      </c>
      <c r="N13" s="41" t="inlineStr"/>
      <c r="O13" s="40" t="inlineStr"/>
      <c r="P13" s="41" t="n">
        <v>100</v>
      </c>
      <c r="Q13" s="40" t="n">
        <v>0</v>
      </c>
      <c r="R13" s="40" t="n">
        <v>0</v>
      </c>
      <c r="S13" s="40" t="n">
        <v>1</v>
      </c>
    </row>
    <row r="14">
      <c r="A14" s="40" t="inlineStr">
        <is>
          <t>48316388N</t>
        </is>
      </c>
      <c r="B14" s="40" t="inlineStr">
        <is>
          <t>Pena Martin, Carolina</t>
        </is>
      </c>
      <c r="C14" s="40" t="inlineStr">
        <is>
          <t>NO FUNCIONARIO</t>
        </is>
      </c>
      <c r="D14" s="40" t="n"/>
      <c r="E14" s="40" t="n"/>
      <c r="F14" s="40" t="n"/>
      <c r="G14" s="40" t="n"/>
      <c r="H14" s="40" t="n">
        <v>1</v>
      </c>
      <c r="I14" s="40" t="n"/>
      <c r="J14" s="40" t="n">
        <v>1</v>
      </c>
      <c r="K14" s="40" t="inlineStr">
        <is>
          <t>B103</t>
        </is>
      </c>
      <c r="L14" s="40" t="n">
        <v>0</v>
      </c>
      <c r="M14" s="40" t="n">
        <v>0</v>
      </c>
      <c r="N14" s="41" t="inlineStr"/>
      <c r="O14" s="40" t="inlineStr"/>
      <c r="P14" s="41" t="n">
        <v>100</v>
      </c>
      <c r="Q14" s="40" t="n">
        <v>0</v>
      </c>
      <c r="R14" s="40" t="n">
        <v>0</v>
      </c>
      <c r="S14" s="40" t="n">
        <v>1</v>
      </c>
    </row>
    <row r="15">
      <c r="A15" s="40" t="inlineStr">
        <is>
          <t>48349578J</t>
        </is>
      </c>
      <c r="B15" s="40" t="inlineStr">
        <is>
          <t>Mazón Morales, Marina</t>
        </is>
      </c>
      <c r="C15" s="40" t="inlineStr">
        <is>
          <t>NO FUNCIONARIO</t>
        </is>
      </c>
      <c r="D15" s="40" t="n"/>
      <c r="E15" s="40" t="n"/>
      <c r="F15" s="40" t="n"/>
      <c r="G15" s="40" t="n"/>
      <c r="H15" s="40" t="n">
        <v>1</v>
      </c>
      <c r="I15" s="40" t="n">
        <v>1</v>
      </c>
      <c r="J15" s="40" t="n">
        <v>2</v>
      </c>
      <c r="K15" s="40" t="inlineStr">
        <is>
          <t>B103</t>
        </is>
      </c>
      <c r="L15" s="40" t="n">
        <v>0</v>
      </c>
      <c r="M15" s="40" t="n">
        <v>0</v>
      </c>
      <c r="N15" s="41" t="inlineStr"/>
      <c r="O15" s="40" t="inlineStr"/>
      <c r="P15" s="41" t="n">
        <v>100</v>
      </c>
      <c r="Q15" s="40" t="n">
        <v>0</v>
      </c>
      <c r="R15" s="40" t="n">
        <v>0</v>
      </c>
      <c r="S15" s="40" t="n">
        <v>2</v>
      </c>
    </row>
    <row r="16">
      <c r="A16" s="40" t="inlineStr">
        <is>
          <t>48351430W</t>
        </is>
      </c>
      <c r="B16" s="40" t="inlineStr">
        <is>
          <t>Martínez Azorin, Mario</t>
        </is>
      </c>
      <c r="C16" s="40" t="inlineStr">
        <is>
          <t>FUNCIONARIO</t>
        </is>
      </c>
      <c r="D16" s="40" t="n"/>
      <c r="E16" s="40" t="n"/>
      <c r="F16" s="40" t="n"/>
      <c r="G16" s="40" t="n"/>
      <c r="H16" s="40" t="n">
        <v>1</v>
      </c>
      <c r="I16" s="40" t="n">
        <v>1</v>
      </c>
      <c r="J16" s="40" t="n">
        <v>2</v>
      </c>
      <c r="K16" s="40" t="inlineStr">
        <is>
          <t>B103</t>
        </is>
      </c>
      <c r="L16" s="40" t="n">
        <v>0</v>
      </c>
      <c r="M16" s="40" t="n">
        <v>0</v>
      </c>
      <c r="N16" s="41" t="inlineStr"/>
      <c r="O16" s="40" t="inlineStr"/>
      <c r="P16" s="41" t="n">
        <v>100</v>
      </c>
      <c r="Q16" s="40" t="n">
        <v>0</v>
      </c>
      <c r="R16" s="40" t="n">
        <v>0</v>
      </c>
      <c r="S16" s="40" t="n">
        <v>2</v>
      </c>
    </row>
    <row r="17">
      <c r="A17" s="40" t="inlineStr">
        <is>
          <t>53232946K</t>
        </is>
      </c>
      <c r="B17" s="40" t="inlineStr">
        <is>
          <t>Ricarte Sabater, Antonio Ramón</t>
        </is>
      </c>
      <c r="C17" s="40" t="inlineStr">
        <is>
          <t>FUNCIONARIO</t>
        </is>
      </c>
      <c r="D17" s="40" t="n"/>
      <c r="E17" s="40" t="n"/>
      <c r="F17" s="40" t="n"/>
      <c r="G17" s="40" t="n">
        <v>2</v>
      </c>
      <c r="H17" s="40" t="n"/>
      <c r="I17" s="40" t="n"/>
      <c r="J17" s="40" t="n">
        <v>2</v>
      </c>
      <c r="K17" s="40" t="inlineStr">
        <is>
          <t>B103</t>
        </is>
      </c>
      <c r="L17" s="40" t="inlineStr">
        <is>
          <t>10.13</t>
        </is>
      </c>
      <c r="M17" s="40" t="inlineStr">
        <is>
          <t>100</t>
        </is>
      </c>
      <c r="N17" s="41" t="inlineStr"/>
      <c r="O17" s="40" t="inlineStr"/>
      <c r="P17" s="41" t="n">
        <v>0</v>
      </c>
      <c r="Q17" s="40" t="n">
        <v>2</v>
      </c>
      <c r="R17" s="40" t="n">
        <v>0</v>
      </c>
      <c r="S17" s="40" t="n">
        <v>0</v>
      </c>
    </row>
    <row r="18">
      <c r="A18" s="40" t="inlineStr">
        <is>
          <t>74083066C</t>
        </is>
      </c>
      <c r="B18" s="40" t="inlineStr">
        <is>
          <t>Bordera Sanjuán, Santiago</t>
        </is>
      </c>
      <c r="C18" s="40" t="inlineStr">
        <is>
          <t>FUNCIONARIO</t>
        </is>
      </c>
      <c r="D18" s="40" t="n"/>
      <c r="E18" s="40" t="n">
        <v>1</v>
      </c>
      <c r="F18" s="40" t="n"/>
      <c r="G18" s="40" t="n"/>
      <c r="H18" s="40" t="n"/>
      <c r="I18" s="40" t="n"/>
      <c r="J18" s="40" t="n">
        <v>1</v>
      </c>
      <c r="K18" s="40" t="inlineStr">
        <is>
          <t>B103</t>
        </is>
      </c>
      <c r="L18" s="40" t="n">
        <v>0</v>
      </c>
      <c r="M18" s="40" t="n">
        <v>0</v>
      </c>
      <c r="N18" s="41" t="inlineStr"/>
      <c r="O18" s="40" t="inlineStr"/>
      <c r="P18" s="41" t="n">
        <v>100</v>
      </c>
      <c r="Q18" s="40" t="n">
        <v>0</v>
      </c>
      <c r="R18" s="40" t="n">
        <v>0</v>
      </c>
      <c r="S18" s="40" t="n">
        <v>1</v>
      </c>
    </row>
    <row r="19">
      <c r="A19" s="40" t="inlineStr">
        <is>
          <t>74336031P</t>
        </is>
      </c>
      <c r="B19" s="40" t="inlineStr">
        <is>
          <t>Ríos Ruiz, Segundo</t>
        </is>
      </c>
      <c r="C19" s="40" t="inlineStr">
        <is>
          <t>FUNCIONARIO</t>
        </is>
      </c>
      <c r="D19" s="40" t="n">
        <v>1</v>
      </c>
      <c r="E19" s="40" t="n"/>
      <c r="F19" s="40" t="n"/>
      <c r="G19" s="40" t="n"/>
      <c r="H19" s="40" t="n"/>
      <c r="I19" s="40" t="n"/>
      <c r="J19" s="40" t="n">
        <v>1</v>
      </c>
      <c r="K19" s="40" t="inlineStr">
        <is>
          <t>B103</t>
        </is>
      </c>
      <c r="L19" s="40" t="inlineStr">
        <is>
          <t>10.13</t>
        </is>
      </c>
      <c r="M19" s="40" t="inlineStr">
        <is>
          <t>100</t>
        </is>
      </c>
      <c r="N19" s="41" t="inlineStr"/>
      <c r="O19" s="40" t="inlineStr"/>
      <c r="P19" s="41" t="n">
        <v>0</v>
      </c>
      <c r="Q19" s="40" t="n">
        <v>1</v>
      </c>
      <c r="R19" s="40" t="n">
        <v>0</v>
      </c>
      <c r="S19" s="40" t="n">
        <v>0</v>
      </c>
    </row>
    <row r="20">
      <c r="A20" s="38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9" t="n"/>
      <c r="O20" s="38" t="n"/>
      <c r="P20" s="39" t="n"/>
      <c r="Q20" s="38" t="n"/>
      <c r="R20" s="38" t="n"/>
      <c r="S20" s="42">
        <f>SUM(S2:S19)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G21" sqref="G21"/>
    </sheetView>
  </sheetViews>
  <sheetFormatPr baseColWidth="10" defaultRowHeight="15"/>
  <cols>
    <col width="17" customWidth="1" min="1" max="1"/>
    <col width="93.28515625" customWidth="1" min="2" max="2"/>
    <col width="16" customWidth="1" min="3" max="3"/>
  </cols>
  <sheetData>
    <row r="1">
      <c r="A1" s="43" t="inlineStr">
        <is>
          <t>Cód. org. aplic.</t>
        </is>
      </c>
      <c r="B1" s="43" t="inlineStr">
        <is>
          <t>Descripción justificante</t>
        </is>
      </c>
      <c r="C1" s="43" t="inlineStr">
        <is>
          <t>Imp.cob.aplic.</t>
        </is>
      </c>
    </row>
    <row r="2">
      <c r="A2" s="33" t="inlineStr">
        <is>
          <t>35.60.6C.00.16</t>
        </is>
      </c>
      <c r="B2" s="33" t="inlineStr">
        <is>
          <t>Tercer pago del contrato proyecto Enerstar1-21I</t>
        </is>
      </c>
      <c r="C2" s="69" t="n">
        <v>15050</v>
      </c>
    </row>
    <row r="3">
      <c r="A3" s="35" t="inlineStr">
        <is>
          <t>35.60.6C.00.19</t>
        </is>
      </c>
      <c r="B3" s="35" t="inlineStr">
        <is>
          <t>SECOND PAYMENT OF SPRING COURSES (COURSES IN SPAIN AND PORTUGAL) SUBCONTRACT (RA-227/21)</t>
        </is>
      </c>
      <c r="C3" s="70" t="n">
        <v>11100</v>
      </c>
    </row>
    <row r="4">
      <c r="A4" s="33" t="inlineStr">
        <is>
          <t>35.60.6C.00.23</t>
        </is>
      </c>
      <c r="B4" s="33" t="inlineStr">
        <is>
          <t>Elaboración de la argumentación científica para las propuestas de la inclusión, exclusión o cambio de categoría de taxones en el Listado de Especies Silvestres en Régimen de Protección Especial o en el Catálogo Español de Especies Amenazadas en relación al grupo DIPTERA (4 especies). Contrato nº: 85700</t>
        </is>
      </c>
      <c r="C4" s="69" t="n">
        <v>6688</v>
      </c>
    </row>
    <row r="5">
      <c r="A5" s="35" t="inlineStr">
        <is>
          <t>35.60.6C.00.24</t>
        </is>
      </c>
      <c r="B5" s="35" t="inlineStr">
        <is>
          <t>Analizar y escribir la monografía del Programa Migres del aguilucho pálido.</t>
        </is>
      </c>
      <c r="C5" s="70" t="n">
        <v>5280</v>
      </c>
    </row>
    <row r="6">
      <c r="A6" s="33" t="inlineStr">
        <is>
          <t>35.60.6C.00.25</t>
        </is>
      </c>
      <c r="B6" s="33" t="inlineStr">
        <is>
          <t>Asistencia científico - técnica y asesoramiento en la efectividad de plaguicidas para dípteros.</t>
        </is>
      </c>
      <c r="C6" s="69" t="n">
        <v>192.6</v>
      </c>
    </row>
    <row r="7">
      <c r="A7" s="35" t="inlineStr">
        <is>
          <t>35.60.6M.00.02</t>
        </is>
      </c>
      <c r="B7" s="35" t="inlineStr">
        <is>
          <t xml:space="preserve">Impartición curso de Formación Regional Avanzada de sírfidos (Diptera: Syrphidae) </t>
        </is>
      </c>
      <c r="C7" s="70" t="n">
        <v>4048</v>
      </c>
    </row>
    <row r="8">
      <c r="A8" s="33" t="inlineStr">
        <is>
          <t>35.60.6M.00.03</t>
        </is>
      </c>
      <c r="B8" s="33" t="inlineStr">
        <is>
          <t>Actividad 1 y 2. Formación avanzada del personal de campo sobre cambios en metodología europea de muestreos de dípteros para técnicos de campo y voluntarios. Contrato MC-88839</t>
        </is>
      </c>
      <c r="C8" s="69" t="n">
        <v>1760</v>
      </c>
    </row>
    <row r="9">
      <c r="A9" s="44" t="inlineStr">
        <is>
          <t>35.60.6X.00.01</t>
        </is>
      </c>
      <c r="B9" s="44" t="inlineStr">
        <is>
          <t>Segundo Cobro del Proyecto WaysTUP</t>
        </is>
      </c>
      <c r="C9" s="71" t="n">
        <v>14808.84</v>
      </c>
    </row>
    <row r="10">
      <c r="A10" s="44" t="inlineStr">
        <is>
          <t>Total</t>
        </is>
      </c>
      <c r="B10" s="44" t="n"/>
      <c r="C10" s="72">
        <f>SUBTOTAL(109,Tabla3[Imp.cob.aplic.])</f>
        <v/>
      </c>
    </row>
    <row r="11">
      <c r="C11" s="7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18" sqref="B18:C18"/>
    </sheetView>
  </sheetViews>
  <sheetFormatPr baseColWidth="10" defaultRowHeight="15"/>
  <cols>
    <col width="15.85546875" customWidth="1" min="1" max="1"/>
    <col width="77.5703125" customWidth="1" min="2" max="2"/>
    <col width="14.42578125" customWidth="1" min="3" max="3"/>
  </cols>
  <sheetData>
    <row r="1">
      <c r="A1" s="49" t="inlineStr">
        <is>
          <t>Org. aplic.</t>
        </is>
      </c>
      <c r="B1" s="49" t="inlineStr">
        <is>
          <t>Descripción justificante</t>
        </is>
      </c>
      <c r="C1" s="74" t="inlineStr">
        <is>
          <t>Imp. aplic.</t>
        </is>
      </c>
    </row>
    <row r="2">
      <c r="A2" s="47" t="inlineStr">
        <is>
          <t>35.60.6C.00.19</t>
        </is>
      </c>
      <c r="B2" s="47" t="inlineStr">
        <is>
          <t>THIRD PAYMENT OF SPRING COURSES (COURSES IN SPAIN AND PORTUGAL) SUBCONTRACT (RA-227/21)</t>
        </is>
      </c>
      <c r="C2" s="75" t="n">
        <v>14800</v>
      </c>
    </row>
    <row r="3">
      <c r="A3" s="48" t="inlineStr">
        <is>
          <t>35.60.6C.00.25</t>
        </is>
      </c>
      <c r="B3" s="48" t="inlineStr">
        <is>
          <t>Asistencia científico-técnica y asesoramiento en la efectividad de plaguicidas para dípteros.</t>
        </is>
      </c>
      <c r="C3" s="76" t="n">
        <v>287.52</v>
      </c>
    </row>
    <row r="4">
      <c r="A4" s="47" t="inlineStr">
        <is>
          <t>35.60.6C.00.26</t>
        </is>
      </c>
      <c r="B4" s="47" t="inlineStr">
        <is>
          <t>PROCESADO y SEPARADO de polinizadores del orden DÍPTEROS familia Syrphidae  (MC 91155)</t>
        </is>
      </c>
      <c r="C4" s="75" t="n">
        <v>4268</v>
      </c>
    </row>
    <row r="5">
      <c r="A5" s="48" t="inlineStr">
        <is>
          <t>35.60.6C.00.27</t>
        </is>
      </c>
      <c r="B5" s="48" t="inlineStr">
        <is>
          <t>CONTRATO MENOR PARA LA PREVENCIÓN DE IMPACTOS NEGATIVOS Y LA DETECCIÓN TEMPRANA DEL ALGA EXÓTICA INVASORA Rugulopterix okamurae EN AGUAS DE LA COMUNITAT VALENCIANA MEDIANTE LA CREACIÓN DE UNA RED DE SEGUIMIENTO. CMENOR/2023/07N06/457</t>
        </is>
      </c>
      <c r="C5" s="76" t="n">
        <v>10731.56</v>
      </c>
    </row>
    <row r="6">
      <c r="A6" s="47" t="inlineStr">
        <is>
          <t>35.60.6C.00.28</t>
        </is>
      </c>
      <c r="B6" s="47" t="inlineStr">
        <is>
          <t>PERITACIÓN JUDICIAL Y REDACCIÓN DE INFORME/DICTAMEN SOBRE LA PRESENCIA DE TEUCRIUM LEPICEPHALUM Y BARLIA ROBERTIANA Y EL EFECTO QUE SOBRE SUS POBLACIONES Y HÁBITATS PUEDAN TENER LAS TRANSFORMACIONES QUE AFECTAN AL PROGRAMA DE ACTUACIÓN INTEGRADA DE LA UNIDAD DE EJECUCIÓN Nº 1 DEL SECTOR LA SERRETA</t>
        </is>
      </c>
      <c r="C6" s="75" t="n">
        <v>872.08</v>
      </c>
    </row>
    <row r="7">
      <c r="A7" s="48" t="inlineStr">
        <is>
          <t>35.60.6C.00.29</t>
        </is>
      </c>
      <c r="B7" s="48" t="inlineStr">
        <is>
          <t>MARCAJE Y SEGUIMIENTO DE LA COLONIA DE CERNÍCALOS PRIMILLAS DE "CASAS DE LA MORALEJA" DEL AÑO 2024 (PRIMER PAGO - Referencia: GECAMA1-24I)</t>
        </is>
      </c>
      <c r="C7" s="76" t="n">
        <v>20103.6</v>
      </c>
    </row>
    <row r="8">
      <c r="A8" s="47" t="inlineStr">
        <is>
          <t>35.60.6C.00.29</t>
        </is>
      </c>
      <c r="B8" s="47" t="inlineStr">
        <is>
          <t>MARCAJE Y SEGUIMIENTO DE LA COLONIA DE CERNÍCALOS PRIMILLAS DE "CASAS DE LA MORALEJA" DEL AÑO 2024) (SEGUNDO PAGO- Referencia: GECAMA1-24I)</t>
        </is>
      </c>
      <c r="C8" s="75" t="n">
        <v>13772.4</v>
      </c>
    </row>
    <row r="9">
      <c r="A9" s="48" t="inlineStr">
        <is>
          <t>35.60.6C.00.30</t>
        </is>
      </c>
      <c r="B9" s="48" t="inlineStr">
        <is>
          <t>Trabajo de campo de rapaces migradoras, análisis y publicación de los resultados. (Primer pago)</t>
        </is>
      </c>
      <c r="C9" s="76" t="n">
        <v>2200</v>
      </c>
    </row>
    <row r="10">
      <c r="A10" s="47" t="inlineStr">
        <is>
          <t>35.60.6C.00.30</t>
        </is>
      </c>
      <c r="B10" s="47" t="inlineStr">
        <is>
          <t>Trabajo de campo de rapaces migradoras, análisis y publicación de los resultados. (Segundo pago)</t>
        </is>
      </c>
      <c r="C10" s="75" t="n">
        <v>2200</v>
      </c>
    </row>
    <row r="11">
      <c r="A11" s="48" t="inlineStr">
        <is>
          <t>35.60.6C.00.31</t>
        </is>
      </c>
      <c r="B11" s="48" t="inlineStr">
        <is>
          <t>REVISIÓN TAXONÓMICA Y CONSULTA DE COLECCIÓN DÍPTERA SYRPHIDAE. PRIMER PAGO. MC 105117</t>
        </is>
      </c>
      <c r="C11" s="76" t="n">
        <v>2200</v>
      </c>
    </row>
    <row r="12">
      <c r="A12" s="47" t="inlineStr">
        <is>
          <t>35.60.6M.00.03</t>
        </is>
      </c>
      <c r="B12" s="47" t="inlineStr">
        <is>
          <t>Actividad 3. Formación avanzada del personal de campo sobre cambios en metodología europea de muestreos de dípteros para técnicos de campo. Contrato MC-88839</t>
        </is>
      </c>
      <c r="C12" s="75" t="n">
        <v>880</v>
      </c>
    </row>
    <row r="13">
      <c r="A13" s="53" t="inlineStr">
        <is>
          <t>35.60.6X.00.01</t>
        </is>
      </c>
      <c r="B13" s="53" t="inlineStr">
        <is>
          <t>ÚLTIMO COBRO DEL PROYECTO WAYSTUP!</t>
        </is>
      </c>
      <c r="C13" s="77" t="n">
        <v>17538.61</v>
      </c>
    </row>
    <row r="14">
      <c r="A14" s="53" t="inlineStr">
        <is>
          <t>Total</t>
        </is>
      </c>
      <c r="B14" s="53" t="n"/>
      <c r="C14" s="78">
        <f>SUBTOTAL(109,Tabla4[Imp.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C20" sqref="C20"/>
    </sheetView>
  </sheetViews>
  <sheetFormatPr baseColWidth="10" defaultRowHeight="15"/>
  <cols>
    <col width="23" customWidth="1" min="1" max="1"/>
    <col width="62.7109375" customWidth="1" min="2" max="2"/>
    <col width="23.42578125" customWidth="1" min="3" max="3"/>
  </cols>
  <sheetData>
    <row r="1">
      <c r="A1" s="57" t="inlineStr">
        <is>
          <t>Org. aplic.</t>
        </is>
      </c>
      <c r="B1" s="58" t="inlineStr">
        <is>
          <t>Descripción justificante</t>
        </is>
      </c>
      <c r="C1" s="58" t="inlineStr">
        <is>
          <t>Imp. aplic.</t>
        </is>
      </c>
    </row>
    <row r="2">
      <c r="A2" s="59" t="inlineStr">
        <is>
          <t>35.60.6C.00.25</t>
        </is>
      </c>
      <c r="B2" s="60" t="inlineStr">
        <is>
          <t>Asistencia científico-técnica y asesoramiento en la efectividad de plaguicidas para dípteros.</t>
        </is>
      </c>
      <c r="C2" s="79" t="n">
        <v>125.47</v>
      </c>
    </row>
    <row r="3">
      <c r="A3" s="62" t="inlineStr">
        <is>
          <t>35.60.6C.00.31</t>
        </is>
      </c>
      <c r="B3" s="63" t="inlineStr">
        <is>
          <t>REVISIÓN TAXONÓMICA Y CONSULTA DE COLECCIÓN DÍPTERA SYRPHIDAE.  SEGUNDO PAGO. MC 105117.</t>
        </is>
      </c>
      <c r="C3" s="80" t="n">
        <v>2200</v>
      </c>
    </row>
    <row r="4">
      <c r="A4" s="59" t="inlineStr">
        <is>
          <t>35.60.6C.00.32</t>
        </is>
      </c>
      <c r="B4" s="60" t="inlineStr">
        <is>
          <t>MARCAJE Y SEGUIMIENTO DE LA COLONIA DE CERNÍCALOS PRIMILLAS DE "CASAS DE LA MORALEJA" DEL AÑO 2025 (PRIMER PAGO-Referencia: GECAMA1-25I)</t>
        </is>
      </c>
      <c r="C4" s="79" t="n">
        <v>25080</v>
      </c>
    </row>
    <row r="5">
      <c r="A5" s="62" t="inlineStr">
        <is>
          <t>35.60.6C.00.32</t>
        </is>
      </c>
      <c r="B5" s="63" t="inlineStr">
        <is>
          <t>MARCAJE Y SEGUIMIENTO DE LA COLONIA DE CERNÍCALOS PRIMILLAS DE "CASAS DE LA MORALEJA" DEL AÑO 2025 (SEGUNDO PAGO-Referencia: GECAMA1-25I)</t>
        </is>
      </c>
      <c r="C5" s="80" t="n">
        <v>16945</v>
      </c>
    </row>
    <row r="6">
      <c r="A6" s="59" t="inlineStr">
        <is>
          <t>35.60.6C.00.33</t>
        </is>
      </c>
      <c r="B6" s="60" t="inlineStr">
        <is>
          <t>Apoyo al seguimiento de sírfidos en el proyecto APISOST:  diseño metodología muestreos, tratamiento de muestras en laboratorio e identificación taxonómica de especímenes.</t>
        </is>
      </c>
      <c r="C6" s="79" t="n">
        <v>1454.54</v>
      </c>
    </row>
    <row r="7" ht="15.75" customHeight="1" thickBot="1">
      <c r="A7" s="62" t="inlineStr">
        <is>
          <t>35.60.6C.00.34</t>
        </is>
      </c>
      <c r="B7" s="63" t="inlineStr">
        <is>
          <t>Pupae required for experiments under Task 4 of the Wild Posh project: Subcontracting for the purpose of production of pupae of several species of hoverflies that were used in the EU-funded research project titled Wild Posh (Pan-European assessment, monitoring and mitigation of chemical stressors on the health of wild pollinators).</t>
        </is>
      </c>
      <c r="C7" s="80" t="n">
        <v>2640</v>
      </c>
    </row>
    <row r="8" ht="15.75" customHeight="1" thickTop="1">
      <c r="A8" s="65" t="inlineStr">
        <is>
          <t>Total</t>
        </is>
      </c>
      <c r="B8" s="66" t="n"/>
      <c r="C8" s="81" t="n">
        <v>48445.01</v>
      </c>
    </row>
    <row r="12">
      <c r="B12" s="68" t="inlineStr">
        <is>
          <t>Total ingresos investigación 2023-25</t>
        </is>
      </c>
      <c r="C12" s="55">
        <f>'Ingresos investigación 2024'!C14+Tabla3[[#Totals],[Imp.cob.aplic.]]+C8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dccia@dccia.ua.es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2026-05-28T21:59:09Z</dcterms:modified>
  <cp:lastModifiedBy>mayte.pujalte</cp:lastModifiedBy>
</cp:coreProperties>
</file>