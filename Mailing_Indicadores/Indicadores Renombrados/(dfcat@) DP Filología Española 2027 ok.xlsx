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4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_-* #,##0.00_-;\-* #,##0.00_-;_-* &quot;-&quot;??_-;_-@_-"/>
    <numFmt numFmtId="167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4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4" fillId="0" borderId="0"/>
  </cellStyleXfs>
  <cellXfs count="108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164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5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13" fillId="6" borderId="1" applyAlignment="1" pivotButton="0" quotePrefix="0" xfId="0">
      <alignment horizontal="left" vertical="center"/>
    </xf>
    <xf numFmtId="0" fontId="13" fillId="6" borderId="4" applyAlignment="1" pivotButton="0" quotePrefix="0" xfId="0">
      <alignment horizontal="left" vertical="center"/>
    </xf>
    <xf numFmtId="0" fontId="13" fillId="6" borderId="5" applyAlignment="1" pivotButton="0" quotePrefix="0" xfId="0">
      <alignment horizontal="left" vertical="center"/>
    </xf>
    <xf numFmtId="0" fontId="13" fillId="6" borderId="6" applyAlignment="1" pivotButton="0" quotePrefix="0" xfId="0">
      <alignment horizontal="left" vertical="center"/>
    </xf>
    <xf numFmtId="2" fontId="2" fillId="4" borderId="1" pivotButton="0" quotePrefix="0" xfId="1"/>
    <xf numFmtId="166" fontId="0" fillId="8" borderId="7" pivotButton="0" quotePrefix="0" xfId="6"/>
    <xf numFmtId="166" fontId="0" fillId="0" borderId="7" pivotButton="0" quotePrefix="0" xfId="6"/>
    <xf numFmtId="0" fontId="2" fillId="0" borderId="1" pivotButton="0" quotePrefix="0" xfId="0"/>
    <xf numFmtId="0" fontId="17" fillId="8" borderId="7" pivotButton="0" quotePrefix="0" xfId="0"/>
    <xf numFmtId="0" fontId="17" fillId="0" borderId="7" pivotButton="0" quotePrefix="0" xfId="0"/>
    <xf numFmtId="166" fontId="0" fillId="0" borderId="0" pivotButton="0" quotePrefix="0" xfId="0"/>
    <xf numFmtId="0" fontId="9" fillId="9" borderId="0" pivotButton="0" quotePrefix="0" xfId="5"/>
    <xf numFmtId="0" fontId="9" fillId="9" borderId="0" applyAlignment="1" pivotButton="0" quotePrefix="0" xfId="5">
      <alignment horizontal="right"/>
    </xf>
    <xf numFmtId="0" fontId="10" fillId="9" borderId="0" pivotButton="0" quotePrefix="0" xfId="5"/>
    <xf numFmtId="0" fontId="9" fillId="0" borderId="1" pivotButton="0" quotePrefix="0" xfId="5"/>
    <xf numFmtId="0" fontId="9" fillId="0" borderId="1" applyAlignment="1" pivotButton="0" quotePrefix="0" xfId="5">
      <alignment horizontal="right"/>
    </xf>
    <xf numFmtId="165" fontId="3" fillId="2" borderId="0" pivotButton="0" quotePrefix="0" xfId="1"/>
    <xf numFmtId="0" fontId="15" fillId="7" borderId="8" pivotButton="0" quotePrefix="0" xfId="0"/>
    <xf numFmtId="0" fontId="0" fillId="0" borderId="9" pivotButton="0" quotePrefix="0" xfId="0"/>
    <xf numFmtId="166" fontId="0" fillId="0" borderId="9" pivotButton="0" quotePrefix="0" xfId="0"/>
    <xf numFmtId="0" fontId="16" fillId="7" borderId="8" pivotButton="0" quotePrefix="0" xfId="0"/>
    <xf numFmtId="0" fontId="17" fillId="8" borderId="9" pivotButton="0" quotePrefix="0" xfId="0"/>
    <xf numFmtId="166" fontId="0" fillId="8" borderId="9" pivotButton="0" quotePrefix="0" xfId="6"/>
    <xf numFmtId="0" fontId="0" fillId="8" borderId="7" pivotButton="0" quotePrefix="0" xfId="0"/>
    <xf numFmtId="0" fontId="0" fillId="0" borderId="7" pivotButton="0" quotePrefix="0" xfId="0"/>
    <xf numFmtId="0" fontId="11" fillId="7" borderId="8" pivotButton="0" quotePrefix="0" xfId="0"/>
    <xf numFmtId="166" fontId="11" fillId="7" borderId="8" pivotButton="0" quotePrefix="0" xfId="6"/>
    <xf numFmtId="0" fontId="0" fillId="8" borderId="9" pivotButton="0" quotePrefix="0" xfId="0"/>
    <xf numFmtId="0" fontId="0" fillId="10" borderId="9" pivotButton="0" quotePrefix="0" xfId="0"/>
    <xf numFmtId="166" fontId="14" fillId="10" borderId="9" pivotButton="0" quotePrefix="0" xfId="0"/>
    <xf numFmtId="0" fontId="0" fillId="11" borderId="0" pivotButton="0" quotePrefix="0" xfId="0"/>
    <xf numFmtId="167" fontId="0" fillId="8" borderId="7" pivotButton="0" quotePrefix="0" xfId="6"/>
    <xf numFmtId="167" fontId="0" fillId="0" borderId="7" pivotButton="0" quotePrefix="0" xfId="6"/>
    <xf numFmtId="167" fontId="0" fillId="8" borderId="9" pivotButton="0" quotePrefix="0" xfId="6"/>
    <xf numFmtId="0" fontId="9" fillId="10" borderId="9" pivotButton="0" quotePrefix="0" xfId="0"/>
    <xf numFmtId="167" fontId="14" fillId="10" borderId="9" pivotButton="0" quotePrefix="0" xfId="6"/>
    <xf numFmtId="0" fontId="12" fillId="0" borderId="1" pivotButton="0" quotePrefix="0" xfId="0"/>
    <xf numFmtId="167" fontId="12" fillId="0" borderId="1" pivotButton="0" quotePrefix="0" xfId="6"/>
    <xf numFmtId="0" fontId="18" fillId="12" borderId="10" pivotButton="0" quotePrefix="0" xfId="0"/>
    <xf numFmtId="0" fontId="18" fillId="12" borderId="11" pivotButton="0" quotePrefix="0" xfId="0"/>
    <xf numFmtId="0" fontId="19" fillId="13" borderId="10" pivotButton="0" quotePrefix="0" xfId="0"/>
    <xf numFmtId="0" fontId="19" fillId="13" borderId="11" pivotButton="0" quotePrefix="0" xfId="0"/>
    <xf numFmtId="167" fontId="19" fillId="13" borderId="11" pivotButton="0" quotePrefix="0" xfId="6"/>
    <xf numFmtId="0" fontId="19" fillId="0" borderId="10" pivotButton="0" quotePrefix="0" xfId="0"/>
    <xf numFmtId="0" fontId="19" fillId="0" borderId="11" pivotButton="0" quotePrefix="0" xfId="0"/>
    <xf numFmtId="167" fontId="19" fillId="0" borderId="11" pivotButton="0" quotePrefix="0" xfId="6"/>
    <xf numFmtId="0" fontId="20" fillId="0" borderId="12" pivotButton="0" quotePrefix="0" xfId="0"/>
    <xf numFmtId="0" fontId="20" fillId="0" borderId="13" pivotButton="0" quotePrefix="0" xfId="0"/>
    <xf numFmtId="167" fontId="20" fillId="0" borderId="13" pivotButton="0" quotePrefix="0" xfId="6"/>
    <xf numFmtId="0" fontId="15" fillId="12" borderId="10" pivotButton="0" quotePrefix="0" xfId="0"/>
    <xf numFmtId="0" fontId="15" fillId="12" borderId="11" pivotButton="0" quotePrefix="0" xfId="0"/>
    <xf numFmtId="167" fontId="15" fillId="12" borderId="11" pivotButton="0" quotePrefix="0" xfId="6"/>
    <xf numFmtId="0" fontId="9" fillId="13" borderId="10" pivotButton="0" quotePrefix="0" xfId="0"/>
    <xf numFmtId="0" fontId="9" fillId="13" borderId="11" pivotButton="0" quotePrefix="0" xfId="0"/>
    <xf numFmtId="167" fontId="9" fillId="13" borderId="11" pivotButton="0" quotePrefix="0" xfId="6"/>
    <xf numFmtId="0" fontId="9" fillId="0" borderId="10" pivotButton="0" quotePrefix="0" xfId="0"/>
    <xf numFmtId="0" fontId="9" fillId="0" borderId="11" pivotButton="0" quotePrefix="0" xfId="0"/>
    <xf numFmtId="167" fontId="9" fillId="0" borderId="11" pivotButton="0" quotePrefix="0" xfId="6"/>
    <xf numFmtId="0" fontId="10" fillId="0" borderId="12" pivotButton="0" quotePrefix="0" xfId="0"/>
    <xf numFmtId="0" fontId="10" fillId="0" borderId="13" pivotButton="0" quotePrefix="0" xfId="0"/>
    <xf numFmtId="167" fontId="10" fillId="0" borderId="13" pivotButton="0" quotePrefix="0" xfId="0"/>
    <xf numFmtId="164" fontId="2" fillId="4" borderId="2" pivotButton="0" quotePrefix="0" xfId="1"/>
    <xf numFmtId="166" fontId="0" fillId="8" borderId="7" pivotButton="0" quotePrefix="0" xfId="6"/>
    <xf numFmtId="166" fontId="0" fillId="0" borderId="7" pivotButton="0" quotePrefix="0" xfId="6"/>
    <xf numFmtId="166" fontId="0" fillId="8" borderId="9" pivotButton="0" quotePrefix="0" xfId="6"/>
    <xf numFmtId="166" fontId="0" fillId="0" borderId="9" pivotButton="0" quotePrefix="0" xfId="0"/>
    <xf numFmtId="166" fontId="0" fillId="0" borderId="0" pivotButton="0" quotePrefix="0" xfId="0"/>
    <xf numFmtId="166" fontId="11" fillId="7" borderId="8" pivotButton="0" quotePrefix="0" xfId="6"/>
    <xf numFmtId="166" fontId="14" fillId="10" borderId="9" pivotButton="0" quotePrefix="0" xfId="0"/>
    <xf numFmtId="167" fontId="19" fillId="13" borderId="11" pivotButton="0" quotePrefix="0" xfId="6"/>
    <xf numFmtId="167" fontId="19" fillId="0" borderId="11" pivotButton="0" quotePrefix="0" xfId="6"/>
    <xf numFmtId="167" fontId="20" fillId="0" borderId="13" pivotButton="0" quotePrefix="0" xfId="6"/>
    <xf numFmtId="167" fontId="12" fillId="0" borderId="1" pivotButton="0" quotePrefix="0" xfId="6"/>
    <xf numFmtId="167" fontId="0" fillId="8" borderId="7" pivotButton="0" quotePrefix="0" xfId="6"/>
    <xf numFmtId="167" fontId="0" fillId="0" borderId="7" pivotButton="0" quotePrefix="0" xfId="6"/>
    <xf numFmtId="167" fontId="0" fillId="8" borderId="9" pivotButton="0" quotePrefix="0" xfId="6"/>
    <xf numFmtId="167" fontId="14" fillId="10" borderId="9" pivotButton="0" quotePrefix="0" xfId="6"/>
    <xf numFmtId="167" fontId="15" fillId="12" borderId="11" pivotButton="0" quotePrefix="0" xfId="6"/>
    <xf numFmtId="167" fontId="9" fillId="13" borderId="11" pivotButton="0" quotePrefix="0" xfId="6"/>
    <xf numFmtId="167" fontId="9" fillId="0" borderId="11" pivotButton="0" quotePrefix="0" xfId="6"/>
    <xf numFmtId="167" fontId="10" fillId="0" borderId="13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6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5" headerRowCount="1" totalsRowCount="1" headerRowDxfId="35" headerRowBorderDxfId="34" tableBorderDxfId="33" totalsRowBorderDxfId="32">
  <autoFilter ref="A1:C4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51" headerRowCount="1" totalsRowCount="1" totalsRowDxfId="29" headerRowBorderDxfId="31" tableBorderDxfId="30" totalsRowBorderDxfId="28">
  <autoFilter ref="A1:C50"/>
  <tableColumns count="3">
    <tableColumn id="1" name="Org. aplic." totalsRowLabel="Total" dataDxfId="27" totalsRowDxfId="26"/>
    <tableColumn id="2" name="Descripción justificante" dataDxfId="25" totalsRowDxfId="24"/>
    <tableColumn id="3" name="Imp. aplic." totalsRowFunction="sum" dataDxfId="23" totalsRowDxfId="22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7" headerRowCount="1" totalsRowCount="1" headerRowDxfId="21" totalsRowDxfId="18" headerRowBorderDxfId="20" tableBorderDxfId="19" totalsRowBorderDxfId="17">
  <autoFilter ref="A1:C6"/>
  <tableColumns count="3">
    <tableColumn id="1" name="Cód. org. aplic." totalsRowLabel="Total" dataDxfId="16" totalsRowDxfId="15"/>
    <tableColumn id="2" name="Descripción justificante" dataDxfId="14" totalsRowDxfId="13"/>
    <tableColumn id="3" name="Imp.cob.aplic." totalsRowFunction="sum" dataDxfId="12" totalsRowDxfId="11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9" headerRowCount="1" totalsRowCount="1" headerRowDxfId="10" totalsRowDxfId="7" headerRowBorderDxfId="9" tableBorderDxfId="8" totalsRowBorderDxfId="6">
  <autoFilter ref="A1:C8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4"/>
  <sheetViews>
    <sheetView showGridLines="0" zoomScale="115" zoomScaleNormal="11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V33" sqref="V33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9" min="15" max="15"/>
    <col width="4.88671875" customWidth="1" style="6" min="16" max="16"/>
    <col width="3.5546875" customWidth="1" style="9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0" t="inlineStr">
        <is>
          <t xml:space="preserve">U023 </t>
        </is>
      </c>
      <c r="B2" s="20" t="inlineStr">
        <is>
          <t xml:space="preserve">ADM. FACULTAD DE FILOSOFIA Y LETRAS </t>
        </is>
      </c>
      <c r="C2" s="20" t="inlineStr">
        <is>
          <t xml:space="preserve">DOCTORADO EN FILOSOFÍA Y LETRAS </t>
        </is>
      </c>
      <c r="D2" s="20" t="inlineStr">
        <is>
          <t xml:space="preserve">Linares Bernabeu, Esther </t>
        </is>
      </c>
      <c r="E2" s="20" t="inlineStr">
        <is>
          <t xml:space="preserve">La construcción discursiva de la identidad de género femenina en el monólogo humorístico subversivo </t>
        </is>
      </c>
      <c r="F2" s="20" t="inlineStr">
        <is>
          <t xml:space="preserve">05/02/2020 </t>
        </is>
      </c>
      <c r="G2" s="20" t="inlineStr">
        <is>
          <t xml:space="preserve">52747327R </t>
        </is>
      </c>
      <c r="H2" s="20" t="inlineStr">
        <is>
          <t xml:space="preserve">Director de tesis </t>
        </is>
      </c>
      <c r="I2" s="20" t="inlineStr">
        <is>
          <t xml:space="preserve">B115 </t>
        </is>
      </c>
      <c r="J2" s="20" t="inlineStr">
        <is>
          <t xml:space="preserve">FILOL. ESPAÑOLA, LINGÜÍSTICA GENERAL Y TEORIA DE LA LITERATURA </t>
        </is>
      </c>
      <c r="K2" s="88" t="n">
        <v>1</v>
      </c>
      <c r="L2" s="20" t="inlineStr">
        <is>
          <t>B115</t>
        </is>
      </c>
      <c r="M2" s="20" t="n">
        <v>2019</v>
      </c>
      <c r="N2" s="20" t="inlineStr">
        <is>
          <t>10.15</t>
        </is>
      </c>
      <c r="O2" s="22" t="inlineStr">
        <is>
          <t>10</t>
        </is>
      </c>
      <c r="P2" s="20" t="inlineStr">
        <is>
          <t>10.23</t>
        </is>
      </c>
      <c r="Q2" s="22" t="inlineStr">
        <is>
          <t>20</t>
        </is>
      </c>
      <c r="R2" s="23" t="n">
        <v>70</v>
      </c>
      <c r="S2" s="24" t="n">
        <v>0.7</v>
      </c>
      <c r="T2" s="24" t="n">
        <v>0.1</v>
      </c>
      <c r="U2" s="24" t="n">
        <v>0.2</v>
      </c>
    </row>
    <row r="3">
      <c r="A3" s="20" t="inlineStr">
        <is>
          <t xml:space="preserve">U023 </t>
        </is>
      </c>
      <c r="B3" s="20" t="inlineStr">
        <is>
          <t xml:space="preserve">ADM. FACULTAD DE FILOSOFIA Y LETRAS </t>
        </is>
      </c>
      <c r="C3" s="20" t="inlineStr">
        <is>
          <t xml:space="preserve">DOCTORADO EN FILOSOFÍA Y LETRAS </t>
        </is>
      </c>
      <c r="D3" s="20" t="inlineStr">
        <is>
          <t xml:space="preserve">Riesgo Martínez, Ferran </t>
        </is>
      </c>
      <c r="E3" s="20" t="inlineStr">
        <is>
          <t xml:space="preserve">Música y narrativa en el Río de la Plata: Felisberto Hernández, Daniel Moyano y el surco del tango en las letras argentinas </t>
        </is>
      </c>
      <c r="F3" s="20" t="inlineStr">
        <is>
          <t xml:space="preserve">27/11/2019 </t>
        </is>
      </c>
      <c r="G3" s="20" t="inlineStr">
        <is>
          <t xml:space="preserve">74084767L </t>
        </is>
      </c>
      <c r="H3" s="20" t="inlineStr">
        <is>
          <t xml:space="preserve">Director de tesis </t>
        </is>
      </c>
      <c r="I3" s="20" t="inlineStr">
        <is>
          <t xml:space="preserve">B115 </t>
        </is>
      </c>
      <c r="J3" s="20" t="inlineStr">
        <is>
          <t xml:space="preserve">FILOL. ESPAÑOLA, LINGÜÍSTICA GENERAL Y TEORIA DE LA LITERATURA </t>
        </is>
      </c>
      <c r="K3" s="88" t="n">
        <v>1</v>
      </c>
      <c r="L3" s="20" t="inlineStr">
        <is>
          <t>B115</t>
        </is>
      </c>
      <c r="M3" s="20" t="n">
        <v>2019</v>
      </c>
      <c r="N3" s="20" t="inlineStr">
        <is>
          <t>10.23</t>
        </is>
      </c>
      <c r="O3" s="22" t="inlineStr">
        <is>
          <t>50</t>
        </is>
      </c>
      <c r="P3" s="20" t="inlineStr"/>
      <c r="Q3" s="22" t="inlineStr"/>
      <c r="R3" s="23" t="n">
        <v>50</v>
      </c>
      <c r="S3" s="24" t="n">
        <v>0.5</v>
      </c>
      <c r="T3" s="24" t="n">
        <v>0.5</v>
      </c>
      <c r="U3" s="24" t="n">
        <v>0</v>
      </c>
    </row>
    <row r="4">
      <c r="A4" s="20" t="inlineStr">
        <is>
          <t xml:space="preserve">U023 </t>
        </is>
      </c>
      <c r="B4" s="20" t="inlineStr">
        <is>
          <t xml:space="preserve">ADM. FACULTAD DE FILOSOFIA Y LETRAS </t>
        </is>
      </c>
      <c r="C4" s="20" t="inlineStr">
        <is>
          <t xml:space="preserve">DOCTORADO EN FILOSOFÍA Y LETRAS </t>
        </is>
      </c>
      <c r="D4" s="20" t="inlineStr">
        <is>
          <t xml:space="preserve">Aliaga Aguza, Laura María </t>
        </is>
      </c>
      <c r="E4" s="20" t="inlineStr">
        <is>
          <t xml:space="preserve">ANÁLISIS LINGÜÍSTICO DEL HUMOR EN EL MEDIO AUDIOVISUAL: LAS ESTRATEGIAS HUMORÍSTICAS DE LA COMEDIA DE SITUACIÓN </t>
        </is>
      </c>
      <c r="F4" s="20" t="inlineStr">
        <is>
          <t xml:space="preserve">29/01/2020 </t>
        </is>
      </c>
      <c r="G4" s="20" t="inlineStr">
        <is>
          <t xml:space="preserve">52747327R </t>
        </is>
      </c>
      <c r="H4" s="20" t="inlineStr">
        <is>
          <t xml:space="preserve">Codirector de tesis </t>
        </is>
      </c>
      <c r="I4" s="20" t="inlineStr">
        <is>
          <t xml:space="preserve">B115 </t>
        </is>
      </c>
      <c r="J4" s="20" t="inlineStr">
        <is>
          <t xml:space="preserve">FILOL. ESPAÑOLA, LINGÜÍSTICA GENERAL Y TEORIA DE LA LITERATURA </t>
        </is>
      </c>
      <c r="K4" s="88" t="n">
        <v>0.5</v>
      </c>
      <c r="L4" s="20" t="inlineStr">
        <is>
          <t>B115</t>
        </is>
      </c>
      <c r="M4" s="20" t="n">
        <v>2019</v>
      </c>
      <c r="N4" s="20" t="inlineStr">
        <is>
          <t>10.15</t>
        </is>
      </c>
      <c r="O4" s="22" t="inlineStr">
        <is>
          <t>10</t>
        </is>
      </c>
      <c r="P4" s="20" t="inlineStr">
        <is>
          <t>10.23</t>
        </is>
      </c>
      <c r="Q4" s="22" t="inlineStr">
        <is>
          <t>20</t>
        </is>
      </c>
      <c r="R4" s="23" t="n">
        <v>70</v>
      </c>
      <c r="S4" s="24" t="n">
        <v>0.35</v>
      </c>
      <c r="T4" s="24" t="n">
        <v>0.05</v>
      </c>
      <c r="U4" s="24" t="n">
        <v>0.1</v>
      </c>
    </row>
    <row r="5">
      <c r="A5" s="20" t="inlineStr">
        <is>
          <t xml:space="preserve">U023 </t>
        </is>
      </c>
      <c r="B5" s="20" t="inlineStr">
        <is>
          <t xml:space="preserve">ADM. FACULTAD DE FILOSOFIA Y LETRAS </t>
        </is>
      </c>
      <c r="C5" s="20" t="inlineStr">
        <is>
          <t xml:space="preserve">DOCTORADO EN FILOSOFÍA Y LETRAS </t>
        </is>
      </c>
      <c r="D5" s="20" t="inlineStr">
        <is>
          <t xml:space="preserve">Aliaga Aguza, Laura María </t>
        </is>
      </c>
      <c r="E5" s="20" t="inlineStr">
        <is>
          <t xml:space="preserve">ANÁLISIS LINGÜÍSTICO DEL HUMOR EN EL MEDIO AUDIOVISUAL: LAS ESTRATEGIAS HUMORÍSTICAS DE LA COMEDIA DE SITUACIÓN </t>
        </is>
      </c>
      <c r="F5" s="20" t="inlineStr">
        <is>
          <t xml:space="preserve">29/01/2020 </t>
        </is>
      </c>
      <c r="G5" s="20" t="inlineStr">
        <is>
          <t xml:space="preserve">44752168X </t>
        </is>
      </c>
      <c r="H5" s="20" t="inlineStr">
        <is>
          <t xml:space="preserve">Codirector de tesis </t>
        </is>
      </c>
      <c r="I5" s="20" t="inlineStr">
        <is>
          <t xml:space="preserve">B115 </t>
        </is>
      </c>
      <c r="J5" s="20" t="inlineStr">
        <is>
          <t xml:space="preserve">FILOL. ESPAÑOLA, LINGÜÍSTICA GENERAL Y TEORIA DE LA LITERATURA </t>
        </is>
      </c>
      <c r="K5" s="88" t="n">
        <v>0.5</v>
      </c>
      <c r="L5" s="20" t="inlineStr">
        <is>
          <t>B115</t>
        </is>
      </c>
      <c r="M5" s="20" t="n">
        <v>2019</v>
      </c>
      <c r="N5" s="20" t="inlineStr">
        <is>
          <t>10.25</t>
        </is>
      </c>
      <c r="O5" s="22" t="inlineStr">
        <is>
          <t>10</t>
        </is>
      </c>
      <c r="P5" s="20" t="inlineStr">
        <is>
          <t>10.23</t>
        </is>
      </c>
      <c r="Q5" s="22" t="inlineStr">
        <is>
          <t>20</t>
        </is>
      </c>
      <c r="R5" s="23" t="n">
        <v>70</v>
      </c>
      <c r="S5" s="24" t="n">
        <v>0.35</v>
      </c>
      <c r="T5" s="24" t="n">
        <v>0.05</v>
      </c>
      <c r="U5" s="24" t="n">
        <v>0.1</v>
      </c>
    </row>
    <row r="6">
      <c r="A6" s="18" t="inlineStr">
        <is>
          <t xml:space="preserve">U023 </t>
        </is>
      </c>
      <c r="B6" s="18" t="inlineStr">
        <is>
          <t xml:space="preserve">ADM. FACULTAD DE FILOSOFIA Y LETRAS </t>
        </is>
      </c>
      <c r="C6" s="18" t="inlineStr">
        <is>
          <t xml:space="preserve">DOCTORADO EN FILOSOFÍA Y LETRAS </t>
        </is>
      </c>
      <c r="D6" s="18" t="inlineStr">
        <is>
          <t xml:space="preserve">Rodes Biosca, Juan Ignacio </t>
        </is>
      </c>
      <c r="E6" s="18" t="inlineStr">
        <is>
          <t xml:space="preserve">TEORÍA Y PRAXIS DE UN PARADIGMA DE LA INTERPRETACIÓN MUSICAL: LA TÉCNICA GUITARRÍSTICA (1500-1900) </t>
        </is>
      </c>
      <c r="F6" s="18" t="inlineStr">
        <is>
          <t xml:space="preserve">23/12/2020 </t>
        </is>
      </c>
      <c r="G6" s="18" t="inlineStr">
        <is>
          <t xml:space="preserve">22440772V </t>
        </is>
      </c>
      <c r="H6" s="18" t="inlineStr">
        <is>
          <t xml:space="preserve">Codirector de tesis </t>
        </is>
      </c>
      <c r="I6" s="18" t="inlineStr">
        <is>
          <t xml:space="preserve">B115 </t>
        </is>
      </c>
      <c r="J6" s="18" t="inlineStr">
        <is>
          <t xml:space="preserve">FILOL. ESPAÑOLA, LINGÜÍSTICA GENERAL Y TEORIA DE LA LITERATURA </t>
        </is>
      </c>
      <c r="K6" s="25" t="n">
        <v>0.5</v>
      </c>
      <c r="L6" s="25" t="inlineStr">
        <is>
          <t>B115</t>
        </is>
      </c>
      <c r="M6" s="26" t="n">
        <v>2019</v>
      </c>
      <c r="N6" s="18" t="inlineStr"/>
      <c r="O6" s="19" t="inlineStr"/>
      <c r="P6" s="18" t="inlineStr"/>
      <c r="Q6" s="19" t="inlineStr"/>
      <c r="R6" s="18" t="n">
        <v>100</v>
      </c>
      <c r="S6" s="18" t="n">
        <v>0.5</v>
      </c>
      <c r="T6" s="18" t="n">
        <v>0</v>
      </c>
      <c r="U6" s="18" t="n">
        <v>0</v>
      </c>
    </row>
    <row r="7">
      <c r="A7" s="18" t="inlineStr">
        <is>
          <t xml:space="preserve">U023 </t>
        </is>
      </c>
      <c r="B7" s="18" t="inlineStr">
        <is>
          <t xml:space="preserve">ADM. FACULTAD DE FILOSOFIA Y LETRAS </t>
        </is>
      </c>
      <c r="C7" s="18" t="inlineStr">
        <is>
          <t xml:space="preserve">DOCTORADO EN FILOSOFÍA Y LETRAS </t>
        </is>
      </c>
      <c r="D7" s="18" t="inlineStr">
        <is>
          <t xml:space="preserve">Mares Aliaga, Francisco </t>
        </is>
      </c>
      <c r="E7" s="18" t="inlineStr">
        <is>
          <t xml:space="preserve">LA TEORÍA DE LO GROTESCO </t>
        </is>
      </c>
      <c r="F7" s="18" t="inlineStr">
        <is>
          <t xml:space="preserve">04/12/2020 </t>
        </is>
      </c>
      <c r="G7" s="18" t="inlineStr">
        <is>
          <t xml:space="preserve">22440772V </t>
        </is>
      </c>
      <c r="H7" s="18" t="inlineStr">
        <is>
          <t xml:space="preserve">Director de tesis </t>
        </is>
      </c>
      <c r="I7" s="18" t="inlineStr">
        <is>
          <t xml:space="preserve">B115 </t>
        </is>
      </c>
      <c r="J7" s="18" t="inlineStr">
        <is>
          <t xml:space="preserve">FILOL. ESPAÑOLA, LINGÜÍSTICA GENERAL Y TEORIA DE LA LITERATURA </t>
        </is>
      </c>
      <c r="K7" s="25" t="n">
        <v>1</v>
      </c>
      <c r="L7" s="25" t="inlineStr">
        <is>
          <t>B115</t>
        </is>
      </c>
      <c r="M7" s="26" t="n">
        <v>2019</v>
      </c>
      <c r="N7" s="18" t="inlineStr"/>
      <c r="O7" s="19" t="inlineStr"/>
      <c r="P7" s="18" t="inlineStr"/>
      <c r="Q7" s="19" t="inlineStr"/>
      <c r="R7" s="18" t="n">
        <v>100</v>
      </c>
      <c r="S7" s="18" t="n">
        <v>1</v>
      </c>
      <c r="T7" s="18" t="n">
        <v>0</v>
      </c>
      <c r="U7" s="18" t="n">
        <v>0</v>
      </c>
    </row>
    <row r="8">
      <c r="A8" s="18" t="inlineStr">
        <is>
          <t xml:space="preserve">U023 </t>
        </is>
      </c>
      <c r="B8" s="18" t="inlineStr">
        <is>
          <t xml:space="preserve">ADM. FACULTAD DE FILOSOFIA Y LETRAS </t>
        </is>
      </c>
      <c r="C8" s="18" t="inlineStr">
        <is>
          <t xml:space="preserve">DOCTORADO EN FILOSOFÍA Y LETRAS </t>
        </is>
      </c>
      <c r="D8" s="18" t="inlineStr">
        <is>
          <t xml:space="preserve">Santacruz Antón, Alberto </t>
        </is>
      </c>
      <c r="E8" s="18" t="inlineStr">
        <is>
          <t xml:space="preserve">Las exploraciones por el Pacífico novohispano (1522-1543). Elaboración y estudio de un corpus textual </t>
        </is>
      </c>
      <c r="F8" s="18" t="inlineStr">
        <is>
          <t xml:space="preserve">17/11/2020 </t>
        </is>
      </c>
      <c r="G8" s="18" t="inlineStr">
        <is>
          <t xml:space="preserve">21485505D </t>
        </is>
      </c>
      <c r="H8" s="18" t="inlineStr">
        <is>
          <t xml:space="preserve">Director de tesis </t>
        </is>
      </c>
      <c r="I8" s="18" t="inlineStr">
        <is>
          <t xml:space="preserve">B115 </t>
        </is>
      </c>
      <c r="J8" s="18" t="inlineStr">
        <is>
          <t xml:space="preserve">FILOL. ESPAÑOLA, LINGÜÍSTICA GENERAL Y TEORIA DE LA LITERATURA </t>
        </is>
      </c>
      <c r="K8" s="25" t="n">
        <v>1</v>
      </c>
      <c r="L8" s="25" t="inlineStr">
        <is>
          <t>B115</t>
        </is>
      </c>
      <c r="M8" s="26" t="n">
        <v>2019</v>
      </c>
      <c r="N8" s="18" t="inlineStr"/>
      <c r="O8" s="19" t="inlineStr"/>
      <c r="P8" s="18" t="inlineStr"/>
      <c r="Q8" s="19" t="inlineStr"/>
      <c r="R8" s="18" t="n">
        <v>100</v>
      </c>
      <c r="S8" s="18" t="n">
        <v>1</v>
      </c>
      <c r="T8" s="18" t="n">
        <v>0</v>
      </c>
      <c r="U8" s="18" t="n">
        <v>0</v>
      </c>
    </row>
    <row r="9" ht="10.8" customHeight="1" thickBot="1">
      <c r="A9" s="18" t="inlineStr">
        <is>
          <t xml:space="preserve">U023 </t>
        </is>
      </c>
      <c r="B9" s="18" t="inlineStr">
        <is>
          <t xml:space="preserve">ADM. FACULTAD DE FILOSOFIA Y LETRAS </t>
        </is>
      </c>
      <c r="C9" s="18" t="inlineStr">
        <is>
          <t xml:space="preserve">DOCTORADO EN FILOSOFÍA Y LETRAS </t>
        </is>
      </c>
      <c r="D9" s="18" t="inlineStr">
        <is>
          <t xml:space="preserve">Munizza , Elisa Teresa </t>
        </is>
      </c>
      <c r="E9" s="18" t="inlineStr">
        <is>
          <t xml:space="preserve">RAÚL ZURITA Y EL MUNDO ITALIANO. LA CREACIÓN DE UNA POÉTICA A TRAVÉS DE DANTE, MIGUEL ÁNGEL Y LOS CREADORES DE LA MODERNIDAD </t>
        </is>
      </c>
      <c r="F9" s="18" t="inlineStr">
        <is>
          <t xml:space="preserve">05/11/2020 </t>
        </is>
      </c>
      <c r="G9" s="18" t="inlineStr">
        <is>
          <t xml:space="preserve">21354984J </t>
        </is>
      </c>
      <c r="H9" s="18" t="inlineStr">
        <is>
          <t xml:space="preserve">Codirector de tesis </t>
        </is>
      </c>
      <c r="I9" s="18" t="inlineStr">
        <is>
          <t xml:space="preserve">B115 </t>
        </is>
      </c>
      <c r="J9" s="18" t="inlineStr">
        <is>
          <t xml:space="preserve">FILOL. ESPAÑOLA, LINGÜÍSTICA GENERAL Y TEORIA DE LA LITERATURA </t>
        </is>
      </c>
      <c r="K9" s="25" t="n">
        <v>0.5</v>
      </c>
      <c r="L9" s="25" t="inlineStr">
        <is>
          <t>B115</t>
        </is>
      </c>
      <c r="M9" s="26" t="n">
        <v>2019</v>
      </c>
      <c r="N9" s="18" t="inlineStr"/>
      <c r="O9" s="19" t="inlineStr"/>
      <c r="P9" s="18" t="inlineStr"/>
      <c r="Q9" s="19" t="inlineStr"/>
      <c r="R9" s="18" t="n">
        <v>100</v>
      </c>
      <c r="S9" s="18" t="n">
        <v>0.5</v>
      </c>
      <c r="T9" s="18" t="n">
        <v>0</v>
      </c>
      <c r="U9" s="18" t="n">
        <v>0</v>
      </c>
    </row>
    <row r="10" ht="10.8" customHeight="1" thickBot="1">
      <c r="A10" s="27" t="inlineStr">
        <is>
          <t xml:space="preserve">U023 </t>
        </is>
      </c>
      <c r="B10" s="27" t="inlineStr">
        <is>
          <t xml:space="preserve">ADM. FACULTAD DE FILOSOFIA Y LETRAS </t>
        </is>
      </c>
      <c r="C10" s="27" t="inlineStr">
        <is>
          <t xml:space="preserve">DOCTORADO EN FILOSOFÍA Y LETRAS </t>
        </is>
      </c>
      <c r="D10" s="27" t="inlineStr">
        <is>
          <t xml:space="preserve">Mussó Mujica, Luis Carlos </t>
        </is>
      </c>
      <c r="E10" s="27" t="inlineStr">
        <is>
          <t xml:space="preserve">LA POESÍA ECUATORIANA ENTRE FINALES DEL SIGLO XX Y EL SIGLO XXI </t>
        </is>
      </c>
      <c r="F10" s="27" t="inlineStr">
        <is>
          <t xml:space="preserve">14/06/2021 </t>
        </is>
      </c>
      <c r="G10" s="28" t="inlineStr">
        <is>
          <t xml:space="preserve">74084767L </t>
        </is>
      </c>
      <c r="H10" s="29" t="inlineStr">
        <is>
          <t xml:space="preserve">Director de tesis </t>
        </is>
      </c>
      <c r="I10" s="29" t="inlineStr">
        <is>
          <t xml:space="preserve">B115 </t>
        </is>
      </c>
      <c r="J10" s="30" t="inlineStr">
        <is>
          <t xml:space="preserve">FILOL. ESPAÑOLA, LINGÜÍSTICA GENERAL Y TEORIA DE LA LITERATURA </t>
        </is>
      </c>
      <c r="K10" s="25" t="n">
        <v>1</v>
      </c>
      <c r="L10" s="25" t="inlineStr">
        <is>
          <t>B115</t>
        </is>
      </c>
      <c r="M10" s="18" t="n">
        <v>2020</v>
      </c>
      <c r="N10" s="18" t="inlineStr">
        <is>
          <t>10.23</t>
        </is>
      </c>
      <c r="O10" s="19" t="n">
        <v>50</v>
      </c>
      <c r="P10" s="18" t="inlineStr"/>
      <c r="Q10" s="19" t="n">
        <v>0</v>
      </c>
      <c r="R10" s="18" t="n">
        <v>50</v>
      </c>
      <c r="S10" s="18" t="n">
        <v>0.5</v>
      </c>
      <c r="T10" s="18" t="n">
        <v>0.5</v>
      </c>
      <c r="U10" s="18" t="n">
        <v>0</v>
      </c>
    </row>
    <row r="11" ht="10.8" customHeight="1" thickBot="1">
      <c r="A11" s="27" t="inlineStr">
        <is>
          <t xml:space="preserve">U023 </t>
        </is>
      </c>
      <c r="B11" s="27" t="inlineStr">
        <is>
          <t xml:space="preserve">ADM. FACULTAD DE FILOSOFIA Y LETRAS </t>
        </is>
      </c>
      <c r="C11" s="27" t="inlineStr">
        <is>
          <t xml:space="preserve">DOCTORADO EN FILOSOFÍA Y LETRAS </t>
        </is>
      </c>
      <c r="D11" s="27" t="inlineStr">
        <is>
          <t xml:space="preserve">Puma Torres, Paúl Fernando </t>
        </is>
      </c>
      <c r="E11" s="27" t="inlineStr">
        <is>
          <t xml:space="preserve">El juego de la imagen/acto poético liberador en Pluma y la tempestad, La casa de Rigoberta mira al sur y Foto de señoritas y esclusas, de Arístides Vargas" </t>
        </is>
      </c>
      <c r="F11" s="27" t="inlineStr">
        <is>
          <t xml:space="preserve">12/03/2021 </t>
        </is>
      </c>
      <c r="G11" s="28" t="inlineStr">
        <is>
          <t xml:space="preserve">21485505D </t>
        </is>
      </c>
      <c r="H11" s="29" t="inlineStr">
        <is>
          <t xml:space="preserve">Codirector de tesis </t>
        </is>
      </c>
      <c r="I11" s="29" t="inlineStr">
        <is>
          <t xml:space="preserve">B115 </t>
        </is>
      </c>
      <c r="J11" s="30" t="inlineStr">
        <is>
          <t xml:space="preserve">FILOL. ESPAÑOLA, LINGÜÍSTICA GENERAL Y TEORIA DE LA LITERATURA </t>
        </is>
      </c>
      <c r="K11" s="25" t="n">
        <v>0.5</v>
      </c>
      <c r="L11" s="25" t="inlineStr">
        <is>
          <t>B115</t>
        </is>
      </c>
      <c r="M11" s="18" t="n">
        <v>2020</v>
      </c>
      <c r="N11" s="18" t="inlineStr"/>
      <c r="O11" s="19" t="inlineStr"/>
      <c r="P11" s="18" t="inlineStr"/>
      <c r="Q11" s="19" t="inlineStr"/>
      <c r="R11" s="18" t="n">
        <v>100</v>
      </c>
      <c r="S11" s="18" t="n">
        <v>0.5</v>
      </c>
      <c r="T11" s="18" t="n">
        <v>0</v>
      </c>
      <c r="U11" s="18" t="n">
        <v>0</v>
      </c>
    </row>
    <row r="12" ht="10.8" customHeight="1" thickBot="1">
      <c r="A12" s="27" t="inlineStr">
        <is>
          <t xml:space="preserve">U023 </t>
        </is>
      </c>
      <c r="B12" s="27" t="inlineStr">
        <is>
          <t xml:space="preserve">ADM. FACULTAD DE FILOSOFIA Y LETRAS </t>
        </is>
      </c>
      <c r="C12" s="27" t="inlineStr">
        <is>
          <t xml:space="preserve">DOCTORADO EN FILOSOFÍA Y LETRAS </t>
        </is>
      </c>
      <c r="D12" s="27" t="inlineStr">
        <is>
          <t xml:space="preserve">Monzó Jiménez, Luis Antonio </t>
        </is>
      </c>
      <c r="E12" s="27" t="inlineStr">
        <is>
          <t xml:space="preserve">EDUCACIÓN LITERARIA EN LOS ESTUDIOS UNIVERSITARIOS DE ESPAÑOL POR PARTE DE ALUMNADO NO NATIVO </t>
        </is>
      </c>
      <c r="F12" s="27" t="inlineStr">
        <is>
          <t xml:space="preserve">22/02/2021 </t>
        </is>
      </c>
      <c r="G12" s="28" t="inlineStr">
        <is>
          <t xml:space="preserve">21473357M </t>
        </is>
      </c>
      <c r="H12" s="29" t="inlineStr">
        <is>
          <t xml:space="preserve">Codirector de tesis </t>
        </is>
      </c>
      <c r="I12" s="29" t="inlineStr">
        <is>
          <t xml:space="preserve">B115 </t>
        </is>
      </c>
      <c r="J12" s="30" t="inlineStr">
        <is>
          <t xml:space="preserve">FILOL. ESPAÑOLA, LINGÜÍSTICA GENERAL Y TEORIA DE LA LITERATURA </t>
        </is>
      </c>
      <c r="K12" s="25" t="n">
        <v>0.5</v>
      </c>
      <c r="L12" s="25" t="inlineStr">
        <is>
          <t>B115</t>
        </is>
      </c>
      <c r="M12" s="18" t="n">
        <v>2020</v>
      </c>
      <c r="N12" s="18" t="inlineStr">
        <is>
          <t>10.23</t>
        </is>
      </c>
      <c r="O12" s="19" t="n">
        <v>90</v>
      </c>
      <c r="P12" s="18" t="inlineStr"/>
      <c r="Q12" s="19" t="n">
        <v>0</v>
      </c>
      <c r="R12" s="18" t="n">
        <v>10</v>
      </c>
      <c r="S12" s="18" t="n">
        <v>0.05</v>
      </c>
      <c r="T12" s="18" t="n">
        <v>0.45</v>
      </c>
      <c r="U12" s="18" t="n">
        <v>0</v>
      </c>
    </row>
    <row r="13" ht="10.8" customHeight="1" thickBot="1">
      <c r="A13" s="27" t="inlineStr">
        <is>
          <t xml:space="preserve">U023 </t>
        </is>
      </c>
      <c r="B13" s="27" t="inlineStr">
        <is>
          <t xml:space="preserve">ADM. FACULTAD DE FILOSOFIA Y LETRAS </t>
        </is>
      </c>
      <c r="C13" s="27" t="inlineStr">
        <is>
          <t xml:space="preserve">DOCTORADO EN FILOSOFÍA Y LETRAS </t>
        </is>
      </c>
      <c r="D13" s="27" t="inlineStr">
        <is>
          <t xml:space="preserve">Monzó Jiménez, Luis Antonio </t>
        </is>
      </c>
      <c r="E13" s="27" t="inlineStr">
        <is>
          <t xml:space="preserve">EDUCACIÓN LITERARIA EN LOS ESTUDIOS UNIVERSITARIOS DE ESPAÑOL POR PARTE DE ALUMNADO NO NATIVO </t>
        </is>
      </c>
      <c r="F13" s="27" t="inlineStr">
        <is>
          <t xml:space="preserve">22/02/2021 </t>
        </is>
      </c>
      <c r="G13" s="28" t="inlineStr">
        <is>
          <t xml:space="preserve">29008698V </t>
        </is>
      </c>
      <c r="H13" s="29" t="inlineStr">
        <is>
          <t xml:space="preserve">Codirector de tesis </t>
        </is>
      </c>
      <c r="I13" s="29" t="inlineStr">
        <is>
          <t xml:space="preserve">B115 </t>
        </is>
      </c>
      <c r="J13" s="30" t="inlineStr">
        <is>
          <t xml:space="preserve">FILOL. ESPAÑOLA, LINGÜÍSTICA GENERAL Y TEORIA DE LA LITERATURA </t>
        </is>
      </c>
      <c r="K13" s="25" t="n">
        <v>0.5</v>
      </c>
      <c r="L13" s="25" t="inlineStr">
        <is>
          <t>B115</t>
        </is>
      </c>
      <c r="M13" s="18" t="n">
        <v>2020</v>
      </c>
      <c r="N13" s="18" t="inlineStr">
        <is>
          <t>10.15</t>
        </is>
      </c>
      <c r="O13" s="19" t="n">
        <v>10</v>
      </c>
      <c r="P13" s="18" t="inlineStr"/>
      <c r="Q13" s="19" t="n">
        <v>0</v>
      </c>
      <c r="R13" s="18" t="n">
        <v>90</v>
      </c>
      <c r="S13" s="18" t="n">
        <v>0.45</v>
      </c>
      <c r="T13" s="18" t="n">
        <v>0.05</v>
      </c>
      <c r="U13" s="18" t="n">
        <v>0</v>
      </c>
    </row>
    <row r="14" ht="10.8" customHeight="1" thickBot="1">
      <c r="A14" s="27" t="inlineStr">
        <is>
          <t xml:space="preserve">U023 </t>
        </is>
      </c>
      <c r="B14" s="27" t="inlineStr">
        <is>
          <t xml:space="preserve">ADM. FACULTAD DE FILOSOFIA Y LETRAS </t>
        </is>
      </c>
      <c r="C14" s="27" t="inlineStr">
        <is>
          <t xml:space="preserve">DOCTORADO EN FILOSOFÍA Y LETRAS </t>
        </is>
      </c>
      <c r="D14" s="27" t="inlineStr">
        <is>
          <t xml:space="preserve">Quevedo Atienza, María Ángeles </t>
        </is>
      </c>
      <c r="E14" s="27" t="inlineStr">
        <is>
          <t xml:space="preserve">NECESIDADES LINGÜÍSTICAS EN ESPAÑOL ACADÉMICO COMO L2 DE ESTUDIANTES INTERNACIONALES EN PROGRAMAS DE MOVILIDAD. ESTUDIO COMPARATIVO EN TRES UNIVERSIDADES PRIVADAS ESPAÑOLAS. </t>
        </is>
      </c>
      <c r="F14" s="27" t="inlineStr">
        <is>
          <t xml:space="preserve">23/07/2021 </t>
        </is>
      </c>
      <c r="G14" s="28" t="inlineStr">
        <is>
          <t xml:space="preserve">29008698V </t>
        </is>
      </c>
      <c r="H14" s="29" t="inlineStr">
        <is>
          <t xml:space="preserve">Codirector de tesis </t>
        </is>
      </c>
      <c r="I14" s="29" t="inlineStr">
        <is>
          <t xml:space="preserve">B115 </t>
        </is>
      </c>
      <c r="J14" s="30" t="inlineStr">
        <is>
          <t xml:space="preserve">FILOL. ESPAÑOLA, LINGÜÍSTICA GENERAL Y TEORIA DE LA LITERATURA </t>
        </is>
      </c>
      <c r="K14" s="25" t="n">
        <v>0.5</v>
      </c>
      <c r="L14" s="25" t="inlineStr">
        <is>
          <t>B115</t>
        </is>
      </c>
      <c r="M14" s="18" t="n">
        <v>2020</v>
      </c>
      <c r="N14" s="18" t="inlineStr">
        <is>
          <t>10.15</t>
        </is>
      </c>
      <c r="O14" s="19" t="n">
        <v>10</v>
      </c>
      <c r="P14" s="18" t="inlineStr"/>
      <c r="Q14" s="19" t="n">
        <v>0</v>
      </c>
      <c r="R14" s="18" t="n">
        <v>90</v>
      </c>
      <c r="S14" s="31" t="n">
        <v>0.45</v>
      </c>
      <c r="T14" s="18" t="n">
        <v>0.05</v>
      </c>
      <c r="U14" s="18" t="n">
        <v>0</v>
      </c>
    </row>
    <row r="15">
      <c r="A15" s="18" t="inlineStr">
        <is>
          <t xml:space="preserve">B166 </t>
        </is>
      </c>
      <c r="B15" s="18" t="inlineStr">
        <is>
          <t xml:space="preserve">INNOVACIÓN Y FORMACIÓN DIDÁCTICA </t>
        </is>
      </c>
      <c r="C15" s="18" t="inlineStr">
        <is>
          <t xml:space="preserve">DOCTORADO EN INVESTIGACIÓN EDUCATIVA </t>
        </is>
      </c>
      <c r="D15" s="18" t="inlineStr">
        <is>
          <t xml:space="preserve">Contreras de la Llave, Natalia </t>
        </is>
      </c>
      <c r="E15" s="18" t="inlineStr">
        <is>
          <t xml:space="preserve">Cine y prespetiva de género como herramientas de transformación social en la didáctica del Español como Lengua Extranjera </t>
        </is>
      </c>
      <c r="F15" s="18" t="inlineStr">
        <is>
          <t xml:space="preserve">18/02/2022 </t>
        </is>
      </c>
      <c r="G15" s="18" t="inlineStr">
        <is>
          <t xml:space="preserve">29008698V </t>
        </is>
      </c>
      <c r="H15" s="18" t="inlineStr">
        <is>
          <t xml:space="preserve">Codirector de tesis </t>
        </is>
      </c>
      <c r="I15" s="18" t="inlineStr">
        <is>
          <t xml:space="preserve">B115 </t>
        </is>
      </c>
      <c r="J15" s="18" t="inlineStr">
        <is>
          <t xml:space="preserve">FILOL. ESPAÑOLA, LINGÜÍSTICA GENERAL Y TEORIA DE LA LITERATURA </t>
        </is>
      </c>
      <c r="K15" s="25" t="n">
        <v>0.5</v>
      </c>
      <c r="L15" s="25" t="inlineStr">
        <is>
          <t>B115</t>
        </is>
      </c>
      <c r="M15" s="18" t="n">
        <v>2021</v>
      </c>
      <c r="N15" s="18" t="inlineStr">
        <is>
          <t>10.15</t>
        </is>
      </c>
      <c r="O15" s="19" t="n">
        <v>10</v>
      </c>
      <c r="P15" s="18" t="inlineStr"/>
      <c r="Q15" s="19" t="n">
        <v>0</v>
      </c>
      <c r="R15" s="18" t="n">
        <v>90</v>
      </c>
      <c r="S15" s="18" t="n">
        <v>0.45</v>
      </c>
      <c r="T15" s="18" t="n">
        <v>0.05</v>
      </c>
      <c r="U15" s="18" t="n">
        <v>0</v>
      </c>
    </row>
    <row r="16">
      <c r="A16" s="18" t="inlineStr">
        <is>
          <t xml:space="preserve">B166 </t>
        </is>
      </c>
      <c r="B16" s="18" t="inlineStr">
        <is>
          <t xml:space="preserve">INNOVACIÓN Y FORMACIÓN DIDÁCTICA </t>
        </is>
      </c>
      <c r="C16" s="18" t="inlineStr">
        <is>
          <t xml:space="preserve">DOCTORADO EN INVESTIGACIÓN EDUCATIVA </t>
        </is>
      </c>
      <c r="D16" s="18" t="inlineStr">
        <is>
          <t xml:space="preserve">López Medina, Julián </t>
        </is>
      </c>
      <c r="E16" s="18" t="inlineStr">
        <is>
          <t xml:space="preserve">La dimensión intercultural en una pedagogía crítica de lenguas adicionales: creencias del profesorado en formación </t>
        </is>
      </c>
      <c r="F16" s="18" t="inlineStr">
        <is>
          <t xml:space="preserve">14/02/2022 </t>
        </is>
      </c>
      <c r="G16" s="18" t="inlineStr">
        <is>
          <t xml:space="preserve">29008698V </t>
        </is>
      </c>
      <c r="H16" s="18" t="inlineStr">
        <is>
          <t xml:space="preserve">Codirector de tesis </t>
        </is>
      </c>
      <c r="I16" s="18" t="inlineStr">
        <is>
          <t xml:space="preserve">B115 </t>
        </is>
      </c>
      <c r="J16" s="18" t="inlineStr">
        <is>
          <t xml:space="preserve">FILOL. ESPAÑOLA, LINGÜÍSTICA GENERAL Y TEORIA DE LA LITERATURA </t>
        </is>
      </c>
      <c r="K16" s="25" t="n">
        <v>0.5</v>
      </c>
      <c r="L16" s="25" t="inlineStr">
        <is>
          <t>B115</t>
        </is>
      </c>
      <c r="M16" s="18" t="n">
        <v>2021</v>
      </c>
      <c r="N16" s="18" t="inlineStr">
        <is>
          <t>10.15</t>
        </is>
      </c>
      <c r="O16" s="19" t="n">
        <v>10</v>
      </c>
      <c r="P16" s="18" t="inlineStr"/>
      <c r="Q16" s="19" t="n">
        <v>0</v>
      </c>
      <c r="R16" s="18" t="n">
        <v>90</v>
      </c>
      <c r="S16" s="18" t="n">
        <v>0.45</v>
      </c>
      <c r="T16" s="18" t="n">
        <v>0.05</v>
      </c>
      <c r="U16" s="18" t="n">
        <v>0</v>
      </c>
    </row>
    <row r="17">
      <c r="A17" s="18" t="inlineStr">
        <is>
          <t xml:space="preserve">U023 </t>
        </is>
      </c>
      <c r="B17" s="18" t="inlineStr">
        <is>
          <t xml:space="preserve">ADM. FACULTAD DE FILOSOFIA Y LETRAS </t>
        </is>
      </c>
      <c r="C17" s="18" t="inlineStr">
        <is>
          <t xml:space="preserve">DOCTORADO EN FILOSOFÍA Y LETRAS </t>
        </is>
      </c>
      <c r="D17" s="18" t="inlineStr">
        <is>
          <t xml:space="preserve">Amador Solano, María Gabriela </t>
        </is>
      </c>
      <c r="E17" s="18" t="inlineStr">
        <is>
          <t xml:space="preserve">La competencia docente en la formación del profesorado de Español como Segunda Lengua en Costa Rica. Diseño de un plan curricular de capacitación profesional </t>
        </is>
      </c>
      <c r="F17" s="18" t="inlineStr">
        <is>
          <t xml:space="preserve">25/05/2022 </t>
        </is>
      </c>
      <c r="G17" s="18" t="inlineStr">
        <is>
          <t xml:space="preserve">29008698V </t>
        </is>
      </c>
      <c r="H17" s="18" t="inlineStr">
        <is>
          <t xml:space="preserve">Director de tesis </t>
        </is>
      </c>
      <c r="I17" s="18" t="inlineStr">
        <is>
          <t xml:space="preserve">B115 </t>
        </is>
      </c>
      <c r="J17" s="18" t="inlineStr">
        <is>
          <t xml:space="preserve">FILOL. ESPAÑOLA, LINGÜÍSTICA GENERAL Y TEORIA DE LA LITERATURA </t>
        </is>
      </c>
      <c r="K17" s="25" t="n">
        <v>1</v>
      </c>
      <c r="L17" s="25" t="inlineStr">
        <is>
          <t>B115</t>
        </is>
      </c>
      <c r="M17" s="18" t="n">
        <v>2021</v>
      </c>
      <c r="N17" s="18" t="inlineStr">
        <is>
          <t>10.15</t>
        </is>
      </c>
      <c r="O17" s="19" t="n">
        <v>10</v>
      </c>
      <c r="P17" s="18" t="inlineStr"/>
      <c r="Q17" s="19" t="n">
        <v>0</v>
      </c>
      <c r="R17" s="18" t="n">
        <v>90</v>
      </c>
      <c r="S17" s="18" t="n">
        <v>0.9</v>
      </c>
      <c r="T17" s="18" t="n">
        <v>0.1</v>
      </c>
      <c r="U17" s="18" t="n">
        <v>0</v>
      </c>
    </row>
    <row r="18">
      <c r="A18" s="18" t="inlineStr">
        <is>
          <t xml:space="preserve">U023 </t>
        </is>
      </c>
      <c r="B18" s="18" t="inlineStr">
        <is>
          <t xml:space="preserve">ADM. FACULTAD DE FILOSOFIA Y LETRAS </t>
        </is>
      </c>
      <c r="C18" s="18" t="inlineStr">
        <is>
          <t xml:space="preserve">DOCTORADO EN FILOSOFÍA Y LETRAS </t>
        </is>
      </c>
      <c r="D18" s="18" t="inlineStr">
        <is>
          <t xml:space="preserve">Gómez Soriano, Miguel Ángel </t>
        </is>
      </c>
      <c r="E18" s="18" t="inlineStr">
        <is>
          <t xml:space="preserve">El viaje épico-lírico en Los cuadernos de la Tierra de Jorge Enrique Adoum. Génesis y caracterización de una poesía histórica </t>
        </is>
      </c>
      <c r="F18" s="18" t="inlineStr">
        <is>
          <t xml:space="preserve">04/07/2022 </t>
        </is>
      </c>
      <c r="G18" s="18" t="inlineStr">
        <is>
          <t xml:space="preserve">21485505D </t>
        </is>
      </c>
      <c r="H18" s="18" t="inlineStr">
        <is>
          <t xml:space="preserve">Codirector de tesis </t>
        </is>
      </c>
      <c r="I18" s="18" t="inlineStr">
        <is>
          <t xml:space="preserve">B115 </t>
        </is>
      </c>
      <c r="J18" s="18" t="inlineStr">
        <is>
          <t xml:space="preserve">FILOL. ESPAÑOLA, LINGÜÍSTICA GENERAL Y TEORIA DE LA LITERATURA </t>
        </is>
      </c>
      <c r="K18" s="25" t="n">
        <v>0.5</v>
      </c>
      <c r="L18" s="25" t="inlineStr">
        <is>
          <t>B115</t>
        </is>
      </c>
      <c r="M18" s="18" t="n">
        <v>2021</v>
      </c>
      <c r="N18" s="18" t="inlineStr"/>
      <c r="O18" s="19" t="inlineStr"/>
      <c r="P18" s="18" t="inlineStr"/>
      <c r="Q18" s="19" t="inlineStr"/>
      <c r="R18" s="18" t="n">
        <v>100</v>
      </c>
      <c r="S18" s="18" t="n">
        <v>0.5</v>
      </c>
      <c r="T18" s="18" t="n">
        <v>0</v>
      </c>
      <c r="U18" s="18" t="n">
        <v>0</v>
      </c>
    </row>
    <row r="19">
      <c r="A19" s="18" t="inlineStr">
        <is>
          <t xml:space="preserve">U023 </t>
        </is>
      </c>
      <c r="B19" s="18" t="inlineStr">
        <is>
          <t xml:space="preserve">ADM. FACULTAD DE FILOSOFIA Y LETRAS </t>
        </is>
      </c>
      <c r="C19" s="18" t="inlineStr">
        <is>
          <t xml:space="preserve">DOCTORADO EN FILOSOFÍA Y LETRAS </t>
        </is>
      </c>
      <c r="D19" s="18" t="inlineStr">
        <is>
          <t xml:space="preserve">Gómez Soriano, Miguel Ángel </t>
        </is>
      </c>
      <c r="E19" s="18" t="inlineStr">
        <is>
          <t xml:space="preserve">El viaje épico-lírico en Los cuadernos de la Tierra de Jorge Enrique Adoum. Génesis y caracterización de una poesía histórica </t>
        </is>
      </c>
      <c r="F19" s="18" t="inlineStr">
        <is>
          <t xml:space="preserve">04/07/2022 </t>
        </is>
      </c>
      <c r="G19" s="18" t="inlineStr">
        <is>
          <t xml:space="preserve">74084767L </t>
        </is>
      </c>
      <c r="H19" s="18" t="inlineStr">
        <is>
          <t xml:space="preserve">Codirector de tesis </t>
        </is>
      </c>
      <c r="I19" s="18" t="inlineStr">
        <is>
          <t xml:space="preserve">B115 </t>
        </is>
      </c>
      <c r="J19" s="18" t="inlineStr">
        <is>
          <t xml:space="preserve">FILOL. ESPAÑOLA, LINGÜÍSTICA GENERAL Y TEORIA DE LA LITERATURA </t>
        </is>
      </c>
      <c r="K19" s="25" t="n">
        <v>0.5</v>
      </c>
      <c r="L19" s="25" t="inlineStr">
        <is>
          <t>B115</t>
        </is>
      </c>
      <c r="M19" s="18" t="n">
        <v>2021</v>
      </c>
      <c r="N19" s="18" t="inlineStr">
        <is>
          <t>10.23</t>
        </is>
      </c>
      <c r="O19" s="19" t="n">
        <v>50</v>
      </c>
      <c r="P19" s="18" t="inlineStr"/>
      <c r="Q19" s="19" t="n">
        <v>0</v>
      </c>
      <c r="R19" s="18" t="n">
        <v>50</v>
      </c>
      <c r="S19" s="18" t="n">
        <v>0.25</v>
      </c>
      <c r="T19" s="18" t="n">
        <v>0.25</v>
      </c>
      <c r="U19" s="18" t="n">
        <v>0</v>
      </c>
    </row>
    <row r="20">
      <c r="A20" s="18" t="inlineStr">
        <is>
          <t xml:space="preserve">U023 </t>
        </is>
      </c>
      <c r="B20" s="18" t="inlineStr">
        <is>
          <t xml:space="preserve">ADM. FACULTAD DE FILOSOFIA Y LETRAS </t>
        </is>
      </c>
      <c r="C20" s="18" t="inlineStr">
        <is>
          <t xml:space="preserve">DOCTORADO EN FILOSOFÍA Y LETRAS </t>
        </is>
      </c>
      <c r="D20" s="18" t="inlineStr">
        <is>
          <t xml:space="preserve">Pons Dominguis, Jesús </t>
        </is>
      </c>
      <c r="E20" s="18" t="inlineStr">
        <is>
          <t xml:space="preserve">LOS PELIGROS DE LA POESÍA MIMÉTICA EN PLATÓN Y CERVANTES: (EU)TROPELÍA TRAGICÓMICA EN EL CURIOSO IMPERTINENTE </t>
        </is>
      </c>
      <c r="F20" s="18" t="inlineStr">
        <is>
          <t xml:space="preserve">17/06/2022 </t>
        </is>
      </c>
      <c r="G20" s="18" t="inlineStr">
        <is>
          <t xml:space="preserve">22440772V </t>
        </is>
      </c>
      <c r="H20" s="18" t="inlineStr">
        <is>
          <t xml:space="preserve">Director de tesis </t>
        </is>
      </c>
      <c r="I20" s="18" t="inlineStr">
        <is>
          <t xml:space="preserve">B115 </t>
        </is>
      </c>
      <c r="J20" s="18" t="inlineStr">
        <is>
          <t xml:space="preserve">FILOL. ESPAÑOLA, LINGÜÍSTICA GENERAL Y TEORIA DE LA LITERATURA </t>
        </is>
      </c>
      <c r="K20" s="25" t="n">
        <v>1</v>
      </c>
      <c r="L20" s="25" t="inlineStr">
        <is>
          <t>B115</t>
        </is>
      </c>
      <c r="M20" s="18" t="n">
        <v>2021</v>
      </c>
      <c r="N20" s="18" t="inlineStr"/>
      <c r="O20" s="19" t="inlineStr"/>
      <c r="P20" s="18" t="inlineStr"/>
      <c r="Q20" s="19" t="inlineStr"/>
      <c r="R20" s="18" t="n">
        <v>100</v>
      </c>
      <c r="S20" s="18" t="n">
        <v>1</v>
      </c>
      <c r="T20" s="18" t="n">
        <v>0</v>
      </c>
      <c r="U20" s="18" t="n">
        <v>0</v>
      </c>
    </row>
    <row r="21">
      <c r="A21" s="18" t="inlineStr">
        <is>
          <t xml:space="preserve">U023 </t>
        </is>
      </c>
      <c r="B21" s="18" t="inlineStr">
        <is>
          <t xml:space="preserve">ADM. FACULTAD DE FILOSOFIA Y LETRAS </t>
        </is>
      </c>
      <c r="C21" s="18" t="inlineStr">
        <is>
          <t xml:space="preserve">DOCTORADO EN FILOSOFÍA Y LETRAS </t>
        </is>
      </c>
      <c r="D21" s="18" t="inlineStr">
        <is>
          <t xml:space="preserve">Corachán Swidzinská, Irene </t>
        </is>
      </c>
      <c r="E21" s="18" t="inlineStr">
        <is>
          <t xml:space="preserve">La literatura checa en España: recepción y traductografía </t>
        </is>
      </c>
      <c r="F21" s="18" t="inlineStr">
        <is>
          <t xml:space="preserve">16/03/2022 </t>
        </is>
      </c>
      <c r="G21" s="18" t="inlineStr">
        <is>
          <t xml:space="preserve">22440772V </t>
        </is>
      </c>
      <c r="H21" s="18" t="inlineStr">
        <is>
          <t xml:space="preserve">Director de tesis </t>
        </is>
      </c>
      <c r="I21" s="18" t="inlineStr">
        <is>
          <t xml:space="preserve">B115 </t>
        </is>
      </c>
      <c r="J21" s="18" t="inlineStr">
        <is>
          <t xml:space="preserve">FILOL. ESPAÑOLA, LINGÜÍSTICA GENERAL Y TEORIA DE LA LITERATURA </t>
        </is>
      </c>
      <c r="K21" s="25" t="n">
        <v>1</v>
      </c>
      <c r="L21" s="25" t="inlineStr">
        <is>
          <t>B115</t>
        </is>
      </c>
      <c r="M21" s="18" t="n">
        <v>2021</v>
      </c>
      <c r="N21" s="18" t="inlineStr"/>
      <c r="O21" s="19" t="inlineStr"/>
      <c r="P21" s="18" t="inlineStr"/>
      <c r="Q21" s="19" t="inlineStr"/>
      <c r="R21" s="18" t="n">
        <v>100</v>
      </c>
      <c r="S21" s="18" t="n">
        <v>1</v>
      </c>
      <c r="T21" s="18" t="n">
        <v>0</v>
      </c>
      <c r="U21" s="18" t="n">
        <v>0</v>
      </c>
    </row>
    <row r="22">
      <c r="A22" s="18" t="inlineStr">
        <is>
          <t xml:space="preserve">U023 </t>
        </is>
      </c>
      <c r="B22" s="18" t="inlineStr">
        <is>
          <t xml:space="preserve">ADM. FACULTAD DE FILOSOFIA Y LETRAS </t>
        </is>
      </c>
      <c r="C22" s="18" t="inlineStr">
        <is>
          <t xml:space="preserve">DOCTORADO EN FILOSOFÍA Y LETRAS </t>
        </is>
      </c>
      <c r="D22" s="18" t="inlineStr">
        <is>
          <t xml:space="preserve">Fang Liu, Fang </t>
        </is>
      </c>
      <c r="E22" s="18" t="inlineStr">
        <is>
          <t xml:space="preserve">El certificado CCC en China y la consecución del KNOWHOW de la auditoría china: Características y análisis </t>
        </is>
      </c>
      <c r="F22" s="18" t="inlineStr">
        <is>
          <t xml:space="preserve">12/09/2022 </t>
        </is>
      </c>
      <c r="G22" s="18" t="inlineStr">
        <is>
          <t xml:space="preserve">22121930R </t>
        </is>
      </c>
      <c r="H22" s="18" t="inlineStr">
        <is>
          <t xml:space="preserve">Director de tesis </t>
        </is>
      </c>
      <c r="I22" s="18" t="inlineStr">
        <is>
          <t xml:space="preserve">B115 </t>
        </is>
      </c>
      <c r="J22" s="18" t="inlineStr">
        <is>
          <t xml:space="preserve">FILOL. ESPAÑOLA, LINGÜÍSTICA GENERAL Y TEORIA DE LA LITERATURA </t>
        </is>
      </c>
      <c r="K22" s="25" t="n">
        <v>1</v>
      </c>
      <c r="L22" s="25" t="inlineStr">
        <is>
          <t>B115</t>
        </is>
      </c>
      <c r="M22" s="18" t="n">
        <v>2021</v>
      </c>
      <c r="N22" s="18" t="inlineStr">
        <is>
          <t>10.15</t>
        </is>
      </c>
      <c r="O22" s="19" t="n">
        <v>10</v>
      </c>
      <c r="P22" s="18" t="inlineStr"/>
      <c r="Q22" s="19" t="n">
        <v>0</v>
      </c>
      <c r="R22" s="18" t="n">
        <v>90</v>
      </c>
      <c r="S22" s="18" t="n">
        <v>0.9</v>
      </c>
      <c r="T22" s="18" t="n">
        <v>0.1</v>
      </c>
      <c r="U22" s="18" t="n">
        <v>0</v>
      </c>
    </row>
    <row r="23">
      <c r="A23" s="18" t="inlineStr">
        <is>
          <t xml:space="preserve">U023 </t>
        </is>
      </c>
      <c r="B23" s="18" t="inlineStr">
        <is>
          <t xml:space="preserve">ADM. FACULTAD DE FILOSOFIA Y LETRAS </t>
        </is>
      </c>
      <c r="C23" s="18" t="inlineStr">
        <is>
          <t xml:space="preserve">DOCTORADO EN FILOSOFÍA Y LETRAS </t>
        </is>
      </c>
      <c r="D23" s="18" t="inlineStr">
        <is>
          <t xml:space="preserve">Gariano , Elvira </t>
        </is>
      </c>
      <c r="E23" s="18" t="inlineStr">
        <is>
          <t xml:space="preserve">La transposición legislativa europea en materia de enseñanza de idiomas en Italia y su repercusión en el español como lengua extanjera </t>
        </is>
      </c>
      <c r="F23" s="18" t="inlineStr">
        <is>
          <t xml:space="preserve">11/05/2022 </t>
        </is>
      </c>
      <c r="G23" s="18" t="inlineStr">
        <is>
          <t xml:space="preserve">05150725J </t>
        </is>
      </c>
      <c r="H23" s="18" t="inlineStr">
        <is>
          <t xml:space="preserve">Director de tesis </t>
        </is>
      </c>
      <c r="I23" s="18" t="inlineStr">
        <is>
          <t xml:space="preserve">B115 </t>
        </is>
      </c>
      <c r="J23" s="18" t="inlineStr">
        <is>
          <t xml:space="preserve">FILOL. ESPAÑOLA, LINGÜÍSTICA GENERAL Y TEORIA DE LA LITERATURA </t>
        </is>
      </c>
      <c r="K23" s="25" t="n">
        <v>1</v>
      </c>
      <c r="L23" s="25" t="inlineStr">
        <is>
          <t>B115</t>
        </is>
      </c>
      <c r="M23" s="18" t="n">
        <v>2021</v>
      </c>
      <c r="N23" s="18" t="inlineStr">
        <is>
          <t>10.15</t>
        </is>
      </c>
      <c r="O23" s="19" t="n">
        <v>10</v>
      </c>
      <c r="P23" s="18" t="inlineStr">
        <is>
          <t>10.25</t>
        </is>
      </c>
      <c r="Q23" s="19" t="n">
        <v>30</v>
      </c>
      <c r="R23" s="18" t="n">
        <v>60</v>
      </c>
      <c r="S23" s="18" t="n">
        <v>0.6</v>
      </c>
      <c r="T23" s="18" t="n">
        <v>0.1</v>
      </c>
      <c r="U23" s="18" t="n">
        <v>0.3</v>
      </c>
    </row>
    <row r="24">
      <c r="A24" s="18" t="inlineStr">
        <is>
          <t xml:space="preserve">U023 </t>
        </is>
      </c>
      <c r="B24" s="18" t="inlineStr">
        <is>
          <t xml:space="preserve">ADM. FACULTAD DE FILOSOFIA Y LETRAS </t>
        </is>
      </c>
      <c r="C24" s="18" t="inlineStr">
        <is>
          <t xml:space="preserve">DOCTORADO EN FILOSOFÍA Y LETRAS </t>
        </is>
      </c>
      <c r="D24" s="18" t="inlineStr">
        <is>
          <t xml:space="preserve">Aldama Juarez, Begoña </t>
        </is>
      </c>
      <c r="E24" s="18" t="inlineStr">
        <is>
          <t xml:space="preserve">La narrativa existencialista de las autoras españolas en la década de 1950. </t>
        </is>
      </c>
      <c r="F24" s="18" t="inlineStr">
        <is>
          <t xml:space="preserve">26/01/2023 </t>
        </is>
      </c>
      <c r="G24" s="18" t="inlineStr">
        <is>
          <t xml:space="preserve">21473357M </t>
        </is>
      </c>
      <c r="H24" s="18" t="inlineStr">
        <is>
          <t xml:space="preserve">Director de tesis </t>
        </is>
      </c>
      <c r="I24" s="18" t="inlineStr">
        <is>
          <t xml:space="preserve">B115 </t>
        </is>
      </c>
      <c r="J24" s="18" t="inlineStr">
        <is>
          <t xml:space="preserve">FILOL. ESPAÑOLA, LINGÜÍSTICA GENERAL Y TEORIA DE LA LITERATURA </t>
        </is>
      </c>
      <c r="K24" s="34" t="n">
        <v>1</v>
      </c>
      <c r="L24" s="34" t="inlineStr">
        <is>
          <t>B115</t>
        </is>
      </c>
      <c r="M24" s="18" t="n">
        <v>2022</v>
      </c>
      <c r="N24" s="34" t="inlineStr">
        <is>
          <t>10.23</t>
        </is>
      </c>
      <c r="O24" s="34" t="n">
        <v>90</v>
      </c>
      <c r="P24" s="34" t="inlineStr"/>
      <c r="Q24" s="34" t="n">
        <v>0</v>
      </c>
      <c r="R24" s="34" t="n">
        <v>10</v>
      </c>
      <c r="S24" s="34" t="n">
        <v>0.1</v>
      </c>
      <c r="T24" s="34" t="n">
        <v>0.9</v>
      </c>
      <c r="U24" s="34" t="n">
        <v>0</v>
      </c>
    </row>
    <row r="25">
      <c r="A25" s="18" t="inlineStr">
        <is>
          <t xml:space="preserve">U023 </t>
        </is>
      </c>
      <c r="B25" s="18" t="inlineStr">
        <is>
          <t xml:space="preserve">ADM. FACULTAD DE FILOSOFIA Y LETRAS </t>
        </is>
      </c>
      <c r="C25" s="18" t="inlineStr">
        <is>
          <t xml:space="preserve">DOCTORADO EN FILOSOFÍA Y LETRAS </t>
        </is>
      </c>
      <c r="D25" s="18" t="inlineStr">
        <is>
          <t xml:space="preserve">Pomata García, Joan Antoni </t>
        </is>
      </c>
      <c r="E25" s="18" t="inlineStr">
        <is>
          <t xml:space="preserve">Simulación de inmersión lingüística con ELEcante: un videojuego educativo para la adquisición de español como lengua extranjera </t>
        </is>
      </c>
      <c r="F25" s="18" t="inlineStr">
        <is>
          <t xml:space="preserve">14/11/2022 </t>
        </is>
      </c>
      <c r="G25" s="18" t="inlineStr">
        <is>
          <t xml:space="preserve">21442493F </t>
        </is>
      </c>
      <c r="H25" s="18" t="inlineStr">
        <is>
          <t xml:space="preserve">Director de tesis </t>
        </is>
      </c>
      <c r="I25" s="18" t="inlineStr">
        <is>
          <t xml:space="preserve">B115 </t>
        </is>
      </c>
      <c r="J25" s="18" t="inlineStr">
        <is>
          <t xml:space="preserve">FILOL. ESPAÑOLA, LINGÜÍSTICA GENERAL Y TEORIA DE LA LITERATURA </t>
        </is>
      </c>
      <c r="K25" s="34" t="n">
        <v>1</v>
      </c>
      <c r="L25" s="34" t="inlineStr">
        <is>
          <t>B115</t>
        </is>
      </c>
      <c r="M25" s="18" t="n">
        <v>2022</v>
      </c>
      <c r="N25" s="34" t="inlineStr">
        <is>
          <t>10.15</t>
        </is>
      </c>
      <c r="O25" s="34" t="n">
        <v>10</v>
      </c>
      <c r="P25" s="34" t="inlineStr">
        <is>
          <t>10.23</t>
        </is>
      </c>
      <c r="Q25" s="34" t="n">
        <v>10</v>
      </c>
      <c r="R25" s="34" t="n">
        <v>80</v>
      </c>
      <c r="S25" s="34" t="n">
        <v>0.8</v>
      </c>
      <c r="T25" s="34" t="n">
        <v>0.1</v>
      </c>
      <c r="U25" s="34" t="n">
        <v>0.1</v>
      </c>
    </row>
    <row r="26">
      <c r="A26" s="18" t="inlineStr">
        <is>
          <t>U023</t>
        </is>
      </c>
      <c r="B26" s="18" t="inlineStr">
        <is>
          <t>ADM. FACULTAD DE FILOSOFIA Y LETRAS</t>
        </is>
      </c>
      <c r="C26" s="18" t="inlineStr">
        <is>
          <t>DOCTORADO EN FILOSOFÍA Y LETRAS</t>
        </is>
      </c>
      <c r="D26" s="18" t="inlineStr">
        <is>
          <t>Merino González, Alicia</t>
        </is>
      </c>
      <c r="E26" s="18" t="inlineStr">
        <is>
          <t>LA ADQUISICIÓN DE LA CONCIENCIA FRASEOLÓGICA EN EL TRASTORNO DEL ESPECTRO AUTISTA DE GRADO 1</t>
        </is>
      </c>
      <c r="F26" s="18" t="inlineStr">
        <is>
          <t>21/02/2024</t>
        </is>
      </c>
      <c r="G26" s="18" t="inlineStr">
        <is>
          <t>46085014Y</t>
        </is>
      </c>
      <c r="H26" s="18" t="inlineStr">
        <is>
          <t>Director de tesis</t>
        </is>
      </c>
      <c r="I26" s="18" t="inlineStr">
        <is>
          <t>B115</t>
        </is>
      </c>
      <c r="J26" s="18" t="inlineStr">
        <is>
          <t>FILOL. ESPAÑOLA, LINGÜÍSTICA GENERAL Y TEORIA DE LA LITERATURA</t>
        </is>
      </c>
      <c r="K26" s="25" t="n">
        <v>1</v>
      </c>
      <c r="L26" s="18" t="inlineStr">
        <is>
          <t>B115</t>
        </is>
      </c>
      <c r="M26" s="18" t="n">
        <v>2023</v>
      </c>
      <c r="N26" s="19" t="inlineStr">
        <is>
          <t>10.23</t>
        </is>
      </c>
      <c r="O26" s="18" t="inlineStr">
        <is>
          <t>20</t>
        </is>
      </c>
      <c r="P26" s="19" t="inlineStr">
        <is>
          <t>10.15</t>
        </is>
      </c>
      <c r="Q26" s="18" t="inlineStr">
        <is>
          <t>10</t>
        </is>
      </c>
      <c r="R26" s="18" t="n">
        <v>70</v>
      </c>
      <c r="S26" s="18" t="n">
        <v>0.7</v>
      </c>
      <c r="T26" s="18" t="n">
        <v>0.2</v>
      </c>
      <c r="U26" s="34" t="n">
        <v>0.1</v>
      </c>
      <c r="V26" s="6" t="inlineStr">
        <is>
          <t>S</t>
        </is>
      </c>
    </row>
    <row r="27">
      <c r="A27" s="18" t="inlineStr">
        <is>
          <t>U023</t>
        </is>
      </c>
      <c r="B27" s="18" t="inlineStr">
        <is>
          <t>ADM. FACULTAD DE FILOSOFIA Y LETRAS</t>
        </is>
      </c>
      <c r="C27" s="18" t="inlineStr">
        <is>
          <t>DOCTORADO EN FILOSOFÍA Y LETRAS</t>
        </is>
      </c>
      <c r="D27" s="18" t="inlineStr">
        <is>
          <t>Melero Carnero, Laura</t>
        </is>
      </c>
      <c r="E27" s="18" t="inlineStr">
        <is>
          <t>Recursos y estrategias discursivas en textos sobre la visibilidad de las mujeres y el lenguaje igualitario en el columnismo lingüístico y en las redes sociales: análisis y comparación</t>
        </is>
      </c>
      <c r="F27" s="18" t="inlineStr">
        <is>
          <t>18/03/2024</t>
        </is>
      </c>
      <c r="G27" s="18" t="inlineStr">
        <is>
          <t>21442493F</t>
        </is>
      </c>
      <c r="H27" s="18" t="inlineStr">
        <is>
          <t>Director de tesis</t>
        </is>
      </c>
      <c r="I27" s="18" t="inlineStr">
        <is>
          <t>B115</t>
        </is>
      </c>
      <c r="J27" s="18" t="inlineStr">
        <is>
          <t>FILOL. ESPAÑOLA, LINGÜÍSTICA GENERAL Y TEORIA DE LA LITERATURA</t>
        </is>
      </c>
      <c r="K27" s="25" t="n">
        <v>1</v>
      </c>
      <c r="L27" s="18" t="inlineStr">
        <is>
          <t>B115</t>
        </is>
      </c>
      <c r="M27" s="18" t="n">
        <v>2023</v>
      </c>
      <c r="N27" s="19" t="inlineStr">
        <is>
          <t>10.15</t>
        </is>
      </c>
      <c r="O27" s="18" t="inlineStr">
        <is>
          <t>10</t>
        </is>
      </c>
      <c r="P27" s="19" t="inlineStr">
        <is>
          <t>10.23</t>
        </is>
      </c>
      <c r="Q27" s="18" t="inlineStr">
        <is>
          <t>10</t>
        </is>
      </c>
      <c r="R27" s="18" t="n">
        <v>80</v>
      </c>
      <c r="S27" s="18" t="n">
        <v>0.8</v>
      </c>
      <c r="T27" s="18" t="n">
        <v>0.1</v>
      </c>
      <c r="U27" s="34" t="n">
        <v>0.1</v>
      </c>
      <c r="V27" s="6" t="inlineStr">
        <is>
          <t>S</t>
        </is>
      </c>
    </row>
    <row r="28">
      <c r="A28" s="18" t="inlineStr">
        <is>
          <t>U023</t>
        </is>
      </c>
      <c r="B28" s="18" t="inlineStr">
        <is>
          <t>ADM. FACULTAD DE FILOSOFIA Y LETRAS</t>
        </is>
      </c>
      <c r="C28" s="18" t="inlineStr">
        <is>
          <t>DOCTORADO EN FILOSOFÍA Y LETRAS</t>
        </is>
      </c>
      <c r="D28" s="18" t="inlineStr">
        <is>
          <t>Asencio Serrano, Cristina</t>
        </is>
      </c>
      <c r="E28" s="18" t="inlineStr">
        <is>
          <t>Una revolución dentro de la Revolución: autoría y feminismo en las novelistas cubanas (1959-2023)</t>
        </is>
      </c>
      <c r="F28" s="18" t="inlineStr">
        <is>
          <t>07/06/2024</t>
        </is>
      </c>
      <c r="G28" s="18" t="inlineStr">
        <is>
          <t>74084767L</t>
        </is>
      </c>
      <c r="H28" s="18" t="inlineStr">
        <is>
          <t>Director de tesis</t>
        </is>
      </c>
      <c r="I28" s="18" t="inlineStr">
        <is>
          <t>B115</t>
        </is>
      </c>
      <c r="J28" s="18" t="inlineStr">
        <is>
          <t>FILOL. ESPAÑOLA, LINGÜÍSTICA GENERAL Y TEORIA DE LA LITERATURA</t>
        </is>
      </c>
      <c r="K28" s="25" t="n">
        <v>1</v>
      </c>
      <c r="L28" s="18" t="inlineStr">
        <is>
          <t>B115</t>
        </is>
      </c>
      <c r="M28" s="18" t="n">
        <v>2023</v>
      </c>
      <c r="N28" s="19" t="inlineStr">
        <is>
          <t>10.23</t>
        </is>
      </c>
      <c r="O28" s="18" t="inlineStr">
        <is>
          <t>50</t>
        </is>
      </c>
      <c r="P28" s="19" t="inlineStr"/>
      <c r="Q28" s="18" t="inlineStr"/>
      <c r="R28" s="18" t="n">
        <v>50</v>
      </c>
      <c r="S28" s="18" t="n">
        <v>0.5</v>
      </c>
      <c r="T28" s="18" t="n">
        <v>0.5</v>
      </c>
      <c r="U28" s="34" t="n">
        <v>0</v>
      </c>
      <c r="V28" s="6" t="inlineStr">
        <is>
          <t>S</t>
        </is>
      </c>
    </row>
    <row r="29">
      <c r="A29" s="18" t="inlineStr">
        <is>
          <t>U023</t>
        </is>
      </c>
      <c r="B29" s="18" t="inlineStr">
        <is>
          <t>ADM. FACULTAD DE FILOSOFIA Y LETRAS</t>
        </is>
      </c>
      <c r="C29" s="18" t="inlineStr">
        <is>
          <t>DOCTORADO EN FILOSOFÍA Y LETRAS</t>
        </is>
      </c>
      <c r="D29" s="18" t="inlineStr">
        <is>
          <t>Uceda Piqueras, Pascual</t>
        </is>
      </c>
      <c r="E29" s="18" t="inlineStr">
        <is>
          <t>EL espacio septentrional en Los trabajos de Persiles y Sigismunda.Perspectiva literal y alegórica</t>
        </is>
      </c>
      <c r="F29" s="18" t="inlineStr">
        <is>
          <t>01/03/2024</t>
        </is>
      </c>
      <c r="G29" s="18" t="inlineStr">
        <is>
          <t>33475941Q</t>
        </is>
      </c>
      <c r="H29" s="18" t="inlineStr">
        <is>
          <t>Director de tesis</t>
        </is>
      </c>
      <c r="I29" s="18" t="inlineStr">
        <is>
          <t>B115</t>
        </is>
      </c>
      <c r="J29" s="18" t="inlineStr">
        <is>
          <t>FILOL. ESPAÑOLA, LINGÜÍSTICA GENERAL Y TEORIA DE LA LITERATURA</t>
        </is>
      </c>
      <c r="K29" s="25" t="n">
        <v>1</v>
      </c>
      <c r="L29" s="18" t="inlineStr">
        <is>
          <t>B115</t>
        </is>
      </c>
      <c r="M29" s="18" t="n">
        <v>2023</v>
      </c>
      <c r="N29" s="19" t="inlineStr"/>
      <c r="O29" s="18" t="inlineStr"/>
      <c r="P29" s="19" t="inlineStr"/>
      <c r="Q29" s="18" t="inlineStr"/>
      <c r="R29" s="18" t="n">
        <v>100</v>
      </c>
      <c r="S29" s="18" t="n">
        <v>1</v>
      </c>
      <c r="T29" s="18" t="n">
        <v>0</v>
      </c>
      <c r="U29" s="34" t="n">
        <v>0</v>
      </c>
      <c r="V29" s="6" t="inlineStr">
        <is>
          <t>S</t>
        </is>
      </c>
    </row>
    <row r="30">
      <c r="A30" s="18" t="inlineStr">
        <is>
          <t>U023</t>
        </is>
      </c>
      <c r="B30" s="18" t="inlineStr">
        <is>
          <t>ADM. FACULTAD DE FILOSOFIA Y LETRAS</t>
        </is>
      </c>
      <c r="C30" s="18" t="inlineStr">
        <is>
          <t>DOCTORADO EN FILOSOFÍA Y LETRAS</t>
        </is>
      </c>
      <c r="D30" s="18" t="inlineStr">
        <is>
          <t>Choin , Sylvain Christian Rene</t>
        </is>
      </c>
      <c r="E30" s="18" t="inlineStr">
        <is>
          <t>París, 1924-1933: La obra periodística de Miguel Ángel Asturias en Europa y los orígenes</t>
        </is>
      </c>
      <c r="F30" s="18" t="inlineStr">
        <is>
          <t>15/12/2023</t>
        </is>
      </c>
      <c r="G30" s="18" t="inlineStr">
        <is>
          <t>21485505D</t>
        </is>
      </c>
      <c r="H30" s="18" t="inlineStr">
        <is>
          <t>Director de tesis</t>
        </is>
      </c>
      <c r="I30" s="18" t="inlineStr">
        <is>
          <t>B115</t>
        </is>
      </c>
      <c r="J30" s="18" t="inlineStr">
        <is>
          <t>FILOL. ESPAÑOLA, LINGÜÍSTICA GENERAL Y TEORIA DE LA LITERATURA</t>
        </is>
      </c>
      <c r="K30" s="25" t="n">
        <v>1</v>
      </c>
      <c r="L30" s="18" t="inlineStr">
        <is>
          <t>B115</t>
        </is>
      </c>
      <c r="M30" s="18" t="n">
        <v>2023</v>
      </c>
      <c r="N30" s="19" t="inlineStr"/>
      <c r="O30" s="18" t="inlineStr"/>
      <c r="P30" s="19" t="inlineStr"/>
      <c r="Q30" s="18" t="inlineStr"/>
      <c r="R30" s="18" t="n">
        <v>100</v>
      </c>
      <c r="S30" s="18" t="n">
        <v>1</v>
      </c>
      <c r="T30" s="18" t="n">
        <v>0</v>
      </c>
      <c r="U30" s="34" t="n">
        <v>0</v>
      </c>
      <c r="V30" s="6" t="inlineStr">
        <is>
          <t>S</t>
        </is>
      </c>
    </row>
    <row r="31">
      <c r="A31" s="18" t="inlineStr">
        <is>
          <t>ZZ</t>
        </is>
      </c>
      <c r="B31" s="18" t="inlineStr">
        <is>
          <t>SIN ASIGNAR</t>
        </is>
      </c>
      <c r="C31" s="18" t="inlineStr">
        <is>
          <t>DOCTORADO EN FILOSOFÍA Y LETRAS</t>
        </is>
      </c>
      <c r="D31" s="18" t="inlineStr">
        <is>
          <t>Martí Barchín, Lidia</t>
        </is>
      </c>
      <c r="E31" s="18" t="inlineStr">
        <is>
          <t>Quetzalcóatl en la dramaturgia mexicana contemporánea. Revisión del arquetipo mítico desde una perspectiva histórica, política y cultural</t>
        </is>
      </c>
      <c r="F31" s="18" t="inlineStr">
        <is>
          <t>10/06/2024</t>
        </is>
      </c>
      <c r="G31" s="18" t="inlineStr">
        <is>
          <t>21485505D</t>
        </is>
      </c>
      <c r="H31" s="18" t="inlineStr">
        <is>
          <t>Director de tesis</t>
        </is>
      </c>
      <c r="I31" s="18" t="inlineStr">
        <is>
          <t>B115</t>
        </is>
      </c>
      <c r="J31" s="18" t="inlineStr">
        <is>
          <t>FILOL. ESPAÑOLA, LINGÜÍSTICA GENERAL Y TEORIA DE LA LITERATURA</t>
        </is>
      </c>
      <c r="K31" s="25" t="n">
        <v>1</v>
      </c>
      <c r="L31" s="18" t="inlineStr">
        <is>
          <t>B115</t>
        </is>
      </c>
      <c r="M31" s="18" t="n">
        <v>2023</v>
      </c>
      <c r="N31" s="19" t="inlineStr"/>
      <c r="O31" s="18" t="inlineStr"/>
      <c r="P31" s="19" t="inlineStr"/>
      <c r="Q31" s="18" t="inlineStr"/>
      <c r="R31" s="18" t="n">
        <v>100</v>
      </c>
      <c r="S31" s="18" t="n">
        <v>1</v>
      </c>
      <c r="T31" s="18" t="n">
        <v>0</v>
      </c>
      <c r="U31" s="34" t="n">
        <v>0</v>
      </c>
      <c r="V31" s="6" t="inlineStr">
        <is>
          <t>S</t>
        </is>
      </c>
    </row>
    <row r="32">
      <c r="A32" s="18" t="inlineStr">
        <is>
          <t>ZZ</t>
        </is>
      </c>
      <c r="B32" s="18" t="inlineStr">
        <is>
          <t>SIN ASIGNAR</t>
        </is>
      </c>
      <c r="C32" s="18" t="inlineStr">
        <is>
          <t>DOCTORADO EN FILOSOFÍA Y LETRAS</t>
        </is>
      </c>
      <c r="D32" s="18" t="inlineStr">
        <is>
          <t>López Verdú, Alejandro José</t>
        </is>
      </c>
      <c r="E32" s="18" t="inlineStr">
        <is>
          <t>Rafael Chirbes: escrutinio del ser, conciencia de clase</t>
        </is>
      </c>
      <c r="F32" s="18" t="inlineStr">
        <is>
          <t>28/06/2024</t>
        </is>
      </c>
      <c r="G32" s="18" t="inlineStr">
        <is>
          <t>07809701M</t>
        </is>
      </c>
      <c r="H32" s="18" t="inlineStr">
        <is>
          <t>Director de tesis</t>
        </is>
      </c>
      <c r="I32" s="18" t="inlineStr">
        <is>
          <t>B115</t>
        </is>
      </c>
      <c r="J32" s="18" t="inlineStr">
        <is>
          <t>FILOL. ESPAÑOLA, LINGÜÍSTICA GENERAL Y TEORIA DE LA LITERATURA</t>
        </is>
      </c>
      <c r="K32" s="25" t="n">
        <v>1</v>
      </c>
      <c r="L32" s="18" t="inlineStr">
        <is>
          <t>B115</t>
        </is>
      </c>
      <c r="M32" s="18" t="n">
        <v>2023</v>
      </c>
      <c r="N32" s="19" t="inlineStr"/>
      <c r="O32" s="18" t="inlineStr"/>
      <c r="P32" s="19" t="inlineStr"/>
      <c r="Q32" s="18" t="inlineStr"/>
      <c r="R32" s="18" t="n">
        <v>100</v>
      </c>
      <c r="S32" s="18" t="n">
        <v>1</v>
      </c>
      <c r="T32" s="18" t="n">
        <v>0</v>
      </c>
      <c r="U32" s="34" t="n">
        <v>0</v>
      </c>
      <c r="V32" s="6" t="inlineStr">
        <is>
          <t>S</t>
        </is>
      </c>
    </row>
    <row r="33">
      <c r="A33" s="18" t="inlineStr">
        <is>
          <t>U023</t>
        </is>
      </c>
      <c r="B33" s="18" t="inlineStr">
        <is>
          <t>Administración Facultad de Filosofía y Letras</t>
        </is>
      </c>
      <c r="C33" s="18" t="inlineStr">
        <is>
          <t>DOCTORADO EN FILOSOFÍA Y LETRAS</t>
        </is>
      </c>
      <c r="D33" s="18" t="inlineStr">
        <is>
          <t>CANTO MORENO, JORGE</t>
        </is>
      </c>
      <c r="E33" s="18" t="inlineStr">
        <is>
          <t>LA DIMENSIÓN SOCIOAFECTIVA E INTERCULTURAL DEL HUMOR EN LA ENSEÑANZA DEL ESPAÑOL (ELE) EN LA EDUCACIÓN SUPERIOR DE HABLA GERMANA</t>
        </is>
      </c>
      <c r="F33" s="18" t="inlineStr">
        <is>
          <t>29/09/2025</t>
        </is>
      </c>
      <c r="G33" s="18" t="inlineStr">
        <is>
          <t>22121930R</t>
        </is>
      </c>
      <c r="H33" s="18" t="inlineStr">
        <is>
          <t>Director de tesis</t>
        </is>
      </c>
      <c r="I33" s="18" t="inlineStr">
        <is>
          <t>B115</t>
        </is>
      </c>
      <c r="J33" s="18" t="inlineStr">
        <is>
          <t>Filología Española, Lingüística General y Teoría de la Literatura</t>
        </is>
      </c>
      <c r="K33" s="25" t="n">
        <v>1</v>
      </c>
      <c r="L33" s="18" t="inlineStr">
        <is>
          <t>B115</t>
        </is>
      </c>
      <c r="M33" s="18" t="n">
        <v>2024</v>
      </c>
      <c r="N33" s="19" t="inlineStr">
        <is>
          <t>10.15</t>
        </is>
      </c>
      <c r="O33" s="18" t="inlineStr">
        <is>
          <t>10</t>
        </is>
      </c>
      <c r="P33" s="19" t="inlineStr"/>
      <c r="Q33" s="18" t="inlineStr"/>
      <c r="R33" s="18" t="n">
        <v>90</v>
      </c>
      <c r="S33" s="18" t="n">
        <v>0.9</v>
      </c>
      <c r="T33" s="18" t="n">
        <v>0.1</v>
      </c>
      <c r="U33" s="34" t="n">
        <v>0</v>
      </c>
    </row>
    <row r="34">
      <c r="A34" s="18" t="inlineStr">
        <is>
          <t>U023</t>
        </is>
      </c>
      <c r="B34" s="18" t="inlineStr">
        <is>
          <t>Administración Facultad de Filosofía y Letras</t>
        </is>
      </c>
      <c r="C34" s="18" t="inlineStr">
        <is>
          <t>DOCTORADO EN FILOSOFÍA Y LETRAS</t>
        </is>
      </c>
      <c r="D34" s="18" t="inlineStr">
        <is>
          <t>Ruiz Pérez, María de las Nieves</t>
        </is>
      </c>
      <c r="E34" s="18" t="inlineStr">
        <is>
          <t>CONCHA ALÓS: PROSA PARA UN DESPERTAR HUMANISTA</t>
        </is>
      </c>
      <c r="F34" s="18" t="inlineStr">
        <is>
          <t>30/09/2025</t>
        </is>
      </c>
      <c r="G34" s="18" t="inlineStr">
        <is>
          <t>21410603H</t>
        </is>
      </c>
      <c r="H34" s="18" t="inlineStr">
        <is>
          <t>Director de tesis</t>
        </is>
      </c>
      <c r="I34" s="18" t="inlineStr">
        <is>
          <t>B115</t>
        </is>
      </c>
      <c r="J34" s="18" t="inlineStr">
        <is>
          <t>Filología Española, Lingüística General y Teoría de la Literatura</t>
        </is>
      </c>
      <c r="K34" s="25" t="n">
        <v>1</v>
      </c>
      <c r="L34" s="18" t="inlineStr">
        <is>
          <t>B115</t>
        </is>
      </c>
      <c r="M34" s="18" t="n">
        <v>2024</v>
      </c>
      <c r="N34" s="19" t="inlineStr"/>
      <c r="O34" s="18" t="inlineStr"/>
      <c r="P34" s="19" t="inlineStr"/>
      <c r="Q34" s="18" t="inlineStr"/>
      <c r="R34" s="18" t="n">
        <v>100</v>
      </c>
      <c r="S34" s="18" t="n">
        <v>1</v>
      </c>
      <c r="T34" s="18" t="n">
        <v>0</v>
      </c>
      <c r="U34" s="34" t="n">
        <v>0</v>
      </c>
    </row>
    <row r="35">
      <c r="A35" s="18" t="inlineStr">
        <is>
          <t>U023</t>
        </is>
      </c>
      <c r="B35" s="18" t="inlineStr">
        <is>
          <t>Administración Facultad de Filosofía y Letras</t>
        </is>
      </c>
      <c r="C35" s="18" t="inlineStr">
        <is>
          <t>DOCTORADO EN FILOSOFÍA Y LETRAS</t>
        </is>
      </c>
      <c r="D35" s="18" t="inlineStr">
        <is>
          <t>Soro Cuesta, Esther</t>
        </is>
      </c>
      <c r="E35" s="18" t="inlineStr">
        <is>
          <t>El proceso editorial y creativo de la obra de Martín Adán</t>
        </is>
      </c>
      <c r="F35" s="18" t="inlineStr">
        <is>
          <t>13/12/2024</t>
        </is>
      </c>
      <c r="G35" s="18" t="inlineStr">
        <is>
          <t>79100521W</t>
        </is>
      </c>
      <c r="H35" s="18" t="inlineStr">
        <is>
          <t>Codirector de tesis</t>
        </is>
      </c>
      <c r="I35" s="18" t="inlineStr">
        <is>
          <t>B115</t>
        </is>
      </c>
      <c r="J35" s="18" t="inlineStr">
        <is>
          <t>Filología Española, Lingüística General y Teoría de la Literatura</t>
        </is>
      </c>
      <c r="K35" s="25" t="n">
        <v>0.5</v>
      </c>
      <c r="L35" s="18" t="inlineStr">
        <is>
          <t>B115</t>
        </is>
      </c>
      <c r="M35" s="18" t="n">
        <v>2024</v>
      </c>
      <c r="N35" s="19" t="inlineStr"/>
      <c r="O35" s="18" t="inlineStr"/>
      <c r="P35" s="19" t="inlineStr"/>
      <c r="Q35" s="18" t="inlineStr"/>
      <c r="R35" s="18" t="n">
        <v>100</v>
      </c>
      <c r="S35" s="18" t="n">
        <v>0.5</v>
      </c>
      <c r="T35" s="18" t="n">
        <v>0</v>
      </c>
      <c r="U35" s="34" t="n">
        <v>0</v>
      </c>
    </row>
    <row r="36">
      <c r="A36" s="18" t="inlineStr">
        <is>
          <t>U023</t>
        </is>
      </c>
      <c r="B36" s="18" t="inlineStr">
        <is>
          <t>Administración Facultad de Filosofía y Letras</t>
        </is>
      </c>
      <c r="C36" s="18" t="inlineStr">
        <is>
          <t>DOCTORADO EN FILOSOFÍA Y LETRAS</t>
        </is>
      </c>
      <c r="D36" s="18" t="inlineStr">
        <is>
          <t>Soro Cuesta, Esther</t>
        </is>
      </c>
      <c r="E36" s="18" t="inlineStr">
        <is>
          <t>El proceso editorial y creativo de la obra de Martín Adán</t>
        </is>
      </c>
      <c r="F36" s="18" t="inlineStr">
        <is>
          <t>13/12/2024</t>
        </is>
      </c>
      <c r="G36" s="18" t="inlineStr">
        <is>
          <t>48574813D</t>
        </is>
      </c>
      <c r="H36" s="18" t="inlineStr">
        <is>
          <t>Codirector de tesis</t>
        </is>
      </c>
      <c r="I36" s="18" t="inlineStr">
        <is>
          <t>B115</t>
        </is>
      </c>
      <c r="J36" s="18" t="inlineStr">
        <is>
          <t>Filología Española, Lingüística General y Teoría de la Literatura</t>
        </is>
      </c>
      <c r="K36" s="25" t="n">
        <v>0.5</v>
      </c>
      <c r="L36" s="18" t="inlineStr">
        <is>
          <t>B115</t>
        </is>
      </c>
      <c r="M36" s="18" t="n">
        <v>2024</v>
      </c>
      <c r="N36" s="19" t="inlineStr">
        <is>
          <t>10.23</t>
        </is>
      </c>
      <c r="O36" s="18" t="inlineStr">
        <is>
          <t>20</t>
        </is>
      </c>
      <c r="P36" s="19" t="inlineStr"/>
      <c r="Q36" s="18" t="inlineStr"/>
      <c r="R36" s="18" t="n">
        <v>80</v>
      </c>
      <c r="S36" s="18" t="n">
        <v>0.4</v>
      </c>
      <c r="T36" s="18" t="n">
        <v>0.1</v>
      </c>
      <c r="U36" s="34" t="n">
        <v>0</v>
      </c>
    </row>
    <row r="37">
      <c r="A37" s="18" t="inlineStr">
        <is>
          <t>U023</t>
        </is>
      </c>
      <c r="B37" s="18" t="inlineStr">
        <is>
          <t>Administración Facultad de Filosofía y Letras</t>
        </is>
      </c>
      <c r="C37" s="18" t="inlineStr">
        <is>
          <t>DOCTORADO EN FILOSOFÍA Y LETRAS</t>
        </is>
      </c>
      <c r="D37" s="18" t="inlineStr">
        <is>
          <t>Martínez Belda, Juan Carlos</t>
        </is>
      </c>
      <c r="E37" s="18" t="inlineStr">
        <is>
          <t>El espacio fonológico común en bilingües</t>
        </is>
      </c>
      <c r="F37" s="18" t="inlineStr">
        <is>
          <t>31/01/2025</t>
        </is>
      </c>
      <c r="G37" s="18" t="inlineStr">
        <is>
          <t>29162329P</t>
        </is>
      </c>
      <c r="H37" s="18" t="inlineStr">
        <is>
          <t>Director de tesis</t>
        </is>
      </c>
      <c r="I37" s="18" t="inlineStr">
        <is>
          <t>B115</t>
        </is>
      </c>
      <c r="J37" s="18" t="inlineStr">
        <is>
          <t>Filología Española, Lingüística General y Teoría de la Literatura</t>
        </is>
      </c>
      <c r="K37" s="25" t="n">
        <v>1</v>
      </c>
      <c r="L37" s="18" t="inlineStr">
        <is>
          <t>B115</t>
        </is>
      </c>
      <c r="M37" s="18" t="n">
        <v>2024</v>
      </c>
      <c r="N37" s="19" t="inlineStr">
        <is>
          <t>10.15</t>
        </is>
      </c>
      <c r="O37" s="18" t="inlineStr">
        <is>
          <t>10</t>
        </is>
      </c>
      <c r="P37" s="19" t="inlineStr"/>
      <c r="Q37" s="18" t="inlineStr"/>
      <c r="R37" s="18" t="n">
        <v>90</v>
      </c>
      <c r="S37" s="18" t="n">
        <v>0.9</v>
      </c>
      <c r="T37" s="18" t="n">
        <v>0.1</v>
      </c>
      <c r="U37" s="34" t="n">
        <v>0</v>
      </c>
    </row>
    <row r="38">
      <c r="A38" s="18" t="inlineStr">
        <is>
          <t>U023</t>
        </is>
      </c>
      <c r="B38" s="18" t="inlineStr">
        <is>
          <t>Administración Facultad de Filosofía y Letras</t>
        </is>
      </c>
      <c r="C38" s="18" t="inlineStr">
        <is>
          <t>DOCTORADO EN FILOSOFÍA Y LETRAS</t>
        </is>
      </c>
      <c r="D38" s="18" t="inlineStr">
        <is>
          <t>Torres Soler, Julio</t>
        </is>
      </c>
      <c r="E38" s="18" t="inlineStr">
        <is>
          <t>Evolución semántica y gramaticalización de los verbos llevar y traer</t>
        </is>
      </c>
      <c r="F38" s="18" t="inlineStr">
        <is>
          <t>09/12/2024</t>
        </is>
      </c>
      <c r="G38" s="18" t="inlineStr">
        <is>
          <t>33496411Q</t>
        </is>
      </c>
      <c r="H38" s="18" t="inlineStr">
        <is>
          <t>Codirector de tesis</t>
        </is>
      </c>
      <c r="I38" s="18" t="inlineStr">
        <is>
          <t>B115</t>
        </is>
      </c>
      <c r="J38" s="18" t="inlineStr">
        <is>
          <t>Filología Española, Lingüística General y Teoría de la Literatura</t>
        </is>
      </c>
      <c r="K38" s="25" t="n">
        <v>0.5</v>
      </c>
      <c r="L38" s="18" t="inlineStr">
        <is>
          <t>B115</t>
        </is>
      </c>
      <c r="M38" s="18" t="n">
        <v>2024</v>
      </c>
      <c r="N38" s="19" t="inlineStr">
        <is>
          <t>10.25</t>
        </is>
      </c>
      <c r="O38" s="18" t="inlineStr">
        <is>
          <t>30</t>
        </is>
      </c>
      <c r="P38" s="19" t="inlineStr"/>
      <c r="Q38" s="18" t="inlineStr"/>
      <c r="R38" s="18" t="n">
        <v>70</v>
      </c>
      <c r="S38" s="18" t="n">
        <v>0.35</v>
      </c>
      <c r="T38" s="18" t="n">
        <v>0.15</v>
      </c>
      <c r="U38" s="34" t="n">
        <v>0</v>
      </c>
    </row>
    <row r="39">
      <c r="A39" s="18" t="inlineStr">
        <is>
          <t>U023</t>
        </is>
      </c>
      <c r="B39" s="18" t="inlineStr">
        <is>
          <t>Administración Facultad de Filosofía y Letras</t>
        </is>
      </c>
      <c r="C39" s="18" t="inlineStr">
        <is>
          <t>DOCTORADO EN FILOSOFÍA Y LETRAS</t>
        </is>
      </c>
      <c r="D39" s="18" t="inlineStr">
        <is>
          <t>Torres Soler, Julio</t>
        </is>
      </c>
      <c r="E39" s="18" t="inlineStr">
        <is>
          <t>Evolución semántica y gramaticalización de los verbos llevar y traer</t>
        </is>
      </c>
      <c r="F39" s="18" t="inlineStr">
        <is>
          <t>09/12/2024</t>
        </is>
      </c>
      <c r="G39" s="18" t="inlineStr">
        <is>
          <t>05150725J</t>
        </is>
      </c>
      <c r="H39" s="18" t="inlineStr">
        <is>
          <t>Codirector de tesis</t>
        </is>
      </c>
      <c r="I39" s="18" t="inlineStr">
        <is>
          <t>B115</t>
        </is>
      </c>
      <c r="J39" s="18" t="inlineStr">
        <is>
          <t>Filología Española, Lingüística General y Teoría de la Literatura</t>
        </is>
      </c>
      <c r="K39" s="25" t="n">
        <v>0.5</v>
      </c>
      <c r="L39" s="18" t="inlineStr">
        <is>
          <t>B115</t>
        </is>
      </c>
      <c r="M39" s="18" t="n">
        <v>2024</v>
      </c>
      <c r="N39" s="19" t="inlineStr">
        <is>
          <t>10.25</t>
        </is>
      </c>
      <c r="O39" s="18" t="inlineStr">
        <is>
          <t>30</t>
        </is>
      </c>
      <c r="P39" s="19" t="inlineStr">
        <is>
          <t>10.15</t>
        </is>
      </c>
      <c r="Q39" s="18" t="inlineStr">
        <is>
          <t>10</t>
        </is>
      </c>
      <c r="R39" s="18" t="n">
        <v>60</v>
      </c>
      <c r="S39" s="18" t="n">
        <v>0.3</v>
      </c>
      <c r="T39" s="18" t="n">
        <v>0.15</v>
      </c>
      <c r="U39" s="34" t="n">
        <v>0.05</v>
      </c>
    </row>
    <row r="40">
      <c r="A40" s="18" t="inlineStr">
        <is>
          <t>U023</t>
        </is>
      </c>
      <c r="B40" s="18" t="inlineStr">
        <is>
          <t>Administración Facultad de Filosofía y Letras</t>
        </is>
      </c>
      <c r="C40" s="18" t="inlineStr">
        <is>
          <t>DOCTORADO EN FILOSOFÍA Y LETRAS</t>
        </is>
      </c>
      <c r="D40" s="18" t="inlineStr">
        <is>
          <t>López Martínez, Lucía</t>
        </is>
      </c>
      <c r="E40" s="18" t="inlineStr">
        <is>
          <t>Paisaje y naturaleza en la narrativa del Perú. Una aproximación desde sus diferentes mundos</t>
        </is>
      </c>
      <c r="F40" s="18" t="inlineStr">
        <is>
          <t>07/07/2025</t>
        </is>
      </c>
      <c r="G40" s="18" t="inlineStr">
        <is>
          <t>79100521W</t>
        </is>
      </c>
      <c r="H40" s="18" t="inlineStr">
        <is>
          <t>Director de tesis</t>
        </is>
      </c>
      <c r="I40" s="18" t="inlineStr">
        <is>
          <t>B115</t>
        </is>
      </c>
      <c r="J40" s="18" t="inlineStr">
        <is>
          <t>Filología Española, Lingüística General y Teoría de la Literatura</t>
        </is>
      </c>
      <c r="K40" s="25" t="n">
        <v>1</v>
      </c>
      <c r="L40" s="18" t="inlineStr">
        <is>
          <t>B115</t>
        </is>
      </c>
      <c r="M40" s="18" t="n">
        <v>2024</v>
      </c>
      <c r="N40" s="19" t="inlineStr"/>
      <c r="O40" s="18" t="inlineStr"/>
      <c r="P40" s="19" t="inlineStr"/>
      <c r="Q40" s="18" t="inlineStr"/>
      <c r="R40" s="18" t="n">
        <v>100</v>
      </c>
      <c r="S40" s="18" t="n">
        <v>1</v>
      </c>
      <c r="T40" s="18" t="n">
        <v>0</v>
      </c>
      <c r="U40" s="34" t="n">
        <v>0</v>
      </c>
    </row>
    <row r="41">
      <c r="A41" s="18" t="inlineStr">
        <is>
          <t>U023</t>
        </is>
      </c>
      <c r="B41" s="18" t="inlineStr">
        <is>
          <t>Administración Facultad de Filosofía y Letras</t>
        </is>
      </c>
      <c r="C41" s="18" t="inlineStr">
        <is>
          <t>DOCTORADO EN FILOSOFÍA Y LETRAS</t>
        </is>
      </c>
      <c r="D41" s="18" t="inlineStr">
        <is>
          <t>Rocamora Montenegro, Raquel</t>
        </is>
      </c>
      <c r="E41" s="18" t="inlineStr">
        <is>
          <t>IDEOLOGÍA Y ESTÉTICA DE LO ERÓTICO EN LA POESÍA ESPAÑOLA DEL SIGLO XVIII</t>
        </is>
      </c>
      <c r="F41" s="18" t="inlineStr">
        <is>
          <t>29/01/2025</t>
        </is>
      </c>
      <c r="G41" s="18" t="inlineStr">
        <is>
          <t>21473357M</t>
        </is>
      </c>
      <c r="H41" s="18" t="inlineStr">
        <is>
          <t>Codirector de tesis</t>
        </is>
      </c>
      <c r="I41" s="18" t="inlineStr">
        <is>
          <t>B115</t>
        </is>
      </c>
      <c r="J41" s="18" t="inlineStr">
        <is>
          <t>Filología Española, Lingüística General y Teoría de la Literatura</t>
        </is>
      </c>
      <c r="K41" s="25" t="n">
        <v>0.5</v>
      </c>
      <c r="L41" s="18" t="inlineStr">
        <is>
          <t>B115</t>
        </is>
      </c>
      <c r="M41" s="18" t="n">
        <v>2024</v>
      </c>
      <c r="N41" s="19" t="inlineStr">
        <is>
          <t>10.23</t>
        </is>
      </c>
      <c r="O41" s="18" t="inlineStr">
        <is>
          <t>90</t>
        </is>
      </c>
      <c r="P41" s="19" t="inlineStr"/>
      <c r="Q41" s="18" t="inlineStr"/>
      <c r="R41" s="18" t="n">
        <v>10</v>
      </c>
      <c r="S41" s="18" t="n">
        <v>0.05</v>
      </c>
      <c r="T41" s="18" t="n">
        <v>0.45</v>
      </c>
      <c r="U41" s="34" t="n">
        <v>0</v>
      </c>
    </row>
    <row r="42">
      <c r="A42" s="18" t="inlineStr">
        <is>
          <t>U023</t>
        </is>
      </c>
      <c r="B42" s="18" t="inlineStr">
        <is>
          <t>Administración Facultad de Filosofía y Letras</t>
        </is>
      </c>
      <c r="C42" s="18" t="inlineStr">
        <is>
          <t>DOCTORADO EN FILOSOFÍA Y LETRAS</t>
        </is>
      </c>
      <c r="D42" s="18" t="inlineStr">
        <is>
          <t>Rocamora Montenegro, Raquel</t>
        </is>
      </c>
      <c r="E42" s="18" t="inlineStr">
        <is>
          <t>IDEOLOGÍA Y ESTÉTICA DE LO ERÓTICO EN LA POESÍA ESPAÑOLA DEL SIGLO XVIII</t>
        </is>
      </c>
      <c r="F42" s="18" t="inlineStr">
        <is>
          <t>29/01/2025</t>
        </is>
      </c>
      <c r="G42" s="18" t="inlineStr">
        <is>
          <t>33475941Q</t>
        </is>
      </c>
      <c r="H42" s="18" t="inlineStr">
        <is>
          <t>Codirector de tesis</t>
        </is>
      </c>
      <c r="I42" s="18" t="inlineStr">
        <is>
          <t>B115</t>
        </is>
      </c>
      <c r="J42" s="18" t="inlineStr">
        <is>
          <t>Filología Española, Lingüística General y Teoría de la Literatura</t>
        </is>
      </c>
      <c r="K42" s="25" t="n">
        <v>0.5</v>
      </c>
      <c r="L42" s="18" t="inlineStr">
        <is>
          <t>B115</t>
        </is>
      </c>
      <c r="M42" s="18" t="n">
        <v>2024</v>
      </c>
      <c r="N42" s="19" t="inlineStr"/>
      <c r="O42" s="18" t="inlineStr"/>
      <c r="P42" s="19" t="inlineStr"/>
      <c r="Q42" s="18" t="inlineStr"/>
      <c r="R42" s="18" t="n">
        <v>100</v>
      </c>
      <c r="S42" s="18" t="n">
        <v>0.5</v>
      </c>
      <c r="T42" s="18" t="n">
        <v>0</v>
      </c>
      <c r="U42" s="34" t="n">
        <v>0</v>
      </c>
    </row>
    <row r="43">
      <c r="A43" s="18" t="inlineStr">
        <is>
          <t>U023</t>
        </is>
      </c>
      <c r="B43" s="18" t="inlineStr">
        <is>
          <t>Administración Facultad de Filosofía y Letras</t>
        </is>
      </c>
      <c r="C43" s="18" t="inlineStr">
        <is>
          <t>DOCTORADO EN FILOSOFÍA Y LETRAS</t>
        </is>
      </c>
      <c r="D43" s="18" t="inlineStr">
        <is>
          <t>Stihi , Nabil</t>
        </is>
      </c>
      <c r="E43" s="18" t="inlineStr">
        <is>
          <t>EL DESARROLLO DE LA EXPRESIÓN ORAL EN LA ENSEÑANZA APRENDIZAJE DEL ESPAÑOL LENGUA EXTRANJERA PARA ESTUDIANTES ARGELINOS</t>
        </is>
      </c>
      <c r="F43" s="18" t="inlineStr">
        <is>
          <t>11/07/2025</t>
        </is>
      </c>
      <c r="G43" s="18" t="inlineStr">
        <is>
          <t>21442493F</t>
        </is>
      </c>
      <c r="H43" s="18" t="inlineStr">
        <is>
          <t>Director de tesis</t>
        </is>
      </c>
      <c r="I43" s="18" t="inlineStr">
        <is>
          <t>B115</t>
        </is>
      </c>
      <c r="J43" s="18" t="inlineStr">
        <is>
          <t>Filología Española, Lingüística General y Teoría de la Literatura</t>
        </is>
      </c>
      <c r="K43" s="25" t="n">
        <v>1</v>
      </c>
      <c r="L43" s="18" t="inlineStr">
        <is>
          <t>B115</t>
        </is>
      </c>
      <c r="M43" s="18" t="n">
        <v>2024</v>
      </c>
      <c r="N43" s="19" t="inlineStr">
        <is>
          <t>10.23</t>
        </is>
      </c>
      <c r="O43" s="18" t="inlineStr">
        <is>
          <t>10</t>
        </is>
      </c>
      <c r="P43" s="19" t="inlineStr">
        <is>
          <t>10.15</t>
        </is>
      </c>
      <c r="Q43" s="18" t="inlineStr">
        <is>
          <t>10</t>
        </is>
      </c>
      <c r="R43" s="18" t="n">
        <v>80</v>
      </c>
      <c r="S43" s="18" t="n">
        <v>0.8</v>
      </c>
      <c r="T43" s="18" t="n">
        <v>0.1</v>
      </c>
      <c r="U43" s="34" t="n">
        <v>0.1</v>
      </c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8" t="n"/>
      <c r="P44" s="7" t="n"/>
      <c r="Q44" s="8" t="n"/>
      <c r="R44" s="7" t="n"/>
      <c r="S44" s="43">
        <f>SUM(S2:S43)</f>
        <v/>
      </c>
      <c r="T44" s="7" t="n"/>
      <c r="U44" s="7" t="n"/>
    </row>
  </sheetData>
  <autoFilter ref="A1:U1">
    <sortState ref="A2:R1823">
      <sortCondition ref="D2:D1823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zoomScaleNormal="100" workbookViewId="0">
      <selection activeCell="X13" sqref="X13"/>
    </sheetView>
  </sheetViews>
  <sheetFormatPr baseColWidth="10" defaultColWidth="11.44140625" defaultRowHeight="13.2"/>
  <cols>
    <col width="10.88671875" bestFit="1" customWidth="1" style="13" min="1" max="1"/>
    <col width="38.88671875" bestFit="1" customWidth="1" style="13" min="2" max="2"/>
    <col width="17" bestFit="1" customWidth="1" style="13" min="3" max="3"/>
    <col width="3.33203125" bestFit="1" customWidth="1" style="13" min="4" max="9"/>
    <col width="13.109375" bestFit="1" customWidth="1" style="13" min="10" max="10"/>
    <col width="5.33203125" bestFit="1" customWidth="1" style="13" min="11" max="11"/>
    <col width="5.6640625" bestFit="1" customWidth="1" style="13" min="12" max="13"/>
    <col width="5.6640625" bestFit="1" customWidth="1" style="14" min="14" max="14"/>
    <col width="5.6640625" bestFit="1" customWidth="1" style="13" min="15" max="15"/>
    <col width="5.6640625" bestFit="1" customWidth="1" style="14" min="16" max="16"/>
    <col width="5.6640625" bestFit="1" customWidth="1" style="13" min="17" max="19"/>
    <col width="11.44140625" customWidth="1" style="13" min="20" max="16384"/>
  </cols>
  <sheetData>
    <row r="1" ht="60" customFormat="1" customHeight="1" s="12">
      <c r="A1" s="15" t="inlineStr">
        <is>
          <t>NIF</t>
        </is>
      </c>
      <c r="B1" s="15" t="inlineStr">
        <is>
          <t>NOMBRE_COMPLETO</t>
        </is>
      </c>
      <c r="C1" s="15" t="inlineStr">
        <is>
          <t>TIPO_SEXENIO</t>
        </is>
      </c>
      <c r="D1" s="16" t="inlineStr">
        <is>
          <t>2020</t>
        </is>
      </c>
      <c r="E1" s="16" t="inlineStr">
        <is>
          <t>2021</t>
        </is>
      </c>
      <c r="F1" s="16" t="inlineStr">
        <is>
          <t>2022</t>
        </is>
      </c>
      <c r="G1" s="16" t="inlineStr">
        <is>
          <t>2023</t>
        </is>
      </c>
      <c r="H1" s="16" t="inlineStr">
        <is>
          <t>2024</t>
        </is>
      </c>
      <c r="I1" s="16" t="inlineStr">
        <is>
          <t>2025</t>
        </is>
      </c>
      <c r="J1" s="15" t="inlineStr">
        <is>
          <t>Total general</t>
        </is>
      </c>
      <c r="K1" s="17" t="inlineStr">
        <is>
          <t>COD DEP</t>
        </is>
      </c>
      <c r="L1" s="10" t="inlineStr">
        <is>
          <t>INS
1</t>
        </is>
      </c>
      <c r="M1" s="10" t="inlineStr">
        <is>
          <t>DED
INS 1</t>
        </is>
      </c>
      <c r="N1" s="10" t="inlineStr">
        <is>
          <t>INS
2</t>
        </is>
      </c>
      <c r="O1" s="10" t="inlineStr">
        <is>
          <t>DED
INS 2</t>
        </is>
      </c>
      <c r="P1" s="11" t="inlineStr">
        <is>
          <t>DED
DEP</t>
        </is>
      </c>
      <c r="Q1" s="11" t="inlineStr">
        <is>
          <t>SEX
INS 1</t>
        </is>
      </c>
      <c r="R1" s="11" t="inlineStr">
        <is>
          <t>SEX
INS 2</t>
        </is>
      </c>
      <c r="S1" s="11" t="inlineStr">
        <is>
          <t>SEX
DEP</t>
        </is>
      </c>
    </row>
    <row r="2">
      <c r="A2" s="41" t="inlineStr">
        <is>
          <t>05150725J</t>
        </is>
      </c>
      <c r="B2" s="41" t="inlineStr">
        <is>
          <t>Cifuentes Honrubia, José Luis</t>
        </is>
      </c>
      <c r="C2" s="41" t="inlineStr">
        <is>
          <t>FUNCIONARIO</t>
        </is>
      </c>
      <c r="D2" s="41" t="n"/>
      <c r="E2" s="41" t="n"/>
      <c r="F2" s="41" t="n"/>
      <c r="G2" s="41" t="n">
        <v>1</v>
      </c>
      <c r="H2" s="41" t="n"/>
      <c r="I2" s="41" t="n"/>
      <c r="J2" s="41" t="n">
        <v>1</v>
      </c>
      <c r="K2" s="41" t="inlineStr">
        <is>
          <t>B115</t>
        </is>
      </c>
      <c r="L2" s="41" t="inlineStr">
        <is>
          <t>10.25</t>
        </is>
      </c>
      <c r="M2" s="41" t="inlineStr">
        <is>
          <t>30</t>
        </is>
      </c>
      <c r="N2" s="42" t="inlineStr">
        <is>
          <t>10.15</t>
        </is>
      </c>
      <c r="O2" s="41" t="inlineStr">
        <is>
          <t>10</t>
        </is>
      </c>
      <c r="P2" s="42" t="n">
        <v>60</v>
      </c>
      <c r="Q2" s="41" t="n">
        <v>0.3</v>
      </c>
      <c r="R2" s="41" t="n">
        <v>0.1</v>
      </c>
      <c r="S2" s="41" t="n">
        <v>0.6</v>
      </c>
    </row>
    <row r="3">
      <c r="A3" s="41" t="inlineStr">
        <is>
          <t>07809701M</t>
        </is>
      </c>
      <c r="B3" s="41" t="inlineStr">
        <is>
          <t>Prieto de Paula, Ángel Luis</t>
        </is>
      </c>
      <c r="C3" s="41" t="inlineStr">
        <is>
          <t>FUNCIONARIO</t>
        </is>
      </c>
      <c r="D3" s="41" t="n"/>
      <c r="E3" s="41" t="n"/>
      <c r="F3" s="41" t="n"/>
      <c r="G3" s="41" t="n"/>
      <c r="H3" s="41" t="n"/>
      <c r="I3" s="41" t="n">
        <v>1</v>
      </c>
      <c r="J3" s="41" t="n">
        <v>1</v>
      </c>
      <c r="K3" s="41" t="inlineStr">
        <is>
          <t>B115</t>
        </is>
      </c>
      <c r="L3" s="41" t="n">
        <v>0</v>
      </c>
      <c r="M3" s="41" t="n">
        <v>0</v>
      </c>
      <c r="N3" s="42" t="inlineStr"/>
      <c r="O3" s="41" t="inlineStr"/>
      <c r="P3" s="42" t="n">
        <v>100</v>
      </c>
      <c r="Q3" s="41" t="n">
        <v>0</v>
      </c>
      <c r="R3" s="41" t="n">
        <v>0</v>
      </c>
      <c r="S3" s="41" t="n">
        <v>1</v>
      </c>
    </row>
    <row r="4">
      <c r="A4" s="41" t="inlineStr">
        <is>
          <t>09351665A</t>
        </is>
      </c>
      <c r="B4" s="41" t="inlineStr">
        <is>
          <t>Baños Vallejo, Fernando Juan</t>
        </is>
      </c>
      <c r="C4" s="41" t="inlineStr">
        <is>
          <t>FUNCIONARIO</t>
        </is>
      </c>
      <c r="D4" s="41" t="n"/>
      <c r="E4" s="41" t="n"/>
      <c r="F4" s="41" t="n"/>
      <c r="G4" s="41" t="n">
        <v>1</v>
      </c>
      <c r="H4" s="41" t="n"/>
      <c r="I4" s="41" t="n"/>
      <c r="J4" s="41" t="n">
        <v>1</v>
      </c>
      <c r="K4" s="41" t="inlineStr">
        <is>
          <t>B115</t>
        </is>
      </c>
      <c r="L4" s="41" t="n">
        <v>0</v>
      </c>
      <c r="M4" s="41" t="n">
        <v>0</v>
      </c>
      <c r="N4" s="42" t="inlineStr"/>
      <c r="O4" s="41" t="inlineStr"/>
      <c r="P4" s="42" t="n">
        <v>100</v>
      </c>
      <c r="Q4" s="41" t="n">
        <v>0</v>
      </c>
      <c r="R4" s="41" t="n">
        <v>0</v>
      </c>
      <c r="S4" s="41" t="n">
        <v>1</v>
      </c>
    </row>
    <row r="5">
      <c r="A5" s="41" t="inlineStr">
        <is>
          <t>20418903D</t>
        </is>
      </c>
      <c r="B5" s="41" t="inlineStr">
        <is>
          <t>Tortosa Garrigos, Virgilio</t>
        </is>
      </c>
      <c r="C5" s="41" t="inlineStr">
        <is>
          <t>FUNCIONARIO</t>
        </is>
      </c>
      <c r="D5" s="41" t="n">
        <v>1</v>
      </c>
      <c r="E5" s="41" t="n"/>
      <c r="F5" s="41" t="n"/>
      <c r="G5" s="41" t="n"/>
      <c r="H5" s="41" t="n"/>
      <c r="I5" s="41" t="n"/>
      <c r="J5" s="41" t="n">
        <v>1</v>
      </c>
      <c r="K5" s="41" t="inlineStr">
        <is>
          <t>B115</t>
        </is>
      </c>
      <c r="L5" s="41" t="n">
        <v>0</v>
      </c>
      <c r="M5" s="41" t="n">
        <v>0</v>
      </c>
      <c r="N5" s="42" t="inlineStr"/>
      <c r="O5" s="41" t="inlineStr"/>
      <c r="P5" s="42" t="n">
        <v>100</v>
      </c>
      <c r="Q5" s="41" t="n">
        <v>0</v>
      </c>
      <c r="R5" s="41" t="n">
        <v>0</v>
      </c>
      <c r="S5" s="41" t="n">
        <v>1</v>
      </c>
    </row>
    <row r="6">
      <c r="A6" s="41" t="inlineStr">
        <is>
          <t>21410603H</t>
        </is>
      </c>
      <c r="B6" s="41" t="inlineStr">
        <is>
          <t>Ríos Carratalá, Juan Antonio</t>
        </is>
      </c>
      <c r="C6" s="41" t="inlineStr">
        <is>
          <t>FUNCIONARIO</t>
        </is>
      </c>
      <c r="D6" s="41" t="n"/>
      <c r="E6" s="41" t="n"/>
      <c r="F6" s="41" t="n"/>
      <c r="G6" s="41" t="n"/>
      <c r="H6" s="41" t="n">
        <v>1</v>
      </c>
      <c r="I6" s="41" t="n"/>
      <c r="J6" s="41" t="n">
        <v>1</v>
      </c>
      <c r="K6" s="41" t="inlineStr">
        <is>
          <t>B115</t>
        </is>
      </c>
      <c r="L6" s="41" t="n">
        <v>0</v>
      </c>
      <c r="M6" s="41" t="n">
        <v>0</v>
      </c>
      <c r="N6" s="42" t="inlineStr"/>
      <c r="O6" s="41" t="inlineStr"/>
      <c r="P6" s="42" t="n">
        <v>100</v>
      </c>
      <c r="Q6" s="41" t="n">
        <v>0</v>
      </c>
      <c r="R6" s="41" t="n">
        <v>0</v>
      </c>
      <c r="S6" s="41" t="n">
        <v>1</v>
      </c>
    </row>
    <row r="7">
      <c r="A7" s="41" t="inlineStr">
        <is>
          <t>21442493F</t>
        </is>
      </c>
      <c r="B7" s="41" t="inlineStr">
        <is>
          <t>Marimón Llorca, María del Carmen</t>
        </is>
      </c>
      <c r="C7" s="41" t="inlineStr">
        <is>
          <t>FUNCIONARIO</t>
        </is>
      </c>
      <c r="D7" s="41" t="n"/>
      <c r="E7" s="41" t="n"/>
      <c r="F7" s="41" t="n"/>
      <c r="G7" s="41" t="n">
        <v>1</v>
      </c>
      <c r="H7" s="41" t="n"/>
      <c r="I7" s="41" t="n"/>
      <c r="J7" s="41" t="n">
        <v>1</v>
      </c>
      <c r="K7" s="41" t="inlineStr">
        <is>
          <t>B115</t>
        </is>
      </c>
      <c r="L7" s="41" t="inlineStr">
        <is>
          <t>10.23</t>
        </is>
      </c>
      <c r="M7" s="41" t="inlineStr">
        <is>
          <t>10</t>
        </is>
      </c>
      <c r="N7" s="42" t="inlineStr">
        <is>
          <t>10.15</t>
        </is>
      </c>
      <c r="O7" s="41" t="inlineStr">
        <is>
          <t>10</t>
        </is>
      </c>
      <c r="P7" s="42" t="n">
        <v>80</v>
      </c>
      <c r="Q7" s="41" t="n">
        <v>0.1</v>
      </c>
      <c r="R7" s="41" t="n">
        <v>0.1</v>
      </c>
      <c r="S7" s="41" t="n">
        <v>0.8</v>
      </c>
    </row>
    <row r="8">
      <c r="A8" s="41" t="inlineStr">
        <is>
          <t>21473357M</t>
        </is>
      </c>
      <c r="B8" s="41" t="inlineStr">
        <is>
          <t>Establier Pérez, Helena</t>
        </is>
      </c>
      <c r="C8" s="41" t="inlineStr">
        <is>
          <t>FUNCIONARIO</t>
        </is>
      </c>
      <c r="D8" s="41" t="n"/>
      <c r="E8" s="41" t="n"/>
      <c r="F8" s="41" t="n">
        <v>1</v>
      </c>
      <c r="G8" s="41" t="n"/>
      <c r="H8" s="41" t="n"/>
      <c r="I8" s="41" t="n"/>
      <c r="J8" s="41" t="n">
        <v>1</v>
      </c>
      <c r="K8" s="41" t="inlineStr">
        <is>
          <t>B115</t>
        </is>
      </c>
      <c r="L8" s="41" t="inlineStr">
        <is>
          <t>10.23</t>
        </is>
      </c>
      <c r="M8" s="41" t="inlineStr">
        <is>
          <t>90</t>
        </is>
      </c>
      <c r="N8" s="42" t="inlineStr"/>
      <c r="O8" s="41" t="inlineStr"/>
      <c r="P8" s="42" t="n">
        <v>10</v>
      </c>
      <c r="Q8" s="41" t="n">
        <v>0.9</v>
      </c>
      <c r="R8" s="41" t="n">
        <v>0</v>
      </c>
      <c r="S8" s="41" t="n">
        <v>0.1</v>
      </c>
    </row>
    <row r="9">
      <c r="A9" s="41" t="inlineStr">
        <is>
          <t>21485505D</t>
        </is>
      </c>
      <c r="B9" s="41" t="inlineStr">
        <is>
          <t>Aracil Varón, María Beatriz</t>
        </is>
      </c>
      <c r="C9" s="41" t="inlineStr">
        <is>
          <t>FUNCIONARIO</t>
        </is>
      </c>
      <c r="D9" s="41" t="n"/>
      <c r="E9" s="41" t="n"/>
      <c r="F9" s="41" t="n"/>
      <c r="G9" s="41" t="n">
        <v>1</v>
      </c>
      <c r="H9" s="41" t="n"/>
      <c r="I9" s="41" t="n"/>
      <c r="J9" s="41" t="n">
        <v>1</v>
      </c>
      <c r="K9" s="41" t="inlineStr">
        <is>
          <t>B115</t>
        </is>
      </c>
      <c r="L9" s="41" t="n">
        <v>0</v>
      </c>
      <c r="M9" s="41" t="n">
        <v>0</v>
      </c>
      <c r="N9" s="42" t="inlineStr"/>
      <c r="O9" s="41" t="inlineStr"/>
      <c r="P9" s="42" t="n">
        <v>100</v>
      </c>
      <c r="Q9" s="41" t="n">
        <v>0</v>
      </c>
      <c r="R9" s="41" t="n">
        <v>0</v>
      </c>
      <c r="S9" s="41" t="n">
        <v>1</v>
      </c>
    </row>
    <row r="10">
      <c r="A10" s="41" t="inlineStr">
        <is>
          <t>22119425A</t>
        </is>
      </c>
      <c r="B10" s="41" t="inlineStr">
        <is>
          <t>Chico Rico, Francisco</t>
        </is>
      </c>
      <c r="C10" s="41" t="inlineStr">
        <is>
          <t>FUNCIONARIO</t>
        </is>
      </c>
      <c r="D10" s="41" t="n"/>
      <c r="E10" s="41" t="n"/>
      <c r="F10" s="41" t="n">
        <v>1</v>
      </c>
      <c r="G10" s="41" t="n"/>
      <c r="H10" s="41" t="n"/>
      <c r="I10" s="41" t="n"/>
      <c r="J10" s="41" t="n">
        <v>1</v>
      </c>
      <c r="K10" s="41" t="inlineStr">
        <is>
          <t>B115</t>
        </is>
      </c>
      <c r="L10" s="41" t="n">
        <v>0</v>
      </c>
      <c r="M10" s="41" t="n">
        <v>0</v>
      </c>
      <c r="N10" s="42" t="inlineStr"/>
      <c r="O10" s="41" t="inlineStr"/>
      <c r="P10" s="42" t="n">
        <v>100</v>
      </c>
      <c r="Q10" s="41" t="n">
        <v>0</v>
      </c>
      <c r="R10" s="41" t="n">
        <v>0</v>
      </c>
      <c r="S10" s="41" t="n">
        <v>1</v>
      </c>
    </row>
    <row r="11">
      <c r="A11" s="41" t="inlineStr">
        <is>
          <t>22121930R</t>
        </is>
      </c>
      <c r="B11" s="41" t="inlineStr">
        <is>
          <t>Martínez Egido, José Joaquín</t>
        </is>
      </c>
      <c r="C11" s="41" t="inlineStr">
        <is>
          <t>FUNCIONARIO</t>
        </is>
      </c>
      <c r="D11" s="41" t="n"/>
      <c r="E11" s="41" t="n"/>
      <c r="F11" s="41" t="n"/>
      <c r="G11" s="41" t="n">
        <v>1</v>
      </c>
      <c r="H11" s="41" t="n"/>
      <c r="I11" s="41" t="n"/>
      <c r="J11" s="41" t="n">
        <v>1</v>
      </c>
      <c r="K11" s="41" t="inlineStr">
        <is>
          <t>B115</t>
        </is>
      </c>
      <c r="L11" s="41" t="inlineStr">
        <is>
          <t>10.15</t>
        </is>
      </c>
      <c r="M11" s="41" t="inlineStr">
        <is>
          <t>10</t>
        </is>
      </c>
      <c r="N11" s="42" t="inlineStr"/>
      <c r="O11" s="41" t="inlineStr"/>
      <c r="P11" s="42" t="n">
        <v>90</v>
      </c>
      <c r="Q11" s="41" t="n">
        <v>0.1</v>
      </c>
      <c r="R11" s="41" t="n">
        <v>0</v>
      </c>
      <c r="S11" s="41" t="n">
        <v>0.9</v>
      </c>
    </row>
    <row r="12">
      <c r="A12" s="41" t="inlineStr">
        <is>
          <t>22440772V</t>
        </is>
      </c>
      <c r="B12" s="41" t="inlineStr">
        <is>
          <t>Aullón de Haro, Pedro</t>
        </is>
      </c>
      <c r="C12" s="41" t="inlineStr">
        <is>
          <t>Emérito</t>
        </is>
      </c>
      <c r="D12" s="41" t="n"/>
      <c r="E12" s="41" t="n"/>
      <c r="F12" s="41" t="n"/>
      <c r="G12" s="41" t="n"/>
      <c r="H12" s="41" t="n"/>
      <c r="I12" s="41" t="n">
        <v>1</v>
      </c>
      <c r="J12" s="41" t="n">
        <v>1</v>
      </c>
      <c r="K12" s="41" t="inlineStr">
        <is>
          <t>B115</t>
        </is>
      </c>
      <c r="L12" s="41" t="n">
        <v>0</v>
      </c>
      <c r="M12" s="41" t="n">
        <v>0</v>
      </c>
      <c r="N12" s="42" t="inlineStr"/>
      <c r="O12" s="41" t="inlineStr"/>
      <c r="P12" s="42" t="n">
        <v>100</v>
      </c>
      <c r="Q12" s="41" t="n">
        <v>0</v>
      </c>
      <c r="R12" s="41" t="n">
        <v>0</v>
      </c>
      <c r="S12" s="41" t="n">
        <v>1</v>
      </c>
    </row>
    <row r="13">
      <c r="A13" s="41" t="inlineStr">
        <is>
          <t>25128914B</t>
        </is>
      </c>
      <c r="B13" s="41" t="inlineStr">
        <is>
          <t>Santamaría Pérez, Mª Isabel</t>
        </is>
      </c>
      <c r="C13" s="41" t="inlineStr">
        <is>
          <t>FUNCIONARIO</t>
        </is>
      </c>
      <c r="D13" s="41" t="n"/>
      <c r="E13" s="41" t="n"/>
      <c r="F13" s="41" t="n"/>
      <c r="G13" s="41" t="n"/>
      <c r="H13" s="41" t="n"/>
      <c r="I13" s="41" t="n">
        <v>1</v>
      </c>
      <c r="J13" s="41" t="n">
        <v>1</v>
      </c>
      <c r="K13" s="41" t="inlineStr">
        <is>
          <t>B115</t>
        </is>
      </c>
      <c r="L13" s="41" t="inlineStr">
        <is>
          <t>10.23</t>
        </is>
      </c>
      <c r="M13" s="41" t="inlineStr">
        <is>
          <t>20</t>
        </is>
      </c>
      <c r="N13" s="42" t="inlineStr">
        <is>
          <t>10.15</t>
        </is>
      </c>
      <c r="O13" s="41" t="inlineStr">
        <is>
          <t>10</t>
        </is>
      </c>
      <c r="P13" s="42" t="n">
        <v>70</v>
      </c>
      <c r="Q13" s="41" t="n">
        <v>0.2</v>
      </c>
      <c r="R13" s="41" t="n">
        <v>0.1</v>
      </c>
      <c r="S13" s="41" t="n">
        <v>0.7</v>
      </c>
    </row>
    <row r="14">
      <c r="A14" s="41" t="inlineStr">
        <is>
          <t>27325285C</t>
        </is>
      </c>
      <c r="B14" s="41" t="inlineStr">
        <is>
          <t>Navarro Carrasco, Ana Isabel</t>
        </is>
      </c>
      <c r="C14" s="41" t="inlineStr">
        <is>
          <t>Vivos</t>
        </is>
      </c>
      <c r="D14" s="41" t="n"/>
      <c r="E14" s="41" t="n"/>
      <c r="F14" s="41" t="n"/>
      <c r="G14" s="41" t="n"/>
      <c r="H14" s="41" t="n"/>
      <c r="I14" s="41" t="n">
        <v>1</v>
      </c>
      <c r="J14" s="41" t="n">
        <v>1</v>
      </c>
      <c r="K14" s="41" t="inlineStr">
        <is>
          <t>B115</t>
        </is>
      </c>
      <c r="L14" s="41" t="n">
        <v>0</v>
      </c>
      <c r="M14" s="41" t="n">
        <v>0</v>
      </c>
      <c r="N14" s="42" t="inlineStr"/>
      <c r="O14" s="41" t="inlineStr"/>
      <c r="P14" s="42" t="n">
        <v>100</v>
      </c>
      <c r="Q14" s="41" t="n">
        <v>0</v>
      </c>
      <c r="R14" s="41" t="n">
        <v>0</v>
      </c>
      <c r="S14" s="41" t="n">
        <v>1</v>
      </c>
    </row>
    <row r="15">
      <c r="A15" s="41" t="inlineStr">
        <is>
          <t>29008698V</t>
        </is>
      </c>
      <c r="B15" s="41" t="inlineStr">
        <is>
          <t>Pastor Cesteros, Susana</t>
        </is>
      </c>
      <c r="C15" s="41" t="inlineStr">
        <is>
          <t>FUNCIONARIO</t>
        </is>
      </c>
      <c r="D15" s="41" t="n"/>
      <c r="E15" s="41" t="n"/>
      <c r="F15" s="41" t="n"/>
      <c r="G15" s="41" t="n"/>
      <c r="H15" s="41" t="n">
        <v>1</v>
      </c>
      <c r="I15" s="41" t="n"/>
      <c r="J15" s="41" t="n">
        <v>1</v>
      </c>
      <c r="K15" s="41" t="inlineStr">
        <is>
          <t>B115</t>
        </is>
      </c>
      <c r="L15" s="41" t="inlineStr">
        <is>
          <t>10.15</t>
        </is>
      </c>
      <c r="M15" s="41" t="inlineStr">
        <is>
          <t>10</t>
        </is>
      </c>
      <c r="N15" s="42" t="inlineStr"/>
      <c r="O15" s="41" t="inlineStr"/>
      <c r="P15" s="42" t="n">
        <v>90</v>
      </c>
      <c r="Q15" s="41" t="n">
        <v>0.1</v>
      </c>
      <c r="R15" s="41" t="n">
        <v>0</v>
      </c>
      <c r="S15" s="41" t="n">
        <v>0.9</v>
      </c>
    </row>
    <row r="16">
      <c r="A16" s="41" t="inlineStr">
        <is>
          <t>29162329P</t>
        </is>
      </c>
      <c r="B16" s="41" t="inlineStr">
        <is>
          <t>Padilla García, José Antonio</t>
        </is>
      </c>
      <c r="C16" s="41" t="inlineStr">
        <is>
          <t>FUNCIONARIO</t>
        </is>
      </c>
      <c r="D16" s="41" t="n"/>
      <c r="E16" s="41" t="n">
        <v>1</v>
      </c>
      <c r="F16" s="41" t="n"/>
      <c r="G16" s="41" t="n"/>
      <c r="H16" s="41" t="n"/>
      <c r="I16" s="41" t="n"/>
      <c r="J16" s="41" t="n">
        <v>1</v>
      </c>
      <c r="K16" s="41" t="inlineStr">
        <is>
          <t>B115</t>
        </is>
      </c>
      <c r="L16" s="41" t="inlineStr">
        <is>
          <t>10.15</t>
        </is>
      </c>
      <c r="M16" s="41" t="inlineStr">
        <is>
          <t>10</t>
        </is>
      </c>
      <c r="N16" s="42" t="inlineStr"/>
      <c r="O16" s="41" t="inlineStr"/>
      <c r="P16" s="42" t="n">
        <v>90</v>
      </c>
      <c r="Q16" s="41" t="n">
        <v>0.1</v>
      </c>
      <c r="R16" s="41" t="n">
        <v>0</v>
      </c>
      <c r="S16" s="41" t="n">
        <v>0.9</v>
      </c>
    </row>
    <row r="17">
      <c r="A17" s="41" t="inlineStr">
        <is>
          <t>31832747B</t>
        </is>
      </c>
      <c r="B17" s="41" t="inlineStr">
        <is>
          <t>Jiménez Ruiz, Juan Luis</t>
        </is>
      </c>
      <c r="C17" s="41" t="inlineStr">
        <is>
          <t>Vivos</t>
        </is>
      </c>
      <c r="D17" s="41" t="n"/>
      <c r="E17" s="41" t="n"/>
      <c r="F17" s="41" t="n"/>
      <c r="G17" s="41" t="n"/>
      <c r="H17" s="41" t="n"/>
      <c r="I17" s="41" t="n">
        <v>1</v>
      </c>
      <c r="J17" s="41" t="n">
        <v>1</v>
      </c>
      <c r="K17" s="41" t="inlineStr">
        <is>
          <t>B115</t>
        </is>
      </c>
      <c r="L17" s="41" t="n">
        <v>0</v>
      </c>
      <c r="M17" s="41" t="n">
        <v>0</v>
      </c>
      <c r="N17" s="42" t="inlineStr"/>
      <c r="O17" s="41" t="inlineStr"/>
      <c r="P17" s="42" t="n">
        <v>100</v>
      </c>
      <c r="Q17" s="41" t="n">
        <v>0</v>
      </c>
      <c r="R17" s="41" t="n">
        <v>0</v>
      </c>
      <c r="S17" s="41" t="n">
        <v>1</v>
      </c>
    </row>
    <row r="18">
      <c r="A18" s="41" t="inlineStr">
        <is>
          <t>33475941Q</t>
        </is>
      </c>
      <c r="B18" s="41" t="inlineStr">
        <is>
          <t>Ferri Coll, José María</t>
        </is>
      </c>
      <c r="C18" s="41" t="inlineStr">
        <is>
          <t>FUNCIONARIO</t>
        </is>
      </c>
      <c r="D18" s="41" t="n"/>
      <c r="E18" s="41" t="n"/>
      <c r="F18" s="41" t="n"/>
      <c r="G18" s="41" t="n"/>
      <c r="H18" s="41" t="n">
        <v>1</v>
      </c>
      <c r="I18" s="41" t="n"/>
      <c r="J18" s="41" t="n">
        <v>1</v>
      </c>
      <c r="K18" s="41" t="inlineStr">
        <is>
          <t>B115</t>
        </is>
      </c>
      <c r="L18" s="41" t="n">
        <v>0</v>
      </c>
      <c r="M18" s="41" t="n">
        <v>0</v>
      </c>
      <c r="N18" s="42" t="inlineStr"/>
      <c r="O18" s="41" t="inlineStr"/>
      <c r="P18" s="42" t="n">
        <v>100</v>
      </c>
      <c r="Q18" s="41" t="n">
        <v>0</v>
      </c>
      <c r="R18" s="41" t="n">
        <v>0</v>
      </c>
      <c r="S18" s="41" t="n">
        <v>1</v>
      </c>
    </row>
    <row r="19">
      <c r="A19" s="41" t="inlineStr">
        <is>
          <t>33496411Q</t>
        </is>
      </c>
      <c r="B19" s="41" t="inlineStr">
        <is>
          <t>Fernández Jaén, Jorge</t>
        </is>
      </c>
      <c r="C19" s="41" t="inlineStr">
        <is>
          <t>FUNCIONARIO</t>
        </is>
      </c>
      <c r="D19" s="41" t="n">
        <v>1</v>
      </c>
      <c r="E19" s="41" t="n"/>
      <c r="F19" s="41" t="n"/>
      <c r="G19" s="41" t="n">
        <v>1</v>
      </c>
      <c r="H19" s="41" t="n"/>
      <c r="I19" s="41" t="n"/>
      <c r="J19" s="41" t="n">
        <v>2</v>
      </c>
      <c r="K19" s="41" t="inlineStr">
        <is>
          <t>B115</t>
        </is>
      </c>
      <c r="L19" s="41" t="inlineStr">
        <is>
          <t>10.25</t>
        </is>
      </c>
      <c r="M19" s="41" t="inlineStr">
        <is>
          <t>30</t>
        </is>
      </c>
      <c r="N19" s="42" t="inlineStr"/>
      <c r="O19" s="41" t="inlineStr"/>
      <c r="P19" s="42" t="n">
        <v>70</v>
      </c>
      <c r="Q19" s="41" t="n">
        <v>0.6</v>
      </c>
      <c r="R19" s="41" t="n">
        <v>0</v>
      </c>
      <c r="S19" s="41" t="n">
        <v>1.4</v>
      </c>
    </row>
    <row r="20">
      <c r="A20" s="41" t="inlineStr">
        <is>
          <t>44752168X</t>
        </is>
      </c>
      <c r="B20" s="41" t="inlineStr">
        <is>
          <t>Alvarado Ortega, María Belén</t>
        </is>
      </c>
      <c r="C20" s="41" t="inlineStr">
        <is>
          <t>FUNCIONARIO</t>
        </is>
      </c>
      <c r="D20" s="41" t="n"/>
      <c r="E20" s="41" t="n">
        <v>1</v>
      </c>
      <c r="F20" s="41" t="n"/>
      <c r="G20" s="41" t="n"/>
      <c r="H20" s="41" t="n"/>
      <c r="I20" s="41" t="n"/>
      <c r="J20" s="41" t="n">
        <v>1</v>
      </c>
      <c r="K20" s="41" t="inlineStr">
        <is>
          <t>B115</t>
        </is>
      </c>
      <c r="L20" s="41" t="inlineStr">
        <is>
          <t>10.15</t>
        </is>
      </c>
      <c r="M20" s="41" t="inlineStr">
        <is>
          <t>20</t>
        </is>
      </c>
      <c r="N20" s="42" t="inlineStr">
        <is>
          <t>10.25</t>
        </is>
      </c>
      <c r="O20" s="41" t="inlineStr">
        <is>
          <t>10</t>
        </is>
      </c>
      <c r="P20" s="42" t="n">
        <v>70</v>
      </c>
      <c r="Q20" s="41" t="n">
        <v>0.2</v>
      </c>
      <c r="R20" s="41" t="n">
        <v>0.1</v>
      </c>
      <c r="S20" s="41" t="n">
        <v>0.7</v>
      </c>
    </row>
    <row r="21">
      <c r="A21" s="41" t="inlineStr">
        <is>
          <t>45568488Z</t>
        </is>
      </c>
      <c r="B21" s="41" t="inlineStr">
        <is>
          <t>Rodríguez Rosique, Susana</t>
        </is>
      </c>
      <c r="C21" s="41" t="inlineStr">
        <is>
          <t>FUNCIONARIO</t>
        </is>
      </c>
      <c r="D21" s="41" t="n"/>
      <c r="E21" s="41" t="n"/>
      <c r="F21" s="41" t="n">
        <v>1</v>
      </c>
      <c r="G21" s="41" t="n"/>
      <c r="H21" s="41" t="n"/>
      <c r="I21" s="41" t="n"/>
      <c r="J21" s="41" t="n">
        <v>1</v>
      </c>
      <c r="K21" s="41" t="inlineStr">
        <is>
          <t>B115</t>
        </is>
      </c>
      <c r="L21" s="41" t="inlineStr">
        <is>
          <t>10.25</t>
        </is>
      </c>
      <c r="M21" s="41" t="inlineStr">
        <is>
          <t>30</t>
        </is>
      </c>
      <c r="N21" s="42" t="inlineStr"/>
      <c r="O21" s="41" t="inlineStr"/>
      <c r="P21" s="42" t="n">
        <v>70</v>
      </c>
      <c r="Q21" s="41" t="n">
        <v>0.3</v>
      </c>
      <c r="R21" s="41" t="n">
        <v>0</v>
      </c>
      <c r="S21" s="41" t="n">
        <v>0.7</v>
      </c>
    </row>
    <row r="22">
      <c r="A22" s="41" t="inlineStr">
        <is>
          <t>46085014Y</t>
        </is>
      </c>
      <c r="B22" s="41" t="inlineStr">
        <is>
          <t>Timofeeva Timofeev, Larissa</t>
        </is>
      </c>
      <c r="C22" s="41" t="inlineStr">
        <is>
          <t>FUNCIONARIO</t>
        </is>
      </c>
      <c r="D22" s="41" t="n">
        <v>1</v>
      </c>
      <c r="E22" s="41" t="n"/>
      <c r="F22" s="41" t="n"/>
      <c r="G22" s="41" t="n"/>
      <c r="H22" s="41" t="n"/>
      <c r="I22" s="41" t="n"/>
      <c r="J22" s="41" t="n">
        <v>1</v>
      </c>
      <c r="K22" s="41" t="inlineStr">
        <is>
          <t>B115</t>
        </is>
      </c>
      <c r="L22" s="41" t="inlineStr">
        <is>
          <t>10.15</t>
        </is>
      </c>
      <c r="M22" s="41" t="inlineStr">
        <is>
          <t>10</t>
        </is>
      </c>
      <c r="N22" s="42" t="inlineStr">
        <is>
          <t>10.23</t>
        </is>
      </c>
      <c r="O22" s="41" t="inlineStr">
        <is>
          <t>20</t>
        </is>
      </c>
      <c r="P22" s="42" t="n">
        <v>70</v>
      </c>
      <c r="Q22" s="41" t="n">
        <v>0.1</v>
      </c>
      <c r="R22" s="41" t="n">
        <v>0.2</v>
      </c>
      <c r="S22" s="41" t="n">
        <v>0.7</v>
      </c>
    </row>
    <row r="23">
      <c r="A23" s="41" t="inlineStr">
        <is>
          <t>47082357T</t>
        </is>
      </c>
      <c r="B23" s="41" t="inlineStr">
        <is>
          <t>García Valero, Benito Elías</t>
        </is>
      </c>
      <c r="C23" s="41" t="inlineStr">
        <is>
          <t>FUNCIONARIO</t>
        </is>
      </c>
      <c r="D23" s="41" t="n"/>
      <c r="E23" s="41" t="n"/>
      <c r="F23" s="41" t="n"/>
      <c r="G23" s="41" t="n"/>
      <c r="H23" s="41" t="n">
        <v>2</v>
      </c>
      <c r="I23" s="41" t="n"/>
      <c r="J23" s="41" t="n">
        <v>2</v>
      </c>
      <c r="K23" s="41" t="inlineStr">
        <is>
          <t>B115</t>
        </is>
      </c>
      <c r="L23" s="41" t="n">
        <v>0</v>
      </c>
      <c r="M23" s="41" t="n">
        <v>0</v>
      </c>
      <c r="N23" s="42" t="inlineStr"/>
      <c r="O23" s="41" t="inlineStr"/>
      <c r="P23" s="42" t="n">
        <v>100</v>
      </c>
      <c r="Q23" s="41" t="n">
        <v>0</v>
      </c>
      <c r="R23" s="41" t="n">
        <v>0</v>
      </c>
      <c r="S23" s="41" t="n">
        <v>2</v>
      </c>
    </row>
    <row r="24">
      <c r="A24" s="41" t="inlineStr">
        <is>
          <t>48341145K</t>
        </is>
      </c>
      <c r="B24" s="41" t="inlineStr">
        <is>
          <t>Barrajón López, Elisa</t>
        </is>
      </c>
      <c r="C24" s="41" t="inlineStr">
        <is>
          <t>FUNCIONARIO</t>
        </is>
      </c>
      <c r="D24" s="41" t="n"/>
      <c r="E24" s="41" t="n"/>
      <c r="F24" s="41" t="n"/>
      <c r="G24" s="41" t="n"/>
      <c r="H24" s="41" t="n"/>
      <c r="I24" s="41" t="n">
        <v>2</v>
      </c>
      <c r="J24" s="41" t="n">
        <v>2</v>
      </c>
      <c r="K24" s="41" t="inlineStr">
        <is>
          <t>B115</t>
        </is>
      </c>
      <c r="L24" s="41" t="inlineStr">
        <is>
          <t>10.25</t>
        </is>
      </c>
      <c r="M24" s="41" t="inlineStr">
        <is>
          <t>30</t>
        </is>
      </c>
      <c r="N24" s="42" t="inlineStr"/>
      <c r="O24" s="41" t="inlineStr"/>
      <c r="P24" s="42" t="n">
        <v>70</v>
      </c>
      <c r="Q24" s="41" t="n">
        <v>0.6</v>
      </c>
      <c r="R24" s="41" t="n">
        <v>0</v>
      </c>
      <c r="S24" s="41" t="n">
        <v>1.4</v>
      </c>
    </row>
    <row r="25">
      <c r="A25" s="41" t="inlineStr">
        <is>
          <t>48561783C</t>
        </is>
      </c>
      <c r="B25" s="41" t="inlineStr">
        <is>
          <t>Lavale Ortiz, Ruth María</t>
        </is>
      </c>
      <c r="C25" s="41" t="inlineStr">
        <is>
          <t>FUNCIONARIO</t>
        </is>
      </c>
      <c r="D25" s="41" t="n"/>
      <c r="E25" s="41" t="n"/>
      <c r="F25" s="41" t="n"/>
      <c r="G25" s="41" t="n">
        <v>2</v>
      </c>
      <c r="H25" s="41" t="n"/>
      <c r="I25" s="41" t="n"/>
      <c r="J25" s="41" t="n">
        <v>2</v>
      </c>
      <c r="K25" s="41" t="inlineStr">
        <is>
          <t>B115</t>
        </is>
      </c>
      <c r="L25" s="41" t="inlineStr">
        <is>
          <t>10.25</t>
        </is>
      </c>
      <c r="M25" s="41" t="inlineStr">
        <is>
          <t>30</t>
        </is>
      </c>
      <c r="N25" s="42" t="inlineStr"/>
      <c r="O25" s="41" t="inlineStr"/>
      <c r="P25" s="42" t="n">
        <v>70</v>
      </c>
      <c r="Q25" s="41" t="n">
        <v>0.6</v>
      </c>
      <c r="R25" s="41" t="n">
        <v>0</v>
      </c>
      <c r="S25" s="41" t="n">
        <v>1.4</v>
      </c>
    </row>
    <row r="26">
      <c r="A26" s="41" t="inlineStr">
        <is>
          <t>48574813D</t>
        </is>
      </c>
      <c r="B26" s="41" t="inlineStr">
        <is>
          <t>Palomo Alepuz, Laura Cristina</t>
        </is>
      </c>
      <c r="C26" s="41" t="inlineStr">
        <is>
          <t>FUNCIONARIO</t>
        </is>
      </c>
      <c r="D26" s="41" t="n"/>
      <c r="E26" s="41" t="n"/>
      <c r="F26" s="41" t="n"/>
      <c r="G26" s="41" t="n"/>
      <c r="H26" s="41" t="n"/>
      <c r="I26" s="41" t="n">
        <v>1</v>
      </c>
      <c r="J26" s="41" t="n">
        <v>1</v>
      </c>
      <c r="K26" s="41" t="inlineStr">
        <is>
          <t>B115</t>
        </is>
      </c>
      <c r="L26" s="41" t="inlineStr">
        <is>
          <t>10.23</t>
        </is>
      </c>
      <c r="M26" s="41" t="inlineStr">
        <is>
          <t>20</t>
        </is>
      </c>
      <c r="N26" s="42" t="inlineStr"/>
      <c r="O26" s="41" t="inlineStr"/>
      <c r="P26" s="42" t="n">
        <v>80</v>
      </c>
      <c r="Q26" s="41" t="n">
        <v>0.2</v>
      </c>
      <c r="R26" s="41" t="n">
        <v>0</v>
      </c>
      <c r="S26" s="41" t="n">
        <v>0.8</v>
      </c>
    </row>
    <row r="27">
      <c r="A27" s="41" t="inlineStr">
        <is>
          <t>48707036M</t>
        </is>
      </c>
      <c r="B27" s="41" t="inlineStr">
        <is>
          <t>Uclés Ramada, Gloria</t>
        </is>
      </c>
      <c r="C27" s="41" t="inlineStr">
        <is>
          <t>NO FUNCIONARIO</t>
        </is>
      </c>
      <c r="D27" s="41" t="n"/>
      <c r="E27" s="41" t="n"/>
      <c r="F27" s="41" t="n"/>
      <c r="G27" s="41" t="n"/>
      <c r="H27" s="41" t="n">
        <v>1</v>
      </c>
      <c r="I27" s="41" t="n"/>
      <c r="J27" s="41" t="n">
        <v>1</v>
      </c>
      <c r="K27" s="41" t="inlineStr">
        <is>
          <t>B115</t>
        </is>
      </c>
      <c r="L27" s="41" t="n">
        <v>0</v>
      </c>
      <c r="M27" s="41" t="n">
        <v>0</v>
      </c>
      <c r="N27" s="42" t="inlineStr"/>
      <c r="O27" s="41" t="inlineStr"/>
      <c r="P27" s="42" t="n">
        <v>100</v>
      </c>
      <c r="Q27" s="41" t="n">
        <v>0</v>
      </c>
      <c r="R27" s="41" t="n">
        <v>0</v>
      </c>
      <c r="S27" s="41" t="n">
        <v>1</v>
      </c>
    </row>
    <row r="28">
      <c r="A28" s="41" t="inlineStr">
        <is>
          <t>52747327R</t>
        </is>
      </c>
      <c r="B28" s="41" t="inlineStr">
        <is>
          <t>Ruiz Gurillo, Leonor</t>
        </is>
      </c>
      <c r="C28" s="41" t="inlineStr">
        <is>
          <t>FUNCIONARIO</t>
        </is>
      </c>
      <c r="D28" s="41" t="n"/>
      <c r="E28" s="41" t="n"/>
      <c r="F28" s="41" t="n"/>
      <c r="G28" s="41" t="n">
        <v>1</v>
      </c>
      <c r="H28" s="41" t="n"/>
      <c r="I28" s="41" t="n"/>
      <c r="J28" s="41" t="n">
        <v>1</v>
      </c>
      <c r="K28" s="41" t="inlineStr">
        <is>
          <t>B115</t>
        </is>
      </c>
      <c r="L28" s="41" t="inlineStr">
        <is>
          <t>10.15</t>
        </is>
      </c>
      <c r="M28" s="41" t="inlineStr">
        <is>
          <t>40</t>
        </is>
      </c>
      <c r="N28" s="42" t="inlineStr"/>
      <c r="O28" s="41" t="inlineStr"/>
      <c r="P28" s="42" t="n">
        <v>60</v>
      </c>
      <c r="Q28" s="41" t="n">
        <v>0.4</v>
      </c>
      <c r="R28" s="41" t="n">
        <v>0</v>
      </c>
      <c r="S28" s="41" t="n">
        <v>0.6</v>
      </c>
    </row>
    <row r="29">
      <c r="A29" s="41" t="inlineStr">
        <is>
          <t>53145504W</t>
        </is>
      </c>
      <c r="B29" s="41" t="inlineStr">
        <is>
          <t>Galindo Merino, María del Mar</t>
        </is>
      </c>
      <c r="C29" s="41" t="inlineStr">
        <is>
          <t>NO FUNCIONARIO</t>
        </is>
      </c>
      <c r="D29" s="41" t="n"/>
      <c r="E29" s="41" t="n"/>
      <c r="F29" s="41" t="n"/>
      <c r="G29" s="41" t="n"/>
      <c r="H29" s="41" t="n">
        <v>1</v>
      </c>
      <c r="I29" s="41" t="n"/>
      <c r="J29" s="41" t="n">
        <v>1</v>
      </c>
      <c r="K29" s="41" t="inlineStr">
        <is>
          <t>B115</t>
        </is>
      </c>
      <c r="L29" s="41" t="inlineStr">
        <is>
          <t>10.23</t>
        </is>
      </c>
      <c r="M29" s="41" t="inlineStr">
        <is>
          <t>20</t>
        </is>
      </c>
      <c r="N29" s="42" t="inlineStr"/>
      <c r="O29" s="41" t="inlineStr"/>
      <c r="P29" s="42" t="n">
        <v>80</v>
      </c>
      <c r="Q29" s="41" t="n">
        <v>0.2</v>
      </c>
      <c r="R29" s="41" t="n">
        <v>0</v>
      </c>
      <c r="S29" s="41" t="n">
        <v>0.8</v>
      </c>
    </row>
    <row r="30">
      <c r="A30" s="41" t="inlineStr">
        <is>
          <t>53240328C</t>
        </is>
      </c>
      <c r="B30" s="41" t="inlineStr">
        <is>
          <t>Rodríguez Lifante, Alberto</t>
        </is>
      </c>
      <c r="C30" s="41" t="inlineStr">
        <is>
          <t>FUNCIONARIO</t>
        </is>
      </c>
      <c r="D30" s="41" t="n"/>
      <c r="E30" s="41" t="n"/>
      <c r="F30" s="41" t="n"/>
      <c r="G30" s="41" t="n"/>
      <c r="H30" s="41" t="n"/>
      <c r="I30" s="41" t="n">
        <v>2</v>
      </c>
      <c r="J30" s="41" t="n">
        <v>2</v>
      </c>
      <c r="K30" s="41" t="inlineStr">
        <is>
          <t>B115</t>
        </is>
      </c>
      <c r="L30" s="41" t="inlineStr">
        <is>
          <t>10.22</t>
        </is>
      </c>
      <c r="M30" s="41" t="inlineStr">
        <is>
          <t>40</t>
        </is>
      </c>
      <c r="N30" s="42" t="inlineStr">
        <is>
          <t>10.15</t>
        </is>
      </c>
      <c r="O30" s="41" t="inlineStr">
        <is>
          <t>20</t>
        </is>
      </c>
      <c r="P30" s="42" t="n">
        <v>40</v>
      </c>
      <c r="Q30" s="41" t="n">
        <v>0.8</v>
      </c>
      <c r="R30" s="41" t="n">
        <v>0.4</v>
      </c>
      <c r="S30" s="41" t="n">
        <v>0.8</v>
      </c>
    </row>
    <row r="31">
      <c r="A31" s="41" t="inlineStr">
        <is>
          <t>74084767L</t>
        </is>
      </c>
      <c r="B31" s="41" t="inlineStr">
        <is>
          <t>Alemany Bay, Carmen</t>
        </is>
      </c>
      <c r="C31" s="41" t="inlineStr">
        <is>
          <t>FUNCIONARIO</t>
        </is>
      </c>
      <c r="D31" s="41" t="n"/>
      <c r="E31" s="41" t="n"/>
      <c r="F31" s="41" t="n">
        <v>1</v>
      </c>
      <c r="G31" s="41" t="n"/>
      <c r="H31" s="41" t="n"/>
      <c r="I31" s="41" t="n"/>
      <c r="J31" s="41" t="n">
        <v>1</v>
      </c>
      <c r="K31" s="41" t="inlineStr">
        <is>
          <t>B115</t>
        </is>
      </c>
      <c r="L31" s="41" t="inlineStr">
        <is>
          <t>10.23</t>
        </is>
      </c>
      <c r="M31" s="41" t="inlineStr">
        <is>
          <t>50</t>
        </is>
      </c>
      <c r="N31" s="42" t="inlineStr"/>
      <c r="O31" s="41" t="inlineStr"/>
      <c r="P31" s="42" t="n">
        <v>50</v>
      </c>
      <c r="Q31" s="41" t="n">
        <v>0.5</v>
      </c>
      <c r="R31" s="41" t="n">
        <v>0</v>
      </c>
      <c r="S31" s="41" t="n">
        <v>0.5</v>
      </c>
    </row>
    <row r="32">
      <c r="A32" s="41" t="inlineStr">
        <is>
          <t>79100521W</t>
        </is>
      </c>
      <c r="B32" s="41" t="inlineStr">
        <is>
          <t>Valero Juan, Eva María</t>
        </is>
      </c>
      <c r="C32" s="41" t="inlineStr">
        <is>
          <t>FUNCIONARIO</t>
        </is>
      </c>
      <c r="D32" s="41" t="n"/>
      <c r="E32" s="41" t="n"/>
      <c r="F32" s="41" t="n"/>
      <c r="G32" s="41" t="n"/>
      <c r="H32" s="41" t="n">
        <v>1</v>
      </c>
      <c r="I32" s="41" t="n"/>
      <c r="J32" s="41" t="n">
        <v>1</v>
      </c>
      <c r="K32" s="41" t="inlineStr">
        <is>
          <t>B115</t>
        </is>
      </c>
      <c r="L32" s="41" t="n">
        <v>0</v>
      </c>
      <c r="M32" s="41" t="n">
        <v>0</v>
      </c>
      <c r="N32" s="42" t="inlineStr"/>
      <c r="O32" s="41" t="inlineStr"/>
      <c r="P32" s="42" t="n">
        <v>100</v>
      </c>
      <c r="Q32" s="41" t="n">
        <v>0</v>
      </c>
      <c r="R32" s="41" t="n">
        <v>0</v>
      </c>
      <c r="S32" s="41" t="n">
        <v>1</v>
      </c>
    </row>
    <row r="33">
      <c r="A33" s="41" t="inlineStr">
        <is>
          <t>Y0728239G</t>
        </is>
      </c>
      <c r="B33" s="41" t="inlineStr">
        <is>
          <t>Mombelli, Davide</t>
        </is>
      </c>
      <c r="C33" s="41" t="inlineStr">
        <is>
          <t>FUNCIONARIO</t>
        </is>
      </c>
      <c r="D33" s="41" t="n"/>
      <c r="E33" s="41" t="n"/>
      <c r="F33" s="41" t="n"/>
      <c r="G33" s="41" t="n"/>
      <c r="H33" s="41" t="n"/>
      <c r="I33" s="41" t="n">
        <v>1</v>
      </c>
      <c r="J33" s="41" t="n">
        <v>1</v>
      </c>
      <c r="K33" s="41" t="inlineStr">
        <is>
          <t>B115</t>
        </is>
      </c>
      <c r="L33" s="41" t="n">
        <v>0</v>
      </c>
      <c r="M33" s="41" t="n">
        <v>0</v>
      </c>
      <c r="N33" s="42" t="inlineStr"/>
      <c r="O33" s="41" t="inlineStr"/>
      <c r="P33" s="42" t="n">
        <v>100</v>
      </c>
      <c r="Q33" s="41" t="n">
        <v>0</v>
      </c>
      <c r="R33" s="41" t="n">
        <v>0</v>
      </c>
      <c r="S33" s="41" t="n">
        <v>1</v>
      </c>
    </row>
    <row r="34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9" t="n"/>
      <c r="O34" s="38" t="n"/>
      <c r="P34" s="39" t="n"/>
      <c r="Q34" s="38" t="n"/>
      <c r="R34" s="38" t="n"/>
      <c r="S34" s="40">
        <f>SUM(S2:S33)</f>
        <v/>
      </c>
    </row>
    <row r="37" ht="60" customFormat="1" customHeight="1" s="12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4" t="n"/>
      <c r="O37" s="13" t="n"/>
      <c r="P37" s="14" t="n"/>
      <c r="Q37" s="13" t="n"/>
      <c r="R37" s="13" t="n"/>
      <c r="S37" s="13" t="n"/>
      <c r="T37" s="13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E22" sqref="E22"/>
    </sheetView>
  </sheetViews>
  <sheetFormatPr baseColWidth="10" defaultRowHeight="14.4"/>
  <cols>
    <col width="17" customWidth="1" min="1" max="1"/>
    <col width="62.5546875" customWidth="1" min="2" max="2"/>
    <col width="16" customWidth="1" min="3" max="3"/>
  </cols>
  <sheetData>
    <row r="1">
      <c r="A1" s="44" t="inlineStr">
        <is>
          <t>Cód. org. aplic.</t>
        </is>
      </c>
      <c r="B1" s="44" t="inlineStr">
        <is>
          <t>Descripción justificante</t>
        </is>
      </c>
      <c r="C1" s="44" t="inlineStr">
        <is>
          <t>Imp.cob.aplic.</t>
        </is>
      </c>
    </row>
    <row r="2">
      <c r="A2" s="35" t="inlineStr">
        <is>
          <t>30.70.6P.00.18</t>
        </is>
      </c>
      <c r="B2" s="35" t="inlineStr">
        <is>
          <t>DEVOLUCIÓN DE INGRESOS_MODELO 069_ Expediente o Referencia:173-P56603-202212210097811</t>
        </is>
      </c>
      <c r="C2" s="89" t="n">
        <v>-14.28</v>
      </c>
    </row>
    <row r="3">
      <c r="A3" s="36" t="inlineStr">
        <is>
          <t>30.70.6P.00.18</t>
        </is>
      </c>
      <c r="B3" s="36" t="inlineStr">
        <is>
          <t>DEVOLUCIÓN DE INGRESOS_CARTA DE PAGO_Referencia:PGC2018-098126-B-I00</t>
        </is>
      </c>
      <c r="C3" s="90" t="n">
        <v>-14.28</v>
      </c>
    </row>
    <row r="4">
      <c r="A4" s="48" t="inlineStr">
        <is>
          <t>30.70.6P.00.23</t>
        </is>
      </c>
      <c r="B4" s="48" t="inlineStr">
        <is>
          <t>AYUDAS MEMUNI/2023/2, MEMUNI/2023/3, MEMUNI/2023/5</t>
        </is>
      </c>
      <c r="C4" s="91" t="n">
        <v>6950</v>
      </c>
    </row>
    <row r="5">
      <c r="A5" s="45" t="inlineStr">
        <is>
          <t>Total</t>
        </is>
      </c>
      <c r="B5" s="45" t="n"/>
      <c r="C5" s="92">
        <f>SUBTOTAL(109,Tabla2[Imp.cob.aplic.])</f>
        <v/>
      </c>
    </row>
    <row r="6">
      <c r="C6" s="9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topLeftCell="A31" workbookViewId="0">
      <selection activeCell="B55" sqref="B55:C55"/>
    </sheetView>
  </sheetViews>
  <sheetFormatPr baseColWidth="10" defaultRowHeight="14.4"/>
  <cols>
    <col width="15.33203125" customWidth="1" min="1" max="1"/>
    <col width="69.88671875" customWidth="1" min="2" max="2"/>
    <col width="13.109375" customWidth="1" min="3" max="3"/>
  </cols>
  <sheetData>
    <row r="1">
      <c r="A1" s="52" t="inlineStr">
        <is>
          <t>Org. aplic.</t>
        </is>
      </c>
      <c r="B1" s="52" t="inlineStr">
        <is>
          <t>Descripción justificante</t>
        </is>
      </c>
      <c r="C1" s="94" t="inlineStr">
        <is>
          <t>Imp. aplic.</t>
        </is>
      </c>
    </row>
    <row r="2">
      <c r="A2" s="50" t="inlineStr">
        <is>
          <t>30.70.6C.00.01</t>
        </is>
      </c>
      <c r="B2" s="50" t="inlineStr">
        <is>
          <t>INGRESO PERCIBIDO POR LA UNIVERSIDAD DE ALICANTE EN VIRTUD DE ACUERDO ENTRE LA UNIVERSIDAD DE ALICANTE Y LA UNIVERSIDAD DE MALASIA.</t>
        </is>
      </c>
      <c r="C2" s="89" t="n">
        <v>426.2</v>
      </c>
    </row>
    <row r="3">
      <c r="A3" s="51" t="inlineStr">
        <is>
          <t>30.70.6G.00.04</t>
        </is>
      </c>
      <c r="B3" s="51" t="inlineStr">
        <is>
          <t>INSCRIPCIÓN AL IV ENCUENTRO IBEROAMERICANO DE RETÓRICA A NOMBRE DE GÓMEZ CARDÓ, PILAR. DEL 4 AL 6 DE SEPTIEMBRE DE 2024. UNIVERSIDAD DE ALICANTE</t>
        </is>
      </c>
      <c r="C3" s="90" t="n">
        <v>120</v>
      </c>
    </row>
    <row r="4">
      <c r="A4" s="50" t="inlineStr">
        <is>
          <t>30.70.6G.00.04</t>
        </is>
      </c>
      <c r="B4" s="50" t="inlineStr">
        <is>
          <t>INSCRIPCIÓN DE ELIA OTRANTO AL IV ENCUENTRO IBEROAMERICANO DE RETÓRICA Y I CONGRESO INTERNACIONAL DE LA SOCIEDAD ESPAÑOLA DE RETÓRICA: "PURA RETÓRICA: TRADICIÓN Y MODERNIDAD EN LOS ESTUDIOS DEL DISCURSO", UNIVERSIDAD DE ALICANTE</t>
        </is>
      </c>
      <c r="C4" s="89" t="n">
        <v>60</v>
      </c>
    </row>
    <row r="5">
      <c r="A5" s="51" t="inlineStr">
        <is>
          <t>30.70.6G.00.04</t>
        </is>
      </c>
      <c r="B5" s="51" t="inlineStr">
        <is>
          <t>Liq_JyC_2024__IV_Retórica_01__IV Encuentro Iberoamericano de Retórica y I Congreso Internacional de la Sociedad Española de Retórica: "Pura Retórica: Tradición y Modernidad en los Estudios del Discurso"</t>
        </is>
      </c>
      <c r="C5" s="90" t="n">
        <v>317.2</v>
      </c>
    </row>
    <row r="6">
      <c r="A6" s="50" t="inlineStr">
        <is>
          <t>30.70.6G.00.04</t>
        </is>
      </c>
      <c r="B6" s="50" t="inlineStr">
        <is>
          <t>INSCRIPCIÓN AL IV ENCUENTRO IBEROAMERICANO DE RETÓRICA A NOMBRE DE MARTÍNEZ MORAGA, CONSUELO DEL 4 AL 6 DE SEPTIEMBRE  DE 2024. UNIVERSIDAD DE ALICANTE</t>
        </is>
      </c>
      <c r="C6" s="89" t="n">
        <v>120</v>
      </c>
    </row>
    <row r="7">
      <c r="A7" s="51" t="inlineStr">
        <is>
          <t>30.70.6G.00.04</t>
        </is>
      </c>
      <c r="B7" s="51" t="inlineStr">
        <is>
          <t>Liq_JyC_2024__IV_Retórica_02__IV Encuentro Iberoamericano de Retórica y I Congreso Internacional de la Sociedad Española de Retórica: "Pura Retórica: Tradición y Modernidad en los Estudios del Discurso"</t>
        </is>
      </c>
      <c r="C7" s="90" t="n">
        <v>980.85</v>
      </c>
    </row>
    <row r="8">
      <c r="A8" s="50" t="inlineStr">
        <is>
          <t>30.70.6G.00.04</t>
        </is>
      </c>
      <c r="B8" s="50" t="inlineStr">
        <is>
          <t>INSCRIPCIÓN AL IV ENCUENTRO IBEROAMERICANO DE RETÓRICA A NOMBRE DE JUAN MANUEL ARRIAGA BENÍTEZ, DEL 4 AL 6 DE SEPTIEMBRE DE 2024. UNIVERSIDAD DE ALICANTE</t>
        </is>
      </c>
      <c r="C8" s="89" t="n">
        <v>60</v>
      </c>
    </row>
    <row r="9">
      <c r="A9" s="51" t="inlineStr">
        <is>
          <t>30.70.6G.00.04</t>
        </is>
      </c>
      <c r="B9" s="51" t="inlineStr">
        <is>
          <t>INSCRIPCIÓN AL IV ENCUENTRO IBEROAMERICANO DE RETÓRICA A NOMBRE DE HOMAR PÉREZ, ROSER, DEL 4 AL 6 DE SEPTIEMBRE DE 2024. UNIVERSIDAD DE ALICANTE</t>
        </is>
      </c>
      <c r="C9" s="90" t="n">
        <v>120</v>
      </c>
    </row>
    <row r="10">
      <c r="A10" s="50" t="inlineStr">
        <is>
          <t>30.70.6G.00.04</t>
        </is>
      </c>
      <c r="B10" s="50" t="inlineStr">
        <is>
          <t>INSCRIPCIÓN AL IV ENCUENTRO IBEROAMERICANO DE RETÓRICA A NOMBRE DE DEOLINDA DE JESÚS FREIRE. DEL 4 AL 6 DE SEPTIEMBRE. UNIVERSIDAD DE ALICANTE</t>
        </is>
      </c>
      <c r="C10" s="89" t="n">
        <v>60</v>
      </c>
    </row>
    <row r="11">
      <c r="A11" s="51" t="inlineStr">
        <is>
          <t>30.70.6G.00.04</t>
        </is>
      </c>
      <c r="B11" s="51" t="inlineStr">
        <is>
          <t>Liq_JyC_2024__IV_Retórica_03__IV Encuentro Iberoamericano de Retórica y I Congreso Internacional de la Sociedad Española de Retórica: "Pura Retórica: Tradición y Modernidad en los Estudios del Discurso"</t>
        </is>
      </c>
      <c r="C11" s="90" t="n">
        <v>706.1</v>
      </c>
    </row>
    <row r="12">
      <c r="A12" s="50" t="inlineStr">
        <is>
          <t>30.70.6G.00.04</t>
        </is>
      </c>
      <c r="B12" s="50" t="inlineStr">
        <is>
          <t>INSCRIPCIÓN AL IV ENCUENTRO IBEROAMERICANO DE RETÓRICA A NOMBRE DE GRAU CODINA, FERRAN, DEL 4 AL 6 DE SEPTIEMBRE DE 2024. UNIVERSIDAD DE ALICANTE.</t>
        </is>
      </c>
      <c r="C12" s="89" t="n">
        <v>120</v>
      </c>
    </row>
    <row r="13">
      <c r="A13" s="51" t="inlineStr">
        <is>
          <t>30.70.6G.00.04</t>
        </is>
      </c>
      <c r="B13" s="51" t="inlineStr">
        <is>
          <t>Liq_JyC_2024__IV_Retórica_04__IV Encuentro Iberoamericano de Retórica y I Congreso Internacional de la Sociedad Española de Retórica: "Pura Retórica: Tradición y Modernidad en los Estudios del Discurso"</t>
        </is>
      </c>
      <c r="C13" s="90" t="n">
        <v>1272.99</v>
      </c>
    </row>
    <row r="14">
      <c r="A14" s="50" t="inlineStr">
        <is>
          <t>30.70.6G.00.04</t>
        </is>
      </c>
      <c r="B14" s="50" t="inlineStr">
        <is>
          <t>INSCRIPCIÓN AL IV ENCUENTRO DE RETÓRICA A NOMBRE DE  GARCÍA DÍAZ, MARÍA, DEL 4 AL 6 DE SEPTIEMBRE. UNIVERSIDAD DE ALICANTE</t>
        </is>
      </c>
      <c r="C14" s="89" t="n">
        <v>60</v>
      </c>
    </row>
    <row r="15">
      <c r="A15" s="51" t="inlineStr">
        <is>
          <t>30.70.6G.00.04</t>
        </is>
      </c>
      <c r="B15" s="51" t="inlineStr">
        <is>
          <t>INSCRIPCIÓN AL IV ENCUENTRO DE RETÓRICA A NOMBRE DE  LOMBANA SÁNCHEZ, ALFONSO (Proyecto FLOR-JP), DEL 4 AL 6 DE SEPTIEMBRE. UNIVERSIDAD DE ALICANTE</t>
        </is>
      </c>
      <c r="C15" s="90" t="n">
        <v>120</v>
      </c>
    </row>
    <row r="16">
      <c r="A16" s="50" t="inlineStr">
        <is>
          <t>30.70.6G.00.04</t>
        </is>
      </c>
      <c r="B16" s="50" t="inlineStr">
        <is>
          <t>Liq_JyC_2024__IV_Retórica_05__IV Encuentro Iberoamericano de Retórica y I Congreso Internacional de la Sociedad Española de Retórica: "Pura Retórica: Tradición y Modernidad en los Estudios del Discurso"</t>
        </is>
      </c>
      <c r="C16" s="89" t="n">
        <v>1078.89</v>
      </c>
    </row>
    <row r="17">
      <c r="A17" s="51" t="inlineStr">
        <is>
          <t>30.70.6G.00.04</t>
        </is>
      </c>
      <c r="B17" s="51" t="inlineStr">
        <is>
          <t>INSCRIPCIÓN AL IV ENCUENTRO DE RETÓRICA A NOMBRE DE FERNÁNDEZ ASENJO, RAÚL, DEL 4 AL 6 DE SEPTIEMBRE. UNIVERSIDAD DE ALICANTE</t>
        </is>
      </c>
      <c r="C17" s="90" t="n">
        <v>60</v>
      </c>
    </row>
    <row r="18">
      <c r="A18" s="50" t="inlineStr">
        <is>
          <t>30.70.6G.00.04</t>
        </is>
      </c>
      <c r="B18" s="50" t="inlineStr">
        <is>
          <t>INSCRIPCIÓN AL IV ENCUENTRO IBEROAMERICANO DE RETÓRICA A NOMBRE DE ENCINAS REGUERO, Mª CARMEN, DEL 4 AL 6 DE SEPTIEMBRE DE 2024. UNIVERSIDAD DE ALICANTE</t>
        </is>
      </c>
      <c r="C18" s="89" t="n">
        <v>120</v>
      </c>
    </row>
    <row r="19">
      <c r="A19" s="51" t="inlineStr">
        <is>
          <t>30.70.6G.00.04</t>
        </is>
      </c>
      <c r="B19" s="51" t="inlineStr">
        <is>
          <t>Liq_JyC_2024__IV_Retórica_06__IV Encuentro Iberoamericano de Retórica y I Congreso Internacional de la Sociedad Española de Retórica: "Pura Retórica: Tradición y Modernidad en los Estudios del Discurso"</t>
        </is>
      </c>
      <c r="C19" s="90" t="n">
        <v>718.2</v>
      </c>
    </row>
    <row r="20">
      <c r="A20" s="50" t="inlineStr">
        <is>
          <t>30.70.6G.00.04</t>
        </is>
      </c>
      <c r="B20" s="50" t="inlineStr">
        <is>
          <t>Liq_JyC_2024__IV_Retórica_07__IV Encuentro Iberoamericano de Retórica y I Congreso Internacional de la Sociedad Española de Retórica: "Pura Retórica: Tradición y Modernidad en los Estudios del Discurso"</t>
        </is>
      </c>
      <c r="C20" s="89" t="n">
        <v>1161.21</v>
      </c>
    </row>
    <row r="21">
      <c r="A21" s="51" t="inlineStr">
        <is>
          <t>30.70.6G.00.04</t>
        </is>
      </c>
      <c r="B21" s="51" t="inlineStr">
        <is>
          <t>INSCRIPCIÓN AL IV ENCUENTRO IBEROAMERICANO DE RETÓRICA A NOMBRE DE DAVID SOLÉ GIMENO. DEL 4 AL 6 DE SEPTIEMBRE. UNVIERSIDAD DE ALICANTE</t>
        </is>
      </c>
      <c r="C21" s="90" t="n">
        <v>140</v>
      </c>
    </row>
    <row r="22">
      <c r="A22" s="50" t="inlineStr">
        <is>
          <t>30.70.6G.00.04</t>
        </is>
      </c>
      <c r="B22" s="50" t="inlineStr">
        <is>
          <t>INSCRIPCIÓN AL IV ENCUENTRO IBEROAMERICANO DE RETÓRICA A NOMBRE DE BAÑOS SALDAÑA, JOSÉ ÁNGEL, DEL 4 AL 6 DE SEPTIEMBRE DE 2024. UNIVERSIDAD DE ALICANTE. REF PROYECTO JDC2022-049731-I. AMPARO PEDREGAL, S/N 33011, OVIEDO, ESPAÑA</t>
        </is>
      </c>
      <c r="C22" s="89" t="n">
        <v>140</v>
      </c>
    </row>
    <row r="23">
      <c r="A23" s="51" t="inlineStr">
        <is>
          <t>30.70.6G.00.04</t>
        </is>
      </c>
      <c r="B23" s="51" t="inlineStr">
        <is>
          <t>INSCRIPCIÓN AL IV ENCUENTRO IBEROAMERICANO DE RETÓRICA A NOMBRE DE BUENO OCHOA, LUIS, DEL 4 AL 6 DE SEPTIEMBRE DE 2024. UNIVERSIDAD DE ALICANTE</t>
        </is>
      </c>
      <c r="C23" s="90" t="n">
        <v>60</v>
      </c>
    </row>
    <row r="24">
      <c r="A24" s="50" t="inlineStr">
        <is>
          <t>30.70.6G.00.04</t>
        </is>
      </c>
      <c r="B24" s="50" t="inlineStr">
        <is>
          <t>INSCRIPCIÓN AL IV ENCUENTRO IBEROAMERICANO DE RETÓRICA A NOMBRE DE OLMOS GÓMEZ, PAULA, DEL 4 AL 6 DE SEPTIEMBRE DE 2024. UNIVERSIDAD DE ALICANTE</t>
        </is>
      </c>
      <c r="C24" s="89" t="n">
        <v>120</v>
      </c>
    </row>
    <row r="25">
      <c r="A25" s="51" t="inlineStr">
        <is>
          <t>30.70.6G.00.04</t>
        </is>
      </c>
      <c r="B25" s="51" t="inlineStr">
        <is>
          <t xml:space="preserve">INSCRIPCIÓN AL IV ENCUENTRO IBEROAMERICANO DE RETÓRICA A NOMBRE DE SÁNCHEZ RODRÍGUEZ, MANUEL, DEL 4 AL 6 DE SEPTIEMBRE. UNIVERSIDAD DE ALICANTE </t>
        </is>
      </c>
      <c r="C25" s="90" t="n">
        <v>140</v>
      </c>
    </row>
    <row r="26">
      <c r="A26" s="50" t="inlineStr">
        <is>
          <t>30.70.6G.00.04</t>
        </is>
      </c>
      <c r="B26" s="50" t="inlineStr">
        <is>
          <t>INSCRIPCIÓN AL IV ENCUENTRO IBEROAMERICANO DE RETÓRICA A NOMBRE DE GALLEGOS SHIBYA, ALFONSO, DEL 4 AL 6 DE SEPTIEMBRE. UNIVERSIDAD DE ALICANTE</t>
        </is>
      </c>
      <c r="C26" s="89" t="n">
        <v>80</v>
      </c>
    </row>
    <row r="27">
      <c r="A27" s="51" t="inlineStr">
        <is>
          <t>30.70.6G.00.04</t>
        </is>
      </c>
      <c r="B27" s="51" t="inlineStr">
        <is>
          <t>INSCRIPCIÓN AL IV ENCUENTRO IBEROAMERICANO DE RETÓRICA A NOMBRE DE BILBAO RUIZ, JAVIER, DEL 4 AL 6 DE SEPTIEMBRE. UNIVERSIDAD DE ALICANTE</t>
        </is>
      </c>
      <c r="C27" s="90" t="n">
        <v>140</v>
      </c>
    </row>
    <row r="28">
      <c r="A28" s="50" t="inlineStr">
        <is>
          <t>30.70.6G.00.04</t>
        </is>
      </c>
      <c r="B28" s="50" t="inlineStr">
        <is>
          <t>INSCRIPCIÓN DE LA PROFª ALICIA MARTÍNEZ RODRÍGUEZ AL IV ENCUENTRO IBEROAMERICANO DE RETÓRICA, DEL 4 AL 6 DE SEPTIEMBRE. UNIVERSIDAD DE ALICANTE</t>
        </is>
      </c>
      <c r="C28" s="89" t="n">
        <v>60</v>
      </c>
    </row>
    <row r="29">
      <c r="A29" s="51" t="inlineStr">
        <is>
          <t>30.70.6G.00.04</t>
        </is>
      </c>
      <c r="B29" s="51" t="inlineStr">
        <is>
          <t>INSCRIPCIÓN AL IV ENCUENTRO IB.DE RETÓRICA (4-6 SEPTIEMBRE. UA) PISANO PISANO, LIBERA. INSTITUTO FILOSOFÍA DA NOVA. FAC. CIENCIAS SOCIAIS E HUMANAS. NOVA FCSH. CAMPUS CAMPOLIDE-COLÉGIO ALMADA NEGREIROS.  Av. Berna 26 C 1069-061 Lisboa</t>
        </is>
      </c>
      <c r="C29" s="90" t="n">
        <v>140</v>
      </c>
    </row>
    <row r="30">
      <c r="A30" s="50" t="inlineStr">
        <is>
          <t>30.70.6G.00.04</t>
        </is>
      </c>
      <c r="B30" s="50" t="inlineStr">
        <is>
          <t>Liq_JyC_2024__IV_Retórica_08__IV Encuentro Iberoamericano de Retórica y I Congreso Internacional de la Sociedad Española de Retórica: "Pura Retórica: Tradición y Modernidad en los Estudios del Discurso"</t>
        </is>
      </c>
      <c r="C30" s="89" t="n">
        <v>4175.55</v>
      </c>
    </row>
    <row r="31">
      <c r="A31" s="51" t="inlineStr">
        <is>
          <t>30.70.6G.00.04</t>
        </is>
      </c>
      <c r="B31" s="51" t="inlineStr">
        <is>
          <t>INSCRIPCIÓN AL IV ENCUENTRO IBEROAMERICANO DE RETÓRICA DEL 4 AL 6 DE SEPTIEMBRE EN LA UNIVERSIDAD DE ALICANTE, A NOMBRE DE PORTELA LOPA, ANTONIO</t>
        </is>
      </c>
      <c r="C31" s="90" t="n">
        <v>120</v>
      </c>
    </row>
    <row r="32">
      <c r="A32" s="50" t="inlineStr">
        <is>
          <t>30.70.6G.00.04</t>
        </is>
      </c>
      <c r="B32" s="50" t="inlineStr">
        <is>
          <t>INSCRIPCIÓN AL IV ENCUENTRO IBEROAMERICANO DE RETÓRICA A NOMBRE DE SOFÍA MERLINO, DEL 4 AL 6 DE SEPTIEMBRE. UNIVERSIDAD DE ALICANTE.</t>
        </is>
      </c>
      <c r="C32" s="89" t="n">
        <v>30</v>
      </c>
    </row>
    <row r="33">
      <c r="A33" s="51" t="inlineStr">
        <is>
          <t>30.70.6G.00.04</t>
        </is>
      </c>
      <c r="B33" s="51" t="inlineStr">
        <is>
          <t>Liq_JyC_2024__IV_Retórica_09__IV Encuentro Iberoamericano de Retórica y I Congreso Internacional de la Sociedad Española de Retórica: "Pura Retórica: Tradición y Modernidad en los Estudios del Discurso"</t>
        </is>
      </c>
      <c r="C33" s="90" t="n">
        <v>1270.75</v>
      </c>
    </row>
    <row r="34">
      <c r="A34" s="50" t="inlineStr">
        <is>
          <t>30.70.6G.00.04</t>
        </is>
      </c>
      <c r="B34" s="50" t="inlineStr">
        <is>
          <t>INSCRIPCIÓN AL IV ENCUENTRO IBEROAMERICANO DE RETÓRICA A NOMBRE DE VIRGINIA SUSANA ORLANDO COLOMBO, DEL 4 AL 6 DE SEPTIEMBRE. UNIVERSIDAD DE ALICANTE</t>
        </is>
      </c>
      <c r="C34" s="89" t="n">
        <v>80</v>
      </c>
    </row>
    <row r="35">
      <c r="A35" s="51" t="inlineStr">
        <is>
          <t>30.70.6G.00.04</t>
        </is>
      </c>
      <c r="B35" s="51" t="inlineStr">
        <is>
          <t>INSCRIPCIÓN AL IV ENCUENTRO IBEROAMERICANO DE RETÓRICA A NOMBRE DE JOSÉ MANUEL RUIZ MARTÍNEZ. DEL 4 AL 6 DE SEPTIEMBRE. UNIVERSIDAD DE ALICANTE</t>
        </is>
      </c>
      <c r="C35" s="90" t="n">
        <v>120</v>
      </c>
    </row>
    <row r="36">
      <c r="A36" s="50" t="inlineStr">
        <is>
          <t>30.70.6G.00.04</t>
        </is>
      </c>
      <c r="B36" s="50" t="inlineStr">
        <is>
          <t>INSCRIPCIÓN AL IV ENCUENTRO IBEROAMERICANO DE RETÓRICA DEL 4 AL 6 DE SEPTIEMBRE EN LA UNIVERSIDAD DE ALICANTE, A NOMBRE DE MAURO JIMÉNEZ MARTÍNEZ</t>
        </is>
      </c>
      <c r="C36" s="89" t="n">
        <v>120</v>
      </c>
    </row>
    <row r="37">
      <c r="A37" s="51" t="inlineStr">
        <is>
          <t>30.70.6G.00.04</t>
        </is>
      </c>
      <c r="B37" s="51" t="inlineStr">
        <is>
          <t>INSCRIPCIÓN AL IV ENCUENTRO IBEROAMERICANO DE RETÓRICA EN LA UNIVERSIDAD DE ALICANTE, DEL 4 AL 6 DE SEPTIEMBRE, A NOMBRE DE LUIS BAGUÉ QUÍLEZ</t>
        </is>
      </c>
      <c r="C37" s="90" t="n">
        <v>140</v>
      </c>
    </row>
    <row r="38">
      <c r="A38" s="50" t="inlineStr">
        <is>
          <t>30.70.6G.00.04</t>
        </is>
      </c>
      <c r="B38" s="50" t="inlineStr">
        <is>
          <t>INSCRIPCIÓN AL IV ENCUENTRO DE RETÓRICA DEL 4 AL 6 DE SEPTIEMBRE EN LA UNIVERSIDAD DE ALICANTE, A NOMBRE DE SARA MOLPECERES ARNÁIZ.</t>
        </is>
      </c>
      <c r="C38" s="89" t="n">
        <v>120</v>
      </c>
    </row>
    <row r="39">
      <c r="A39" s="51" t="inlineStr">
        <is>
          <t>30.70.6G.00.04</t>
        </is>
      </c>
      <c r="B39" s="51" t="inlineStr">
        <is>
          <t>Liq_JyC_2024__IV_Retórica_10__IV Encuentro Iberoamericano de Retórica y I Congreso Internacional de la Sociedad Española de Retórica: "Pura Retórica: Tradición y Modernidad en los Estudios del Discurso"</t>
        </is>
      </c>
      <c r="C39" s="90" t="n">
        <v>273</v>
      </c>
    </row>
    <row r="40">
      <c r="A40" s="50" t="inlineStr">
        <is>
          <t>30.70.6G.00.04</t>
        </is>
      </c>
      <c r="B40" s="50" t="inlineStr">
        <is>
          <t>INSCRIPCIÓN AL IV ENCUENTRO IBEROAMERICANO DE RETÓRICA A NOMBRE DE HILDA JULIETA VALDÉS GARCÍA. DEL 4 AL 6 DE SEPTIEMBRE. UNIVERSIDAD DE ALICANTE</t>
        </is>
      </c>
      <c r="C40" s="89" t="n">
        <v>60</v>
      </c>
    </row>
    <row r="41">
      <c r="A41" s="51" t="inlineStr">
        <is>
          <t>30.70.6G.00.04</t>
        </is>
      </c>
      <c r="B41" s="51" t="inlineStr">
        <is>
          <t>INSCRIPCIÓN AL IV ENCUENTRO IBEROAMERICANO DE RETÓRICA Y I CONGRESO INTERNACIONAL DE LA SOCIEDAD ESPAÑOLA DE RETÓRICA A NOMBRE DE JOAQUÍN JUAN PENALVA. DEL 4 AL 6 DE SEPTIEMBRE DE 2024 EN LA UNIVERSIDAD DE ALICANTE</t>
        </is>
      </c>
      <c r="C41" s="90" t="n">
        <v>140</v>
      </c>
    </row>
    <row r="42">
      <c r="A42" s="50" t="inlineStr">
        <is>
          <t>30.70.6G.00.04</t>
        </is>
      </c>
      <c r="B42" s="50" t="inlineStr">
        <is>
          <t>INSCRIPCIÓN AL IV ENCUENTRO IBEROAMERICANO DE RETÓRICA A NOMBRE DE JAVIER ALONSO PRIETO DEL 4 AL 6 DE SEPTIEMBRE. UNIVERSIDAD DE ALICANTE</t>
        </is>
      </c>
      <c r="C42" s="89" t="n">
        <v>120</v>
      </c>
    </row>
    <row r="43">
      <c r="A43" s="51" t="inlineStr">
        <is>
          <t>30.70.6G.00.04</t>
        </is>
      </c>
      <c r="B43" s="51" t="inlineStr">
        <is>
          <t>INSCRIPCIÓN AL IV ENCUENTRO IBEROAMERICANO DE RETÓRICA A NOMBRE DE GABRIELA ORTEGA MARTÍN. DEL 4 AL 6 DE SEPTIEMBRE. UNIVERSIDAD DE ALICANTE</t>
        </is>
      </c>
      <c r="C43" s="90" t="n">
        <v>60</v>
      </c>
    </row>
    <row r="44">
      <c r="A44" s="50" t="inlineStr">
        <is>
          <t>30.70.6G.00.04</t>
        </is>
      </c>
      <c r="B44" s="50" t="inlineStr">
        <is>
          <t>Liq_JyC_2024__IV_Retórica_11__IV Encuentro Iberoamericano de Retórica y I Congreso Internacional de la Sociedad Española de Retórica: "Pura Retórica: Tradición y Modernidad en los Estudios del Discurso"</t>
        </is>
      </c>
      <c r="C44" s="89" t="n">
        <v>39.87</v>
      </c>
    </row>
    <row r="45">
      <c r="A45" s="51" t="inlineStr">
        <is>
          <t>30.70.6G.00.04</t>
        </is>
      </c>
      <c r="B45" s="51" t="inlineStr">
        <is>
          <t>Liq_JyC_2024__IV_Retórica_12__IV Encuentro Iberoamericano de Retórica y I Congreso Internacional de la Sociedad Española de Retórica: "Pura Retórica: Tradición y Modernidad en los Estudios del Discurso"</t>
        </is>
      </c>
      <c r="C45" s="90" t="n">
        <v>330</v>
      </c>
    </row>
    <row r="46">
      <c r="A46" s="50" t="inlineStr">
        <is>
          <t>30.70.6P.00.22</t>
        </is>
      </c>
      <c r="B46" s="50" t="inlineStr">
        <is>
          <t>PID2021-126485OB-I00-126858NB-I00-126990NB-I00-127332NB-I00-127426OB-C22-127566NB-I00-127967NB-I00-127999NB-I00-128381NB-I00-128761OB-C21-128766OB-I00-128805NA-I00-128876OB-I00</t>
        </is>
      </c>
      <c r="C46" s="89" t="n">
        <v>4700</v>
      </c>
    </row>
    <row r="47">
      <c r="A47" s="51" t="inlineStr">
        <is>
          <t>30.70.6P.00.23</t>
        </is>
      </c>
      <c r="B47" s="51" t="inlineStr">
        <is>
          <t>ANULACIÓN POR MINORACIÓN AYUDAS MEMUNI/2023/2, MEMUNI/2023/5</t>
        </is>
      </c>
      <c r="C47" s="90" t="n">
        <v>-638.8200000000001</v>
      </c>
    </row>
    <row r="48">
      <c r="A48" s="50" t="inlineStr">
        <is>
          <t>30.70.6P.00.25</t>
        </is>
      </c>
      <c r="B48" s="50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48" s="89" t="n">
        <v>9000</v>
      </c>
    </row>
    <row r="49">
      <c r="A49" s="51" t="inlineStr">
        <is>
          <t>30.70.6P.00.26</t>
        </is>
      </c>
      <c r="B49" s="51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49" s="90" t="n">
        <v>9000</v>
      </c>
    </row>
    <row r="50">
      <c r="A50" s="54" t="inlineStr">
        <is>
          <t>30.70.6P.00.27</t>
        </is>
      </c>
      <c r="B50" s="54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50" s="91" t="n">
        <v>10000</v>
      </c>
    </row>
    <row r="51" customFormat="1" s="57">
      <c r="A51" s="55" t="inlineStr">
        <is>
          <t>Total</t>
        </is>
      </c>
      <c r="B51" s="55" t="n"/>
      <c r="C51" s="95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12" sqref="C12"/>
    </sheetView>
  </sheetViews>
  <sheetFormatPr baseColWidth="10" defaultRowHeight="14.4"/>
  <cols>
    <col width="18" customWidth="1" min="1" max="1"/>
    <col width="64.44140625" customWidth="1" min="2" max="2"/>
    <col width="17.44140625" customWidth="1" min="3" max="3"/>
  </cols>
  <sheetData>
    <row r="1">
      <c r="A1" s="65" t="inlineStr">
        <is>
          <t>Org. aplic.</t>
        </is>
      </c>
      <c r="B1" s="66" t="inlineStr">
        <is>
          <t>Descripción justificante</t>
        </is>
      </c>
      <c r="C1" s="66" t="inlineStr">
        <is>
          <t>Imp. aplic.</t>
        </is>
      </c>
    </row>
    <row r="2">
      <c r="A2" s="67" t="inlineStr">
        <is>
          <t>30.70.6G.00.05</t>
        </is>
      </c>
      <c r="B2" s="68" t="inlineStr">
        <is>
          <t>INGRESOS POR INSCRIPCIONES AL CONGRESO INTERNACIONAL LINGÜÍSTICA GENERAL. CILG 2025</t>
        </is>
      </c>
      <c r="C2" s="96" t="n">
        <v>50045.1</v>
      </c>
    </row>
    <row r="3">
      <c r="A3" s="70" t="inlineStr">
        <is>
          <t>30.70.6P.00.25</t>
        </is>
      </c>
      <c r="B3" s="71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3" s="97" t="n">
        <v>-1321.3</v>
      </c>
    </row>
    <row r="4">
      <c r="A4" s="67" t="inlineStr">
        <is>
          <t>30.70.6P.00.26</t>
        </is>
      </c>
      <c r="B4" s="68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4" s="96" t="n">
        <v>-124.73</v>
      </c>
    </row>
    <row r="5">
      <c r="A5" s="70" t="inlineStr">
        <is>
          <t>30.70.6P.00.27</t>
        </is>
      </c>
      <c r="B5" s="71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5" s="97" t="n">
        <v>10000</v>
      </c>
    </row>
    <row r="6">
      <c r="A6" s="67" t="inlineStr">
        <is>
          <t>30.70.6P.00.27</t>
        </is>
      </c>
      <c r="B6" s="68" t="inlineStr">
        <is>
          <t>Minoración Ayudas CIGE/2023/52, CIGE/2023/94, CIGE/2023/129, CIGE/2023/146, CIGE/2023/165, CIGE/2023/175, CIGE/2023/181, CIGE/2023/184, CIGE/2023/188, CIGE/2023/197, CIGE/2023/216,  CIGE/2023/227 (LINEA SUBVENCIÓN S0296)</t>
        </is>
      </c>
      <c r="C6" s="96" t="n">
        <v>-642.24</v>
      </c>
    </row>
    <row r="7" ht="15" customHeight="1" thickBot="1">
      <c r="A7" s="70" t="inlineStr">
        <is>
          <t>30.70.6P.00.28</t>
        </is>
      </c>
      <c r="B7" s="71" t="inlineStr">
        <is>
          <t xml:space="preserve">CIAORG/2024/003. CIAORG/2024/005.  CIAORG/2024/017. CIAORG/2024/035. CIAORG/2024/079. CIAORG/2024/085. CIAORG/2024/098. CIAORG/2024/123. CIAORG/2024/158. CIAORG/2024/187. CIAORG/2024/193         </t>
        </is>
      </c>
      <c r="C7" s="97" t="n">
        <v>9000</v>
      </c>
    </row>
    <row r="8" ht="15" customHeight="1" thickTop="1">
      <c r="A8" s="73" t="inlineStr">
        <is>
          <t>Total</t>
        </is>
      </c>
      <c r="B8" s="74" t="n"/>
      <c r="C8" s="98" t="n">
        <v>66956.82999999999</v>
      </c>
    </row>
    <row r="11">
      <c r="B11" s="63" t="inlineStr">
        <is>
          <t>Total ingresos de investigación 2023-25</t>
        </is>
      </c>
      <c r="C11" s="99">
        <f>C8+Tabla2[[#Totals],[Imp.cob.aplic.]]+Tabla3[[#Totals],[Imp.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21" sqref="B21"/>
    </sheetView>
  </sheetViews>
  <sheetFormatPr baseColWidth="10" defaultRowHeight="14.4"/>
  <cols>
    <col width="17" customWidth="1" min="1" max="1"/>
    <col width="80.109375" customWidth="1" min="2" max="2"/>
    <col width="16" customWidth="1" min="3" max="3"/>
  </cols>
  <sheetData>
    <row r="1">
      <c r="A1" s="47" t="inlineStr">
        <is>
          <t>Cód. org. aplic.</t>
        </is>
      </c>
      <c r="B1" s="47" t="inlineStr">
        <is>
          <t>Descripción justificante</t>
        </is>
      </c>
      <c r="C1" s="47" t="inlineStr">
        <is>
          <t>Imp.cob.aplic.</t>
        </is>
      </c>
    </row>
    <row r="2">
      <c r="A2" s="35" t="inlineStr">
        <is>
          <t>30.70.2T.00.09</t>
        </is>
      </c>
      <c r="B2" s="35" t="inlineStr">
        <is>
          <t xml:space="preserve">Plan_9303 Curso_2022-23 Emitido_2022-23 - MÁSTER EN INTERPRETACIÓN DE GUITARRA CLÁSICA </t>
        </is>
      </c>
      <c r="C2" s="100" t="n">
        <v>35417.8</v>
      </c>
    </row>
    <row r="3">
      <c r="A3" s="36" t="inlineStr">
        <is>
          <t>30.70.2T.00.09</t>
        </is>
      </c>
      <c r="B3" s="36" t="inlineStr">
        <is>
          <t xml:space="preserve">LIQ-TitProp_9375-1 Curso_2023-24_AñoCont_2023 - MÁSTER DE FORMACIÓN PERMANENTE EN INTERPRETACIÓN DE GUITARRA CLÁSICA </t>
        </is>
      </c>
      <c r="C3" s="101" t="n">
        <v>8000.4</v>
      </c>
    </row>
    <row r="4">
      <c r="A4" s="35" t="inlineStr">
        <is>
          <t>30.70.2T.00.09</t>
        </is>
      </c>
      <c r="B4" s="35" t="inlineStr">
        <is>
          <t xml:space="preserve">Plan_9304 Curso_2022-23 Emitido_2022-23 - ESPECIALISTA EN INTERPRETACIÓN DE GUITARRA CLÁSICA </t>
        </is>
      </c>
      <c r="C4" s="100" t="n">
        <v>6647.29</v>
      </c>
    </row>
    <row r="5">
      <c r="A5" s="36" t="inlineStr">
        <is>
          <t>30.70.2T.00.10</t>
        </is>
      </c>
      <c r="B5" s="36" t="inlineStr">
        <is>
          <t>DEVOLUCIÓN DE TASAS NÓMINA_REMESA Nº2023DTR015312; RDT INVERSA 1449; EXP.32</t>
        </is>
      </c>
      <c r="C5" s="101" t="n">
        <v>-40.5</v>
      </c>
    </row>
    <row r="6">
      <c r="A6" s="48" t="inlineStr">
        <is>
          <t>30.70.2T.00.10</t>
        </is>
      </c>
      <c r="B6" s="48" t="inlineStr">
        <is>
          <t xml:space="preserve">Plan_GI39 Curso_2023-24 Emitido_2023-24 - FUNDAMENTOS DE METODOLOGÍA CIENTÍFICA Y REDACCIÓN EN EL ÁMBITO DEL GRADO </t>
        </is>
      </c>
      <c r="C6" s="102" t="n">
        <v>585</v>
      </c>
    </row>
    <row r="7" customFormat="1" s="57">
      <c r="A7" s="61" t="inlineStr">
        <is>
          <t>Total</t>
        </is>
      </c>
      <c r="B7" s="61" t="n"/>
      <c r="C7" s="103">
        <f>SUBTOTAL(109,Tabla5[Imp.cob.aplic.])</f>
        <v/>
      </c>
    </row>
    <row r="8">
      <c r="C8" s="9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2" sqref="B12:C12"/>
    </sheetView>
  </sheetViews>
  <sheetFormatPr baseColWidth="10" defaultRowHeight="14.4"/>
  <cols>
    <col width="12" customWidth="1" min="1" max="1"/>
    <col width="68.33203125" customWidth="1" min="2" max="2"/>
    <col width="16.5546875" customWidth="1" min="3" max="3"/>
  </cols>
  <sheetData>
    <row r="1">
      <c r="A1" s="52" t="inlineStr">
        <is>
          <t>Org. aplic.</t>
        </is>
      </c>
      <c r="B1" s="52" t="inlineStr">
        <is>
          <t>Descripción justificante</t>
        </is>
      </c>
      <c r="C1" s="52" t="inlineStr">
        <is>
          <t>Imp. aplic.</t>
        </is>
      </c>
    </row>
    <row r="2">
      <c r="A2" s="50" t="inlineStr">
        <is>
          <t>30.70.2T.00.09</t>
        </is>
      </c>
      <c r="B2" s="50" t="inlineStr">
        <is>
          <t xml:space="preserve">LIQ-TitProp_9375-1 Curso_2023-24 AñoCont_2023 - MÁSTER DE FORMACIÓN PERMANENTE EN INTERPRETACIÓN DE GUITARRA CLÁSICA </t>
        </is>
      </c>
      <c r="C2" s="89" t="n">
        <v>62902.72</v>
      </c>
    </row>
    <row r="3">
      <c r="A3" s="51" t="inlineStr">
        <is>
          <t>30.70.2T.00.09</t>
        </is>
      </c>
      <c r="B3" s="51" t="inlineStr">
        <is>
          <t xml:space="preserve">LIQ-TitProp_9375-2 Curso_2023-24 AñoCont_2023 - MÁSTER DE FORMACIÓN PERMANENTE EN INTERPRETACIÓN DE GUITARRA CLÁSICA </t>
        </is>
      </c>
      <c r="C3" s="90" t="n">
        <v>4250</v>
      </c>
    </row>
    <row r="4">
      <c r="A4" s="50" t="inlineStr">
        <is>
          <t>30.70.2T.00.09</t>
        </is>
      </c>
      <c r="B4" s="50" t="inlineStr">
        <is>
          <t>AD_Liquidación PLAN 9303 "Master en Interpretacion de Guitarra Clasica"</t>
        </is>
      </c>
      <c r="C4" s="89" t="n">
        <v>-8.460000000000001</v>
      </c>
    </row>
    <row r="5">
      <c r="A5" s="51" t="inlineStr">
        <is>
          <t>30.70.2T.00.09</t>
        </is>
      </c>
      <c r="B5" s="51" t="inlineStr">
        <is>
          <t xml:space="preserve">LIQ-EP_Plan_9375-N Curso_2024-25_AñoCont_2024 TipoRec_Emitido - MÁSTER DE FORMACIÓN PERMANENTE EN INTERPRETACIÓN DE GUITARRA CLÁSICA _ (Cierre-24) </t>
        </is>
      </c>
      <c r="C5" s="90" t="n">
        <v>6800.34</v>
      </c>
    </row>
    <row r="6">
      <c r="A6" s="50" t="inlineStr">
        <is>
          <t>30.70.2T.00.10</t>
        </is>
      </c>
      <c r="B6" s="50" t="inlineStr">
        <is>
          <t xml:space="preserve">LIQ-TitProp_GI39-1 Curso_2024-25 AñoCont_2024 - FUNDAMENTOS DE METODOLOGÍA CIENTÍFICA Y REDACCIÓN EN EL ÁMBITO DEL GRADO </t>
        </is>
      </c>
      <c r="C6" s="89" t="n">
        <v>648</v>
      </c>
    </row>
    <row r="7">
      <c r="A7" s="51" t="inlineStr">
        <is>
          <t>30.70.2T.00.12</t>
        </is>
      </c>
      <c r="B7" s="51" t="inlineStr">
        <is>
          <t xml:space="preserve">LIQ-TitProp_GK28-1 Curso_2023-24 AñoCont_2023 - XXV JORNADAS DE ESTUDIOS DE LINGÜÍSTICA (JELUA) </t>
        </is>
      </c>
      <c r="C7" s="90" t="n">
        <v>135</v>
      </c>
    </row>
    <row r="8">
      <c r="A8" s="54" t="inlineStr">
        <is>
          <t>30.70.2T.00.13</t>
        </is>
      </c>
      <c r="B8" s="54" t="inlineStr">
        <is>
          <t xml:space="preserve">LIQ-TitProp_GK48-1 Curso_2023-24 AñoCont_2023 - SEMINARIO RESIDENCIAL DE TEORÍA DE LA LITERATURA: MORADAS DE LA IMAGINACIÓN </t>
        </is>
      </c>
      <c r="C8" s="91" t="n">
        <v>351</v>
      </c>
    </row>
    <row r="9" customFormat="1" s="57">
      <c r="A9" s="55" t="inlineStr">
        <is>
          <t>Total</t>
        </is>
      </c>
      <c r="B9" s="55" t="n"/>
      <c r="C9" s="95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21" sqref="C21"/>
    </sheetView>
  </sheetViews>
  <sheetFormatPr baseColWidth="10" defaultRowHeight="14.4"/>
  <cols>
    <col width="15.88671875" customWidth="1" min="1" max="1"/>
    <col width="53.109375" customWidth="1" min="2" max="2"/>
    <col width="21.88671875" customWidth="1" min="3" max="3"/>
  </cols>
  <sheetData>
    <row r="1">
      <c r="A1" s="76" t="inlineStr">
        <is>
          <t>Org. aplic.</t>
        </is>
      </c>
      <c r="B1" s="77" t="inlineStr">
        <is>
          <t>Descripción justificante</t>
        </is>
      </c>
      <c r="C1" s="104" t="inlineStr">
        <is>
          <t>Imp. aplic.</t>
        </is>
      </c>
    </row>
    <row r="2">
      <c r="A2" s="79" t="inlineStr">
        <is>
          <t>30.70.2T.00.09</t>
        </is>
      </c>
      <c r="B2" s="80" t="inlineStr">
        <is>
          <t xml:space="preserve">LIQ-TitProp_9375-1 Curso_2024-25 AñoCont_2024 - MÁSTER DE FORMACIÓN PERMANENTE EN INTERPRETACIÓN DE GUITARRA CLÁSICA (EM 25 COB 25) </t>
        </is>
      </c>
      <c r="C2" s="105" t="n">
        <v>49302.04</v>
      </c>
    </row>
    <row r="3">
      <c r="A3" s="82" t="inlineStr">
        <is>
          <t>30.70.2T.00.10</t>
        </is>
      </c>
      <c r="B3" s="83" t="inlineStr">
        <is>
          <t>LIQ-TitProp_GI39-1 Curso_2025-26 AñoCont_2025 - FUNDAMENTOS DE METODOLOGÍA CIENTÍFICA Y REDACCIÓN EN EL ÁMBITO DEL GRADO</t>
        </is>
      </c>
      <c r="C3" s="106" t="n">
        <v>346.5</v>
      </c>
    </row>
    <row r="4">
      <c r="A4" s="79" t="inlineStr">
        <is>
          <t>30.70.2T.00.10</t>
        </is>
      </c>
      <c r="B4" s="80" t="inlineStr">
        <is>
          <t>LIQ-TitProp_GI39-2 Curso_2025-26 AñoCont_2025 - FUNDAMENTOS DE METODOLOGÍA CIENTÍFICA Y REDACCIÓN EN EL ÁMBITO DEL GRADO</t>
        </is>
      </c>
      <c r="C4" s="105" t="n">
        <v>40.5</v>
      </c>
    </row>
    <row r="5">
      <c r="A5" s="82" t="inlineStr">
        <is>
          <t>30.70.2T.00.10</t>
        </is>
      </c>
      <c r="B5" s="83" t="inlineStr">
        <is>
          <t xml:space="preserve">DEVOLUCIÓN DE PRECIOS PÚBLICOS, INGRESADOS INDEBIDAMENTE, EN REMESA CON Nº 2025DTR337662_RDT INVERSA 2025EXPADM2052  </t>
        </is>
      </c>
      <c r="C5" s="106" t="n">
        <v>-4.5</v>
      </c>
    </row>
    <row r="6" ht="15" customHeight="1" thickBot="1">
      <c r="A6" s="79" t="inlineStr">
        <is>
          <t>30.70.2T.00.09</t>
        </is>
      </c>
      <c r="B6" s="80" t="inlineStr">
        <is>
          <t xml:space="preserve">LIQ-TitProp_9375-N Curso_2025-26 AñoCont_2025 - MÁSTER DE FORMACIÓN PERMANENTE EN INTERPRETACIÓN DE GUITARRA CLÁSICA (CIERRE 25 EMITIDO 25 COBRADO 25) </t>
        </is>
      </c>
      <c r="C6" s="105" t="n">
        <v>45052.04</v>
      </c>
    </row>
    <row r="7" ht="15" customHeight="1" thickTop="1">
      <c r="A7" s="85" t="inlineStr">
        <is>
          <t>Total</t>
        </is>
      </c>
      <c r="B7" s="86" t="n"/>
      <c r="C7" s="107" t="n">
        <v>94736.58</v>
      </c>
    </row>
    <row r="11">
      <c r="B11" s="63" t="inlineStr">
        <is>
          <t>Total ingresos formación 2023-25</t>
        </is>
      </c>
      <c r="C11" s="99">
        <f>C7+Tabla5[[#Totals],[Imp.cob.aplic.]]+Tabla6[[#Totals],[Imp.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dfcat@ua.es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2026-05-28T21:59:12Z</dcterms:modified>
  <cp:lastModifiedBy>MARIA TERESA PUJALTE DEVIS</cp:lastModifiedBy>
</cp:coreProperties>
</file>