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97" firstSheet="3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'Tesis'!$A$1:$U$40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_-* #,##0.00_-;\-* #,##0.00_-;_-* &quot;-&quot;??_-;_-@_-"/>
    <numFmt numFmtId="166" formatCode="_-* #,##0.00\ _€_-;\-* #,##0.00\ _€_-;_-* &quot;-&quot;??\ _€_-;_-@_-"/>
  </numFmts>
  <fonts count="20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</borders>
  <cellStyleXfs count="7">
    <xf numFmtId="0" fontId="1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2" fillId="0" borderId="0"/>
  </cellStyleXfs>
  <cellXfs count="102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2" pivotButton="0" quotePrefix="0" xfId="0"/>
    <xf numFmtId="0" fontId="2" fillId="4" borderId="1" pivotButton="0" quotePrefix="0" xfId="1"/>
    <xf numFmtId="0" fontId="2" fillId="4" borderId="3" pivotButton="0" quotePrefix="0" xfId="1"/>
    <xf numFmtId="0" fontId="10" fillId="6" borderId="1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/>
    </xf>
    <xf numFmtId="0" fontId="10" fillId="6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164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3" applyAlignment="1" pivotButton="0" quotePrefix="0" xfId="1">
      <alignment horizontal="right"/>
    </xf>
    <xf numFmtId="1" fontId="2" fillId="4" borderId="3" pivotButton="0" quotePrefix="0" xfId="1"/>
    <xf numFmtId="164" fontId="2" fillId="4" borderId="3" pivotButton="0" quotePrefix="0" xfId="1"/>
    <xf numFmtId="0" fontId="2" fillId="0" borderId="1" pivotButton="0" quotePrefix="0" xfId="1"/>
    <xf numFmtId="0" fontId="2" fillId="4" borderId="7" pivotButton="0" quotePrefix="0" xfId="1"/>
    <xf numFmtId="165" fontId="0" fillId="8" borderId="8" pivotButton="0" quotePrefix="0" xfId="6"/>
    <xf numFmtId="165" fontId="0" fillId="0" borderId="8" pivotButton="0" quotePrefix="0" xfId="6"/>
    <xf numFmtId="0" fontId="2" fillId="0" borderId="1" pivotButton="0" quotePrefix="0" xfId="0"/>
    <xf numFmtId="0" fontId="14" fillId="8" borderId="8" pivotButton="0" quotePrefix="0" xfId="0"/>
    <xf numFmtId="0" fontId="14" fillId="0" borderId="8" pivotButton="0" quotePrefix="0" xfId="0"/>
    <xf numFmtId="165" fontId="0" fillId="0" borderId="0" pivotButton="0" quotePrefix="0" xfId="0"/>
    <xf numFmtId="0" fontId="2" fillId="9" borderId="0" pivotButton="0" quotePrefix="0" xfId="1"/>
    <xf numFmtId="0" fontId="2" fillId="9" borderId="0" applyAlignment="1" pivotButton="0" quotePrefix="0" xfId="1">
      <alignment horizontal="righ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6" fillId="0" borderId="1" pivotButton="0" quotePrefix="0" xfId="0"/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164" fontId="3" fillId="9" borderId="0" pivotButton="0" quotePrefix="0" xfId="1"/>
    <xf numFmtId="0" fontId="11" fillId="9" borderId="0" pivotButton="0" quotePrefix="0" xfId="0"/>
    <xf numFmtId="14" fontId="2" fillId="4" borderId="1" applyAlignment="1" pivotButton="0" quotePrefix="0" xfId="1">
      <alignment horizontal="left"/>
    </xf>
    <xf numFmtId="2" fontId="2" fillId="4" borderId="1" pivotButton="0" quotePrefix="0" xfId="1"/>
    <xf numFmtId="165" fontId="0" fillId="0" borderId="2" pivotButton="0" quotePrefix="0" xfId="6"/>
    <xf numFmtId="0" fontId="9" fillId="0" borderId="2" pivotButton="0" quotePrefix="0" xfId="0"/>
    <xf numFmtId="165" fontId="12" fillId="0" borderId="2" pivotButton="0" quotePrefix="0" xfId="0"/>
    <xf numFmtId="0" fontId="13" fillId="7" borderId="9" pivotButton="0" quotePrefix="0" xfId="0"/>
    <xf numFmtId="0" fontId="14" fillId="8" borderId="2" pivotButton="0" quotePrefix="0" xfId="0"/>
    <xf numFmtId="165" fontId="0" fillId="8" borderId="2" pivotButton="0" quotePrefix="0" xfId="6"/>
    <xf numFmtId="0" fontId="9" fillId="10" borderId="2" pivotButton="0" quotePrefix="0" xfId="0"/>
    <xf numFmtId="165" fontId="12" fillId="10" borderId="2" pivotButton="0" quotePrefix="0" xfId="0"/>
    <xf numFmtId="0" fontId="0" fillId="11" borderId="0" pivotButton="0" quotePrefix="0" xfId="0"/>
    <xf numFmtId="0" fontId="14" fillId="0" borderId="2" pivotButton="0" quotePrefix="0" xfId="0"/>
    <xf numFmtId="0" fontId="0" fillId="8" borderId="8" pivotButton="0" quotePrefix="0" xfId="0"/>
    <xf numFmtId="0" fontId="0" fillId="0" borderId="8" pivotButton="0" quotePrefix="0" xfId="0"/>
    <xf numFmtId="0" fontId="15" fillId="7" borderId="9" pivotButton="0" quotePrefix="0" xfId="0"/>
    <xf numFmtId="165" fontId="15" fillId="7" borderId="9" pivotButton="0" quotePrefix="0" xfId="6"/>
    <xf numFmtId="0" fontId="0" fillId="8" borderId="2" pivotButton="0" quotePrefix="0" xfId="0"/>
    <xf numFmtId="165" fontId="0" fillId="0" borderId="2" pivotButton="0" quotePrefix="0" xfId="0"/>
    <xf numFmtId="0" fontId="0" fillId="0" borderId="2" pivotButton="0" quotePrefix="0" xfId="0"/>
    <xf numFmtId="0" fontId="0" fillId="0" borderId="2" pivotButton="0" quotePrefix="0" xfId="0"/>
    <xf numFmtId="0" fontId="16" fillId="0" borderId="1" pivotButton="0" quotePrefix="0" xfId="0"/>
    <xf numFmtId="0" fontId="1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6" fillId="0" borderId="0" pivotButton="0" quotePrefix="0" xfId="5"/>
    <xf numFmtId="0" fontId="17" fillId="12" borderId="10" pivotButton="0" quotePrefix="0" xfId="0"/>
    <xf numFmtId="0" fontId="17" fillId="12" borderId="11" pivotButton="0" quotePrefix="0" xfId="0"/>
    <xf numFmtId="0" fontId="18" fillId="13" borderId="10" pivotButton="0" quotePrefix="0" xfId="0"/>
    <xf numFmtId="0" fontId="18" fillId="13" borderId="11" pivotButton="0" quotePrefix="0" xfId="0"/>
    <xf numFmtId="166" fontId="18" fillId="13" borderId="11" pivotButton="0" quotePrefix="0" xfId="6"/>
    <xf numFmtId="0" fontId="18" fillId="0" borderId="10" pivotButton="0" quotePrefix="0" xfId="0"/>
    <xf numFmtId="0" fontId="18" fillId="0" borderId="11" pivotButton="0" quotePrefix="0" xfId="0"/>
    <xf numFmtId="166" fontId="18" fillId="0" borderId="11" pivotButton="0" quotePrefix="0" xfId="6"/>
    <xf numFmtId="0" fontId="19" fillId="0" borderId="12" pivotButton="0" quotePrefix="0" xfId="0"/>
    <xf numFmtId="0" fontId="19" fillId="0" borderId="13" pivotButton="0" quotePrefix="0" xfId="0"/>
    <xf numFmtId="166" fontId="19" fillId="0" borderId="13" pivotButton="0" quotePrefix="0" xfId="6"/>
    <xf numFmtId="0" fontId="11" fillId="0" borderId="1" pivotButton="0" quotePrefix="0" xfId="0"/>
    <xf numFmtId="166" fontId="11" fillId="0" borderId="1" pivotButton="0" quotePrefix="0" xfId="6"/>
    <xf numFmtId="0" fontId="17" fillId="12" borderId="14" pivotButton="0" quotePrefix="0" xfId="0"/>
    <xf numFmtId="166" fontId="17" fillId="12" borderId="14" pivotButton="0" quotePrefix="0" xfId="6"/>
    <xf numFmtId="164" fontId="2" fillId="4" borderId="3" pivotButton="0" quotePrefix="0" xfId="1"/>
    <xf numFmtId="164" fontId="2" fillId="4" borderId="1" pivotButton="0" quotePrefix="0" xfId="1"/>
    <xf numFmtId="164" fontId="3" fillId="9" borderId="0" pivotButton="0" quotePrefix="0" xfId="1"/>
    <xf numFmtId="165" fontId="0" fillId="8" borderId="8" pivotButton="0" quotePrefix="0" xfId="6"/>
    <xf numFmtId="165" fontId="0" fillId="0" borderId="8" pivotButton="0" quotePrefix="0" xfId="6"/>
    <xf numFmtId="165" fontId="0" fillId="8" borderId="2" pivotButton="0" quotePrefix="0" xfId="6"/>
    <xf numFmtId="165" fontId="12" fillId="10" borderId="2" pivotButton="0" quotePrefix="0" xfId="0"/>
    <xf numFmtId="165" fontId="0" fillId="0" borderId="0" pivotButton="0" quotePrefix="0" xfId="0"/>
    <xf numFmtId="165" fontId="15" fillId="7" borderId="9" pivotButton="0" quotePrefix="0" xfId="6"/>
    <xf numFmtId="165" fontId="0" fillId="0" borderId="2" pivotButton="0" quotePrefix="0" xfId="0"/>
    <xf numFmtId="166" fontId="18" fillId="13" borderId="11" pivotButton="0" quotePrefix="0" xfId="6"/>
    <xf numFmtId="166" fontId="18" fillId="0" borderId="11" pivotButton="0" quotePrefix="0" xfId="6"/>
    <xf numFmtId="166" fontId="19" fillId="0" borderId="13" pivotButton="0" quotePrefix="0" xfId="6"/>
    <xf numFmtId="166" fontId="11" fillId="0" borderId="1" pivotButton="0" quotePrefix="0" xfId="6"/>
    <xf numFmtId="165" fontId="0" fillId="0" borderId="2" pivotButton="0" quotePrefix="0" xfId="6"/>
    <xf numFmtId="165" fontId="12" fillId="0" borderId="2" pivotButton="0" quotePrefix="0" xfId="0"/>
    <xf numFmtId="166" fontId="17" fillId="12" borderId="14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41"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rial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3" displayName="Tabla3" ref="A1:C7" headerRowCount="1" totalsRowCount="1" headerRowDxfId="40" totalsRowDxfId="37" headerRowBorderDxfId="39" tableBorderDxfId="38" totalsRowBorderDxfId="36">
  <autoFilter ref="A1:C6"/>
  <tableColumns count="3">
    <tableColumn id="1" name="Cód. org. aplic." totalsRowLabel="Total" dataDxfId="35" totalsRowDxfId="34"/>
    <tableColumn id="2" name="Descripción justificante" dataDxfId="33" totalsRowDxfId="32"/>
    <tableColumn id="3" name="Imp.cob.aplic." totalsRowFunction="sum" dataDxfId="31" totalsRowDxfId="30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6" displayName="Tabla6" ref="A1:C5" headerRowCount="1" totalsRowCount="1" headerRowBorderDxfId="29" tableBorderDxfId="28" totalsRowBorderDxfId="27">
  <autoFilter ref="A1:C4"/>
  <tableColumns count="3">
    <tableColumn id="1" name="Org. aplic." totalsRowLabel="Total"/>
    <tableColumn id="2" name="Descripción justificante"/>
    <tableColumn id="3" name="Imp. aplic.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:C8" headerRowCount="1" totalsRowCount="1" headerRowDxfId="26" headerRowBorderDxfId="25" tableBorderDxfId="24" totalsRowBorderDxfId="23">
  <autoFilter ref="A1:C7"/>
  <tableColumns count="3">
    <tableColumn id="1" name="Cód. org. aplic." totalsRowLabel="Total" dataDxfId="22" totalsRowDxfId="21"/>
    <tableColumn id="2" name="Descripción justificante" dataDxfId="20" totalsRowDxfId="19"/>
    <tableColumn id="3" name="Imp.cob.aplic." totalsRowFunction="sum" dataDxfId="18" totalsRowDxfId="17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7" displayName="Tabla7" ref="A1:C12" headerRowCount="1" totalsRowCount="1" headerRowDxfId="16" headerRowBorderDxfId="15" tableBorderDxfId="14" totalsRowBorderDxfId="13">
  <autoFilter ref="A1:C11"/>
  <tableColumns count="3">
    <tableColumn id="1" name="Org. aplic." totalsRowLabel="Total" dataDxfId="12" totalsRowDxfId="11"/>
    <tableColumn id="2" name="Descripción justificante" dataDxfId="10" totalsRowDxfId="9"/>
    <tableColumn id="3" name="Imp. aplic." totalsRowFunction="sum" dataDxfId="8" totalsRowDxfId="7" dataCellStyle="Millares" totalsRowCellStyle="Millar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1" displayName="Tabla1" ref="A1:C22" headerRowCount="1" totalsRowCount="1" headerRowDxfId="3" headerRowBorderDxfId="5" tableBorderDxfId="6" totalsRowBorderDxfId="4">
  <autoFilter ref="A1:C21"/>
  <tableColumns count="3">
    <tableColumn id="1" name="Org. aplic." totalsRowLabel="Total" dataDxfId="2"/>
    <tableColumn id="2" name="Descripción justificante" dataDxfId="1"/>
    <tableColumn id="3" name="Imp. aplic." totalsRowFunction="sum" dataDxfId="0" dataCellStyle="Millares" totalsRowCellStyle="Millares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zoomScale="120" zoomScaleNormal="120" workbookViewId="0">
      <pane xSplit="1" ySplit="1" topLeftCell="C31" activePane="bottomRight" state="frozen"/>
      <selection pane="topRight" activeCell="B1" sqref="B1"/>
      <selection pane="bottomLeft" activeCell="A2" sqref="A2"/>
      <selection pane="bottomRight" activeCell="S62" sqref="S62"/>
    </sheetView>
  </sheetViews>
  <sheetFormatPr baseColWidth="10" defaultColWidth="10.33203125" defaultRowHeight="10.2"/>
  <cols>
    <col width="5" customWidth="1" style="6" min="1" max="1"/>
    <col width="29.6640625" customWidth="1" style="6" min="2" max="4"/>
    <col width="40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5.109375" customWidth="1" style="6" min="11" max="12"/>
    <col width="4.44140625" customWidth="1" style="6" min="13" max="13"/>
    <col width="4.88671875" customWidth="1" style="6" min="14" max="14"/>
    <col width="4.88671875" customWidth="1" style="7" min="15" max="15"/>
    <col width="4.88671875" customWidth="1" style="6" min="16" max="16"/>
    <col width="3.5546875" customWidth="1" style="7" min="17" max="17"/>
    <col width="5.109375" customWidth="1" style="6" min="18" max="21"/>
    <col width="10.33203125" customWidth="1" style="6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9" t="inlineStr">
        <is>
          <t xml:space="preserve">U044 </t>
        </is>
      </c>
      <c r="B2" s="19" t="inlineStr">
        <is>
          <t xml:space="preserve">ADM. FACULTAD DE CIENCIAS DE LA SALUD </t>
        </is>
      </c>
      <c r="C2" s="19" t="inlineStr">
        <is>
          <t xml:space="preserve">DOCTORADO EN CIENCIAS DE LA SALUD </t>
        </is>
      </c>
      <c r="D2" s="19" t="inlineStr">
        <is>
          <t xml:space="preserve">Clement Carbonell, Maria Violeta </t>
        </is>
      </c>
      <c r="E2" s="19" t="inlineStr">
        <is>
          <t xml:space="preserve">EVALUACIÓN DE LA CALIDAD DE VIDA RELACIONADA CON LA SALUD EN EL ENVEJECIMIENTO SALUDABLE Y DETERIORO COGNITIVO LEVE </t>
        </is>
      </c>
      <c r="F2" s="19" t="inlineStr">
        <is>
          <t xml:space="preserve">18/09/2020 </t>
        </is>
      </c>
      <c r="G2" s="19" t="inlineStr">
        <is>
          <t xml:space="preserve">48374192V </t>
        </is>
      </c>
      <c r="H2" s="19" t="inlineStr">
        <is>
          <t xml:space="preserve">Codirector de tesis </t>
        </is>
      </c>
      <c r="I2" s="19" t="inlineStr">
        <is>
          <t xml:space="preserve">B134 </t>
        </is>
      </c>
      <c r="J2" s="19" t="inlineStr">
        <is>
          <t xml:space="preserve">ENFERMERIA </t>
        </is>
      </c>
      <c r="K2" s="19" t="n">
        <v>0.5</v>
      </c>
      <c r="L2" s="19" t="inlineStr">
        <is>
          <t>B134</t>
        </is>
      </c>
      <c r="M2" s="19" t="n">
        <v>2019</v>
      </c>
      <c r="N2" s="26" t="inlineStr"/>
      <c r="O2" s="19" t="inlineStr"/>
      <c r="P2" s="26" t="inlineStr"/>
      <c r="Q2" s="27" t="inlineStr"/>
      <c r="R2" s="85" t="n">
        <v>100</v>
      </c>
      <c r="S2" s="85" t="n">
        <v>0.5</v>
      </c>
      <c r="T2" s="85" t="n">
        <v>0</v>
      </c>
      <c r="U2" s="18" t="n">
        <v>0</v>
      </c>
    </row>
    <row r="3">
      <c r="A3" s="19" t="inlineStr">
        <is>
          <t xml:space="preserve">U044 </t>
        </is>
      </c>
      <c r="B3" s="19" t="inlineStr">
        <is>
          <t xml:space="preserve">ADM. FACULTAD DE CIENCIAS DE LA SALUD </t>
        </is>
      </c>
      <c r="C3" s="19" t="inlineStr">
        <is>
          <t xml:space="preserve">DOCTORADO EN CIENCIAS DE LA SALUD </t>
        </is>
      </c>
      <c r="D3" s="19" t="inlineStr">
        <is>
          <t xml:space="preserve">Oruc , Mirza </t>
        </is>
      </c>
      <c r="E3" s="19" t="inlineStr">
        <is>
          <t xml:space="preserve">Comparative Analysis in Palliative Care Competencies </t>
        </is>
      </c>
      <c r="F3" s="19" t="inlineStr">
        <is>
          <t xml:space="preserve">27/07/2020 </t>
        </is>
      </c>
      <c r="G3" s="19" t="inlineStr">
        <is>
          <t xml:space="preserve">48374192V </t>
        </is>
      </c>
      <c r="H3" s="19" t="inlineStr">
        <is>
          <t xml:space="preserve">Codirector de tesis </t>
        </is>
      </c>
      <c r="I3" s="19" t="inlineStr">
        <is>
          <t xml:space="preserve">B134 </t>
        </is>
      </c>
      <c r="J3" s="19" t="inlineStr">
        <is>
          <t xml:space="preserve">ENFERMERIA </t>
        </is>
      </c>
      <c r="K3" s="19" t="n">
        <v>0.5</v>
      </c>
      <c r="L3" s="19" t="inlineStr">
        <is>
          <t>B134</t>
        </is>
      </c>
      <c r="M3" s="19" t="n">
        <v>2019</v>
      </c>
      <c r="N3" s="26" t="inlineStr"/>
      <c r="O3" s="19" t="inlineStr"/>
      <c r="P3" s="26" t="inlineStr"/>
      <c r="Q3" s="27" t="inlineStr"/>
      <c r="R3" s="85" t="n">
        <v>100</v>
      </c>
      <c r="S3" s="85" t="n">
        <v>0.5</v>
      </c>
      <c r="T3" s="85" t="n">
        <v>0</v>
      </c>
      <c r="U3" s="18" t="n">
        <v>0</v>
      </c>
    </row>
    <row r="4">
      <c r="A4" s="19" t="inlineStr">
        <is>
          <t xml:space="preserve">U044 </t>
        </is>
      </c>
      <c r="B4" s="19" t="inlineStr">
        <is>
          <t xml:space="preserve">ADM. FACULTAD DE CIENCIAS DE LA SALUD </t>
        </is>
      </c>
      <c r="C4" s="19" t="inlineStr">
        <is>
          <t xml:space="preserve">DOCTORADO EN CIENCIAS DE LA SALUD </t>
        </is>
      </c>
      <c r="D4" s="19" t="inlineStr">
        <is>
          <t xml:space="preserve">Oruc , Mirza </t>
        </is>
      </c>
      <c r="E4" s="19" t="inlineStr">
        <is>
          <t xml:space="preserve">Comparative Analysis in Palliative Care Competencies </t>
        </is>
      </c>
      <c r="F4" s="19" t="inlineStr">
        <is>
          <t xml:space="preserve">27/07/2020 </t>
        </is>
      </c>
      <c r="G4" s="19" t="inlineStr">
        <is>
          <t xml:space="preserve">22122086L </t>
        </is>
      </c>
      <c r="H4" s="19" t="inlineStr">
        <is>
          <t xml:space="preserve">Codirector de tesis </t>
        </is>
      </c>
      <c r="I4" s="19" t="inlineStr">
        <is>
          <t xml:space="preserve">B134 </t>
        </is>
      </c>
      <c r="J4" s="19" t="inlineStr">
        <is>
          <t xml:space="preserve">ENFERMERIA </t>
        </is>
      </c>
      <c r="K4" s="19" t="n">
        <v>0.5</v>
      </c>
      <c r="L4" s="19" t="inlineStr">
        <is>
          <t>B134</t>
        </is>
      </c>
      <c r="M4" s="19" t="n">
        <v>2019</v>
      </c>
      <c r="N4" s="26" t="inlineStr">
        <is>
          <t>10.06</t>
        </is>
      </c>
      <c r="O4" s="19" t="inlineStr">
        <is>
          <t>10</t>
        </is>
      </c>
      <c r="P4" s="26" t="inlineStr"/>
      <c r="Q4" s="27" t="inlineStr"/>
      <c r="R4" s="85" t="n">
        <v>90</v>
      </c>
      <c r="S4" s="85" t="n">
        <v>0.45</v>
      </c>
      <c r="T4" s="85" t="n">
        <v>0.05</v>
      </c>
      <c r="U4" s="18" t="n">
        <v>0</v>
      </c>
    </row>
    <row r="5">
      <c r="A5" s="18" t="inlineStr">
        <is>
          <t xml:space="preserve">U044 </t>
        </is>
      </c>
      <c r="B5" s="18" t="inlineStr">
        <is>
          <t xml:space="preserve">ADM. FACULTAD DE CIENCIAS DE LA SALUD </t>
        </is>
      </c>
      <c r="C5" s="18" t="inlineStr">
        <is>
          <t xml:space="preserve">DOCTORADO EN CIENCIAS DE LA SALUD </t>
        </is>
      </c>
      <c r="D5" s="18" t="inlineStr">
        <is>
          <t xml:space="preserve">Mahiques Segura, Gerard </t>
        </is>
      </c>
      <c r="E5" s="18" t="inlineStr">
        <is>
          <t xml:space="preserve">Artroplastia total de cadera primaria con vástago no cementado y par de fricción cerámica-cerámica en pacientes menores de 40 años </t>
        </is>
      </c>
      <c r="F5" s="18" t="inlineStr">
        <is>
          <t xml:space="preserve">16/10/2020 </t>
        </is>
      </c>
      <c r="G5" s="18" t="inlineStr">
        <is>
          <t xml:space="preserve">21510925Z </t>
        </is>
      </c>
      <c r="H5" s="18" t="inlineStr">
        <is>
          <t xml:space="preserve">Codirector de tesis </t>
        </is>
      </c>
      <c r="I5" s="18" t="inlineStr">
        <is>
          <t xml:space="preserve">B134 </t>
        </is>
      </c>
      <c r="J5" s="18" t="inlineStr">
        <is>
          <t xml:space="preserve">ENFERMERIA </t>
        </is>
      </c>
      <c r="K5" s="29" t="n">
        <v>0.5</v>
      </c>
      <c r="L5" s="30" t="inlineStr">
        <is>
          <t>B134</t>
        </is>
      </c>
      <c r="M5" s="18" t="n">
        <v>2019</v>
      </c>
      <c r="N5" s="25" t="inlineStr">
        <is>
          <t>10.19</t>
        </is>
      </c>
      <c r="O5" s="18" t="n">
        <v>20</v>
      </c>
      <c r="P5" s="25" t="inlineStr"/>
      <c r="Q5" s="18" t="n">
        <v>0</v>
      </c>
      <c r="R5" s="18" t="n">
        <v>80</v>
      </c>
      <c r="S5" s="18" t="n">
        <v>0.4</v>
      </c>
      <c r="T5" s="18" t="n">
        <v>0.1</v>
      </c>
      <c r="U5" s="18" t="n">
        <v>0</v>
      </c>
    </row>
    <row r="6" ht="10.8" customHeight="1" thickBot="1">
      <c r="A6" s="18" t="inlineStr">
        <is>
          <t xml:space="preserve">U044 </t>
        </is>
      </c>
      <c r="B6" s="18" t="inlineStr">
        <is>
          <t xml:space="preserve">ADM. FACULTAD DE CIENCIAS DE LA SALUD </t>
        </is>
      </c>
      <c r="C6" s="18" t="inlineStr">
        <is>
          <t xml:space="preserve">DOCTORADO EN CIENCIAS DE LA SALUD </t>
        </is>
      </c>
      <c r="D6" s="18" t="inlineStr">
        <is>
          <t xml:space="preserve">Asensio Pascual, Alfredo Elías </t>
        </is>
      </c>
      <c r="E6" s="18" t="inlineStr">
        <is>
          <t xml:space="preserve">Influencia de artroplastia total de cadera previa sobre la función de una subsecuente artropalstia total de rodilla ipsilateral </t>
        </is>
      </c>
      <c r="F6" s="18" t="inlineStr">
        <is>
          <t xml:space="preserve">06/10/2020 </t>
        </is>
      </c>
      <c r="G6" s="18" t="inlineStr">
        <is>
          <t xml:space="preserve">21510925Z </t>
        </is>
      </c>
      <c r="H6" s="18" t="inlineStr">
        <is>
          <t xml:space="preserve">Codirector de tesis </t>
        </is>
      </c>
      <c r="I6" s="18" t="inlineStr">
        <is>
          <t xml:space="preserve">B134 </t>
        </is>
      </c>
      <c r="J6" s="18" t="inlineStr">
        <is>
          <t xml:space="preserve">ENFERMERIA </t>
        </is>
      </c>
      <c r="K6" s="29" t="n">
        <v>0.5</v>
      </c>
      <c r="L6" s="30" t="inlineStr">
        <is>
          <t>B134</t>
        </is>
      </c>
      <c r="M6" s="18" t="n">
        <v>2019</v>
      </c>
      <c r="N6" s="25" t="inlineStr">
        <is>
          <t>10.19</t>
        </is>
      </c>
      <c r="O6" s="18" t="n">
        <v>20</v>
      </c>
      <c r="P6" s="25" t="inlineStr"/>
      <c r="Q6" s="18" t="n">
        <v>0</v>
      </c>
      <c r="R6" s="18" t="n">
        <v>80</v>
      </c>
      <c r="S6" s="18" t="n">
        <v>0.4</v>
      </c>
      <c r="T6" s="18" t="n">
        <v>0.1</v>
      </c>
      <c r="U6" s="18" t="n">
        <v>0</v>
      </c>
    </row>
    <row r="7" ht="10.8" customHeight="1" thickBot="1">
      <c r="A7" s="20" t="inlineStr">
        <is>
          <t xml:space="preserve">U044 </t>
        </is>
      </c>
      <c r="B7" s="20" t="inlineStr">
        <is>
          <t xml:space="preserve">ADM. FACULTAD DE CIENCIAS DE LA SALUD </t>
        </is>
      </c>
      <c r="C7" s="20" t="inlineStr">
        <is>
          <t xml:space="preserve">DOCTORADO EN CIENCIAS DE LA SALUD </t>
        </is>
      </c>
      <c r="D7" s="20" t="inlineStr">
        <is>
          <t xml:space="preserve">Sierras Davó, María Cristina </t>
        </is>
      </c>
      <c r="E7" s="20" t="inlineStr">
        <is>
          <t xml:space="preserve">De la teoría a la práctica, desarrollo de una cultura global en Healthcare Improvement Science. </t>
        </is>
      </c>
      <c r="F7" s="20" t="inlineStr">
        <is>
          <t xml:space="preserve">20/05/2021 </t>
        </is>
      </c>
      <c r="G7" s="21" t="inlineStr">
        <is>
          <t xml:space="preserve">48345363F </t>
        </is>
      </c>
      <c r="H7" s="22" t="inlineStr">
        <is>
          <t xml:space="preserve">Director de tesis </t>
        </is>
      </c>
      <c r="I7" s="22" t="inlineStr">
        <is>
          <t xml:space="preserve">B134 </t>
        </is>
      </c>
      <c r="J7" s="23" t="inlineStr">
        <is>
          <t xml:space="preserve">ENFERMERIA </t>
        </is>
      </c>
      <c r="K7" s="29" t="n">
        <v>1</v>
      </c>
      <c r="L7" s="18" t="inlineStr">
        <is>
          <t>B134</t>
        </is>
      </c>
      <c r="M7" s="18" t="n">
        <v>2020</v>
      </c>
      <c r="N7" s="25" t="inlineStr"/>
      <c r="O7" s="18" t="inlineStr"/>
      <c r="P7" s="25" t="inlineStr"/>
      <c r="Q7" s="18" t="inlineStr"/>
      <c r="R7" s="18" t="n">
        <v>100</v>
      </c>
      <c r="S7" s="18" t="n">
        <v>1</v>
      </c>
      <c r="T7" s="18" t="n">
        <v>0</v>
      </c>
      <c r="U7" s="18" t="n">
        <v>0</v>
      </c>
    </row>
    <row r="8" ht="10.8" customHeight="1" thickBot="1">
      <c r="A8" s="20" t="inlineStr">
        <is>
          <t xml:space="preserve">U044 </t>
        </is>
      </c>
      <c r="B8" s="20" t="inlineStr">
        <is>
          <t xml:space="preserve">ADM. FACULTAD DE CIENCIAS DE LA SALUD </t>
        </is>
      </c>
      <c r="C8" s="20" t="inlineStr">
        <is>
          <t xml:space="preserve">DOCTORADO EN CIENCIAS DE LA SALUD </t>
        </is>
      </c>
      <c r="D8" s="20" t="inlineStr">
        <is>
          <t xml:space="preserve">Escandell Rico, Francisco Miguel </t>
        </is>
      </c>
      <c r="E8" s="20" t="inlineStr">
        <is>
          <t xml:space="preserve">Evaluación de un programa de mejora para prevenir los eventos adversos asociados al proceso de administración de medicamentos. </t>
        </is>
      </c>
      <c r="F8" s="20" t="inlineStr">
        <is>
          <t xml:space="preserve">12/03/2021 </t>
        </is>
      </c>
      <c r="G8" s="21" t="inlineStr">
        <is>
          <t xml:space="preserve">74211603X </t>
        </is>
      </c>
      <c r="H8" s="22" t="inlineStr">
        <is>
          <t xml:space="preserve">Codirector de tesis </t>
        </is>
      </c>
      <c r="I8" s="22" t="inlineStr">
        <is>
          <t xml:space="preserve">B134 </t>
        </is>
      </c>
      <c r="J8" s="23" t="inlineStr">
        <is>
          <t xml:space="preserve">ENFERMERIA </t>
        </is>
      </c>
      <c r="K8" s="29" t="n">
        <v>0.5</v>
      </c>
      <c r="L8" s="18" t="inlineStr">
        <is>
          <t>B134</t>
        </is>
      </c>
      <c r="M8" s="18" t="n">
        <v>2020</v>
      </c>
      <c r="N8" s="25" t="inlineStr"/>
      <c r="O8" s="18" t="inlineStr"/>
      <c r="P8" s="25" t="inlineStr"/>
      <c r="Q8" s="18" t="inlineStr"/>
      <c r="R8" s="18" t="n">
        <v>100</v>
      </c>
      <c r="S8" s="18" t="n">
        <v>0.5</v>
      </c>
      <c r="T8" s="18" t="n">
        <v>0</v>
      </c>
      <c r="U8" s="18" t="n">
        <v>0</v>
      </c>
    </row>
    <row r="9" ht="10.8" customHeight="1" thickBot="1">
      <c r="A9" s="20" t="inlineStr">
        <is>
          <t xml:space="preserve">U044 </t>
        </is>
      </c>
      <c r="B9" s="20" t="inlineStr">
        <is>
          <t xml:space="preserve">ADM. FACULTAD DE CIENCIAS DE LA SALUD </t>
        </is>
      </c>
      <c r="C9" s="20" t="inlineStr">
        <is>
          <t xml:space="preserve">DOCTORADO EN CIENCIAS DE LA SALUD </t>
        </is>
      </c>
      <c r="D9" s="20" t="inlineStr">
        <is>
          <t xml:space="preserve">Aguirre Pastor, Alfredo </t>
        </is>
      </c>
      <c r="E9" s="20" t="inlineStr">
        <is>
          <t xml:space="preserve">Influencia de la pseudopatela baja sobre la artroplastia de rodilla. </t>
        </is>
      </c>
      <c r="F9" s="20" t="inlineStr">
        <is>
          <t xml:space="preserve">29/07/2021 </t>
        </is>
      </c>
      <c r="G9" s="21" t="inlineStr">
        <is>
          <t xml:space="preserve">21510925Z </t>
        </is>
      </c>
      <c r="H9" s="22" t="inlineStr">
        <is>
          <t xml:space="preserve">Codirector de tesis </t>
        </is>
      </c>
      <c r="I9" s="22" t="inlineStr">
        <is>
          <t xml:space="preserve">B134 </t>
        </is>
      </c>
      <c r="J9" s="23" t="inlineStr">
        <is>
          <t xml:space="preserve">ENFERMERIA </t>
        </is>
      </c>
      <c r="K9" s="29" t="n">
        <v>0.5</v>
      </c>
      <c r="L9" s="18" t="inlineStr">
        <is>
          <t>B134</t>
        </is>
      </c>
      <c r="M9" s="18" t="n">
        <v>2020</v>
      </c>
      <c r="N9" s="25" t="inlineStr">
        <is>
          <t>10.19</t>
        </is>
      </c>
      <c r="O9" s="18" t="n">
        <v>20</v>
      </c>
      <c r="P9" s="25" t="inlineStr"/>
      <c r="Q9" s="18" t="n">
        <v>0</v>
      </c>
      <c r="R9" s="18" t="n">
        <v>80</v>
      </c>
      <c r="S9" s="18" t="n">
        <v>0.4</v>
      </c>
      <c r="T9" s="18" t="n">
        <v>0.1</v>
      </c>
      <c r="U9" s="18" t="n">
        <v>0</v>
      </c>
    </row>
    <row r="10" ht="10.8" customHeight="1" thickBot="1">
      <c r="A10" s="20" t="inlineStr">
        <is>
          <t xml:space="preserve">U044 </t>
        </is>
      </c>
      <c r="B10" s="20" t="inlineStr">
        <is>
          <t xml:space="preserve">ADM. FACULTAD DE CIENCIAS DE LA SALUD </t>
        </is>
      </c>
      <c r="C10" s="20" t="inlineStr">
        <is>
          <t xml:space="preserve">DOCTORADO EN CIENCIAS DE LA SALUD </t>
        </is>
      </c>
      <c r="D10" s="20" t="inlineStr">
        <is>
          <t xml:space="preserve">Veracruz Gálvez, Eva María </t>
        </is>
      </c>
      <c r="E10" s="20" t="inlineStr">
        <is>
          <t xml:space="preserve">Influencia de la posición de los sesamoideos sobre el resultado funcional de la osteotomía del primer metatarsiano para hallux valgus </t>
        </is>
      </c>
      <c r="F10" s="20" t="inlineStr">
        <is>
          <t xml:space="preserve">16/06/2021 </t>
        </is>
      </c>
      <c r="G10" s="21" t="inlineStr">
        <is>
          <t xml:space="preserve">21510925Z </t>
        </is>
      </c>
      <c r="H10" s="22" t="inlineStr">
        <is>
          <t xml:space="preserve">Codirector de tesis </t>
        </is>
      </c>
      <c r="I10" s="22" t="inlineStr">
        <is>
          <t xml:space="preserve">B134 </t>
        </is>
      </c>
      <c r="J10" s="23" t="inlineStr">
        <is>
          <t xml:space="preserve">ENFERMERIA </t>
        </is>
      </c>
      <c r="K10" s="29" t="n">
        <v>0.5</v>
      </c>
      <c r="L10" s="18" t="inlineStr">
        <is>
          <t>B134</t>
        </is>
      </c>
      <c r="M10" s="18" t="n">
        <v>2020</v>
      </c>
      <c r="N10" s="25" t="inlineStr">
        <is>
          <t>10.19</t>
        </is>
      </c>
      <c r="O10" s="18" t="n">
        <v>20</v>
      </c>
      <c r="P10" s="25" t="inlineStr"/>
      <c r="Q10" s="18" t="n">
        <v>0</v>
      </c>
      <c r="R10" s="18" t="n">
        <v>80</v>
      </c>
      <c r="S10" s="18" t="n">
        <v>0.4</v>
      </c>
      <c r="T10" s="18" t="n">
        <v>0.1</v>
      </c>
      <c r="U10" s="18" t="n">
        <v>0</v>
      </c>
    </row>
    <row r="11" ht="10.8" customHeight="1" thickBot="1">
      <c r="A11" s="20" t="inlineStr">
        <is>
          <t xml:space="preserve">U044 </t>
        </is>
      </c>
      <c r="B11" s="20" t="inlineStr">
        <is>
          <t xml:space="preserve">ADM. FACULTAD DE CIENCIAS DE LA SALUD </t>
        </is>
      </c>
      <c r="C11" s="20" t="inlineStr">
        <is>
          <t xml:space="preserve">DOCTORADO EN CIENCIAS DE LA SALUD </t>
        </is>
      </c>
      <c r="D11" s="20" t="inlineStr">
        <is>
          <t xml:space="preserve">de Juan Pérez, Alba Isabel </t>
        </is>
      </c>
      <c r="E11" s="20" t="inlineStr">
        <is>
          <t xml:space="preserve">"Presencia y distribución de neuroreceptores de serotonina, GABA y dopamina en el espermatozoide humano. Estudio con técnicas de microscopía de alta resolución y análisis de grafos" </t>
        </is>
      </c>
      <c r="F11" s="20" t="inlineStr">
        <is>
          <t xml:space="preserve">25/03/2021 </t>
        </is>
      </c>
      <c r="G11" s="21" t="inlineStr">
        <is>
          <t xml:space="preserve">21510925Z </t>
        </is>
      </c>
      <c r="H11" s="22" t="inlineStr">
        <is>
          <t xml:space="preserve">Codirector de tesis </t>
        </is>
      </c>
      <c r="I11" s="22" t="inlineStr">
        <is>
          <t xml:space="preserve">B134 </t>
        </is>
      </c>
      <c r="J11" s="23" t="inlineStr">
        <is>
          <t xml:space="preserve">ENFERMERIA </t>
        </is>
      </c>
      <c r="K11" s="29" t="n">
        <v>0.5</v>
      </c>
      <c r="L11" s="18" t="inlineStr">
        <is>
          <t>B134</t>
        </is>
      </c>
      <c r="M11" s="18" t="n">
        <v>2020</v>
      </c>
      <c r="N11" s="25" t="inlineStr">
        <is>
          <t>10.19</t>
        </is>
      </c>
      <c r="O11" s="18" t="n">
        <v>20</v>
      </c>
      <c r="P11" s="25" t="inlineStr"/>
      <c r="Q11" s="18" t="n">
        <v>0</v>
      </c>
      <c r="R11" s="18" t="n">
        <v>80</v>
      </c>
      <c r="S11" s="18" t="n">
        <v>0.4</v>
      </c>
      <c r="T11" s="18" t="n">
        <v>0.1</v>
      </c>
      <c r="U11" s="18" t="n">
        <v>0</v>
      </c>
    </row>
    <row r="12" ht="10.8" customHeight="1" thickBot="1">
      <c r="A12" s="20" t="inlineStr">
        <is>
          <t xml:space="preserve">U044 </t>
        </is>
      </c>
      <c r="B12" s="20" t="inlineStr">
        <is>
          <t xml:space="preserve">ADM. FACULTAD DE CIENCIAS DE LA SALUD </t>
        </is>
      </c>
      <c r="C12" s="20" t="inlineStr">
        <is>
          <t xml:space="preserve">DOCTORADO EN CIENCIAS DE LA SALUD </t>
        </is>
      </c>
      <c r="D12" s="20" t="inlineStr">
        <is>
          <t xml:space="preserve">Martínez Martínez, Concepción </t>
        </is>
      </c>
      <c r="E12" s="20" t="inlineStr">
        <is>
          <t xml:space="preserve">Estigma de los profesionales de la salud hacia las pesonas con trastorno mental: Eficacia de una intervención de contactos. </t>
        </is>
      </c>
      <c r="F12" s="20" t="inlineStr">
        <is>
          <t xml:space="preserve">11/06/2021 </t>
        </is>
      </c>
      <c r="G12" s="21" t="inlineStr">
        <is>
          <t xml:space="preserve">22122086L </t>
        </is>
      </c>
      <c r="H12" s="22" t="inlineStr">
        <is>
          <t xml:space="preserve">Codirector de tesis </t>
        </is>
      </c>
      <c r="I12" s="22" t="inlineStr">
        <is>
          <t xml:space="preserve">B134 </t>
        </is>
      </c>
      <c r="J12" s="23" t="inlineStr">
        <is>
          <t xml:space="preserve">ENFERMERIA </t>
        </is>
      </c>
      <c r="K12" s="29" t="n">
        <v>0.5</v>
      </c>
      <c r="L12" s="18" t="inlineStr">
        <is>
          <t>B134</t>
        </is>
      </c>
      <c r="M12" s="18" t="n">
        <v>2020</v>
      </c>
      <c r="N12" s="25" t="inlineStr">
        <is>
          <t>10.06</t>
        </is>
      </c>
      <c r="O12" s="18" t="n">
        <v>10</v>
      </c>
      <c r="P12" s="25" t="inlineStr"/>
      <c r="Q12" s="18" t="n">
        <v>0</v>
      </c>
      <c r="R12" s="18" t="n">
        <v>90</v>
      </c>
      <c r="S12" s="18" t="n">
        <v>0.45</v>
      </c>
      <c r="T12" s="18" t="n">
        <v>0.05</v>
      </c>
      <c r="U12" s="18" t="n">
        <v>0</v>
      </c>
    </row>
    <row r="13" ht="10.8" customHeight="1" thickBot="1">
      <c r="A13" s="20" t="inlineStr">
        <is>
          <t xml:space="preserve">U044 </t>
        </is>
      </c>
      <c r="B13" s="20" t="inlineStr">
        <is>
          <t xml:space="preserve">ADM. FACULTAD DE CIENCIAS DE LA SALUD </t>
        </is>
      </c>
      <c r="C13" s="20" t="inlineStr">
        <is>
          <t xml:space="preserve">DOCTORADO EN CIENCIAS DE LA SALUD </t>
        </is>
      </c>
      <c r="D13" s="20" t="inlineStr">
        <is>
          <t xml:space="preserve">Jover Mendiola, Antonio Damián </t>
        </is>
      </c>
      <c r="E13" s="20" t="inlineStr">
        <is>
          <t xml:space="preserve">Efectividad de la artrodesis primaria posterior de columna lumbar con técnica mínimamente invasiva comparada a la cirugía abierta para potología degenerativa lumbar. </t>
        </is>
      </c>
      <c r="F13" s="20" t="inlineStr">
        <is>
          <t xml:space="preserve">25/05/2021 </t>
        </is>
      </c>
      <c r="G13" s="21" t="inlineStr">
        <is>
          <t xml:space="preserve">21510925Z </t>
        </is>
      </c>
      <c r="H13" s="22" t="inlineStr">
        <is>
          <t xml:space="preserve">Codirector de tesis </t>
        </is>
      </c>
      <c r="I13" s="22" t="inlineStr">
        <is>
          <t xml:space="preserve">B134 </t>
        </is>
      </c>
      <c r="J13" s="23" t="inlineStr">
        <is>
          <t xml:space="preserve">ENFERMERIA </t>
        </is>
      </c>
      <c r="K13" s="29" t="n">
        <v>0.5</v>
      </c>
      <c r="L13" s="18" t="inlineStr">
        <is>
          <t>B134</t>
        </is>
      </c>
      <c r="M13" s="18" t="n">
        <v>2020</v>
      </c>
      <c r="N13" s="25" t="inlineStr">
        <is>
          <t>10.19</t>
        </is>
      </c>
      <c r="O13" s="18" t="n">
        <v>20</v>
      </c>
      <c r="P13" s="25" t="inlineStr"/>
      <c r="Q13" s="18" t="n">
        <v>0</v>
      </c>
      <c r="R13" s="18" t="n">
        <v>80</v>
      </c>
      <c r="S13" s="18" t="n">
        <v>0.4</v>
      </c>
      <c r="T13" s="18" t="n">
        <v>0.1</v>
      </c>
      <c r="U13" s="18" t="n">
        <v>0</v>
      </c>
    </row>
    <row r="14" ht="10.8" customHeight="1" thickBot="1">
      <c r="A14" s="20" t="inlineStr">
        <is>
          <t xml:space="preserve">U044 </t>
        </is>
      </c>
      <c r="B14" s="20" t="inlineStr">
        <is>
          <t xml:space="preserve">ADM. FACULTAD DE CIENCIAS DE LA SALUD </t>
        </is>
      </c>
      <c r="C14" s="20" t="inlineStr">
        <is>
          <t xml:space="preserve">DOCTORADO EN CIENCIAS DE LA SALUD </t>
        </is>
      </c>
      <c r="D14" s="20" t="inlineStr">
        <is>
          <t xml:space="preserve">Rubio Morales, Marta </t>
        </is>
      </c>
      <c r="E14" s="20" t="inlineStr">
        <is>
          <t xml:space="preserve">Beneficios clínicos de la prótesis inversa de hombro e influencia del diagnóstico. </t>
        </is>
      </c>
      <c r="F14" s="20" t="inlineStr">
        <is>
          <t xml:space="preserve">01/06/2021 </t>
        </is>
      </c>
      <c r="G14" s="21" t="inlineStr">
        <is>
          <t xml:space="preserve">21510925Z </t>
        </is>
      </c>
      <c r="H14" s="22" t="inlineStr">
        <is>
          <t xml:space="preserve">Codirector de tesis </t>
        </is>
      </c>
      <c r="I14" s="22" t="inlineStr">
        <is>
          <t xml:space="preserve">B134 </t>
        </is>
      </c>
      <c r="J14" s="23" t="inlineStr">
        <is>
          <t xml:space="preserve">ENFERMERIA </t>
        </is>
      </c>
      <c r="K14" s="29" t="n">
        <v>0.5</v>
      </c>
      <c r="L14" s="18" t="inlineStr">
        <is>
          <t>B134</t>
        </is>
      </c>
      <c r="M14" s="18" t="n">
        <v>2020</v>
      </c>
      <c r="N14" s="25" t="inlineStr">
        <is>
          <t>10.19</t>
        </is>
      </c>
      <c r="O14" s="18" t="n">
        <v>20</v>
      </c>
      <c r="P14" s="25" t="inlineStr"/>
      <c r="Q14" s="18" t="n">
        <v>0</v>
      </c>
      <c r="R14" s="18" t="n">
        <v>80</v>
      </c>
      <c r="S14" s="18" t="n">
        <v>0.4</v>
      </c>
      <c r="T14" s="18" t="n">
        <v>0.1</v>
      </c>
      <c r="U14" s="18" t="n">
        <v>0</v>
      </c>
    </row>
    <row r="15" ht="10.8" customHeight="1" thickBot="1">
      <c r="A15" s="20" t="inlineStr">
        <is>
          <t xml:space="preserve">U044 </t>
        </is>
      </c>
      <c r="B15" s="20" t="inlineStr">
        <is>
          <t xml:space="preserve">ADM. FACULTAD DE CIENCIAS DE LA SALUD </t>
        </is>
      </c>
      <c r="C15" s="20" t="inlineStr">
        <is>
          <t xml:space="preserve">DOCTORADO EN CIENCIAS DE LA SALUD </t>
        </is>
      </c>
      <c r="D15" s="20" t="inlineStr">
        <is>
          <t xml:space="preserve">Huertas Roca, Melody </t>
        </is>
      </c>
      <c r="E15" s="20" t="inlineStr">
        <is>
          <t xml:space="preserve">Validación externa de un sistema de puntuación para realizar cribado de EPOC. </t>
        </is>
      </c>
      <c r="F15" s="20" t="inlineStr">
        <is>
          <t xml:space="preserve">17/09/2021 </t>
        </is>
      </c>
      <c r="G15" s="21" t="inlineStr">
        <is>
          <t xml:space="preserve">21959421X </t>
        </is>
      </c>
      <c r="H15" s="22" t="inlineStr">
        <is>
          <t xml:space="preserve">Director de tesis </t>
        </is>
      </c>
      <c r="I15" s="22" t="inlineStr">
        <is>
          <t xml:space="preserve">B134 </t>
        </is>
      </c>
      <c r="J15" s="23" t="inlineStr">
        <is>
          <t xml:space="preserve">ENFERMERIA </t>
        </is>
      </c>
      <c r="K15" s="29" t="n">
        <v>1</v>
      </c>
      <c r="L15" s="18" t="inlineStr">
        <is>
          <t>B134</t>
        </is>
      </c>
      <c r="M15" s="18" t="n">
        <v>2020</v>
      </c>
      <c r="N15" s="25" t="inlineStr"/>
      <c r="O15" s="18" t="inlineStr"/>
      <c r="P15" s="25" t="inlineStr"/>
      <c r="Q15" s="18" t="inlineStr"/>
      <c r="R15" s="18" t="n">
        <v>100</v>
      </c>
      <c r="S15" s="18" t="n">
        <v>1</v>
      </c>
      <c r="T15" s="18" t="n">
        <v>0</v>
      </c>
      <c r="U15" s="18" t="n">
        <v>0</v>
      </c>
    </row>
    <row r="16">
      <c r="A16" s="18" t="inlineStr">
        <is>
          <t xml:space="preserve">U044 </t>
        </is>
      </c>
      <c r="B16" s="18" t="inlineStr">
        <is>
          <t xml:space="preserve">ADM. FACULTAD DE CIENCIAS DE LA SALUD </t>
        </is>
      </c>
      <c r="C16" s="18" t="inlineStr">
        <is>
          <t xml:space="preserve">DOCTORADO EN CIENCIAS DE LA SALUD </t>
        </is>
      </c>
      <c r="D16" s="18" t="inlineStr">
        <is>
          <t xml:space="preserve">Rollán Oliveira, Susana María </t>
        </is>
      </c>
      <c r="E16" s="18" t="inlineStr">
        <is>
          <t xml:space="preserve">Profesionales de enfermería asturianos en el siglo XX y XXI: un estudio intergeneracional desde la perspectiva de género. </t>
        </is>
      </c>
      <c r="F16" s="18" t="inlineStr">
        <is>
          <t xml:space="preserve">16/06/2022 </t>
        </is>
      </c>
      <c r="G16" s="18" t="inlineStr">
        <is>
          <t xml:space="preserve">22926999R </t>
        </is>
      </c>
      <c r="H16" s="18" t="inlineStr">
        <is>
          <t xml:space="preserve">Director de tesis </t>
        </is>
      </c>
      <c r="I16" s="18" t="inlineStr">
        <is>
          <t xml:space="preserve">B134 </t>
        </is>
      </c>
      <c r="J16" s="18" t="inlineStr">
        <is>
          <t xml:space="preserve">ENFERMERIA </t>
        </is>
      </c>
      <c r="K16" s="29" t="n">
        <v>1</v>
      </c>
      <c r="L16" s="18" t="inlineStr">
        <is>
          <t>B134</t>
        </is>
      </c>
      <c r="M16" s="18" t="n">
        <v>2021</v>
      </c>
      <c r="N16" s="25" t="inlineStr"/>
      <c r="O16" s="18" t="inlineStr"/>
      <c r="P16" s="25" t="inlineStr"/>
      <c r="Q16" s="18" t="inlineStr"/>
      <c r="R16" s="18" t="n">
        <v>100</v>
      </c>
      <c r="S16" s="18" t="n">
        <v>1</v>
      </c>
      <c r="T16" s="18" t="n">
        <v>0</v>
      </c>
      <c r="U16" s="18" t="n">
        <v>0</v>
      </c>
    </row>
    <row r="17">
      <c r="A17" s="18" t="inlineStr">
        <is>
          <t xml:space="preserve">U044 </t>
        </is>
      </c>
      <c r="B17" s="18" t="inlineStr">
        <is>
          <t xml:space="preserve">ADM. FACULTAD DE CIENCIAS DE LA SALUD </t>
        </is>
      </c>
      <c r="C17" s="18" t="inlineStr">
        <is>
          <t xml:space="preserve">DOCTORADO EN CIENCIAS DE LA SALUD </t>
        </is>
      </c>
      <c r="D17" s="18" t="inlineStr">
        <is>
          <t xml:space="preserve">Gutiérrez García, Ana Isabel </t>
        </is>
      </c>
      <c r="E17" s="18" t="inlineStr">
        <is>
          <t xml:space="preserve">¿Vivencias de mujeres que han sufrido la mutilación genital femenina como factor sensibilizador de la función preventiva de los profesionales de salud en la provincial de Alicante. Un estudio fenomenológico y formativo¿ </t>
        </is>
      </c>
      <c r="F17" s="18" t="inlineStr">
        <is>
          <t xml:space="preserve">17/05/2022 </t>
        </is>
      </c>
      <c r="G17" s="18" t="inlineStr">
        <is>
          <t xml:space="preserve">22007370G </t>
        </is>
      </c>
      <c r="H17" s="18" t="inlineStr">
        <is>
          <t xml:space="preserve">Director de tesis </t>
        </is>
      </c>
      <c r="I17" s="18" t="inlineStr">
        <is>
          <t xml:space="preserve">B134 </t>
        </is>
      </c>
      <c r="J17" s="18" t="inlineStr">
        <is>
          <t xml:space="preserve">ENFERMERIA </t>
        </is>
      </c>
      <c r="K17" s="29" t="n">
        <v>1</v>
      </c>
      <c r="L17" s="18" t="inlineStr">
        <is>
          <t>B134</t>
        </is>
      </c>
      <c r="M17" s="18" t="n">
        <v>2021</v>
      </c>
      <c r="N17" s="25" t="inlineStr"/>
      <c r="O17" s="18" t="inlineStr"/>
      <c r="P17" s="25" t="inlineStr"/>
      <c r="Q17" s="18" t="inlineStr"/>
      <c r="R17" s="18" t="n">
        <v>100</v>
      </c>
      <c r="S17" s="18" t="n">
        <v>1</v>
      </c>
      <c r="T17" s="18" t="n">
        <v>0</v>
      </c>
      <c r="U17" s="18" t="n">
        <v>0</v>
      </c>
    </row>
    <row r="18">
      <c r="A18" s="18" t="inlineStr">
        <is>
          <t xml:space="preserve">U044 </t>
        </is>
      </c>
      <c r="B18" s="18" t="inlineStr">
        <is>
          <t xml:space="preserve">ADM. FACULTAD DE CIENCIAS DE LA SALUD </t>
        </is>
      </c>
      <c r="C18" s="18" t="inlineStr">
        <is>
          <t xml:space="preserve">DOCTORADO EN CIENCIAS DE LA SALUD </t>
        </is>
      </c>
      <c r="D18" s="18" t="inlineStr">
        <is>
          <t xml:space="preserve">Ruiz Lozano, Matías </t>
        </is>
      </c>
      <c r="E18" s="18" t="inlineStr">
        <is>
          <t xml:space="preserve">Influencia del portal femoral artroscópico sobre el resultado de la reconstrucción del ligamento cruzado anterior. </t>
        </is>
      </c>
      <c r="F18" s="18" t="inlineStr">
        <is>
          <t xml:space="preserve">08/04/2022 </t>
        </is>
      </c>
      <c r="G18" s="18" t="inlineStr">
        <is>
          <t xml:space="preserve">21510925Z </t>
        </is>
      </c>
      <c r="H18" s="18" t="inlineStr">
        <is>
          <t xml:space="preserve">Codirector de tesis </t>
        </is>
      </c>
      <c r="I18" s="18" t="inlineStr">
        <is>
          <t xml:space="preserve">B134 </t>
        </is>
      </c>
      <c r="J18" s="18" t="inlineStr">
        <is>
          <t xml:space="preserve">ENFERMERIA </t>
        </is>
      </c>
      <c r="K18" s="29" t="n">
        <v>0.5</v>
      </c>
      <c r="L18" s="18" t="inlineStr">
        <is>
          <t>B134</t>
        </is>
      </c>
      <c r="M18" s="18" t="n">
        <v>2021</v>
      </c>
      <c r="N18" s="25" t="inlineStr">
        <is>
          <t>10.19</t>
        </is>
      </c>
      <c r="O18" s="18" t="n">
        <v>20</v>
      </c>
      <c r="P18" s="25" t="inlineStr"/>
      <c r="Q18" s="18" t="n">
        <v>0</v>
      </c>
      <c r="R18" s="18" t="n">
        <v>80</v>
      </c>
      <c r="S18" s="18" t="n">
        <v>0.4</v>
      </c>
      <c r="T18" s="18" t="n">
        <v>0.1</v>
      </c>
      <c r="U18" s="18" t="n">
        <v>0</v>
      </c>
    </row>
    <row r="19">
      <c r="A19" s="18" t="inlineStr">
        <is>
          <t xml:space="preserve">U044 </t>
        </is>
      </c>
      <c r="B19" s="18" t="inlineStr">
        <is>
          <t xml:space="preserve">ADM. FACULTAD DE CIENCIAS DE LA SALUD </t>
        </is>
      </c>
      <c r="C19" s="18" t="inlineStr">
        <is>
          <t xml:space="preserve">DOCTORADO EN CIENCIAS DE LA SALUD </t>
        </is>
      </c>
      <c r="D19" s="18" t="inlineStr">
        <is>
          <t xml:space="preserve">Riquelme Galindo, Jorge </t>
        </is>
      </c>
      <c r="E19" s="18" t="inlineStr">
        <is>
          <t xml:space="preserve">¿Desarrollo de una cultura inclusiva en demencia mediante el diseño de contextos amigables.¿ </t>
        </is>
      </c>
      <c r="F19" s="18" t="inlineStr">
        <is>
          <t xml:space="preserve">04/02/2022 </t>
        </is>
      </c>
      <c r="G19" s="18" t="inlineStr">
        <is>
          <t xml:space="preserve">48345363F </t>
        </is>
      </c>
      <c r="H19" s="18" t="inlineStr">
        <is>
          <t xml:space="preserve">Director de tesis </t>
        </is>
      </c>
      <c r="I19" s="18" t="inlineStr">
        <is>
          <t xml:space="preserve">B134 </t>
        </is>
      </c>
      <c r="J19" s="18" t="inlineStr">
        <is>
          <t xml:space="preserve">ENFERMERIA </t>
        </is>
      </c>
      <c r="K19" s="29" t="n">
        <v>1</v>
      </c>
      <c r="L19" s="18" t="inlineStr">
        <is>
          <t>B134</t>
        </is>
      </c>
      <c r="M19" s="18" t="n">
        <v>2021</v>
      </c>
      <c r="N19" s="25" t="inlineStr"/>
      <c r="O19" s="18" t="inlineStr"/>
      <c r="P19" s="25" t="inlineStr"/>
      <c r="Q19" s="18" t="inlineStr"/>
      <c r="R19" s="18" t="n">
        <v>100</v>
      </c>
      <c r="S19" s="18" t="n">
        <v>1</v>
      </c>
      <c r="T19" s="18" t="n">
        <v>0</v>
      </c>
      <c r="U19" s="18" t="n">
        <v>0</v>
      </c>
    </row>
    <row r="20">
      <c r="A20" s="18" t="inlineStr">
        <is>
          <t xml:space="preserve">U044 </t>
        </is>
      </c>
      <c r="B20" s="18" t="inlineStr">
        <is>
          <t xml:space="preserve">ADM. FACULTAD DE CIENCIAS DE LA SALUD </t>
        </is>
      </c>
      <c r="C20" s="18" t="inlineStr">
        <is>
          <t xml:space="preserve">DOCTORADO EN CIENCIAS DE LA SALUD </t>
        </is>
      </c>
      <c r="D20" s="18" t="inlineStr">
        <is>
          <t xml:space="preserve">Martín Grandes, María del Rosario </t>
        </is>
      </c>
      <c r="E20" s="18" t="inlineStr">
        <is>
          <t xml:space="preserve">Efectividad del ácido tranexámico para reducir las pérdidas sanguíneas en pacientes con fracturas de cadera. </t>
        </is>
      </c>
      <c r="F20" s="18" t="inlineStr">
        <is>
          <t xml:space="preserve">13/06/2022 </t>
        </is>
      </c>
      <c r="G20" s="18" t="inlineStr">
        <is>
          <t xml:space="preserve">21510925Z </t>
        </is>
      </c>
      <c r="H20" s="18" t="inlineStr">
        <is>
          <t xml:space="preserve">Codirector de tesis </t>
        </is>
      </c>
      <c r="I20" s="18" t="inlineStr">
        <is>
          <t xml:space="preserve">B134 </t>
        </is>
      </c>
      <c r="J20" s="18" t="inlineStr">
        <is>
          <t xml:space="preserve">ENFERMERIA </t>
        </is>
      </c>
      <c r="K20" s="29" t="n">
        <v>0.5</v>
      </c>
      <c r="L20" s="18" t="inlineStr">
        <is>
          <t>B134</t>
        </is>
      </c>
      <c r="M20" s="18" t="n">
        <v>2021</v>
      </c>
      <c r="N20" s="25" t="inlineStr">
        <is>
          <t>10.19</t>
        </is>
      </c>
      <c r="O20" s="18" t="n">
        <v>20</v>
      </c>
      <c r="P20" s="25" t="inlineStr"/>
      <c r="Q20" s="18" t="n">
        <v>0</v>
      </c>
      <c r="R20" s="18" t="n">
        <v>80</v>
      </c>
      <c r="S20" s="18" t="n">
        <v>0.4</v>
      </c>
      <c r="T20" s="18" t="n">
        <v>0.1</v>
      </c>
      <c r="U20" s="18" t="n">
        <v>0</v>
      </c>
    </row>
    <row r="21">
      <c r="A21" s="18" t="inlineStr">
        <is>
          <t xml:space="preserve">U044 </t>
        </is>
      </c>
      <c r="B21" s="18" t="inlineStr">
        <is>
          <t xml:space="preserve">ADM. FACULTAD DE CIENCIAS DE LA SALUD </t>
        </is>
      </c>
      <c r="C21" s="18" t="inlineStr">
        <is>
          <t xml:space="preserve">DOCTORADO EN CIENCIAS DE LA SALUD </t>
        </is>
      </c>
      <c r="D21" s="18" t="inlineStr">
        <is>
          <t xml:space="preserve">Rumbo Rodríguez, Lorena </t>
        </is>
      </c>
      <c r="E21" s="18" t="inlineStr">
        <is>
          <t xml:space="preserve">La dieta mediterránea como promotora para la mejora de la adherencia al tratamiento dietético nutricional en personas mayores. </t>
        </is>
      </c>
      <c r="F21" s="18" t="inlineStr">
        <is>
          <t xml:space="preserve">23/09/2022 </t>
        </is>
      </c>
      <c r="G21" s="18" t="inlineStr">
        <is>
          <t xml:space="preserve">48335621V </t>
        </is>
      </c>
      <c r="H21" s="18" t="inlineStr">
        <is>
          <t xml:space="preserve">Codirector de tesis </t>
        </is>
      </c>
      <c r="I21" s="18" t="inlineStr">
        <is>
          <t xml:space="preserve">B134 </t>
        </is>
      </c>
      <c r="J21" s="18" t="inlineStr">
        <is>
          <t xml:space="preserve">ENFERMERIA </t>
        </is>
      </c>
      <c r="K21" s="33" t="n">
        <v>0.5</v>
      </c>
      <c r="L21" s="18" t="inlineStr">
        <is>
          <t>B134</t>
        </is>
      </c>
      <c r="M21" s="33" t="n">
        <v>2021</v>
      </c>
      <c r="N21" s="33" t="inlineStr"/>
      <c r="O21" s="33" t="inlineStr"/>
      <c r="P21" s="33" t="inlineStr"/>
      <c r="Q21" s="33" t="inlineStr"/>
      <c r="R21" s="33" t="n">
        <v>100</v>
      </c>
      <c r="S21" s="33" t="n">
        <v>0.5</v>
      </c>
      <c r="T21" s="33" t="n">
        <v>0</v>
      </c>
      <c r="U21" s="18" t="n">
        <v>0</v>
      </c>
    </row>
    <row r="22">
      <c r="A22" s="18" t="inlineStr">
        <is>
          <t xml:space="preserve">U022 </t>
        </is>
      </c>
      <c r="B22" s="18" t="inlineStr">
        <is>
          <t xml:space="preserve">ADM. FACULTAD DE CIENCIAS </t>
        </is>
      </c>
      <c r="C22" s="18" t="inlineStr">
        <is>
          <t xml:space="preserve">DOCTORADO EN CIENCIAS EXPERIMENTALES Y BIOSANITARIAS </t>
        </is>
      </c>
      <c r="D22" s="18" t="inlineStr">
        <is>
          <t>Castillo Martínez, Mónica</t>
        </is>
      </c>
      <c r="E22" s="18" t="inlineStr">
        <is>
          <t xml:space="preserve">VALORACIÓN DIETÉTICO-NUTRICIONAL Y ANTROPOMÉTRICA RELACIONADA CON EL RENDIMIENTO EN JUGADORAS DE ÉLITE DE FÚTBOL SALA </t>
        </is>
      </c>
      <c r="F22" s="18" t="inlineStr">
        <is>
          <t xml:space="preserve">21/03/2023 </t>
        </is>
      </c>
      <c r="G22" s="18" t="inlineStr">
        <is>
          <t xml:space="preserve">74006009J </t>
        </is>
      </c>
      <c r="H22" s="18" t="inlineStr">
        <is>
          <t xml:space="preserve">Codirector de tesis </t>
        </is>
      </c>
      <c r="I22" s="18" t="inlineStr">
        <is>
          <t xml:space="preserve">B134 </t>
        </is>
      </c>
      <c r="J22" s="18" t="inlineStr">
        <is>
          <t xml:space="preserve">ENFERMERIA </t>
        </is>
      </c>
      <c r="K22" s="33" t="n">
        <v>0.5</v>
      </c>
      <c r="L22" s="18" t="inlineStr">
        <is>
          <t>B134</t>
        </is>
      </c>
      <c r="M22" s="33" t="n">
        <v>2022</v>
      </c>
      <c r="N22" s="33" t="inlineStr"/>
      <c r="O22" s="33" t="inlineStr"/>
      <c r="P22" s="33" t="inlineStr"/>
      <c r="Q22" s="33" t="inlineStr"/>
      <c r="R22" s="33" t="n">
        <v>100</v>
      </c>
      <c r="S22" s="33" t="n">
        <v>0.5</v>
      </c>
      <c r="T22" s="33" t="n">
        <v>0</v>
      </c>
      <c r="U22" s="18" t="n">
        <v>0</v>
      </c>
    </row>
    <row r="23">
      <c r="A23" s="18" t="inlineStr">
        <is>
          <t xml:space="preserve">U022 </t>
        </is>
      </c>
      <c r="B23" s="18" t="inlineStr">
        <is>
          <t xml:space="preserve">ADM. FACULTAD DE CIENCIAS </t>
        </is>
      </c>
      <c r="C23" s="18" t="inlineStr">
        <is>
          <t xml:space="preserve">DOCTORADO EN CIENCIAS EXPERIMENTALES Y BIOSANITARIAS </t>
        </is>
      </c>
      <c r="D23" s="18" t="inlineStr">
        <is>
          <t>Castillo Martínez, Mónica</t>
        </is>
      </c>
      <c r="E23" s="18" t="inlineStr">
        <is>
          <t xml:space="preserve">VALORACIÓN DIETÉTICO-NUTRICIONAL Y ANTROPOMÉTRICA RELACIONADA CON EL RENDIMIENTO EN JUGADORAS DE ÉLITE DE FÚTBOL SALA </t>
        </is>
      </c>
      <c r="F23" s="18" t="inlineStr">
        <is>
          <t xml:space="preserve">21/03/2023 </t>
        </is>
      </c>
      <c r="G23" s="18" t="inlineStr">
        <is>
          <t xml:space="preserve">20472950Y </t>
        </is>
      </c>
      <c r="H23" s="18" t="inlineStr">
        <is>
          <t xml:space="preserve">Codirector de tesis </t>
        </is>
      </c>
      <c r="I23" s="18" t="inlineStr">
        <is>
          <t xml:space="preserve">B134 </t>
        </is>
      </c>
      <c r="J23" s="18" t="inlineStr">
        <is>
          <t xml:space="preserve">ENFERMERIA </t>
        </is>
      </c>
      <c r="K23" s="33" t="n">
        <v>0.5</v>
      </c>
      <c r="L23" s="18" t="inlineStr">
        <is>
          <t>B134</t>
        </is>
      </c>
      <c r="M23" s="33" t="n">
        <v>2022</v>
      </c>
      <c r="N23" s="33" t="inlineStr"/>
      <c r="O23" s="33" t="inlineStr"/>
      <c r="P23" s="33" t="inlineStr"/>
      <c r="Q23" s="33" t="inlineStr"/>
      <c r="R23" s="33" t="n">
        <v>100</v>
      </c>
      <c r="S23" s="33" t="n">
        <v>0.5</v>
      </c>
      <c r="T23" s="33" t="n">
        <v>0</v>
      </c>
      <c r="U23" s="18" t="n">
        <v>0</v>
      </c>
    </row>
    <row r="24">
      <c r="A24" s="18" t="inlineStr">
        <is>
          <t xml:space="preserve">U044 </t>
        </is>
      </c>
      <c r="B24" s="18" t="inlineStr">
        <is>
          <t xml:space="preserve">ADM. FACULTAD DE CIENCIAS DE LA SALUD </t>
        </is>
      </c>
      <c r="C24" s="18" t="inlineStr">
        <is>
          <t xml:space="preserve">DOCTORADO EN CIENCIAS DE LA SALUD </t>
        </is>
      </c>
      <c r="D24" s="18" t="inlineStr">
        <is>
          <t>Espina Jerez, Blanca</t>
        </is>
      </c>
      <c r="E24" s="18" t="inlineStr">
        <is>
          <t xml:space="preserve">Matrona, Nodriza y Curandera: Historia invisibilizada de los cuidados femeninos. Desde Al-Ándalus hasta finales de la Edad Moderna. Investigación en Historia de la Enfermería </t>
        </is>
      </c>
      <c r="F24" s="18" t="inlineStr">
        <is>
          <t xml:space="preserve">27/09/2023 </t>
        </is>
      </c>
      <c r="G24" s="18" t="inlineStr">
        <is>
          <t xml:space="preserve">22926999R </t>
        </is>
      </c>
      <c r="H24" s="18" t="inlineStr">
        <is>
          <t xml:space="preserve">Codirector de tesis </t>
        </is>
      </c>
      <c r="I24" s="18" t="inlineStr">
        <is>
          <t xml:space="preserve">B134 </t>
        </is>
      </c>
      <c r="J24" s="18" t="inlineStr">
        <is>
          <t xml:space="preserve">ENFERMERIA </t>
        </is>
      </c>
      <c r="K24" s="33" t="n">
        <v>0.5</v>
      </c>
      <c r="L24" s="18" t="inlineStr">
        <is>
          <t>B134</t>
        </is>
      </c>
      <c r="M24" s="33" t="n">
        <v>2022</v>
      </c>
      <c r="N24" s="33" t="inlineStr"/>
      <c r="O24" s="33" t="inlineStr"/>
      <c r="P24" s="33" t="inlineStr"/>
      <c r="Q24" s="33" t="inlineStr"/>
      <c r="R24" s="33" t="n">
        <v>100</v>
      </c>
      <c r="S24" s="33" t="n">
        <v>0.5</v>
      </c>
      <c r="T24" s="33" t="n">
        <v>0</v>
      </c>
      <c r="U24" s="18" t="n">
        <v>0</v>
      </c>
    </row>
    <row r="25">
      <c r="A25" s="18" t="inlineStr">
        <is>
          <t xml:space="preserve">U044 </t>
        </is>
      </c>
      <c r="B25" s="18" t="inlineStr">
        <is>
          <t xml:space="preserve">ADM. FACULTAD DE CIENCIAS DE LA SALUD </t>
        </is>
      </c>
      <c r="C25" s="18" t="inlineStr">
        <is>
          <t xml:space="preserve">DOCTORADO EN CIENCIAS DE LA SALUD </t>
        </is>
      </c>
      <c r="D25" s="18" t="inlineStr">
        <is>
          <t>Expósito González, Raúl</t>
        </is>
      </c>
      <c r="E25" s="18" t="inlineStr">
        <is>
          <t xml:space="preserve">La Organización Colegial de la Enfermería Española: desde los inicios de la actividad colegial hasta la colegiación oficial única. La Organización Colegial en la provincia de Ciudad Real </t>
        </is>
      </c>
      <c r="F25" s="18" t="inlineStr">
        <is>
          <t xml:space="preserve">31/03/2023 </t>
        </is>
      </c>
      <c r="G25" s="18" t="inlineStr">
        <is>
          <t xml:space="preserve">22926999R </t>
        </is>
      </c>
      <c r="H25" s="18" t="inlineStr">
        <is>
          <t xml:space="preserve">Codirector de tesis </t>
        </is>
      </c>
      <c r="I25" s="18" t="inlineStr">
        <is>
          <t xml:space="preserve">B134 </t>
        </is>
      </c>
      <c r="J25" s="18" t="inlineStr">
        <is>
          <t xml:space="preserve">ENFERMERIA </t>
        </is>
      </c>
      <c r="K25" s="33" t="n">
        <v>0.5</v>
      </c>
      <c r="L25" s="18" t="inlineStr">
        <is>
          <t>B134</t>
        </is>
      </c>
      <c r="M25" s="33" t="n">
        <v>2022</v>
      </c>
      <c r="N25" s="33" t="inlineStr"/>
      <c r="O25" s="33" t="inlineStr"/>
      <c r="P25" s="33" t="inlineStr"/>
      <c r="Q25" s="33" t="inlineStr"/>
      <c r="R25" s="33" t="n">
        <v>100</v>
      </c>
      <c r="S25" s="33" t="n">
        <v>0.5</v>
      </c>
      <c r="T25" s="33" t="n">
        <v>0</v>
      </c>
      <c r="U25" s="18" t="n">
        <v>0</v>
      </c>
    </row>
    <row r="26">
      <c r="A26" s="18" t="inlineStr">
        <is>
          <t xml:space="preserve">U044 </t>
        </is>
      </c>
      <c r="B26" s="18" t="inlineStr">
        <is>
          <t xml:space="preserve">ADM. FACULTAD DE CIENCIAS DE LA SALUD </t>
        </is>
      </c>
      <c r="C26" s="18" t="inlineStr">
        <is>
          <t xml:space="preserve">DOCTORADO EN CIENCIAS DE LA SALUD </t>
        </is>
      </c>
      <c r="D26" s="18" t="inlineStr">
        <is>
          <t>Soriano Vidal, Francisco Javier</t>
        </is>
      </c>
      <c r="E26" s="18" t="inlineStr">
        <is>
          <t xml:space="preserve">Evaluación de la Experiencia del parto en España: Factores influyentes </t>
        </is>
      </c>
      <c r="F26" s="18" t="inlineStr">
        <is>
          <t xml:space="preserve">28/04/2023 </t>
        </is>
      </c>
      <c r="G26" s="18" t="inlineStr">
        <is>
          <t xml:space="preserve">39713954S </t>
        </is>
      </c>
      <c r="H26" s="18" t="inlineStr">
        <is>
          <t xml:space="preserve">Codirector de tesis </t>
        </is>
      </c>
      <c r="I26" s="18" t="inlineStr">
        <is>
          <t xml:space="preserve">B134 </t>
        </is>
      </c>
      <c r="J26" s="18" t="inlineStr">
        <is>
          <t xml:space="preserve">ENFERMERIA </t>
        </is>
      </c>
      <c r="K26" s="33" t="n">
        <v>0.5</v>
      </c>
      <c r="L26" s="18" t="inlineStr">
        <is>
          <t>B134</t>
        </is>
      </c>
      <c r="M26" s="33" t="n">
        <v>2022</v>
      </c>
      <c r="N26" s="33" t="inlineStr"/>
      <c r="O26" s="33" t="inlineStr"/>
      <c r="P26" s="33" t="inlineStr"/>
      <c r="Q26" s="33" t="inlineStr"/>
      <c r="R26" s="33" t="n">
        <v>100</v>
      </c>
      <c r="S26" s="33" t="n">
        <v>0.5</v>
      </c>
      <c r="T26" s="33" t="n">
        <v>0</v>
      </c>
      <c r="U26" s="18" t="n">
        <v>0</v>
      </c>
    </row>
    <row r="27">
      <c r="A27" s="18" t="inlineStr">
        <is>
          <t xml:space="preserve">U044 </t>
        </is>
      </c>
      <c r="B27" s="18" t="inlineStr">
        <is>
          <t xml:space="preserve">ADM. FACULTAD DE CIENCIAS DE LA SALUD </t>
        </is>
      </c>
      <c r="C27" s="18" t="inlineStr">
        <is>
          <t xml:space="preserve">DOCTORADO EN CIENCIAS DE LA SALUD </t>
        </is>
      </c>
      <c r="D27" s="18" t="inlineStr">
        <is>
          <t>Soriano Vidal, Francisco Javier</t>
        </is>
      </c>
      <c r="E27" s="18" t="inlineStr">
        <is>
          <t xml:space="preserve">Evaluación de la Experiencia del parto en España: Factores influyentes </t>
        </is>
      </c>
      <c r="F27" s="18" t="inlineStr">
        <is>
          <t xml:space="preserve">28/04/2023 </t>
        </is>
      </c>
      <c r="G27" s="18" t="inlineStr">
        <is>
          <t xml:space="preserve">22548470Y </t>
        </is>
      </c>
      <c r="H27" s="18" t="inlineStr">
        <is>
          <t xml:space="preserve">Codirector de tesis </t>
        </is>
      </c>
      <c r="I27" s="18" t="inlineStr">
        <is>
          <t xml:space="preserve">B134 </t>
        </is>
      </c>
      <c r="J27" s="18" t="inlineStr">
        <is>
          <t xml:space="preserve">ENFERMERIA </t>
        </is>
      </c>
      <c r="K27" s="33" t="n">
        <v>0.5</v>
      </c>
      <c r="L27" s="18" t="inlineStr">
        <is>
          <t>B134</t>
        </is>
      </c>
      <c r="M27" s="33" t="n">
        <v>2022</v>
      </c>
      <c r="N27" s="33" t="inlineStr"/>
      <c r="O27" s="33" t="inlineStr"/>
      <c r="P27" s="33" t="inlineStr"/>
      <c r="Q27" s="33" t="inlineStr"/>
      <c r="R27" s="33" t="n">
        <v>100</v>
      </c>
      <c r="S27" s="33" t="n">
        <v>0.5</v>
      </c>
      <c r="T27" s="33" t="n">
        <v>0</v>
      </c>
      <c r="U27" s="18" t="n">
        <v>0</v>
      </c>
    </row>
    <row r="28">
      <c r="A28" s="18" t="inlineStr">
        <is>
          <t xml:space="preserve">U044 </t>
        </is>
      </c>
      <c r="B28" s="18" t="inlineStr">
        <is>
          <t xml:space="preserve">ADM. FACULTAD DE CIENCIAS DE LA SALUD </t>
        </is>
      </c>
      <c r="C28" s="18" t="inlineStr">
        <is>
          <t xml:space="preserve">DOCTORADO EN CIENCIAS DE LA SALUD </t>
        </is>
      </c>
      <c r="D28" s="18" t="inlineStr">
        <is>
          <t>Oltra Benavent, Paloma</t>
        </is>
      </c>
      <c r="E28" s="18" t="inlineStr">
        <is>
          <t xml:space="preserve">Traducción y validación de la versión española de la escala Parental Sense of Competence en una población de madres y padres españoles durante los primeros meses después del parto. </t>
        </is>
      </c>
      <c r="F28" s="18" t="inlineStr">
        <is>
          <t xml:space="preserve">26/09/2023 </t>
        </is>
      </c>
      <c r="G28" s="18" t="inlineStr">
        <is>
          <t xml:space="preserve">39713954S </t>
        </is>
      </c>
      <c r="H28" s="18" t="inlineStr">
        <is>
          <t xml:space="preserve">Codirector de tesis </t>
        </is>
      </c>
      <c r="I28" s="18" t="inlineStr">
        <is>
          <t xml:space="preserve">B134 </t>
        </is>
      </c>
      <c r="J28" s="18" t="inlineStr">
        <is>
          <t xml:space="preserve">ENFERMERIA </t>
        </is>
      </c>
      <c r="K28" s="33" t="n">
        <v>0.5</v>
      </c>
      <c r="L28" s="18" t="inlineStr">
        <is>
          <t>B134</t>
        </is>
      </c>
      <c r="M28" s="33" t="n">
        <v>2022</v>
      </c>
      <c r="N28" s="33" t="inlineStr"/>
      <c r="O28" s="33" t="inlineStr"/>
      <c r="P28" s="33" t="inlineStr"/>
      <c r="Q28" s="33" t="inlineStr"/>
      <c r="R28" s="33" t="n">
        <v>100</v>
      </c>
      <c r="S28" s="33" t="n">
        <v>0.5</v>
      </c>
      <c r="T28" s="33" t="n">
        <v>0</v>
      </c>
      <c r="U28" s="18" t="n">
        <v>0</v>
      </c>
    </row>
    <row r="29">
      <c r="A29" s="18" t="inlineStr">
        <is>
          <t xml:space="preserve">U044 </t>
        </is>
      </c>
      <c r="B29" s="18" t="inlineStr">
        <is>
          <t xml:space="preserve">ADM. FACULTAD DE CIENCIAS DE LA SALUD </t>
        </is>
      </c>
      <c r="C29" s="18" t="inlineStr">
        <is>
          <t xml:space="preserve">DOCTORADO EN CIENCIAS DE LA SALUD </t>
        </is>
      </c>
      <c r="D29" s="18" t="inlineStr">
        <is>
          <t>Oltra Benavent, Paloma</t>
        </is>
      </c>
      <c r="E29" s="18" t="inlineStr">
        <is>
          <t xml:space="preserve">Traducción y validación de la versión española de la escala Parental Sense of Competence en una población de madres y padres españoles durante los primeros meses después del parto. </t>
        </is>
      </c>
      <c r="F29" s="18" t="inlineStr">
        <is>
          <t xml:space="preserve">26/09/2023 </t>
        </is>
      </c>
      <c r="G29" s="18" t="inlineStr">
        <is>
          <t xml:space="preserve">22122086L </t>
        </is>
      </c>
      <c r="H29" s="18" t="inlineStr">
        <is>
          <t xml:space="preserve">Codirector de tesis </t>
        </is>
      </c>
      <c r="I29" s="18" t="inlineStr">
        <is>
          <t xml:space="preserve">B134 </t>
        </is>
      </c>
      <c r="J29" s="18" t="inlineStr">
        <is>
          <t xml:space="preserve">ENFERMERIA </t>
        </is>
      </c>
      <c r="K29" s="33" t="n">
        <v>0.5</v>
      </c>
      <c r="L29" s="18" t="inlineStr">
        <is>
          <t>B134</t>
        </is>
      </c>
      <c r="M29" s="33" t="n">
        <v>2022</v>
      </c>
      <c r="N29" s="33" t="inlineStr">
        <is>
          <t>10.06</t>
        </is>
      </c>
      <c r="O29" s="33" t="n">
        <v>10</v>
      </c>
      <c r="P29" s="33" t="inlineStr"/>
      <c r="Q29" s="33" t="n">
        <v>0</v>
      </c>
      <c r="R29" s="33" t="n">
        <v>90</v>
      </c>
      <c r="S29" s="33" t="n">
        <v>0.45</v>
      </c>
      <c r="T29" s="33" t="n">
        <v>0.05</v>
      </c>
      <c r="U29" s="18" t="n">
        <v>0</v>
      </c>
    </row>
    <row r="30">
      <c r="A30" s="18" t="inlineStr">
        <is>
          <t xml:space="preserve">U044 </t>
        </is>
      </c>
      <c r="B30" s="18" t="inlineStr">
        <is>
          <t xml:space="preserve">ADM. FACULTAD DE CIENCIAS DE LA SALUD </t>
        </is>
      </c>
      <c r="C30" s="18" t="inlineStr">
        <is>
          <t xml:space="preserve">DOCTORADO EN CIENCIAS DE LA SALUD </t>
        </is>
      </c>
      <c r="D30" s="18" t="inlineStr">
        <is>
          <t>Mollá Pérez, Salvador José</t>
        </is>
      </c>
      <c r="E30" s="18" t="inlineStr">
        <is>
          <t xml:space="preserve">EXPERIENCIA DE VIDA DE LOS ESPAÑOLES QUE HAN PARTICIPADO EN COOPERACIÓN INTERNACIONAL Y ACCIÓN HUMANITARIA </t>
        </is>
      </c>
      <c r="F30" s="18" t="inlineStr">
        <is>
          <t xml:space="preserve">28/09/2023 </t>
        </is>
      </c>
      <c r="G30" s="18" t="inlineStr">
        <is>
          <t xml:space="preserve">22007370G </t>
        </is>
      </c>
      <c r="H30" s="18" t="inlineStr">
        <is>
          <t xml:space="preserve">Codirector de tesis </t>
        </is>
      </c>
      <c r="I30" s="18" t="inlineStr">
        <is>
          <t xml:space="preserve">B134 </t>
        </is>
      </c>
      <c r="J30" s="18" t="inlineStr">
        <is>
          <t xml:space="preserve">ENFERMERIA </t>
        </is>
      </c>
      <c r="K30" s="33" t="n">
        <v>0.5</v>
      </c>
      <c r="L30" s="18" t="inlineStr">
        <is>
          <t>B134</t>
        </is>
      </c>
      <c r="M30" s="33" t="n">
        <v>2022</v>
      </c>
      <c r="N30" s="33" t="inlineStr"/>
      <c r="O30" s="33" t="inlineStr"/>
      <c r="P30" s="33" t="inlineStr"/>
      <c r="Q30" s="33" t="inlineStr"/>
      <c r="R30" s="33" t="n">
        <v>100</v>
      </c>
      <c r="S30" s="33" t="n">
        <v>0.5</v>
      </c>
      <c r="T30" s="33" t="n">
        <v>0</v>
      </c>
      <c r="U30" s="18" t="n">
        <v>0</v>
      </c>
    </row>
    <row r="31">
      <c r="A31" s="18" t="inlineStr">
        <is>
          <t xml:space="preserve">U044 </t>
        </is>
      </c>
      <c r="B31" s="18" t="inlineStr">
        <is>
          <t xml:space="preserve">ADM. FACULTAD DE CIENCIAS DE LA SALUD </t>
        </is>
      </c>
      <c r="C31" s="18" t="inlineStr">
        <is>
          <t xml:space="preserve">DOCTORADO EN CIENCIAS DE LA SALUD </t>
        </is>
      </c>
      <c r="D31" s="18" t="inlineStr">
        <is>
          <t>Moril Peñalver, Lorena</t>
        </is>
      </c>
      <c r="E31" s="18" t="inlineStr">
        <is>
          <t xml:space="preserve">Osteotomía distal lineal percutánea vs. osteotomía en scarf para hallux valgus moderadosevero. </t>
        </is>
      </c>
      <c r="F31" s="18" t="inlineStr">
        <is>
          <t xml:space="preserve">08/05/2023 </t>
        </is>
      </c>
      <c r="G31" s="18" t="inlineStr">
        <is>
          <t xml:space="preserve">21510925Z </t>
        </is>
      </c>
      <c r="H31" s="18" t="inlineStr">
        <is>
          <t xml:space="preserve">Codirector de tesis </t>
        </is>
      </c>
      <c r="I31" s="18" t="inlineStr">
        <is>
          <t xml:space="preserve">B134 </t>
        </is>
      </c>
      <c r="J31" s="18" t="inlineStr">
        <is>
          <t xml:space="preserve">ENFERMERIA </t>
        </is>
      </c>
      <c r="K31" s="33" t="n">
        <v>0.5</v>
      </c>
      <c r="L31" s="18" t="inlineStr">
        <is>
          <t>B134</t>
        </is>
      </c>
      <c r="M31" s="33" t="n">
        <v>2022</v>
      </c>
      <c r="N31" s="33" t="inlineStr">
        <is>
          <t>10.19</t>
        </is>
      </c>
      <c r="O31" s="33" t="n">
        <v>20</v>
      </c>
      <c r="P31" s="33" t="inlineStr"/>
      <c r="Q31" s="33" t="n">
        <v>0</v>
      </c>
      <c r="R31" s="33" t="n">
        <v>80</v>
      </c>
      <c r="S31" s="33" t="n">
        <v>0.4</v>
      </c>
      <c r="T31" s="33" t="n">
        <v>0.1</v>
      </c>
      <c r="U31" s="18" t="n">
        <v>0</v>
      </c>
    </row>
    <row r="32">
      <c r="A32" s="18" t="inlineStr">
        <is>
          <t xml:space="preserve">U044 </t>
        </is>
      </c>
      <c r="B32" s="18" t="inlineStr">
        <is>
          <t xml:space="preserve">ADM. FACULTAD DE CIENCIAS DE LA SALUD </t>
        </is>
      </c>
      <c r="C32" s="18" t="inlineStr">
        <is>
          <t xml:space="preserve">DOCTORADO EN CIENCIAS DE LA SALUD </t>
        </is>
      </c>
      <c r="D32" s="18" t="inlineStr">
        <is>
          <t>Carrión García, Eduardo</t>
        </is>
      </c>
      <c r="E32" s="18" t="inlineStr">
        <is>
          <t xml:space="preserve">La asistencia sanitaria en la sublevación cantonal de Cartagena (1873-1874) </t>
        </is>
      </c>
      <c r="F32" s="18" t="inlineStr">
        <is>
          <t xml:space="preserve">19/09/2023 </t>
        </is>
      </c>
      <c r="G32" s="18" t="inlineStr">
        <is>
          <t xml:space="preserve">22926999R </t>
        </is>
      </c>
      <c r="H32" s="18" t="inlineStr">
        <is>
          <t xml:space="preserve">Director de tesis </t>
        </is>
      </c>
      <c r="I32" s="18" t="inlineStr">
        <is>
          <t xml:space="preserve">B134 </t>
        </is>
      </c>
      <c r="J32" s="18" t="inlineStr">
        <is>
          <t xml:space="preserve">ENFERMERIA </t>
        </is>
      </c>
      <c r="K32" s="33" t="n">
        <v>1</v>
      </c>
      <c r="L32" s="18" t="inlineStr">
        <is>
          <t>B134</t>
        </is>
      </c>
      <c r="M32" s="33" t="n">
        <v>2022</v>
      </c>
      <c r="N32" s="33" t="inlineStr"/>
      <c r="O32" s="33" t="inlineStr"/>
      <c r="P32" s="33" t="inlineStr"/>
      <c r="Q32" s="33" t="inlineStr"/>
      <c r="R32" s="33" t="n">
        <v>100</v>
      </c>
      <c r="S32" s="33" t="n">
        <v>1</v>
      </c>
      <c r="T32" s="33" t="n">
        <v>0</v>
      </c>
      <c r="U32" s="18" t="n">
        <v>0</v>
      </c>
    </row>
    <row r="33">
      <c r="A33" s="18" t="inlineStr">
        <is>
          <t xml:space="preserve">U044 </t>
        </is>
      </c>
      <c r="B33" s="18" t="inlineStr">
        <is>
          <t xml:space="preserve">ADM. FACULTAD DE CIENCIAS DE LA SALUD </t>
        </is>
      </c>
      <c r="C33" s="18" t="inlineStr">
        <is>
          <t xml:space="preserve">DOCTORADO EN CIENCIAS DE LA SALUD </t>
        </is>
      </c>
      <c r="D33" s="18" t="inlineStr">
        <is>
          <t>Bello Tejeda, Laíz Lissette</t>
        </is>
      </c>
      <c r="E33" s="18" t="inlineStr">
        <is>
          <t xml:space="preserve">Influencia de la magnitud del desplazamiento lateral de la cabeza metatarsiana tras la osteotomía en chevron para hallux valgus sobre el resultado reportado por el paciente </t>
        </is>
      </c>
      <c r="F33" s="18" t="inlineStr">
        <is>
          <t xml:space="preserve">09/03/2023 </t>
        </is>
      </c>
      <c r="G33" s="18" t="inlineStr">
        <is>
          <t xml:space="preserve">21510925Z </t>
        </is>
      </c>
      <c r="H33" s="18" t="inlineStr">
        <is>
          <t xml:space="preserve">Codirector de tesis </t>
        </is>
      </c>
      <c r="I33" s="18" t="inlineStr">
        <is>
          <t xml:space="preserve">B134 </t>
        </is>
      </c>
      <c r="J33" s="18" t="inlineStr">
        <is>
          <t xml:space="preserve">ENFERMERIA </t>
        </is>
      </c>
      <c r="K33" s="33" t="n">
        <v>0.5</v>
      </c>
      <c r="L33" s="18" t="inlineStr">
        <is>
          <t>B134</t>
        </is>
      </c>
      <c r="M33" s="33" t="n">
        <v>2022</v>
      </c>
      <c r="N33" s="33" t="inlineStr">
        <is>
          <t>10.19</t>
        </is>
      </c>
      <c r="O33" s="33" t="n">
        <v>20</v>
      </c>
      <c r="P33" s="33" t="inlineStr"/>
      <c r="Q33" s="33" t="n">
        <v>0</v>
      </c>
      <c r="R33" s="33" t="n">
        <v>80</v>
      </c>
      <c r="S33" s="33" t="n">
        <v>0.4</v>
      </c>
      <c r="T33" s="33" t="n">
        <v>0.1</v>
      </c>
      <c r="U33" s="18" t="n">
        <v>0</v>
      </c>
    </row>
    <row r="34">
      <c r="A34" s="18" t="inlineStr">
        <is>
          <t xml:space="preserve">U044 </t>
        </is>
      </c>
      <c r="B34" s="18" t="inlineStr">
        <is>
          <t xml:space="preserve">ADM. FACULTAD DE CIENCIAS DE LA SALUD </t>
        </is>
      </c>
      <c r="C34" s="18" t="inlineStr">
        <is>
          <t xml:space="preserve">DOCTORADO EN CIENCIAS DE LA SALUD </t>
        </is>
      </c>
      <c r="D34" s="18" t="inlineStr">
        <is>
          <t>Fayos Jordán, Juan Luis</t>
        </is>
      </c>
      <c r="E34" s="18" t="inlineStr">
        <is>
          <t xml:space="preserve">La relajación distal del deltoides como alternativa para la rotura del manguito en pacientes con baja demanda. </t>
        </is>
      </c>
      <c r="F34" s="18" t="inlineStr">
        <is>
          <t xml:space="preserve">19/06/2023 </t>
        </is>
      </c>
      <c r="G34" s="18" t="inlineStr">
        <is>
          <t xml:space="preserve">21510925Z </t>
        </is>
      </c>
      <c r="H34" s="18" t="inlineStr">
        <is>
          <t xml:space="preserve">Codirector de tesis </t>
        </is>
      </c>
      <c r="I34" s="18" t="inlineStr">
        <is>
          <t xml:space="preserve">B134 </t>
        </is>
      </c>
      <c r="J34" s="18" t="inlineStr">
        <is>
          <t xml:space="preserve">ENFERMERIA </t>
        </is>
      </c>
      <c r="K34" s="33" t="n">
        <v>0.5</v>
      </c>
      <c r="L34" s="18" t="inlineStr">
        <is>
          <t>B134</t>
        </is>
      </c>
      <c r="M34" s="33" t="n">
        <v>2022</v>
      </c>
      <c r="N34" s="33" t="inlineStr">
        <is>
          <t>10.19</t>
        </is>
      </c>
      <c r="O34" s="33" t="n">
        <v>20</v>
      </c>
      <c r="P34" s="33" t="inlineStr"/>
      <c r="Q34" s="33" t="n">
        <v>0</v>
      </c>
      <c r="R34" s="33" t="n">
        <v>80</v>
      </c>
      <c r="S34" s="33" t="n">
        <v>0.4</v>
      </c>
      <c r="T34" s="33" t="n">
        <v>0.1</v>
      </c>
      <c r="U34" s="18" t="n">
        <v>0</v>
      </c>
    </row>
    <row r="35">
      <c r="A35" s="18" t="inlineStr">
        <is>
          <t xml:space="preserve">U044 </t>
        </is>
      </c>
      <c r="B35" s="18" t="inlineStr">
        <is>
          <t xml:space="preserve">ADM. FACULTAD DE CIENCIAS DE LA SALUD </t>
        </is>
      </c>
      <c r="C35" s="18" t="inlineStr">
        <is>
          <t xml:space="preserve">DOCTORADO EN CIENCIAS DE LA SALUD </t>
        </is>
      </c>
      <c r="D35" s="18" t="inlineStr">
        <is>
          <t>Calleja Toledano, Paloma Ángela</t>
        </is>
      </c>
      <c r="E35" s="18" t="inlineStr">
        <is>
          <t xml:space="preserve">Funcionalidad y necesidades de cuidado y su relación con resultados en salud en pacientes complejos: estudio prospectivo en un hospital de media estancia </t>
        </is>
      </c>
      <c r="F35" s="18" t="inlineStr">
        <is>
          <t xml:space="preserve">24/03/2023 </t>
        </is>
      </c>
      <c r="G35" s="18" t="inlineStr">
        <is>
          <t xml:space="preserve">21486597C </t>
        </is>
      </c>
      <c r="H35" s="18" t="inlineStr">
        <is>
          <t xml:space="preserve">Codirector de tesis </t>
        </is>
      </c>
      <c r="I35" s="18" t="inlineStr">
        <is>
          <t xml:space="preserve">B134 </t>
        </is>
      </c>
      <c r="J35" s="18" t="inlineStr">
        <is>
          <t xml:space="preserve">ENFERMERIA </t>
        </is>
      </c>
      <c r="K35" s="33" t="n">
        <v>0.5</v>
      </c>
      <c r="L35" s="18" t="inlineStr">
        <is>
          <t>B134</t>
        </is>
      </c>
      <c r="M35" s="33" t="n">
        <v>2022</v>
      </c>
      <c r="N35" s="33" t="inlineStr"/>
      <c r="O35" s="33" t="inlineStr"/>
      <c r="P35" s="33" t="inlineStr"/>
      <c r="Q35" s="33" t="inlineStr"/>
      <c r="R35" s="33" t="n">
        <v>100</v>
      </c>
      <c r="S35" s="33" t="n">
        <v>0.5</v>
      </c>
      <c r="T35" s="33" t="n">
        <v>0</v>
      </c>
      <c r="U35" s="18" t="n">
        <v>0</v>
      </c>
    </row>
    <row r="36">
      <c r="A36" s="18" t="inlineStr">
        <is>
          <t xml:space="preserve">U044 </t>
        </is>
      </c>
      <c r="B36" s="18" t="inlineStr">
        <is>
          <t xml:space="preserve">ADM. FACULTAD DE CIENCIAS DE LA SALUD </t>
        </is>
      </c>
      <c r="C36" s="18" t="inlineStr">
        <is>
          <t xml:space="preserve">DOCTORADO EN CIENCIAS DE LA SALUD </t>
        </is>
      </c>
      <c r="D36" s="18" t="inlineStr">
        <is>
          <t>Jiménez Alfageme, Rubén</t>
        </is>
      </c>
      <c r="E36" s="18" t="inlineStr">
        <is>
          <t xml:space="preserve">CONSUMO DE SUPLEMENTOS DEPORTIVOS Y DESARROLLO DE UNA HERRAMIENTA PARA ANALIZAR LA INGESTA NUTRICIONAL EN DEPORTES DE RESISTENCIA </t>
        </is>
      </c>
      <c r="F36" s="18" t="inlineStr">
        <is>
          <t xml:space="preserve">11/07/2023 </t>
        </is>
      </c>
      <c r="G36" s="18" t="inlineStr">
        <is>
          <t xml:space="preserve">74006009J </t>
        </is>
      </c>
      <c r="H36" s="18" t="inlineStr">
        <is>
          <t xml:space="preserve">Codirector de tesis </t>
        </is>
      </c>
      <c r="I36" s="18" t="inlineStr">
        <is>
          <t xml:space="preserve">B134 </t>
        </is>
      </c>
      <c r="J36" s="18" t="inlineStr">
        <is>
          <t xml:space="preserve">ENFERMERIA </t>
        </is>
      </c>
      <c r="K36" s="33" t="n">
        <v>0.5</v>
      </c>
      <c r="L36" s="18" t="inlineStr">
        <is>
          <t>B134</t>
        </is>
      </c>
      <c r="M36" s="33" t="n">
        <v>2022</v>
      </c>
      <c r="N36" s="33" t="inlineStr"/>
      <c r="O36" s="33" t="inlineStr"/>
      <c r="P36" s="33" t="inlineStr"/>
      <c r="Q36" s="33" t="inlineStr"/>
      <c r="R36" s="33" t="n">
        <v>100</v>
      </c>
      <c r="S36" s="33" t="n">
        <v>0.5</v>
      </c>
      <c r="T36" s="33" t="n">
        <v>0</v>
      </c>
      <c r="U36" s="18" t="n">
        <v>0</v>
      </c>
    </row>
    <row r="37">
      <c r="A37" s="18" t="inlineStr">
        <is>
          <t xml:space="preserve">U044 </t>
        </is>
      </c>
      <c r="B37" s="18" t="inlineStr">
        <is>
          <t xml:space="preserve">ADM. FACULTAD DE CIENCIAS DE LA SALUD </t>
        </is>
      </c>
      <c r="C37" s="18" t="inlineStr">
        <is>
          <t xml:space="preserve">DOCTORADO EN CIENCIAS DE LA SALUD </t>
        </is>
      </c>
      <c r="D37" s="18" t="inlineStr">
        <is>
          <t>Jiménez Alfageme, Rubén</t>
        </is>
      </c>
      <c r="E37" s="18" t="inlineStr">
        <is>
          <t xml:space="preserve">CONSUMO DE SUPLEMENTOS DEPORTIVOS Y DESARROLLO DE UNA HERRAMIENTA PARA ANALIZAR LA INGESTA NUTRICIONAL EN DEPORTES DE RESISTENCIA </t>
        </is>
      </c>
      <c r="F37" s="18" t="inlineStr">
        <is>
          <t xml:space="preserve">11/07/2023 </t>
        </is>
      </c>
      <c r="G37" s="18" t="inlineStr">
        <is>
          <t xml:space="preserve">20472950Y </t>
        </is>
      </c>
      <c r="H37" s="18" t="inlineStr">
        <is>
          <t xml:space="preserve">Codirector de tesis </t>
        </is>
      </c>
      <c r="I37" s="18" t="inlineStr">
        <is>
          <t xml:space="preserve">B134 </t>
        </is>
      </c>
      <c r="J37" s="18" t="inlineStr">
        <is>
          <t xml:space="preserve">ENFERMERIA </t>
        </is>
      </c>
      <c r="K37" s="33" t="n">
        <v>0.5</v>
      </c>
      <c r="L37" s="18" t="inlineStr">
        <is>
          <t>B134</t>
        </is>
      </c>
      <c r="M37" s="33" t="n">
        <v>2022</v>
      </c>
      <c r="N37" s="33" t="inlineStr"/>
      <c r="O37" s="33" t="inlineStr"/>
      <c r="P37" s="33" t="inlineStr"/>
      <c r="Q37" s="33" t="inlineStr"/>
      <c r="R37" s="33" t="n">
        <v>100</v>
      </c>
      <c r="S37" s="33" t="n">
        <v>0.5</v>
      </c>
      <c r="T37" s="33" t="n">
        <v>0</v>
      </c>
      <c r="U37" s="18" t="n">
        <v>0</v>
      </c>
    </row>
    <row r="38">
      <c r="A38" s="18" t="inlineStr">
        <is>
          <t xml:space="preserve">U044 </t>
        </is>
      </c>
      <c r="B38" s="18" t="inlineStr">
        <is>
          <t xml:space="preserve">ADM. FACULTAD DE CIENCIAS DE LA SALUD </t>
        </is>
      </c>
      <c r="C38" s="18" t="inlineStr">
        <is>
          <t xml:space="preserve">DOCTORADO EN CIENCIAS DE LA SALUD </t>
        </is>
      </c>
      <c r="D38" s="18" t="inlineStr">
        <is>
          <t>Esteve Ríos, Antonio</t>
        </is>
      </c>
      <c r="E38" s="18" t="inlineStr">
        <is>
          <t xml:space="preserve">Experiencia de la sexualidad y su abordaje en mujeres con esclerosis múltiple </t>
        </is>
      </c>
      <c r="F38" s="18" t="inlineStr">
        <is>
          <t xml:space="preserve">25/09/2023 </t>
        </is>
      </c>
      <c r="G38" s="18" t="inlineStr">
        <is>
          <t xml:space="preserve">48374192V </t>
        </is>
      </c>
      <c r="H38" s="18" t="inlineStr">
        <is>
          <t xml:space="preserve">Codirector de tesis </t>
        </is>
      </c>
      <c r="I38" s="18" t="inlineStr">
        <is>
          <t xml:space="preserve">B134 </t>
        </is>
      </c>
      <c r="J38" s="18" t="inlineStr">
        <is>
          <t xml:space="preserve">ENFERMERIA </t>
        </is>
      </c>
      <c r="K38" s="33" t="n">
        <v>0.5</v>
      </c>
      <c r="L38" s="18" t="inlineStr">
        <is>
          <t>B134</t>
        </is>
      </c>
      <c r="M38" s="33" t="n">
        <v>2022</v>
      </c>
      <c r="N38" s="33" t="inlineStr"/>
      <c r="O38" s="33" t="inlineStr"/>
      <c r="P38" s="33" t="inlineStr"/>
      <c r="Q38" s="33" t="inlineStr"/>
      <c r="R38" s="33" t="n">
        <v>100</v>
      </c>
      <c r="S38" s="33" t="n">
        <v>0.5</v>
      </c>
      <c r="T38" s="33" t="n">
        <v>0</v>
      </c>
      <c r="U38" s="18" t="n">
        <v>0</v>
      </c>
    </row>
    <row r="39">
      <c r="A39" s="18" t="inlineStr">
        <is>
          <t xml:space="preserve">U044 </t>
        </is>
      </c>
      <c r="B39" s="18" t="inlineStr">
        <is>
          <t xml:space="preserve">ADM. FACULTAD DE CIENCIAS DE LA SALUD </t>
        </is>
      </c>
      <c r="C39" s="18" t="inlineStr">
        <is>
          <t xml:space="preserve">DOCTORADO EN CIENCIAS DE LA SALUD </t>
        </is>
      </c>
      <c r="D39" s="18" t="inlineStr">
        <is>
          <t>Esteve Ríos, Antonio</t>
        </is>
      </c>
      <c r="E39" s="18" t="inlineStr">
        <is>
          <t xml:space="preserve">Experiencia de la sexualidad y su abordaje en mujeres con esclerosis múltiple </t>
        </is>
      </c>
      <c r="F39" s="18" t="inlineStr">
        <is>
          <t xml:space="preserve">25/09/2023 </t>
        </is>
      </c>
      <c r="G39" s="18" t="inlineStr">
        <is>
          <t xml:space="preserve">74004224E </t>
        </is>
      </c>
      <c r="H39" s="18" t="inlineStr">
        <is>
          <t xml:space="preserve">Codirector de tesis </t>
        </is>
      </c>
      <c r="I39" s="18" t="inlineStr">
        <is>
          <t xml:space="preserve">B134 </t>
        </is>
      </c>
      <c r="J39" s="18" t="inlineStr">
        <is>
          <t xml:space="preserve">ENFERMERIA </t>
        </is>
      </c>
      <c r="K39" s="33" t="n">
        <v>0.5</v>
      </c>
      <c r="L39" s="18" t="inlineStr">
        <is>
          <t>B134</t>
        </is>
      </c>
      <c r="M39" s="33" t="n">
        <v>2022</v>
      </c>
      <c r="N39" s="33" t="inlineStr"/>
      <c r="O39" s="33" t="inlineStr"/>
      <c r="P39" s="33" t="inlineStr"/>
      <c r="Q39" s="33" t="inlineStr"/>
      <c r="R39" s="33" t="n">
        <v>100</v>
      </c>
      <c r="S39" s="33" t="n">
        <v>0.5</v>
      </c>
      <c r="T39" s="33" t="n">
        <v>0</v>
      </c>
      <c r="U39" s="18" t="n">
        <v>0</v>
      </c>
    </row>
    <row r="40">
      <c r="A40" s="18" t="inlineStr">
        <is>
          <t xml:space="preserve">U044 </t>
        </is>
      </c>
      <c r="B40" s="18" t="inlineStr">
        <is>
          <t xml:space="preserve">ADM. FACULTAD DE CIENCIAS DE LA SALUD </t>
        </is>
      </c>
      <c r="C40" s="18" t="inlineStr">
        <is>
          <t xml:space="preserve">DOCTORADO EN CIENCIAS DE LA SALUD </t>
        </is>
      </c>
      <c r="D40" s="18" t="inlineStr">
        <is>
          <t>Montaner Losada, Juan Martín</t>
        </is>
      </c>
      <c r="E40" s="18" t="inlineStr">
        <is>
          <t xml:space="preserve">VALIDACIÓ DE LES ESCALES LATCH I IBFAT PER A L¿AVALUACIÓ DE LA LACTÀNCIA MATERNA </t>
        </is>
      </c>
      <c r="F40" s="18" t="inlineStr">
        <is>
          <t xml:space="preserve">15/09/2023 </t>
        </is>
      </c>
      <c r="G40" s="18" t="inlineStr">
        <is>
          <t xml:space="preserve">39713954S </t>
        </is>
      </c>
      <c r="H40" s="18" t="inlineStr">
        <is>
          <t xml:space="preserve">Director de tesis </t>
        </is>
      </c>
      <c r="I40" s="18" t="inlineStr">
        <is>
          <t xml:space="preserve">B134 </t>
        </is>
      </c>
      <c r="J40" s="18" t="inlineStr">
        <is>
          <t xml:space="preserve">ENFERMERIA </t>
        </is>
      </c>
      <c r="K40" s="18" t="n">
        <v>1</v>
      </c>
      <c r="L40" s="18" t="inlineStr">
        <is>
          <t>B134</t>
        </is>
      </c>
      <c r="M40" s="18" t="n">
        <v>2022</v>
      </c>
      <c r="N40" s="18" t="inlineStr"/>
      <c r="O40" s="18" t="inlineStr"/>
      <c r="P40" s="18" t="inlineStr"/>
      <c r="Q40" s="18" t="inlineStr"/>
      <c r="R40" s="18" t="n">
        <v>100</v>
      </c>
      <c r="S40" s="18" t="n">
        <v>1</v>
      </c>
      <c r="T40" s="18" t="n">
        <v>0</v>
      </c>
      <c r="U40" s="18" t="n">
        <v>0</v>
      </c>
    </row>
    <row r="41">
      <c r="A41" s="18" t="inlineStr">
        <is>
          <t xml:space="preserve">U044 </t>
        </is>
      </c>
      <c r="B41" s="18" t="inlineStr">
        <is>
          <t>ADM. FACULTAD DE CIENCIAS DE LA SALUD</t>
        </is>
      </c>
      <c r="C41" s="18" t="inlineStr">
        <is>
          <t>DOCTORADO EN CIENCIAS DE LA SALUD</t>
        </is>
      </c>
      <c r="D41" s="18" t="inlineStr">
        <is>
          <t>González Casanueva, Julia</t>
        </is>
      </c>
      <c r="E41" s="18" t="inlineStr">
        <is>
          <t>EFECTIVIDAD A LO LARGO DEL TIEMPO DE LA PRÓTESIS INVERSA DE HOMBRO POR FRACTURA AGUDA</t>
        </is>
      </c>
      <c r="F41" s="18" t="inlineStr">
        <is>
          <t>25/09/2023</t>
        </is>
      </c>
      <c r="G41" s="18" t="inlineStr">
        <is>
          <t xml:space="preserve">21510925Z </t>
        </is>
      </c>
      <c r="H41" s="18" t="inlineStr">
        <is>
          <t>Codirector de tesis</t>
        </is>
      </c>
      <c r="I41" s="18" t="inlineStr">
        <is>
          <t>B134</t>
        </is>
      </c>
      <c r="J41" s="18" t="inlineStr">
        <is>
          <t>ENFERMERIA</t>
        </is>
      </c>
      <c r="K41" s="18" t="n">
        <v>0.5</v>
      </c>
      <c r="L41" s="18" t="inlineStr">
        <is>
          <t>B134</t>
        </is>
      </c>
      <c r="M41" s="18" t="n">
        <v>2022</v>
      </c>
      <c r="N41" s="18" t="inlineStr">
        <is>
          <t>10.19</t>
        </is>
      </c>
      <c r="O41" s="18" t="n">
        <v>20</v>
      </c>
      <c r="P41" s="18" t="inlineStr"/>
      <c r="Q41" s="18" t="n">
        <v>0</v>
      </c>
      <c r="R41" s="18" t="n">
        <v>80</v>
      </c>
      <c r="S41" s="18" t="n">
        <v>0.4</v>
      </c>
      <c r="T41" s="18" t="n">
        <v>0.1</v>
      </c>
      <c r="U41" s="18" t="n">
        <v>0</v>
      </c>
    </row>
    <row r="42">
      <c r="A42" s="18" t="inlineStr">
        <is>
          <t>U044</t>
        </is>
      </c>
      <c r="B42" s="18" t="inlineStr">
        <is>
          <t>ADM. FACULTAD DE CIENCIAS DE LA SALUD</t>
        </is>
      </c>
      <c r="C42" s="18" t="inlineStr">
        <is>
          <t>DOCTORADO EN CIENCIAS DE LA SALUD</t>
        </is>
      </c>
      <c r="D42" s="18" t="inlineStr">
        <is>
          <t>Rodríguez Rodríguez, Román Carlos</t>
        </is>
      </c>
      <c r="E42" s="18" t="inlineStr">
        <is>
          <t>LA RELEVANCIA DE LA MUSICOTERAPIA EN ONCOLOGÍA PEDIÁTRICA DESDE LA MIRADA DE PACIENTES, FAMILIAS Y PROFESIONALES SANITARIOS</t>
        </is>
      </c>
      <c r="F42" s="18" t="inlineStr">
        <is>
          <t>30/05/2024</t>
        </is>
      </c>
      <c r="G42" s="18" t="inlineStr">
        <is>
          <t>74535056Z</t>
        </is>
      </c>
      <c r="H42" s="18" t="inlineStr">
        <is>
          <t>Codirector de tesis</t>
        </is>
      </c>
      <c r="I42" s="18" t="inlineStr">
        <is>
          <t>B134</t>
        </is>
      </c>
      <c r="J42" s="18" t="inlineStr">
        <is>
          <t>ENFERMERIA</t>
        </is>
      </c>
      <c r="K42" s="18" t="n">
        <v>0.5</v>
      </c>
      <c r="L42" s="18" t="inlineStr">
        <is>
          <t>B134</t>
        </is>
      </c>
      <c r="M42" s="18" t="n">
        <v>2023</v>
      </c>
      <c r="N42" s="18" t="inlineStr"/>
      <c r="O42" s="18" t="inlineStr"/>
      <c r="P42" s="18" t="inlineStr"/>
      <c r="Q42" s="18" t="inlineStr"/>
      <c r="R42" s="18" t="n">
        <v>100</v>
      </c>
      <c r="S42" s="18" t="n">
        <v>0.5</v>
      </c>
      <c r="T42" s="18" t="n">
        <v>0</v>
      </c>
      <c r="U42" s="18" t="n">
        <v>0</v>
      </c>
    </row>
    <row r="43">
      <c r="A43" s="18" t="inlineStr">
        <is>
          <t>U044</t>
        </is>
      </c>
      <c r="B43" s="18" t="inlineStr">
        <is>
          <t>ADM. FACULTAD DE CIENCIAS DE LA SALUD</t>
        </is>
      </c>
      <c r="C43" s="18" t="inlineStr">
        <is>
          <t>DOCTORADO EN CIENCIAS DE LA SALUD</t>
        </is>
      </c>
      <c r="D43" s="18" t="inlineStr">
        <is>
          <t>Ferragut Bria, Juan Carlos</t>
        </is>
      </c>
      <c r="E43" s="18" t="inlineStr">
        <is>
          <t>Seguridad y efectividad del alta rápida tras la artroplastia total de cadera</t>
        </is>
      </c>
      <c r="F43" s="18" t="inlineStr">
        <is>
          <t>22/03/2024</t>
        </is>
      </c>
      <c r="G43" s="18" t="inlineStr">
        <is>
          <t>21510925Z</t>
        </is>
      </c>
      <c r="H43" s="18" t="inlineStr">
        <is>
          <t>Codirector de tesis</t>
        </is>
      </c>
      <c r="I43" s="18" t="inlineStr">
        <is>
          <t>B134</t>
        </is>
      </c>
      <c r="J43" s="18" t="inlineStr">
        <is>
          <t>ENFERMERIA</t>
        </is>
      </c>
      <c r="K43" s="18" t="n">
        <v>0.5</v>
      </c>
      <c r="L43" s="18" t="inlineStr">
        <is>
          <t>B134</t>
        </is>
      </c>
      <c r="M43" s="18" t="n">
        <v>2023</v>
      </c>
      <c r="N43" s="18" t="inlineStr">
        <is>
          <t>10.19</t>
        </is>
      </c>
      <c r="O43" s="18" t="inlineStr">
        <is>
          <t>20</t>
        </is>
      </c>
      <c r="P43" s="18" t="inlineStr"/>
      <c r="Q43" s="18" t="inlineStr"/>
      <c r="R43" s="18" t="n">
        <v>80</v>
      </c>
      <c r="S43" s="18" t="n">
        <v>0.4</v>
      </c>
      <c r="T43" s="18" t="n">
        <v>0.1</v>
      </c>
      <c r="U43" s="18" t="n">
        <v>0</v>
      </c>
    </row>
    <row r="44">
      <c r="A44" s="18" t="inlineStr">
        <is>
          <t>U044</t>
        </is>
      </c>
      <c r="B44" s="18" t="inlineStr">
        <is>
          <t>ADM. FACULTAD DE CIENCIAS DE LA SALUD</t>
        </is>
      </c>
      <c r="C44" s="18" t="inlineStr">
        <is>
          <t>DOCTORADO EN CIENCIAS DE LA SALUD</t>
        </is>
      </c>
      <c r="D44" s="18" t="inlineStr">
        <is>
          <t>Jiménez García, Segundo</t>
        </is>
      </c>
      <c r="E44" s="18" t="inlineStr">
        <is>
          <t>Seguridad y salud laboral de las enfermeras en la crisis sanitaria por pandemia COVID-19 en la Comunidad Valenciana</t>
        </is>
      </c>
      <c r="F44" s="18" t="inlineStr">
        <is>
          <t>09/09/2024</t>
        </is>
      </c>
      <c r="G44" s="18" t="inlineStr">
        <is>
          <t>21510925Z</t>
        </is>
      </c>
      <c r="H44" s="18" t="inlineStr">
        <is>
          <t>Codirector de tesis</t>
        </is>
      </c>
      <c r="I44" s="18" t="inlineStr">
        <is>
          <t>B134</t>
        </is>
      </c>
      <c r="J44" s="18" t="inlineStr">
        <is>
          <t>ENFERMERIA</t>
        </is>
      </c>
      <c r="K44" s="18" t="n">
        <v>0.5</v>
      </c>
      <c r="L44" s="18" t="inlineStr">
        <is>
          <t>B134</t>
        </is>
      </c>
      <c r="M44" s="18" t="n">
        <v>2023</v>
      </c>
      <c r="N44" s="18" t="inlineStr">
        <is>
          <t>10.19</t>
        </is>
      </c>
      <c r="O44" s="18" t="inlineStr">
        <is>
          <t>20</t>
        </is>
      </c>
      <c r="P44" s="18" t="inlineStr"/>
      <c r="Q44" s="18" t="inlineStr"/>
      <c r="R44" s="18" t="n">
        <v>80</v>
      </c>
      <c r="S44" s="18" t="n">
        <v>0.4</v>
      </c>
      <c r="T44" s="18" t="n">
        <v>0.1</v>
      </c>
      <c r="U44" s="18" t="n">
        <v>0</v>
      </c>
    </row>
    <row r="45">
      <c r="A45" s="18" t="inlineStr">
        <is>
          <t>U044</t>
        </is>
      </c>
      <c r="B45" s="18" t="inlineStr">
        <is>
          <t>ADM. FACULTAD DE CIENCIAS DE LA SALUD</t>
        </is>
      </c>
      <c r="C45" s="18" t="inlineStr">
        <is>
          <t>DOCTORADO EN CIENCIAS DE LA SALUD</t>
        </is>
      </c>
      <c r="D45" s="18" t="inlineStr">
        <is>
          <t>Jiménez García, Segundo</t>
        </is>
      </c>
      <c r="E45" s="18" t="inlineStr">
        <is>
          <t>Seguridad y salud laboral de las enfermeras en la crisis sanitaria por pandemia COVID-19 en la Comunidad Valenciana</t>
        </is>
      </c>
      <c r="F45" s="18" t="inlineStr">
        <is>
          <t>09/09/2024</t>
        </is>
      </c>
      <c r="G45" s="18" t="inlineStr">
        <is>
          <t>25123636T</t>
        </is>
      </c>
      <c r="H45" s="18" t="inlineStr">
        <is>
          <t>Codirector de tesis</t>
        </is>
      </c>
      <c r="I45" s="18" t="inlineStr">
        <is>
          <t>B134</t>
        </is>
      </c>
      <c r="J45" s="18" t="inlineStr">
        <is>
          <t>ENFERMERIA</t>
        </is>
      </c>
      <c r="K45" s="18" t="n">
        <v>0.5</v>
      </c>
      <c r="L45" s="18" t="inlineStr">
        <is>
          <t>B134</t>
        </is>
      </c>
      <c r="M45" s="18" t="n">
        <v>2023</v>
      </c>
      <c r="N45" s="18" t="inlineStr"/>
      <c r="O45" s="18" t="inlineStr"/>
      <c r="P45" s="18" t="inlineStr"/>
      <c r="Q45" s="18" t="inlineStr"/>
      <c r="R45" s="18" t="n">
        <v>100</v>
      </c>
      <c r="S45" s="18" t="n">
        <v>0.5</v>
      </c>
      <c r="T45" s="18" t="n">
        <v>0</v>
      </c>
      <c r="U45" s="18" t="n">
        <v>0</v>
      </c>
    </row>
    <row r="46">
      <c r="A46" s="18" t="inlineStr">
        <is>
          <t>U044</t>
        </is>
      </c>
      <c r="B46" s="18" t="inlineStr">
        <is>
          <t>ADM. FACULTAD DE CIENCIAS DE LA SALUD</t>
        </is>
      </c>
      <c r="C46" s="18" t="inlineStr">
        <is>
          <t>DOCTORADO EN CIENCIAS DE LA SALUD</t>
        </is>
      </c>
      <c r="D46" s="18" t="inlineStr">
        <is>
          <t>Romero García, David</t>
        </is>
      </c>
      <c r="E46" s="18" t="inlineStr">
        <is>
          <t>Valoración y relación de la composición corporal, patrón de consumo de alimentos y suplementos deportivos sobre el rendimiento deportivo en jugadores de balonmano (BaloRCAS)</t>
        </is>
      </c>
      <c r="F46" s="18" t="inlineStr">
        <is>
          <t>27/05/2024</t>
        </is>
      </c>
      <c r="G46" s="18" t="inlineStr">
        <is>
          <t>74006009J</t>
        </is>
      </c>
      <c r="H46" s="18" t="inlineStr">
        <is>
          <t>Codirector de tesis</t>
        </is>
      </c>
      <c r="I46" s="18" t="inlineStr">
        <is>
          <t>B134</t>
        </is>
      </c>
      <c r="J46" s="18" t="inlineStr">
        <is>
          <t>ENFERMERIA</t>
        </is>
      </c>
      <c r="K46" s="18" t="n">
        <v>0.5</v>
      </c>
      <c r="L46" s="18" t="inlineStr">
        <is>
          <t>B134</t>
        </is>
      </c>
      <c r="M46" s="18" t="n">
        <v>2023</v>
      </c>
      <c r="N46" s="18" t="inlineStr"/>
      <c r="O46" s="18" t="inlineStr"/>
      <c r="P46" s="18" t="inlineStr"/>
      <c r="Q46" s="18" t="inlineStr"/>
      <c r="R46" s="18" t="n">
        <v>100</v>
      </c>
      <c r="S46" s="18" t="n">
        <v>0.5</v>
      </c>
      <c r="T46" s="18" t="n">
        <v>0</v>
      </c>
      <c r="U46" s="18" t="n">
        <v>0</v>
      </c>
    </row>
    <row r="47">
      <c r="A47" s="18" t="inlineStr">
        <is>
          <t>U044</t>
        </is>
      </c>
      <c r="B47" s="18" t="inlineStr">
        <is>
          <t>ADM. FACULTAD DE CIENCIAS DE LA SALUD</t>
        </is>
      </c>
      <c r="C47" s="18" t="inlineStr">
        <is>
          <t>DOCTORADO EN CIENCIAS DE LA SALUD</t>
        </is>
      </c>
      <c r="D47" s="18" t="inlineStr">
        <is>
          <t>Sánchez Marco, María</t>
        </is>
      </c>
      <c r="E47" s="18" t="inlineStr">
        <is>
          <t>Crisis Resource Management como modelo teórico de intervenciones educativas dirigidas a la adquisición de habilidades no técnicas en el contexto de urgencias y emergencias</t>
        </is>
      </c>
      <c r="F47" s="18" t="inlineStr">
        <is>
          <t>06/03/2024</t>
        </is>
      </c>
      <c r="G47" s="18" t="inlineStr">
        <is>
          <t>48374192V</t>
        </is>
      </c>
      <c r="H47" s="18" t="inlineStr">
        <is>
          <t>Codirector de tesis</t>
        </is>
      </c>
      <c r="I47" s="18" t="inlineStr">
        <is>
          <t>B134</t>
        </is>
      </c>
      <c r="J47" s="18" t="inlineStr">
        <is>
          <t>ENFERMERIA</t>
        </is>
      </c>
      <c r="K47" s="18" t="n">
        <v>0.5</v>
      </c>
      <c r="L47" s="18" t="inlineStr">
        <is>
          <t>B134</t>
        </is>
      </c>
      <c r="M47" s="18" t="n">
        <v>2023</v>
      </c>
      <c r="N47" s="18" t="inlineStr"/>
      <c r="O47" s="18" t="inlineStr"/>
      <c r="P47" s="18" t="inlineStr"/>
      <c r="Q47" s="18" t="inlineStr"/>
      <c r="R47" s="18" t="n">
        <v>100</v>
      </c>
      <c r="S47" s="18" t="n">
        <v>0.5</v>
      </c>
      <c r="T47" s="18" t="n">
        <v>0</v>
      </c>
      <c r="U47" s="18" t="n">
        <v>0</v>
      </c>
    </row>
    <row r="48">
      <c r="A48" s="18" t="inlineStr">
        <is>
          <t>U044</t>
        </is>
      </c>
      <c r="B48" s="18" t="inlineStr">
        <is>
          <t>ADM. FACULTAD DE CIENCIAS DE LA SALUD</t>
        </is>
      </c>
      <c r="C48" s="18" t="inlineStr">
        <is>
          <t>DOCTORADO EN CIENCIAS DE LA SALUD</t>
        </is>
      </c>
      <c r="D48" s="18" t="inlineStr">
        <is>
          <t>Sánchez Marco, María</t>
        </is>
      </c>
      <c r="E48" s="18" t="inlineStr">
        <is>
          <t>Crisis Resource Management como modelo teórico de intervenciones educativas dirigidas a la adquisición de habilidades no técnicas en el contexto de urgencias y emergencias</t>
        </is>
      </c>
      <c r="F48" s="18" t="inlineStr">
        <is>
          <t>06/03/2024</t>
        </is>
      </c>
      <c r="G48" s="18" t="inlineStr">
        <is>
          <t>48539204G</t>
        </is>
      </c>
      <c r="H48" s="18" t="inlineStr">
        <is>
          <t>Codirector de tesis</t>
        </is>
      </c>
      <c r="I48" s="18" t="inlineStr">
        <is>
          <t>B134</t>
        </is>
      </c>
      <c r="J48" s="18" t="inlineStr">
        <is>
          <t>ENFERMERIA</t>
        </is>
      </c>
      <c r="K48" s="18" t="n">
        <v>0.5</v>
      </c>
      <c r="L48" s="18" t="inlineStr">
        <is>
          <t>B134</t>
        </is>
      </c>
      <c r="M48" s="18" t="n">
        <v>2023</v>
      </c>
      <c r="N48" s="18" t="inlineStr"/>
      <c r="O48" s="18" t="inlineStr"/>
      <c r="P48" s="18" t="inlineStr"/>
      <c r="Q48" s="18" t="inlineStr"/>
      <c r="R48" s="18" t="n">
        <v>100</v>
      </c>
      <c r="S48" s="18" t="n">
        <v>0.5</v>
      </c>
      <c r="T48" s="18" t="n">
        <v>0</v>
      </c>
      <c r="U48" s="18" t="n">
        <v>0</v>
      </c>
    </row>
    <row r="49">
      <c r="A49" s="18" t="inlineStr">
        <is>
          <t>U044</t>
        </is>
      </c>
      <c r="B49" s="18" t="inlineStr">
        <is>
          <t>ADM. FACULTAD DE CIENCIAS DE LA SALUD</t>
        </is>
      </c>
      <c r="C49" s="18" t="inlineStr">
        <is>
          <t>DOCTORADO EN CIENCIAS DE LA SALUD</t>
        </is>
      </c>
      <c r="D49" s="18" t="inlineStr">
        <is>
          <t>Herrera Miranda, Felipe</t>
        </is>
      </c>
      <c r="E49" s="18" t="inlineStr">
        <is>
          <t>Identificación de las barreras y facilitadores en la participación de actividad física y deporte en personas con discapacidad física mayores de 18 años, físicamente activos e inactivos de la región de Valparaíso, Chile.</t>
        </is>
      </c>
      <c r="F49" s="18" t="inlineStr">
        <is>
          <t>20/09/2024</t>
        </is>
      </c>
      <c r="G49" s="18" t="inlineStr">
        <is>
          <t>22122086L</t>
        </is>
      </c>
      <c r="H49" s="18" t="inlineStr">
        <is>
          <t>Codirector de tesis</t>
        </is>
      </c>
      <c r="I49" s="18" t="inlineStr">
        <is>
          <t>B134</t>
        </is>
      </c>
      <c r="J49" s="18" t="inlineStr">
        <is>
          <t>ENFERMERIA</t>
        </is>
      </c>
      <c r="K49" s="18" t="n">
        <v>0.5</v>
      </c>
      <c r="L49" s="18" t="inlineStr">
        <is>
          <t>B134</t>
        </is>
      </c>
      <c r="M49" s="18" t="n">
        <v>2023</v>
      </c>
      <c r="N49" s="18" t="inlineStr">
        <is>
          <t>10.06</t>
        </is>
      </c>
      <c r="O49" s="18" t="inlineStr">
        <is>
          <t>10</t>
        </is>
      </c>
      <c r="P49" s="18" t="inlineStr"/>
      <c r="Q49" s="18" t="inlineStr"/>
      <c r="R49" s="18" t="n">
        <v>90</v>
      </c>
      <c r="S49" s="18" t="n">
        <v>0.45</v>
      </c>
      <c r="T49" s="18" t="n">
        <v>0.05</v>
      </c>
      <c r="U49" s="18" t="n">
        <v>0</v>
      </c>
    </row>
    <row r="50">
      <c r="A50" s="18" t="inlineStr">
        <is>
          <t>U044</t>
        </is>
      </c>
      <c r="B50" s="18" t="inlineStr">
        <is>
          <t>ADM. FACULTAD DE CIENCIAS DE LA SALUD</t>
        </is>
      </c>
      <c r="C50" s="18" t="inlineStr">
        <is>
          <t>DOCTORADO EN CIENCIAS DE LA SALUD</t>
        </is>
      </c>
      <c r="D50" s="18" t="inlineStr">
        <is>
          <t>Herrera Miranda, Felipe</t>
        </is>
      </c>
      <c r="E50" s="18" t="inlineStr">
        <is>
          <t>Identificación de las barreras y facilitadores en la participación de actividad física y deporte en personas con discapacidad física mayores de 18 años, físicamente activos e inactivos de la región de Valparaíso, Chile.</t>
        </is>
      </c>
      <c r="F50" s="18" t="inlineStr">
        <is>
          <t>20/09/2024</t>
        </is>
      </c>
      <c r="G50" s="18" t="inlineStr">
        <is>
          <t>22548470Y</t>
        </is>
      </c>
      <c r="H50" s="18" t="inlineStr">
        <is>
          <t>Codirector de tesis</t>
        </is>
      </c>
      <c r="I50" s="18" t="inlineStr">
        <is>
          <t>B134</t>
        </is>
      </c>
      <c r="J50" s="18" t="inlineStr">
        <is>
          <t>ENFERMERIA</t>
        </is>
      </c>
      <c r="K50" s="18" t="n">
        <v>0.5</v>
      </c>
      <c r="L50" s="18" t="inlineStr">
        <is>
          <t>B134</t>
        </is>
      </c>
      <c r="M50" s="18" t="n">
        <v>2023</v>
      </c>
      <c r="N50" s="18" t="inlineStr"/>
      <c r="O50" s="18" t="inlineStr"/>
      <c r="P50" s="18" t="inlineStr"/>
      <c r="Q50" s="18" t="inlineStr"/>
      <c r="R50" s="18" t="n">
        <v>100</v>
      </c>
      <c r="S50" s="18" t="n">
        <v>0.5</v>
      </c>
      <c r="T50" s="18" t="n">
        <v>0</v>
      </c>
      <c r="U50" s="18" t="n">
        <v>0</v>
      </c>
    </row>
    <row r="51">
      <c r="A51" s="18" t="inlineStr">
        <is>
          <t>U044</t>
        </is>
      </c>
      <c r="B51" s="18" t="inlineStr">
        <is>
          <t>ADM. FACULTAD DE CIENCIAS DE LA SALUD</t>
        </is>
      </c>
      <c r="C51" s="18" t="inlineStr">
        <is>
          <t>DOCTORADO EN CIENCIAS DE LA SALUD</t>
        </is>
      </c>
      <c r="D51" s="18" t="inlineStr">
        <is>
          <t>Mujirishvili , Tamar</t>
        </is>
      </c>
      <c r="E51" s="18" t="inlineStr">
        <is>
          <t>Perceptions of personal safety and privacy in older adults and their caregivers in the context of video-based lifelogging technologies</t>
        </is>
      </c>
      <c r="F51" s="46" t="n">
        <v>45548</v>
      </c>
      <c r="G51" s="18" t="inlineStr">
        <is>
          <t>22122086L</t>
        </is>
      </c>
      <c r="H51" s="18" t="inlineStr">
        <is>
          <t>Codirector de tesis</t>
        </is>
      </c>
      <c r="I51" s="18" t="inlineStr">
        <is>
          <t>B134</t>
        </is>
      </c>
      <c r="J51" s="18" t="inlineStr">
        <is>
          <t>ENFERMERIA</t>
        </is>
      </c>
      <c r="K51" s="86" t="n">
        <v>0.3333333333333333</v>
      </c>
      <c r="L51" s="18" t="inlineStr">
        <is>
          <t>B134</t>
        </is>
      </c>
      <c r="M51" s="18" t="n">
        <v>2023</v>
      </c>
      <c r="N51" s="18" t="inlineStr">
        <is>
          <t>10.06</t>
        </is>
      </c>
      <c r="O51" s="18" t="inlineStr">
        <is>
          <t>10</t>
        </is>
      </c>
      <c r="P51" s="18" t="inlineStr"/>
      <c r="Q51" s="18" t="inlineStr"/>
      <c r="R51" s="18" t="n">
        <v>90</v>
      </c>
      <c r="S51" s="18" t="n">
        <v>0.3</v>
      </c>
      <c r="T51" s="47" t="n">
        <v>0.03333333333333333</v>
      </c>
      <c r="U51" s="18" t="n">
        <v>0</v>
      </c>
    </row>
    <row r="52">
      <c r="A52" s="18" t="inlineStr">
        <is>
          <t>U044</t>
        </is>
      </c>
      <c r="B52" s="18" t="inlineStr">
        <is>
          <t>ADM. FACULTAD DE CIENCIAS DE LA SALUD</t>
        </is>
      </c>
      <c r="C52" s="18" t="inlineStr">
        <is>
          <t>DOCTORADO EN CIENCIAS DE LA SALUD</t>
        </is>
      </c>
      <c r="D52" s="18" t="inlineStr">
        <is>
          <t>Mujirishvili , Tamar</t>
        </is>
      </c>
      <c r="E52" s="18" t="inlineStr">
        <is>
          <t>Perceptions of personal safety and privacy in older adults and their caregivers in the context of video-based lifelogging technologies</t>
        </is>
      </c>
      <c r="F52" s="46" t="n">
        <v>45548</v>
      </c>
      <c r="G52" s="18" t="inlineStr">
        <is>
          <t>22548470Y</t>
        </is>
      </c>
      <c r="H52" s="18" t="inlineStr">
        <is>
          <t>Codirector de tesis</t>
        </is>
      </c>
      <c r="I52" s="18" t="inlineStr">
        <is>
          <t>B134</t>
        </is>
      </c>
      <c r="J52" s="18" t="inlineStr">
        <is>
          <t>ENFERMERIA</t>
        </is>
      </c>
      <c r="K52" s="86" t="n">
        <v>0.3333333333333333</v>
      </c>
      <c r="L52" s="18" t="inlineStr">
        <is>
          <t>B134</t>
        </is>
      </c>
      <c r="M52" s="18" t="n">
        <v>2023</v>
      </c>
      <c r="N52" s="18" t="inlineStr"/>
      <c r="O52" s="18" t="inlineStr"/>
      <c r="P52" s="18" t="inlineStr"/>
      <c r="Q52" s="18" t="inlineStr"/>
      <c r="R52" s="18" t="n">
        <v>100</v>
      </c>
      <c r="S52" s="86" t="n">
        <v>0.3333333333333333</v>
      </c>
      <c r="T52" s="18" t="n">
        <v>0</v>
      </c>
      <c r="U52" s="18" t="n">
        <v>0</v>
      </c>
    </row>
    <row r="53">
      <c r="A53" s="18" t="inlineStr">
        <is>
          <t>U044</t>
        </is>
      </c>
      <c r="B53" s="18" t="inlineStr">
        <is>
          <t>Administración Facultad de Ciencias de la Salud</t>
        </is>
      </c>
      <c r="C53" s="18" t="inlineStr">
        <is>
          <t>DOCTORADO EN CIENCIAS DE LA SALUD</t>
        </is>
      </c>
      <c r="D53" s="18" t="inlineStr">
        <is>
          <t>Pagan Conesa, Jose Alejandro</t>
        </is>
      </c>
      <c r="E53" s="18" t="inlineStr">
        <is>
          <t>Influencia del grado de retracción del tendón supraespinoso sobre el resultado de la
reparación artroscópica</t>
        </is>
      </c>
      <c r="F53" s="18" t="inlineStr">
        <is>
          <t>11/03/2025</t>
        </is>
      </c>
      <c r="G53" s="18" t="inlineStr">
        <is>
          <t>21510925Z</t>
        </is>
      </c>
      <c r="H53" s="18" t="inlineStr">
        <is>
          <t>Codirector de tesis</t>
        </is>
      </c>
      <c r="I53" s="18" t="inlineStr">
        <is>
          <t>B134</t>
        </is>
      </c>
      <c r="J53" s="18" t="inlineStr">
        <is>
          <t>Enfermería</t>
        </is>
      </c>
      <c r="K53" s="18" t="n">
        <v>0.5</v>
      </c>
      <c r="L53" s="18" t="inlineStr">
        <is>
          <t>B134</t>
        </is>
      </c>
      <c r="M53" s="18" t="n">
        <v>2024</v>
      </c>
      <c r="N53" s="18" t="inlineStr">
        <is>
          <t>10.19</t>
        </is>
      </c>
      <c r="O53" s="25" t="inlineStr">
        <is>
          <t>20</t>
        </is>
      </c>
      <c r="P53" s="18" t="inlineStr"/>
      <c r="Q53" s="25" t="inlineStr"/>
      <c r="R53" s="18" t="n">
        <v>80</v>
      </c>
      <c r="S53" s="18" t="n">
        <v>0.4</v>
      </c>
      <c r="T53" s="18" t="n">
        <v>0.1</v>
      </c>
      <c r="U53" s="18" t="n">
        <v>0</v>
      </c>
    </row>
    <row r="54">
      <c r="A54" s="18" t="inlineStr">
        <is>
          <t>U044</t>
        </is>
      </c>
      <c r="B54" s="18" t="inlineStr">
        <is>
          <t>Administración Facultad de Ciencias de la Salud</t>
        </is>
      </c>
      <c r="C54" s="18" t="inlineStr">
        <is>
          <t>DOCTORADO EN CIENCIAS DE LA SALUD</t>
        </is>
      </c>
      <c r="D54" s="18" t="inlineStr">
        <is>
          <t>Silva Tubio, José Ramón</t>
        </is>
      </c>
      <c r="E54" s="18" t="inlineStr">
        <is>
          <t>Comparación, desarrollo y evaluación de instrumentos de medición de la autoeficacia para la lactancia materna en España</t>
        </is>
      </c>
      <c r="F54" s="18" t="inlineStr">
        <is>
          <t>14/03/2025</t>
        </is>
      </c>
      <c r="G54" s="18" t="inlineStr">
        <is>
          <t>39713954S</t>
        </is>
      </c>
      <c r="H54" s="18" t="inlineStr">
        <is>
          <t>Codirector de tesis</t>
        </is>
      </c>
      <c r="I54" s="18" t="inlineStr">
        <is>
          <t>B134</t>
        </is>
      </c>
      <c r="J54" s="18" t="inlineStr">
        <is>
          <t>Enfermería</t>
        </is>
      </c>
      <c r="K54" s="18" t="n">
        <v>0.5</v>
      </c>
      <c r="L54" s="18" t="inlineStr">
        <is>
          <t>B134</t>
        </is>
      </c>
      <c r="M54" s="18" t="n">
        <v>2024</v>
      </c>
      <c r="N54" s="18" t="inlineStr"/>
      <c r="O54" s="25" t="inlineStr"/>
      <c r="P54" s="18" t="inlineStr"/>
      <c r="Q54" s="25" t="inlineStr"/>
      <c r="R54" s="18" t="n">
        <v>100</v>
      </c>
      <c r="S54" s="18" t="n">
        <v>0.5</v>
      </c>
      <c r="T54" s="18" t="n">
        <v>0</v>
      </c>
      <c r="U54" s="18" t="n">
        <v>0</v>
      </c>
    </row>
    <row r="55">
      <c r="A55" s="18" t="inlineStr">
        <is>
          <t>U044</t>
        </is>
      </c>
      <c r="B55" s="18" t="inlineStr">
        <is>
          <t>Administración Facultad de Ciencias de la Salud</t>
        </is>
      </c>
      <c r="C55" s="18" t="inlineStr">
        <is>
          <t>DOCTORADO EN CIENCIAS DE LA SALUD</t>
        </is>
      </c>
      <c r="D55" s="18" t="inlineStr">
        <is>
          <t>Silva Tubio, José Ramón</t>
        </is>
      </c>
      <c r="E55" s="18" t="inlineStr">
        <is>
          <t>Comparación, desarrollo y evaluación de instrumentos de medición de la autoeficacia para la lactancia materna en España</t>
        </is>
      </c>
      <c r="F55" s="18" t="inlineStr">
        <is>
          <t>14/03/2025</t>
        </is>
      </c>
      <c r="G55" s="18" t="inlineStr">
        <is>
          <t>29009181V</t>
        </is>
      </c>
      <c r="H55" s="18" t="inlineStr">
        <is>
          <t>Codirector de tesis</t>
        </is>
      </c>
      <c r="I55" s="18" t="inlineStr">
        <is>
          <t>B134</t>
        </is>
      </c>
      <c r="J55" s="18" t="inlineStr">
        <is>
          <t>Enfermería</t>
        </is>
      </c>
      <c r="K55" s="18" t="n">
        <v>0.5</v>
      </c>
      <c r="L55" s="18" t="inlineStr">
        <is>
          <t>B134</t>
        </is>
      </c>
      <c r="M55" s="18" t="n">
        <v>2024</v>
      </c>
      <c r="N55" s="18" t="inlineStr"/>
      <c r="O55" s="25" t="inlineStr"/>
      <c r="P55" s="18" t="inlineStr"/>
      <c r="Q55" s="25" t="inlineStr"/>
      <c r="R55" s="18" t="n">
        <v>100</v>
      </c>
      <c r="S55" s="18" t="n">
        <v>0.5</v>
      </c>
      <c r="T55" s="18" t="n">
        <v>0</v>
      </c>
      <c r="U55" s="18" t="n">
        <v>0</v>
      </c>
    </row>
    <row r="56">
      <c r="A56" s="18" t="inlineStr">
        <is>
          <t>U044</t>
        </is>
      </c>
      <c r="B56" s="18" t="inlineStr">
        <is>
          <t>Administración Facultad de Ciencias de la Salud</t>
        </is>
      </c>
      <c r="C56" s="18" t="inlineStr">
        <is>
          <t>DOCTORADO EN CIENCIAS DE LA SALUD</t>
        </is>
      </c>
      <c r="D56" s="18" t="inlineStr">
        <is>
          <t>Moya Ortiz, Carlos Julio</t>
        </is>
      </c>
      <c r="E56" s="18" t="inlineStr">
        <is>
          <t>Evaluar la eficacia del Enfoque Integrativo de Coaching y Psicología EICPbe© (Moya, 2017) para la adquisición y desarrollo de estrategias eficaces para aumentar el bienestar personal en las tareas y proyectos cotidianos</t>
        </is>
      </c>
      <c r="F56" s="18" t="inlineStr">
        <is>
          <t>26/09/2025</t>
        </is>
      </c>
      <c r="G56" s="18" t="inlineStr">
        <is>
          <t>48539204G</t>
        </is>
      </c>
      <c r="H56" s="18" t="inlineStr">
        <is>
          <t>Codirector de tesis</t>
        </is>
      </c>
      <c r="I56" s="18" t="inlineStr">
        <is>
          <t>B134</t>
        </is>
      </c>
      <c r="J56" s="18" t="inlineStr">
        <is>
          <t>Enfermería</t>
        </is>
      </c>
      <c r="K56" s="18" t="n">
        <v>0.5</v>
      </c>
      <c r="L56" s="18" t="inlineStr">
        <is>
          <t>B134</t>
        </is>
      </c>
      <c r="M56" s="18" t="n">
        <v>2024</v>
      </c>
      <c r="N56" s="18" t="inlineStr"/>
      <c r="O56" s="25" t="inlineStr"/>
      <c r="P56" s="18" t="inlineStr"/>
      <c r="Q56" s="25" t="inlineStr"/>
      <c r="R56" s="18" t="n">
        <v>100</v>
      </c>
      <c r="S56" s="18" t="n">
        <v>0.5</v>
      </c>
      <c r="T56" s="18" t="n">
        <v>0</v>
      </c>
      <c r="U56" s="18" t="n">
        <v>0</v>
      </c>
    </row>
    <row r="57">
      <c r="A57" s="18" t="inlineStr">
        <is>
          <t>U044</t>
        </is>
      </c>
      <c r="B57" s="18" t="inlineStr">
        <is>
          <t>Administración Facultad de Ciencias de la Salud</t>
        </is>
      </c>
      <c r="C57" s="18" t="inlineStr">
        <is>
          <t>DOCTORADO EN CIENCIAS DE LA SALUD</t>
        </is>
      </c>
      <c r="D57" s="18" t="inlineStr">
        <is>
          <t>Moya Ortiz, Carlos Julio</t>
        </is>
      </c>
      <c r="E57" s="18" t="inlineStr">
        <is>
          <t>Evaluar la eficacia del Enfoque Integrativo de Coaching y Psicología EICPbe© (Moya, 2017) para la adquisición y desarrollo de estrategias eficaces para aumentar el bienestar personal en las tareas y proyectos cotidianos</t>
        </is>
      </c>
      <c r="F57" s="18" t="inlineStr">
        <is>
          <t>26/09/2025</t>
        </is>
      </c>
      <c r="G57" s="18" t="inlineStr">
        <is>
          <t>22122086L</t>
        </is>
      </c>
      <c r="H57" s="18" t="inlineStr">
        <is>
          <t>Codirector de tesis</t>
        </is>
      </c>
      <c r="I57" s="18" t="inlineStr">
        <is>
          <t>B134</t>
        </is>
      </c>
      <c r="J57" s="18" t="inlineStr">
        <is>
          <t>Enfermería</t>
        </is>
      </c>
      <c r="K57" s="18" t="n">
        <v>0.5</v>
      </c>
      <c r="L57" s="18" t="inlineStr">
        <is>
          <t>B134</t>
        </is>
      </c>
      <c r="M57" s="18" t="n">
        <v>2024</v>
      </c>
      <c r="N57" s="18" t="inlineStr">
        <is>
          <t>10.06</t>
        </is>
      </c>
      <c r="O57" s="25" t="inlineStr">
        <is>
          <t>10</t>
        </is>
      </c>
      <c r="P57" s="18" t="inlineStr"/>
      <c r="Q57" s="25" t="inlineStr"/>
      <c r="R57" s="18" t="n">
        <v>90</v>
      </c>
      <c r="S57" s="18" t="n">
        <v>0.45</v>
      </c>
      <c r="T57" s="18" t="n">
        <v>0.05</v>
      </c>
      <c r="U57" s="18" t="n">
        <v>0</v>
      </c>
    </row>
    <row r="58">
      <c r="A58" s="18" t="inlineStr">
        <is>
          <t>U044</t>
        </is>
      </c>
      <c r="B58" s="18" t="inlineStr">
        <is>
          <t>Administración Facultad de Ciencias de la Salud</t>
        </is>
      </c>
      <c r="C58" s="18" t="inlineStr">
        <is>
          <t>DOCTORADO EN CIENCIAS DE LA SALUD</t>
        </is>
      </c>
      <c r="D58" s="18" t="inlineStr">
        <is>
          <t>Barbas Monjo, Miguel Ángel</t>
        </is>
      </c>
      <c r="E58" s="18" t="inlineStr">
        <is>
          <t>Evaluación de la Calidad de Vida Relacionada con la Salud en Pacientes con Úlceras de Etiología Venosa atendidos en el Hospital Guadarrama de Madrid, a partir de Instrumentos de Medida de Resultados Basados en el paciente</t>
        </is>
      </c>
      <c r="F58" s="18" t="inlineStr">
        <is>
          <t>03/03/2025</t>
        </is>
      </c>
      <c r="G58" s="18" t="inlineStr">
        <is>
          <t>22548470Y</t>
        </is>
      </c>
      <c r="H58" s="18" t="inlineStr">
        <is>
          <t>Codirector de tesis</t>
        </is>
      </c>
      <c r="I58" s="18" t="inlineStr">
        <is>
          <t>B134</t>
        </is>
      </c>
      <c r="J58" s="18" t="inlineStr">
        <is>
          <t>Enfermería</t>
        </is>
      </c>
      <c r="K58" s="18" t="n">
        <v>0.5</v>
      </c>
      <c r="L58" s="18" t="inlineStr">
        <is>
          <t>B134</t>
        </is>
      </c>
      <c r="M58" s="18" t="n">
        <v>2024</v>
      </c>
      <c r="N58" s="18" t="inlineStr"/>
      <c r="O58" s="25" t="inlineStr"/>
      <c r="P58" s="18" t="inlineStr"/>
      <c r="Q58" s="25" t="inlineStr"/>
      <c r="R58" s="18" t="n">
        <v>100</v>
      </c>
      <c r="S58" s="18" t="n">
        <v>0.5</v>
      </c>
      <c r="T58" s="18" t="n">
        <v>0</v>
      </c>
      <c r="U58" s="18" t="n">
        <v>0</v>
      </c>
    </row>
    <row r="59">
      <c r="A59" s="18" t="inlineStr">
        <is>
          <t>U044</t>
        </is>
      </c>
      <c r="B59" s="18" t="inlineStr">
        <is>
          <t>Administración Facultad de Ciencias de la Salud</t>
        </is>
      </c>
      <c r="C59" s="18" t="inlineStr">
        <is>
          <t>DOCTORADO EN CIENCIAS DE LA SALUD</t>
        </is>
      </c>
      <c r="D59" s="18" t="inlineStr">
        <is>
          <t>Montoro Pérez, Nestor</t>
        </is>
      </c>
      <c r="E59" s="18" t="inlineStr">
        <is>
          <t>Estrés, ansiedad, competencia parental y factores asociados con las "Non-Urgent
Presentations" y los frecuentadores en los servicios de urgencias hospitalarias pediátricas</t>
        </is>
      </c>
      <c r="F59" s="18" t="inlineStr">
        <is>
          <t>29/11/2024</t>
        </is>
      </c>
      <c r="G59" s="18" t="inlineStr">
        <is>
          <t>22122086L</t>
        </is>
      </c>
      <c r="H59" s="18" t="inlineStr">
        <is>
          <t>Codirector de tesis</t>
        </is>
      </c>
      <c r="I59" s="18" t="inlineStr">
        <is>
          <t>B134</t>
        </is>
      </c>
      <c r="J59" s="18" t="inlineStr">
        <is>
          <t>Enfermería</t>
        </is>
      </c>
      <c r="K59" s="18" t="n">
        <v>0.5</v>
      </c>
      <c r="L59" s="18" t="inlineStr">
        <is>
          <t>B134</t>
        </is>
      </c>
      <c r="M59" s="18" t="n">
        <v>2024</v>
      </c>
      <c r="N59" s="18" t="inlineStr">
        <is>
          <t>10.06</t>
        </is>
      </c>
      <c r="O59" s="25" t="inlineStr">
        <is>
          <t>10</t>
        </is>
      </c>
      <c r="P59" s="18" t="inlineStr"/>
      <c r="Q59" s="25" t="inlineStr"/>
      <c r="R59" s="18" t="n">
        <v>90</v>
      </c>
      <c r="S59" s="18" t="n">
        <v>0.45</v>
      </c>
      <c r="T59" s="18" t="n">
        <v>0.05</v>
      </c>
      <c r="U59" s="18" t="n">
        <v>0</v>
      </c>
    </row>
    <row r="60">
      <c r="A60" s="18" t="inlineStr">
        <is>
          <t>U044</t>
        </is>
      </c>
      <c r="B60" s="18" t="inlineStr">
        <is>
          <t>Administración Facultad de Ciencias de la Salud</t>
        </is>
      </c>
      <c r="C60" s="18" t="inlineStr">
        <is>
          <t>DOCTORADO EN CIENCIAS DE LA SALUD</t>
        </is>
      </c>
      <c r="D60" s="18" t="inlineStr">
        <is>
          <t>Díez Martínez, Marcos</t>
        </is>
      </c>
      <c r="E60" s="18" t="inlineStr">
        <is>
          <t>Cribado del cáncer anal en personas con VIH: experiencia del proceso de cribado y
exploración de nuevos biomarcadores</t>
        </is>
      </c>
      <c r="F60" s="18" t="inlineStr">
        <is>
          <t>25/03/2025</t>
        </is>
      </c>
      <c r="G60" s="18" t="inlineStr">
        <is>
          <t>48374192V</t>
        </is>
      </c>
      <c r="H60" s="18" t="inlineStr">
        <is>
          <t>Codirector de tesis</t>
        </is>
      </c>
      <c r="I60" s="18" t="inlineStr">
        <is>
          <t>B134</t>
        </is>
      </c>
      <c r="J60" s="18" t="inlineStr">
        <is>
          <t>Enfermería</t>
        </is>
      </c>
      <c r="K60" s="18" t="n">
        <v>0.5</v>
      </c>
      <c r="L60" s="18" t="inlineStr">
        <is>
          <t>B134</t>
        </is>
      </c>
      <c r="M60" s="18" t="n">
        <v>2024</v>
      </c>
      <c r="N60" s="18" t="inlineStr"/>
      <c r="O60" s="25" t="inlineStr"/>
      <c r="P60" s="18" t="inlineStr"/>
      <c r="Q60" s="25" t="inlineStr"/>
      <c r="R60" s="18" t="n">
        <v>100</v>
      </c>
      <c r="S60" s="18" t="n">
        <v>0.5</v>
      </c>
      <c r="T60" s="18" t="n">
        <v>0</v>
      </c>
      <c r="U60" s="18" t="n">
        <v>0</v>
      </c>
    </row>
    <row r="61">
      <c r="A61" s="18" t="inlineStr">
        <is>
          <t>U044</t>
        </is>
      </c>
      <c r="B61" s="18" t="inlineStr">
        <is>
          <t>Administración Facultad de Ciencias de la Salud</t>
        </is>
      </c>
      <c r="C61" s="18" t="inlineStr">
        <is>
          <t>DOCTORADO EN CIENCIAS DE LA SALUD</t>
        </is>
      </c>
      <c r="D61" s="18" t="inlineStr">
        <is>
          <t>Díez Martínez, Marcos</t>
        </is>
      </c>
      <c r="E61" s="18" t="inlineStr">
        <is>
          <t>Cribado del cáncer anal en personas con VIH: experiencia del proceso de cribado y
exploración de nuevos biomarcadores</t>
        </is>
      </c>
      <c r="F61" s="18" t="inlineStr">
        <is>
          <t>25/03/2025</t>
        </is>
      </c>
      <c r="G61" s="18" t="inlineStr">
        <is>
          <t>29009181V</t>
        </is>
      </c>
      <c r="H61" s="18" t="inlineStr">
        <is>
          <t>Codirector de tesis</t>
        </is>
      </c>
      <c r="I61" s="18" t="inlineStr">
        <is>
          <t>B134</t>
        </is>
      </c>
      <c r="J61" s="18" t="inlineStr">
        <is>
          <t>Enfermería</t>
        </is>
      </c>
      <c r="K61" s="18" t="n">
        <v>0.5</v>
      </c>
      <c r="L61" s="18" t="inlineStr">
        <is>
          <t>B134</t>
        </is>
      </c>
      <c r="M61" s="18" t="n">
        <v>2024</v>
      </c>
      <c r="N61" s="18" t="inlineStr"/>
      <c r="O61" s="25" t="inlineStr"/>
      <c r="P61" s="18" t="inlineStr"/>
      <c r="Q61" s="25" t="inlineStr"/>
      <c r="R61" s="18" t="n">
        <v>100</v>
      </c>
      <c r="S61" s="18" t="n">
        <v>0.5</v>
      </c>
      <c r="T61" s="18" t="n">
        <v>0</v>
      </c>
      <c r="U61" s="18" t="n">
        <v>0</v>
      </c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8" t="n"/>
      <c r="P62" s="37" t="n"/>
      <c r="Q62" s="38" t="n"/>
      <c r="R62" s="37" t="n"/>
      <c r="S62" s="87">
        <f>SUM(S2:S61)</f>
        <v/>
      </c>
      <c r="T62" s="37" t="n"/>
      <c r="U62" s="37" t="n"/>
    </row>
  </sheetData>
  <autoFilter ref="A1:U40">
    <sortState ref="A2:U1853">
      <sortCondition ref="L2:L1853"/>
      <sortCondition ref="M2:M1853"/>
      <sortCondition ref="D2:D1853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30"/>
  <sheetViews>
    <sheetView zoomScaleNormal="100" workbookViewId="0">
      <selection activeCell="U18" sqref="U18"/>
    </sheetView>
  </sheetViews>
  <sheetFormatPr baseColWidth="10" defaultColWidth="11.44140625" defaultRowHeight="13.2"/>
  <cols>
    <col width="10.5546875" bestFit="1" customWidth="1" style="11" min="1" max="1"/>
    <col width="36.6640625" bestFit="1" customWidth="1" style="11" min="2" max="2"/>
    <col width="17" bestFit="1" customWidth="1" style="11" min="3" max="3"/>
    <col width="3.33203125" bestFit="1" customWidth="1" style="11" min="4" max="9"/>
    <col width="13.109375" bestFit="1" customWidth="1" style="11" min="10" max="10"/>
    <col width="5.33203125" bestFit="1" customWidth="1" style="11" min="11" max="11"/>
    <col width="5.6640625" bestFit="1" customWidth="1" style="11" min="12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60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4.4" customHeight="1">
      <c r="A2" s="16" t="inlineStr">
        <is>
          <t>15422485L</t>
        </is>
      </c>
      <c r="B2" s="16" t="inlineStr">
        <is>
          <t>Gutiérrez García, Ana Isabel</t>
        </is>
      </c>
      <c r="C2" s="16" t="inlineStr">
        <is>
          <t>NO FUNCIONARIO</t>
        </is>
      </c>
      <c r="D2" s="16" t="n"/>
      <c r="E2" s="16" t="n"/>
      <c r="F2" s="16" t="n"/>
      <c r="G2" s="16" t="n"/>
      <c r="H2" s="16" t="n"/>
      <c r="I2" s="16" t="n">
        <v>1</v>
      </c>
      <c r="J2" s="16" t="n">
        <v>1</v>
      </c>
      <c r="K2" s="16" t="inlineStr">
        <is>
          <t>B134</t>
        </is>
      </c>
      <c r="L2" s="39" t="n">
        <v>0</v>
      </c>
      <c r="M2" s="39" t="n">
        <v>0</v>
      </c>
      <c r="N2" s="39" t="inlineStr"/>
      <c r="O2" s="39" t="inlineStr"/>
      <c r="P2" s="39" t="n">
        <v>100</v>
      </c>
      <c r="Q2" s="39" t="n">
        <v>0</v>
      </c>
      <c r="R2" s="39" t="n">
        <v>0</v>
      </c>
      <c r="S2" s="39" t="n">
        <v>1</v>
      </c>
    </row>
    <row r="3" ht="14.4" customHeight="1">
      <c r="A3" s="16" t="inlineStr">
        <is>
          <t>20472950Y</t>
        </is>
      </c>
      <c r="B3" s="16" t="inlineStr">
        <is>
          <t>Sospedra López, María Isabel</t>
        </is>
      </c>
      <c r="C3" s="16" t="inlineStr">
        <is>
          <t>FUNCIONARIO</t>
        </is>
      </c>
      <c r="D3" s="16" t="n">
        <v>1</v>
      </c>
      <c r="E3" s="16" t="n">
        <v>1</v>
      </c>
      <c r="F3" s="16" t="n"/>
      <c r="G3" s="16" t="n"/>
      <c r="H3" s="16" t="n"/>
      <c r="I3" s="16" t="n"/>
      <c r="J3" s="16" t="n">
        <v>2</v>
      </c>
      <c r="K3" s="16" t="inlineStr">
        <is>
          <t>B134</t>
        </is>
      </c>
      <c r="L3" s="39" t="n">
        <v>0</v>
      </c>
      <c r="M3" s="39" t="n">
        <v>0</v>
      </c>
      <c r="N3" s="39" t="inlineStr"/>
      <c r="O3" s="39" t="inlineStr"/>
      <c r="P3" s="39" t="n">
        <v>100</v>
      </c>
      <c r="Q3" s="39" t="n">
        <v>0</v>
      </c>
      <c r="R3" s="39" t="n">
        <v>0</v>
      </c>
      <c r="S3" s="39" t="n">
        <v>2</v>
      </c>
    </row>
    <row r="4" ht="14.4" customHeight="1">
      <c r="A4" s="16" t="inlineStr">
        <is>
          <t>21406895J</t>
        </is>
      </c>
      <c r="B4" s="16" t="inlineStr">
        <is>
          <t>Maciá Soler, María Loreto</t>
        </is>
      </c>
      <c r="C4" s="16" t="inlineStr">
        <is>
          <t>FUNCIONARIO</t>
        </is>
      </c>
      <c r="D4" s="16" t="n"/>
      <c r="E4" s="16" t="n"/>
      <c r="F4" s="16" t="n"/>
      <c r="G4" s="16" t="n"/>
      <c r="H4" s="16" t="n"/>
      <c r="I4" s="16" t="n">
        <v>1</v>
      </c>
      <c r="J4" s="16" t="n">
        <v>1</v>
      </c>
      <c r="K4" s="16" t="inlineStr">
        <is>
          <t>B134</t>
        </is>
      </c>
      <c r="L4" s="39" t="inlineStr">
        <is>
          <t>10.19</t>
        </is>
      </c>
      <c r="M4" s="39" t="inlineStr">
        <is>
          <t>90</t>
        </is>
      </c>
      <c r="N4" s="39" t="inlineStr">
        <is>
          <t>10.25</t>
        </is>
      </c>
      <c r="O4" s="39" t="inlineStr">
        <is>
          <t>10</t>
        </is>
      </c>
      <c r="P4" s="39" t="n">
        <v>0</v>
      </c>
      <c r="Q4" s="39" t="n">
        <v>0.9</v>
      </c>
      <c r="R4" s="39" t="n">
        <v>0.1</v>
      </c>
      <c r="S4" s="39" t="n">
        <v>0</v>
      </c>
    </row>
    <row r="5" ht="14.4" customHeight="1">
      <c r="A5" s="16" t="inlineStr">
        <is>
          <t>21470382C</t>
        </is>
      </c>
      <c r="B5" s="16" t="inlineStr">
        <is>
          <t>Gabaldon Bravo, Eva María</t>
        </is>
      </c>
      <c r="C5" s="16" t="inlineStr">
        <is>
          <t>FUNCIONARIO</t>
        </is>
      </c>
      <c r="D5" s="16" t="n"/>
      <c r="E5" s="16" t="n"/>
      <c r="F5" s="16" t="n">
        <v>1</v>
      </c>
      <c r="G5" s="16" t="n"/>
      <c r="H5" s="16" t="n"/>
      <c r="I5" s="16" t="n"/>
      <c r="J5" s="16" t="n">
        <v>1</v>
      </c>
      <c r="K5" s="16" t="inlineStr">
        <is>
          <t>B134</t>
        </is>
      </c>
      <c r="L5" s="39" t="n">
        <v>0</v>
      </c>
      <c r="M5" s="39" t="n">
        <v>0</v>
      </c>
      <c r="N5" s="39" t="inlineStr"/>
      <c r="O5" s="39" t="inlineStr"/>
      <c r="P5" s="39" t="n">
        <v>100</v>
      </c>
      <c r="Q5" s="39" t="n">
        <v>0</v>
      </c>
      <c r="R5" s="39" t="n">
        <v>0</v>
      </c>
      <c r="S5" s="39" t="n">
        <v>1</v>
      </c>
    </row>
    <row r="6" ht="14.4" customHeight="1">
      <c r="A6" s="16" t="inlineStr">
        <is>
          <t>21486597C</t>
        </is>
      </c>
      <c r="B6" s="16" t="inlineStr">
        <is>
          <t>Orts Cortés, María Isabel</t>
        </is>
      </c>
      <c r="C6" s="16" t="inlineStr">
        <is>
          <t>FUNCIONARIO</t>
        </is>
      </c>
      <c r="D6" s="16" t="n"/>
      <c r="E6" s="16" t="n"/>
      <c r="F6" s="16" t="n"/>
      <c r="G6" s="16" t="n">
        <v>1</v>
      </c>
      <c r="H6" s="16" t="n"/>
      <c r="I6" s="16" t="n"/>
      <c r="J6" s="16" t="n">
        <v>1</v>
      </c>
      <c r="K6" s="16" t="inlineStr">
        <is>
          <t>B134</t>
        </is>
      </c>
      <c r="L6" s="39" t="n">
        <v>0</v>
      </c>
      <c r="M6" s="39" t="n">
        <v>0</v>
      </c>
      <c r="N6" s="39" t="inlineStr"/>
      <c r="O6" s="39" t="inlineStr"/>
      <c r="P6" s="39" t="n">
        <v>100</v>
      </c>
      <c r="Q6" s="39" t="n">
        <v>0</v>
      </c>
      <c r="R6" s="39" t="n">
        <v>0</v>
      </c>
      <c r="S6" s="39" t="n">
        <v>1</v>
      </c>
    </row>
    <row r="7" ht="14.4" customHeight="1">
      <c r="A7" s="16" t="inlineStr">
        <is>
          <t>21510925Z</t>
        </is>
      </c>
      <c r="B7" s="16" t="inlineStr">
        <is>
          <t>Vizcaya Moreno, María Flores</t>
        </is>
      </c>
      <c r="C7" s="16" t="inlineStr">
        <is>
          <t>FUNCIONARIO</t>
        </is>
      </c>
      <c r="D7" s="16" t="n"/>
      <c r="E7" s="16" t="n"/>
      <c r="F7" s="16" t="n"/>
      <c r="G7" s="16" t="n">
        <v>1</v>
      </c>
      <c r="H7" s="16" t="n"/>
      <c r="I7" s="16" t="n"/>
      <c r="J7" s="16" t="n">
        <v>1</v>
      </c>
      <c r="K7" s="16" t="inlineStr">
        <is>
          <t>B134</t>
        </is>
      </c>
      <c r="L7" s="39" t="inlineStr">
        <is>
          <t>10.19</t>
        </is>
      </c>
      <c r="M7" s="39" t="inlineStr">
        <is>
          <t>20</t>
        </is>
      </c>
      <c r="N7" s="39" t="inlineStr"/>
      <c r="O7" s="39" t="inlineStr"/>
      <c r="P7" s="39" t="n">
        <v>80</v>
      </c>
      <c r="Q7" s="39" t="n">
        <v>0.2</v>
      </c>
      <c r="R7" s="39" t="n">
        <v>0</v>
      </c>
      <c r="S7" s="39" t="n">
        <v>0.8</v>
      </c>
    </row>
    <row r="8" ht="14.4" customHeight="1">
      <c r="A8" s="16" t="inlineStr">
        <is>
          <t>21677876P</t>
        </is>
      </c>
      <c r="B8" s="16" t="inlineStr">
        <is>
          <t>Trescastro López, Eva María</t>
        </is>
      </c>
      <c r="C8" s="16" t="inlineStr">
        <is>
          <t>FUNCIONARIO</t>
        </is>
      </c>
      <c r="D8" s="16" t="n"/>
      <c r="E8" s="16" t="n"/>
      <c r="F8" s="16" t="n"/>
      <c r="G8" s="16" t="n"/>
      <c r="H8" s="16" t="n">
        <v>2</v>
      </c>
      <c r="I8" s="16" t="n"/>
      <c r="J8" s="16" t="n">
        <v>2</v>
      </c>
      <c r="K8" s="16" t="inlineStr">
        <is>
          <t>B134</t>
        </is>
      </c>
      <c r="L8" s="39" t="inlineStr">
        <is>
          <t>10.06</t>
        </is>
      </c>
      <c r="M8" s="39" t="inlineStr">
        <is>
          <t>50</t>
        </is>
      </c>
      <c r="N8" s="39" t="inlineStr"/>
      <c r="O8" s="39" t="inlineStr"/>
      <c r="P8" s="39" t="n">
        <v>50</v>
      </c>
      <c r="Q8" s="39" t="n">
        <v>1</v>
      </c>
      <c r="R8" s="39" t="n">
        <v>0</v>
      </c>
      <c r="S8" s="39" t="n">
        <v>1</v>
      </c>
    </row>
    <row r="9" ht="14.4" customHeight="1">
      <c r="A9" s="16" t="inlineStr">
        <is>
          <t>21678844X</t>
        </is>
      </c>
      <c r="B9" s="16" t="inlineStr">
        <is>
          <t>Juliá Sanchís, Rocío</t>
        </is>
      </c>
      <c r="C9" s="16" t="inlineStr">
        <is>
          <t>FUNCIONARIO</t>
        </is>
      </c>
      <c r="D9" s="16" t="n"/>
      <c r="E9" s="16" t="n"/>
      <c r="F9" s="16" t="n"/>
      <c r="G9" s="16" t="n"/>
      <c r="H9" s="16" t="n">
        <v>1</v>
      </c>
      <c r="I9" s="16" t="n"/>
      <c r="J9" s="16" t="n">
        <v>1</v>
      </c>
      <c r="K9" s="16" t="inlineStr">
        <is>
          <t>B134</t>
        </is>
      </c>
      <c r="L9" s="39" t="inlineStr">
        <is>
          <t>10.21</t>
        </is>
      </c>
      <c r="M9" s="39" t="inlineStr">
        <is>
          <t>30</t>
        </is>
      </c>
      <c r="N9" s="39" t="inlineStr"/>
      <c r="O9" s="39" t="inlineStr"/>
      <c r="P9" s="39" t="n">
        <v>70</v>
      </c>
      <c r="Q9" s="39" t="n">
        <v>0.3</v>
      </c>
      <c r="R9" s="39" t="n">
        <v>0</v>
      </c>
      <c r="S9" s="39" t="n">
        <v>0.7</v>
      </c>
    </row>
    <row r="10" ht="14.4" customHeight="1">
      <c r="A10" s="16" t="inlineStr">
        <is>
          <t>22007370G</t>
        </is>
      </c>
      <c r="B10" s="16" t="inlineStr">
        <is>
          <t>Solano Ruiz, María del Carmen</t>
        </is>
      </c>
      <c r="C10" s="41" t="inlineStr">
        <is>
          <t>FUNCIONARIO</t>
        </is>
      </c>
      <c r="D10" s="16" t="n"/>
      <c r="E10" s="16" t="n"/>
      <c r="F10" s="16" t="n"/>
      <c r="G10" s="16" t="n"/>
      <c r="H10" s="16" t="n"/>
      <c r="I10" s="16" t="n">
        <v>1</v>
      </c>
      <c r="J10" s="16" t="n">
        <v>1</v>
      </c>
      <c r="K10" s="16" t="inlineStr">
        <is>
          <t>B134</t>
        </is>
      </c>
      <c r="L10" s="39" t="n">
        <v>0</v>
      </c>
      <c r="M10" s="39" t="n">
        <v>0</v>
      </c>
      <c r="N10" s="39" t="inlineStr"/>
      <c r="O10" s="39" t="inlineStr"/>
      <c r="P10" s="39" t="n">
        <v>100</v>
      </c>
      <c r="Q10" s="39" t="n">
        <v>0</v>
      </c>
      <c r="R10" s="39" t="n">
        <v>0</v>
      </c>
      <c r="S10" s="39" t="n">
        <v>1</v>
      </c>
    </row>
    <row r="11" ht="14.4" customHeight="1">
      <c r="A11" s="16" t="inlineStr">
        <is>
          <t>22122086L</t>
        </is>
      </c>
      <c r="B11" s="16" t="inlineStr">
        <is>
          <t>Richart Martínez, Miguel</t>
        </is>
      </c>
      <c r="C11" s="16" t="inlineStr">
        <is>
          <t>FUNCIONARIO</t>
        </is>
      </c>
      <c r="D11" s="16" t="n"/>
      <c r="E11" s="16" t="n">
        <v>1</v>
      </c>
      <c r="F11" s="16" t="n"/>
      <c r="G11" s="16" t="n"/>
      <c r="H11" s="16" t="n"/>
      <c r="I11" s="16" t="n"/>
      <c r="J11" s="16" t="n">
        <v>1</v>
      </c>
      <c r="K11" s="16" t="inlineStr">
        <is>
          <t>B134</t>
        </is>
      </c>
      <c r="L11" s="39" t="inlineStr">
        <is>
          <t>10.06</t>
        </is>
      </c>
      <c r="M11" s="39" t="inlineStr">
        <is>
          <t>10</t>
        </is>
      </c>
      <c r="N11" s="39" t="inlineStr"/>
      <c r="O11" s="39" t="inlineStr"/>
      <c r="P11" s="39" t="n">
        <v>90</v>
      </c>
      <c r="Q11" s="39" t="n">
        <v>0.1</v>
      </c>
      <c r="R11" s="39" t="n">
        <v>0</v>
      </c>
      <c r="S11" s="39" t="n">
        <v>0.9</v>
      </c>
    </row>
    <row r="12" ht="14.4" customHeight="1">
      <c r="A12" s="16" t="inlineStr">
        <is>
          <t>22548470Y</t>
        </is>
      </c>
      <c r="B12" s="16" t="inlineStr">
        <is>
          <t>Cabrero García, Julio</t>
        </is>
      </c>
      <c r="C12" s="16" t="inlineStr">
        <is>
          <t>FUNCIONARIO</t>
        </is>
      </c>
      <c r="D12" s="16" t="n"/>
      <c r="E12" s="16" t="n">
        <v>1</v>
      </c>
      <c r="F12" s="16" t="n"/>
      <c r="G12" s="16" t="n"/>
      <c r="H12" s="16" t="n"/>
      <c r="I12" s="16" t="n"/>
      <c r="J12" s="16" t="n">
        <v>1</v>
      </c>
      <c r="K12" s="16" t="inlineStr">
        <is>
          <t>B134</t>
        </is>
      </c>
      <c r="L12" s="39" t="n">
        <v>0</v>
      </c>
      <c r="M12" s="39" t="n">
        <v>0</v>
      </c>
      <c r="N12" s="39" t="inlineStr"/>
      <c r="O12" s="39" t="inlineStr"/>
      <c r="P12" s="39" t="n">
        <v>100</v>
      </c>
      <c r="Q12" s="39" t="n">
        <v>0</v>
      </c>
      <c r="R12" s="39" t="n">
        <v>0</v>
      </c>
      <c r="S12" s="39" t="n">
        <v>1</v>
      </c>
    </row>
    <row r="13" ht="14.4" customHeight="1">
      <c r="A13" s="16" t="inlineStr">
        <is>
          <t>22926999R</t>
        </is>
      </c>
      <c r="B13" s="16" t="inlineStr">
        <is>
          <t>Siles González, Jose</t>
        </is>
      </c>
      <c r="C13" s="16" t="inlineStr">
        <is>
          <t>FUNCIONARIO</t>
        </is>
      </c>
      <c r="D13" s="16" t="n"/>
      <c r="E13" s="16" t="n"/>
      <c r="F13" s="16" t="n"/>
      <c r="G13" s="16" t="n"/>
      <c r="H13" s="16" t="n"/>
      <c r="I13" s="16" t="n">
        <v>1</v>
      </c>
      <c r="J13" s="16" t="n">
        <v>1</v>
      </c>
      <c r="K13" s="16" t="inlineStr">
        <is>
          <t>B134</t>
        </is>
      </c>
      <c r="L13" s="39" t="n">
        <v>0</v>
      </c>
      <c r="M13" s="39" t="n">
        <v>0</v>
      </c>
      <c r="N13" s="39" t="inlineStr"/>
      <c r="O13" s="39" t="inlineStr"/>
      <c r="P13" s="39" t="n">
        <v>100</v>
      </c>
      <c r="Q13" s="39" t="n">
        <v>0</v>
      </c>
      <c r="R13" s="39" t="n">
        <v>0</v>
      </c>
      <c r="S13" s="39" t="n">
        <v>1</v>
      </c>
    </row>
    <row r="14" ht="14.4" customHeight="1">
      <c r="A14" s="16" t="inlineStr">
        <is>
          <t>25123636T</t>
        </is>
      </c>
      <c r="B14" s="16" t="inlineStr">
        <is>
          <t>Pérez Cañaveras, Rosa María</t>
        </is>
      </c>
      <c r="C14" s="16" t="inlineStr">
        <is>
          <t>FUNCIONARIO</t>
        </is>
      </c>
      <c r="D14" s="16" t="n"/>
      <c r="E14" s="16" t="n"/>
      <c r="F14" s="16" t="n"/>
      <c r="G14" s="16" t="n">
        <v>1</v>
      </c>
      <c r="H14" s="16" t="n"/>
      <c r="I14" s="16" t="n"/>
      <c r="J14" s="16" t="n">
        <v>1</v>
      </c>
      <c r="K14" s="16" t="inlineStr">
        <is>
          <t>B134</t>
        </is>
      </c>
      <c r="L14" s="39" t="n">
        <v>0</v>
      </c>
      <c r="M14" s="39" t="n">
        <v>0</v>
      </c>
      <c r="N14" s="39" t="inlineStr"/>
      <c r="O14" s="39" t="inlineStr"/>
      <c r="P14" s="39" t="n">
        <v>100</v>
      </c>
      <c r="Q14" s="39" t="n">
        <v>0</v>
      </c>
      <c r="R14" s="39" t="n">
        <v>0</v>
      </c>
      <c r="S14" s="39" t="n">
        <v>1</v>
      </c>
    </row>
    <row r="15" ht="14.4" customHeight="1">
      <c r="A15" s="16" t="inlineStr">
        <is>
          <t>29009181V</t>
        </is>
      </c>
      <c r="B15" s="16" t="inlineStr">
        <is>
          <t>Perpiñá Galvañ, Juana</t>
        </is>
      </c>
      <c r="C15" s="16" t="inlineStr">
        <is>
          <t>FUNCIONARIO</t>
        </is>
      </c>
      <c r="D15" s="16" t="n"/>
      <c r="E15" s="16" t="n"/>
      <c r="F15" s="16" t="n"/>
      <c r="G15" s="16" t="n"/>
      <c r="H15" s="16" t="n"/>
      <c r="I15" s="16" t="n">
        <v>1</v>
      </c>
      <c r="J15" s="16" t="n">
        <v>1</v>
      </c>
      <c r="K15" s="16" t="inlineStr">
        <is>
          <t>B134</t>
        </is>
      </c>
      <c r="L15" s="39" t="n">
        <v>0</v>
      </c>
      <c r="M15" s="39" t="n">
        <v>0</v>
      </c>
      <c r="N15" s="39" t="inlineStr"/>
      <c r="O15" s="39" t="inlineStr"/>
      <c r="P15" s="39" t="n">
        <v>100</v>
      </c>
      <c r="Q15" s="39" t="n">
        <v>0</v>
      </c>
      <c r="R15" s="39" t="n">
        <v>0</v>
      </c>
      <c r="S15" s="39" t="n">
        <v>1</v>
      </c>
    </row>
    <row r="16" ht="14.4" customHeight="1">
      <c r="A16" s="16" t="inlineStr">
        <is>
          <t>39713954S</t>
        </is>
      </c>
      <c r="B16" s="16" t="inlineStr">
        <is>
          <t>Oliver Roig, Antonio</t>
        </is>
      </c>
      <c r="C16" s="16" t="inlineStr">
        <is>
          <t>FUNCIONARIO</t>
        </is>
      </c>
      <c r="D16" s="16" t="n"/>
      <c r="E16" s="16" t="n"/>
      <c r="F16" s="16" t="n"/>
      <c r="G16" s="16" t="n">
        <v>2</v>
      </c>
      <c r="H16" s="16" t="n"/>
      <c r="I16" s="16" t="n"/>
      <c r="J16" s="16" t="n">
        <v>2</v>
      </c>
      <c r="K16" s="16" t="inlineStr">
        <is>
          <t>B134</t>
        </is>
      </c>
      <c r="L16" s="39" t="n">
        <v>0</v>
      </c>
      <c r="M16" s="39" t="n">
        <v>0</v>
      </c>
      <c r="N16" s="39" t="inlineStr"/>
      <c r="O16" s="39" t="inlineStr"/>
      <c r="P16" s="39" t="n">
        <v>100</v>
      </c>
      <c r="Q16" s="39" t="n">
        <v>0</v>
      </c>
      <c r="R16" s="39" t="n">
        <v>0</v>
      </c>
      <c r="S16" s="39" t="n">
        <v>2</v>
      </c>
    </row>
    <row r="17" ht="14.4" customHeight="1">
      <c r="A17" s="16" t="inlineStr">
        <is>
          <t>48335621V</t>
        </is>
      </c>
      <c r="B17" s="16" t="inlineStr">
        <is>
          <t>Zaragoza Martí, Ana</t>
        </is>
      </c>
      <c r="C17" s="16" t="inlineStr">
        <is>
          <t>FUNCIONARIO</t>
        </is>
      </c>
      <c r="D17" s="16" t="n"/>
      <c r="E17" s="16" t="n"/>
      <c r="F17" s="16" t="n"/>
      <c r="G17" s="16" t="n"/>
      <c r="H17" s="16" t="n">
        <v>1</v>
      </c>
      <c r="I17" s="16" t="n">
        <v>1</v>
      </c>
      <c r="J17" s="16" t="n">
        <v>2</v>
      </c>
      <c r="K17" s="16" t="inlineStr">
        <is>
          <t>B134</t>
        </is>
      </c>
      <c r="L17" s="39" t="n">
        <v>0</v>
      </c>
      <c r="M17" s="39" t="n">
        <v>0</v>
      </c>
      <c r="N17" s="39" t="inlineStr"/>
      <c r="O17" s="39" t="inlineStr"/>
      <c r="P17" s="39" t="n">
        <v>100</v>
      </c>
      <c r="Q17" s="39" t="n">
        <v>0</v>
      </c>
      <c r="R17" s="39" t="n">
        <v>0</v>
      </c>
      <c r="S17" s="39" t="n">
        <v>2</v>
      </c>
    </row>
    <row r="18" ht="14.4" customHeight="1">
      <c r="A18" s="16" t="inlineStr">
        <is>
          <t>48341083M</t>
        </is>
      </c>
      <c r="B18" s="16" t="inlineStr">
        <is>
          <t>Norte Navarro, Aurora Isabel</t>
        </is>
      </c>
      <c r="C18" s="16" t="inlineStr">
        <is>
          <t>NO FUNCIONARIO</t>
        </is>
      </c>
      <c r="D18" s="16" t="n"/>
      <c r="E18" s="16" t="n"/>
      <c r="F18" s="16" t="n"/>
      <c r="G18" s="16" t="n">
        <v>1</v>
      </c>
      <c r="H18" s="16" t="n"/>
      <c r="I18" s="16" t="n"/>
      <c r="J18" s="16" t="n">
        <v>1</v>
      </c>
      <c r="K18" s="16" t="inlineStr">
        <is>
          <t>B134</t>
        </is>
      </c>
      <c r="L18" s="39" t="n">
        <v>0</v>
      </c>
      <c r="M18" s="39" t="n">
        <v>0</v>
      </c>
      <c r="N18" s="39" t="inlineStr"/>
      <c r="O18" s="39" t="inlineStr"/>
      <c r="P18" s="39" t="n">
        <v>100</v>
      </c>
      <c r="Q18" s="39" t="n">
        <v>0</v>
      </c>
      <c r="R18" s="39" t="n">
        <v>0</v>
      </c>
      <c r="S18" s="39" t="n">
        <v>1</v>
      </c>
    </row>
    <row r="19" ht="14.4" customHeight="1">
      <c r="A19" s="16" t="inlineStr">
        <is>
          <t>48345363F</t>
        </is>
      </c>
      <c r="B19" s="16" t="inlineStr">
        <is>
          <t>Lillo Crespo, Manuel</t>
        </is>
      </c>
      <c r="C19" s="16" t="inlineStr">
        <is>
          <t>NO FUNCIONARIO</t>
        </is>
      </c>
      <c r="D19" s="16" t="n"/>
      <c r="E19" s="16" t="n"/>
      <c r="F19" s="16" t="n"/>
      <c r="G19" s="16" t="n"/>
      <c r="H19" s="16" t="n"/>
      <c r="I19" s="16" t="n">
        <v>1</v>
      </c>
      <c r="J19" s="16" t="n">
        <v>1</v>
      </c>
      <c r="K19" s="16" t="inlineStr">
        <is>
          <t>B134</t>
        </is>
      </c>
      <c r="L19" s="39" t="n">
        <v>0</v>
      </c>
      <c r="M19" s="39" t="n">
        <v>0</v>
      </c>
      <c r="N19" s="39" t="inlineStr"/>
      <c r="O19" s="39" t="inlineStr"/>
      <c r="P19" s="39" t="n">
        <v>100</v>
      </c>
      <c r="Q19" s="39" t="n">
        <v>0</v>
      </c>
      <c r="R19" s="39" t="n">
        <v>0</v>
      </c>
      <c r="S19" s="39" t="n">
        <v>1</v>
      </c>
    </row>
    <row r="20" ht="14.4" customHeight="1">
      <c r="A20" s="16" t="inlineStr">
        <is>
          <t>48374192V</t>
        </is>
      </c>
      <c r="B20" s="16" t="inlineStr">
        <is>
          <t>Cabañero Martínez, María José</t>
        </is>
      </c>
      <c r="C20" s="16" t="inlineStr">
        <is>
          <t>FUNCIONARIO</t>
        </is>
      </c>
      <c r="D20" s="16" t="n"/>
      <c r="E20" s="16" t="n"/>
      <c r="F20" s="16" t="n">
        <v>2</v>
      </c>
      <c r="G20" s="16" t="n"/>
      <c r="H20" s="16" t="n"/>
      <c r="I20" s="16" t="n">
        <v>1</v>
      </c>
      <c r="J20" s="16" t="n">
        <v>3</v>
      </c>
      <c r="K20" s="16" t="inlineStr">
        <is>
          <t>B134</t>
        </is>
      </c>
      <c r="L20" s="39" t="n">
        <v>0</v>
      </c>
      <c r="M20" s="39" t="n">
        <v>0</v>
      </c>
      <c r="N20" s="39" t="inlineStr"/>
      <c r="O20" s="39" t="inlineStr"/>
      <c r="P20" s="39" t="n">
        <v>100</v>
      </c>
      <c r="Q20" s="39" t="n">
        <v>0</v>
      </c>
      <c r="R20" s="39" t="n">
        <v>0</v>
      </c>
      <c r="S20" s="39" t="n">
        <v>3</v>
      </c>
    </row>
    <row r="21" ht="14.4" customHeight="1">
      <c r="A21" s="16" t="inlineStr">
        <is>
          <t>48539204G</t>
        </is>
      </c>
      <c r="B21" s="16" t="inlineStr">
        <is>
          <t>Escribano Cubas, Silvia</t>
        </is>
      </c>
      <c r="C21" s="40" t="inlineStr">
        <is>
          <t>FUNCIONARIO</t>
        </is>
      </c>
      <c r="D21" s="16" t="n"/>
      <c r="E21" s="16" t="n"/>
      <c r="F21" s="16" t="n"/>
      <c r="G21" s="16" t="n"/>
      <c r="H21" s="16" t="n">
        <v>1</v>
      </c>
      <c r="I21" s="16" t="n"/>
      <c r="J21" s="16" t="n">
        <v>1</v>
      </c>
      <c r="K21" s="16" t="inlineStr">
        <is>
          <t>B134</t>
        </is>
      </c>
      <c r="L21" s="39" t="n">
        <v>0</v>
      </c>
      <c r="M21" s="39" t="n">
        <v>0</v>
      </c>
      <c r="N21" s="39" t="inlineStr"/>
      <c r="O21" s="39" t="inlineStr"/>
      <c r="P21" s="39" t="n">
        <v>100</v>
      </c>
      <c r="Q21" s="39" t="n">
        <v>0</v>
      </c>
      <c r="R21" s="39" t="n">
        <v>0</v>
      </c>
      <c r="S21" s="39" t="n">
        <v>1</v>
      </c>
    </row>
    <row r="22" ht="14.4" customHeight="1">
      <c r="A22" s="16" t="inlineStr">
        <is>
          <t>72519028M</t>
        </is>
      </c>
      <c r="B22" s="16" t="inlineStr">
        <is>
          <t>Hurtado Sánchez, José Antonio</t>
        </is>
      </c>
      <c r="C22" s="40" t="inlineStr">
        <is>
          <t>FUNCIONARIO</t>
        </is>
      </c>
      <c r="D22" s="16" t="n"/>
      <c r="E22" s="16" t="n"/>
      <c r="F22" s="16" t="n"/>
      <c r="G22" s="16" t="n"/>
      <c r="H22" s="16" t="n">
        <v>1</v>
      </c>
      <c r="I22" s="16" t="n">
        <v>1</v>
      </c>
      <c r="J22" s="16" t="n">
        <v>2</v>
      </c>
      <c r="K22" s="16" t="inlineStr">
        <is>
          <t>B134</t>
        </is>
      </c>
      <c r="L22" s="39" t="n">
        <v>0</v>
      </c>
      <c r="M22" s="39" t="n">
        <v>0</v>
      </c>
      <c r="N22" s="39" t="inlineStr"/>
      <c r="O22" s="39" t="inlineStr"/>
      <c r="P22" s="39" t="n">
        <v>100</v>
      </c>
      <c r="Q22" s="39" t="n">
        <v>0</v>
      </c>
      <c r="R22" s="39" t="n">
        <v>0</v>
      </c>
      <c r="S22" s="39" t="n">
        <v>2</v>
      </c>
    </row>
    <row r="23" ht="14.4" customHeight="1">
      <c r="A23" s="16" t="inlineStr">
        <is>
          <t>74004224E</t>
        </is>
      </c>
      <c r="B23" s="16" t="inlineStr">
        <is>
          <t>García Sanjuán, Sofía</t>
        </is>
      </c>
      <c r="C23" s="40" t="inlineStr">
        <is>
          <t>FUNCIONARIO</t>
        </is>
      </c>
      <c r="D23" s="16" t="n"/>
      <c r="E23" s="16" t="n"/>
      <c r="F23" s="16" t="n"/>
      <c r="G23" s="16" t="n">
        <v>1</v>
      </c>
      <c r="H23" s="16" t="n"/>
      <c r="I23" s="16" t="n"/>
      <c r="J23" s="16" t="n">
        <v>1</v>
      </c>
      <c r="K23" s="16" t="inlineStr">
        <is>
          <t>B134</t>
        </is>
      </c>
      <c r="L23" s="39" t="n">
        <v>0</v>
      </c>
      <c r="M23" s="39" t="n">
        <v>0</v>
      </c>
      <c r="N23" s="39" t="inlineStr"/>
      <c r="O23" s="39" t="inlineStr"/>
      <c r="P23" s="39" t="n">
        <v>100</v>
      </c>
      <c r="Q23" s="39" t="n">
        <v>0</v>
      </c>
      <c r="R23" s="39" t="n">
        <v>0</v>
      </c>
      <c r="S23" s="39" t="n">
        <v>1</v>
      </c>
    </row>
    <row r="24" ht="14.4" customHeight="1">
      <c r="A24" s="16" t="inlineStr">
        <is>
          <t>74006009J</t>
        </is>
      </c>
      <c r="B24" s="16" t="inlineStr">
        <is>
          <t>Martínez Sanz, José Miguel</t>
        </is>
      </c>
      <c r="C24" s="40" t="inlineStr">
        <is>
          <t>FUNCIONARIO</t>
        </is>
      </c>
      <c r="D24" s="16" t="n"/>
      <c r="E24" s="16" t="n"/>
      <c r="F24" s="16" t="n">
        <v>1</v>
      </c>
      <c r="G24" s="16" t="n"/>
      <c r="H24" s="16" t="n"/>
      <c r="I24" s="16" t="n">
        <v>1</v>
      </c>
      <c r="J24" s="16" t="n">
        <v>2</v>
      </c>
      <c r="K24" s="16" t="inlineStr">
        <is>
          <t>B134</t>
        </is>
      </c>
      <c r="L24" s="39" t="n">
        <v>0</v>
      </c>
      <c r="M24" s="39" t="n">
        <v>0</v>
      </c>
      <c r="N24" s="39" t="inlineStr"/>
      <c r="O24" s="39" t="inlineStr"/>
      <c r="P24" s="39" t="n">
        <v>100</v>
      </c>
      <c r="Q24" s="39" t="n">
        <v>0</v>
      </c>
      <c r="R24" s="39" t="n">
        <v>0</v>
      </c>
      <c r="S24" s="39" t="n">
        <v>2</v>
      </c>
    </row>
    <row r="25" ht="14.4" customHeight="1">
      <c r="A25" s="16" t="inlineStr">
        <is>
          <t>74239968Q</t>
        </is>
      </c>
      <c r="B25" s="16" t="inlineStr">
        <is>
          <t>Gutiérrez Hervás, Ana Isabel</t>
        </is>
      </c>
      <c r="C25" s="40" t="inlineStr">
        <is>
          <t>NO FUNCIONARIO</t>
        </is>
      </c>
      <c r="D25" s="16" t="n"/>
      <c r="E25" s="16" t="n"/>
      <c r="F25" s="16" t="n"/>
      <c r="G25" s="16" t="n"/>
      <c r="H25" s="16" t="n">
        <v>1</v>
      </c>
      <c r="I25" s="16" t="n"/>
      <c r="J25" s="16" t="n">
        <v>1</v>
      </c>
      <c r="K25" s="16" t="inlineStr">
        <is>
          <t>B134</t>
        </is>
      </c>
      <c r="L25" s="39" t="n">
        <v>0</v>
      </c>
      <c r="M25" s="39" t="n">
        <v>0</v>
      </c>
      <c r="N25" s="39" t="inlineStr"/>
      <c r="O25" s="39" t="inlineStr"/>
      <c r="P25" s="39" t="n">
        <v>100</v>
      </c>
      <c r="Q25" s="39" t="n">
        <v>0</v>
      </c>
      <c r="R25" s="39" t="n">
        <v>0</v>
      </c>
      <c r="S25" s="39" t="n">
        <v>1</v>
      </c>
    </row>
    <row r="26" ht="14.4" customFormat="1" customHeight="1" s="69">
      <c r="A26" s="66" t="inlineStr">
        <is>
          <t>74535056Z</t>
        </is>
      </c>
      <c r="B26" s="66" t="inlineStr">
        <is>
          <t>Noreña Peña, Ana Lucía</t>
        </is>
      </c>
      <c r="C26" s="67" t="inlineStr">
        <is>
          <t>NO FUNCIONARIO</t>
        </is>
      </c>
      <c r="D26" s="66" t="n"/>
      <c r="E26" s="66" t="n">
        <v>1</v>
      </c>
      <c r="F26" s="66" t="n"/>
      <c r="G26" s="66" t="n"/>
      <c r="H26" s="66" t="n"/>
      <c r="I26" s="66" t="n"/>
      <c r="J26" s="66" t="n">
        <v>1</v>
      </c>
      <c r="K26" s="66" t="inlineStr">
        <is>
          <t>B134</t>
        </is>
      </c>
      <c r="L26" s="68" t="n">
        <v>0</v>
      </c>
      <c r="M26" s="68" t="n">
        <v>0</v>
      </c>
      <c r="N26" s="68" t="inlineStr"/>
      <c r="O26" s="68" t="inlineStr"/>
      <c r="P26" s="68" t="n">
        <v>100</v>
      </c>
      <c r="Q26" s="68" t="n">
        <v>0</v>
      </c>
      <c r="R26" s="68" t="n">
        <v>0</v>
      </c>
      <c r="S26" s="68" t="n">
        <v>1</v>
      </c>
    </row>
    <row r="27" ht="14.4" customHeight="1">
      <c r="A27" s="42" t="n"/>
      <c r="B27" s="42" t="n"/>
      <c r="C27" s="43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5">
        <f>SUM(S2:S26)</f>
        <v/>
      </c>
    </row>
    <row r="30" ht="60" customFormat="1" customHeight="1" s="1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2" t="n"/>
      <c r="O30" s="11" t="n"/>
      <c r="P30" s="12" t="n"/>
      <c r="Q30" s="11" t="n"/>
      <c r="R30" s="11" t="n"/>
      <c r="S30" s="11" t="n"/>
      <c r="T30" s="11" t="n"/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G15" sqref="G15"/>
    </sheetView>
  </sheetViews>
  <sheetFormatPr baseColWidth="10" defaultRowHeight="14.4"/>
  <cols>
    <col width="17" customWidth="1" min="1" max="1"/>
    <col width="66.88671875" customWidth="1" min="2" max="2"/>
    <col width="16" customWidth="1" min="3" max="3"/>
  </cols>
  <sheetData>
    <row r="1">
      <c r="A1" s="51" t="inlineStr">
        <is>
          <t>Cód. org. aplic.</t>
        </is>
      </c>
      <c r="B1" s="51" t="inlineStr">
        <is>
          <t>Descripción justificante</t>
        </is>
      </c>
      <c r="C1" s="51" t="inlineStr">
        <is>
          <t>Imp.cob.aplic.</t>
        </is>
      </c>
    </row>
    <row r="2">
      <c r="A2" s="34" t="inlineStr">
        <is>
          <t>33.40.6C.00.05</t>
        </is>
      </c>
      <c r="B2" s="34" t="inlineStr">
        <is>
          <t>PAGO REGALÍAS 2022 POR TRANSFERENCIA DE TECNOLOGÍA - REF. CONTRATO LICENCIA: BAEZA1-21R (REGALÍAS UA 85%)</t>
        </is>
      </c>
      <c r="C2" s="88" t="n">
        <v>244.8</v>
      </c>
    </row>
    <row r="3">
      <c r="A3" s="35" t="inlineStr">
        <is>
          <t>33.40.6C.00.06</t>
        </is>
      </c>
      <c r="B3" s="35" t="inlineStr">
        <is>
          <t>PRIMER PAGO 2023 - PROYECTO MC-IHAN-MONITORIZACIÓN CIUDADANAS DE INDICADORES CLAVE IHAN EN MATERNIDADES ESPAÑOLAS MEDIANTE MEDIDAS BASADAS EN LA EXPERIENCIA Y CALIDAD PERCIBIDA POR LAS MADRES</t>
        </is>
      </c>
      <c r="C3" s="89" t="n">
        <v>8800</v>
      </c>
    </row>
    <row r="4">
      <c r="A4" s="34" t="inlineStr">
        <is>
          <t>33.40.6C.00.06</t>
        </is>
      </c>
      <c r="B4" s="34" t="inlineStr">
        <is>
          <t>SEGUNDO PAGO 2023 - PROYECTO MC-IHAN-MONITORIZACIÓN CIUDADANAS DE INDICADORES CLAVE IHAN EN MATERNIDADES ESPAÑOLAS MEDIANTE MEDIDAS BASADAS EN LA EXPERIENCIA Y CALIDAD PERCIBIDA POR LAS MADRES</t>
        </is>
      </c>
      <c r="C4" s="88" t="n">
        <v>5114.02</v>
      </c>
    </row>
    <row r="5">
      <c r="A5" s="35" t="inlineStr">
        <is>
          <t>33.40.6M.00.06</t>
        </is>
      </c>
      <c r="B5" s="35" t="inlineStr">
        <is>
          <t>SERVICIOS DE TUTORIZACIÓN PARA APOYO ACADÉMICO REALIZANDO TAREAS DE ORIENTACIÓN Y ACOMPAÑAMIENTO A ESTUDIANTES EN LA ASIGNATURA "TRABAJO FINAL DE MÁSTER DE ESTUDIOS DE CIENCIAS DE LA SALUD" (PRIMER SEMESTRE CURSO 2022/23) EN LA FUNDACIÓ PER A LA UNIVERSITAT OBERTA DE CATALUNYA (UOC). REALIZADO POR LA PROFESORA ANA ZARAGOZA MARTÍ</t>
        </is>
      </c>
      <c r="C5" s="89" t="n">
        <v>250.8</v>
      </c>
    </row>
    <row r="6">
      <c r="A6" s="52" t="inlineStr">
        <is>
          <t>33.40.6M.00.07</t>
        </is>
      </c>
      <c r="B6" s="52" t="inlineStr">
        <is>
          <t>SERVICIO DE TUTORIZACIÓN PARA APOYO ACADÉMICO REALIZANDO TAREAS DE ORIENTACIÓN Y ACOMPAÑAMIENTO A ESTUDIANTES EN LA ASIGNATURA "TRABAJO FINAL DE MÁSTER" DE LOS ESTUDIOS DE CIENCIAS DE LA SALUD (SEGUNDO SEMESTRE CURSO 2022/23)</t>
        </is>
      </c>
      <c r="C6" s="90" t="n">
        <v>308</v>
      </c>
    </row>
    <row r="7" customFormat="1" s="56">
      <c r="A7" s="54" t="inlineStr">
        <is>
          <t>Total</t>
        </is>
      </c>
      <c r="B7" s="54" t="n"/>
      <c r="C7" s="91">
        <f>SUBTOTAL(109,Tabla3[Imp.cob.aplic.])</f>
        <v/>
      </c>
    </row>
    <row r="8">
      <c r="C8" s="9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8" sqref="B8:C8"/>
    </sheetView>
  </sheetViews>
  <sheetFormatPr baseColWidth="10" defaultRowHeight="14.4"/>
  <cols>
    <col width="12" customWidth="1" min="1" max="1"/>
    <col width="60.33203125" customWidth="1" min="2" max="2"/>
    <col width="13.109375" customWidth="1" min="3" max="3"/>
  </cols>
  <sheetData>
    <row r="1">
      <c r="A1" s="60" t="inlineStr">
        <is>
          <t>Org. aplic.</t>
        </is>
      </c>
      <c r="B1" s="60" t="inlineStr">
        <is>
          <t>Descripción justificante</t>
        </is>
      </c>
      <c r="C1" s="93" t="inlineStr">
        <is>
          <t>Imp. aplic.</t>
        </is>
      </c>
    </row>
    <row r="2">
      <c r="A2" s="58" t="inlineStr">
        <is>
          <t>33.40.6C.00.05</t>
        </is>
      </c>
      <c r="B2" s="58" t="inlineStr">
        <is>
          <t>Pago de regalías 2023 por transferencia de tecnología - Ref. contrato licencia: BAEZA1-23RD (Regalías UA 85%)</t>
        </is>
      </c>
      <c r="C2" s="88" t="n">
        <v>226.44</v>
      </c>
    </row>
    <row r="3">
      <c r="A3" s="59" t="inlineStr">
        <is>
          <t>33.40.6C.00.07</t>
        </is>
      </c>
      <c r="B3" s="59" t="inlineStr">
        <is>
          <t>Realización de las fichas técnicas de los menús ofertados por el centro y entrega de las mismas fichas técnicas de los menús propuestos por el centro.</t>
        </is>
      </c>
      <c r="C3" s="89" t="n">
        <v>264</v>
      </c>
    </row>
    <row r="4">
      <c r="A4" s="62" t="inlineStr">
        <is>
          <t>33.40.6P.00.16</t>
        </is>
      </c>
      <c r="B4" s="62" t="inlineStr">
        <is>
          <t>PROGRAMA AYUDAS ICAR 2023 PROYECTO SET</t>
        </is>
      </c>
      <c r="C4" s="90" t="n">
        <v>14457.56</v>
      </c>
    </row>
    <row r="5">
      <c r="A5" s="65" t="inlineStr">
        <is>
          <t>Total</t>
        </is>
      </c>
      <c r="B5" s="65" t="n"/>
      <c r="C5" s="94">
        <f>SUBTOTAL(109,Tabla6[Imp. aplic.])</f>
        <v/>
      </c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17" sqref="E17"/>
    </sheetView>
  </sheetViews>
  <sheetFormatPr baseColWidth="10" defaultRowHeight="14.4"/>
  <cols>
    <col width="18.44140625" customWidth="1" min="1" max="1"/>
    <col width="56.6640625" customWidth="1" min="2" max="2"/>
    <col width="22.6640625" customWidth="1" min="3" max="3"/>
  </cols>
  <sheetData>
    <row r="1">
      <c r="A1" s="70" t="inlineStr">
        <is>
          <t>Org. aplic.</t>
        </is>
      </c>
      <c r="B1" s="71" t="inlineStr">
        <is>
          <t>Descripción justificante</t>
        </is>
      </c>
      <c r="C1" s="71" t="inlineStr">
        <is>
          <t>Imp. aplic.</t>
        </is>
      </c>
    </row>
    <row r="2">
      <c r="A2" s="72" t="inlineStr">
        <is>
          <t>33.40.6C.00.06</t>
        </is>
      </c>
      <c r="B2" s="73" t="inlineStr">
        <is>
          <t>Gastos de mantenimiento de la web del proyecto MC-IHAN y cuestionarios web, pago de licencias, apoyo técnico y análisis de datos necesarios para el desarrollo y acceso conjunto al visor de datos en tiempo real de los resultados del proyecto MC-IHAN.</t>
        </is>
      </c>
      <c r="C2" s="95" t="n">
        <v>727.28</v>
      </c>
    </row>
    <row r="3">
      <c r="A3" s="75" t="inlineStr">
        <is>
          <t>33.40.6C.00.06</t>
        </is>
      </c>
      <c r="B3" s="76" t="inlineStr">
        <is>
          <t>Gastos de mantenimiento de la web del proyecto MC-IHAN y cuestionarios web, pago de licencias, apoyo técnico y análisis de datos necesarios para el desarrollo y acceso conjunto al visor de datos en tiempo real de los resultados del proyecto MC-IHAN</t>
        </is>
      </c>
      <c r="C3" s="96" t="n">
        <v>2181.82</v>
      </c>
    </row>
    <row r="4">
      <c r="A4" s="72" t="inlineStr">
        <is>
          <t>33.40.6M.00.08</t>
        </is>
      </c>
      <c r="B4" s="73" t="inlineStr">
        <is>
          <t>Programa formativo "Abordaje de las prácticas tradicionales perjudiciales para la salud de las mujeres" 15 horas</t>
        </is>
      </c>
      <c r="C4" s="95" t="n">
        <v>1760</v>
      </c>
    </row>
    <row r="5">
      <c r="A5" s="75" t="inlineStr">
        <is>
          <t>33.40.6P.00.18</t>
        </is>
      </c>
      <c r="B5" s="76" t="inlineStr">
        <is>
          <t>INGRESO PERCIBIDO POR LA UNIVERSIDAD DE ALICANTE EN CONCEPTO DE AYUDA A LA INVESTIGACIÓN EN LA CÁTEDRA ASISA 2024 PARA LA IP: I.S.L</t>
        </is>
      </c>
      <c r="C5" s="96" t="n">
        <v>2500</v>
      </c>
    </row>
    <row r="6">
      <c r="A6" s="72" t="inlineStr">
        <is>
          <t>33.40.6P.00.19</t>
        </is>
      </c>
      <c r="B6" s="73" t="inlineStr">
        <is>
          <t>AYUDAS A U. PUBLICAS PARA REDES INVESTIGACION EN CIENCIAS DEL DEPORTE 2025 (REF. EXTERNA: 104959)</t>
        </is>
      </c>
      <c r="C6" s="95" t="n">
        <v>8500</v>
      </c>
    </row>
    <row r="7">
      <c r="A7" s="75" t="inlineStr">
        <is>
          <t>33.40.6Q.00.01</t>
        </is>
      </c>
      <c r="B7" s="76" t="inlineStr">
        <is>
          <t>INGRESO PERCIBIDO POR LA UNIVERSIDAD DE ALICANTE EN VIRTUD DE CONVENIO ENTRE LA UA, LA UMH Y EL INSTITUTO PROPATIENS, PARA EL MANTENIMIENTO DE LA CÁTEDRA INSTITUCIONAL DEL PACIENTE.</t>
        </is>
      </c>
      <c r="C7" s="96" t="n">
        <v>10000</v>
      </c>
    </row>
    <row r="8" ht="15" customHeight="1" thickBot="1">
      <c r="A8" s="72" t="inlineStr">
        <is>
          <t>33.40.6X.00.01</t>
        </is>
      </c>
      <c r="B8" s="73" t="inlineStr">
        <is>
          <t>PROYECTO: Anthropometric Characteristics of Athletes with Physical Disabilities. PROGRAMA: ISAK-2025-01</t>
        </is>
      </c>
      <c r="C8" s="95" t="n">
        <v>3000</v>
      </c>
    </row>
    <row r="9" ht="15" customHeight="1" thickTop="1">
      <c r="A9" s="78" t="inlineStr">
        <is>
          <t>Total</t>
        </is>
      </c>
      <c r="B9" s="79" t="n"/>
      <c r="C9" s="97" t="n">
        <v>28669.1</v>
      </c>
    </row>
    <row r="12">
      <c r="B12" s="81" t="inlineStr">
        <is>
          <t>Topal ingresos investigación 2023-25</t>
        </is>
      </c>
      <c r="C12" s="98">
        <f>Tabla6[[#Totals],[Imp. aplic.]]+Tabla3[[#Totals],[Imp.cob.aplic.]]+C9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F20" sqref="F20"/>
    </sheetView>
  </sheetViews>
  <sheetFormatPr baseColWidth="10" defaultRowHeight="14.4"/>
  <cols>
    <col width="17" customWidth="1" min="1" max="1"/>
    <col width="124.33203125" customWidth="1" min="2" max="2"/>
    <col width="16" customWidth="1" min="3" max="3"/>
  </cols>
  <sheetData>
    <row r="1">
      <c r="A1" s="51" t="inlineStr">
        <is>
          <t>Cód. org. aplic.</t>
        </is>
      </c>
      <c r="B1" s="51" t="inlineStr">
        <is>
          <t>Descripción justificante</t>
        </is>
      </c>
      <c r="C1" s="51" t="inlineStr">
        <is>
          <t>Imp.cob.aplic.</t>
        </is>
      </c>
    </row>
    <row r="2">
      <c r="A2" s="34" t="inlineStr">
        <is>
          <t>33.40.2T.00.11</t>
        </is>
      </c>
      <c r="B2" s="34" t="inlineStr">
        <is>
          <t>LIQ-TitProp_9399-1 Curso_2023-24 AñoCont_2023 - ESPECIALISTA EN MEDICINA Y ENFERMERÍA AEROTRANSPORTADA (HEMS,HICAMS,FWAA)</t>
        </is>
      </c>
      <c r="C2" s="88" t="n">
        <v>71400</v>
      </c>
    </row>
    <row r="3">
      <c r="A3" s="35" t="inlineStr">
        <is>
          <t>33.40.2T.00.11</t>
        </is>
      </c>
      <c r="B3" s="35" t="inlineStr">
        <is>
          <t>AD_LIQ-TitProp_9399-1 Curso_2023-24 AñoCont_2023 - ESPECIALISTA EN MEDICINA Y ENFERMERÍA AEROTRANSPORTADA (HEMS,HICAMS,FWAA)</t>
        </is>
      </c>
      <c r="C3" s="89" t="n">
        <v>-30753</v>
      </c>
    </row>
    <row r="4">
      <c r="A4" s="34" t="inlineStr">
        <is>
          <t>33.40.2T.00.11</t>
        </is>
      </c>
      <c r="B4" s="34" t="inlineStr">
        <is>
          <t xml:space="preserve">Plan_9325 Curso_2022-23 Emitido_2022y2023 ___ ESPECIALISTA EN MEDICINA Y ENFERMERÍA AEROTRANSPORTADA (HEMS, HICAMS, FWAA) </t>
        </is>
      </c>
      <c r="C4" s="88" t="n">
        <v>4845</v>
      </c>
    </row>
    <row r="5">
      <c r="A5" s="35" t="inlineStr">
        <is>
          <t>33.40.2T.00.11</t>
        </is>
      </c>
      <c r="B5" s="35" t="inlineStr">
        <is>
          <t>DEVOLUCIÓN TASAS NÓMINA REMESA Nº 2023DTR056242. RDT INVERSA EN EXPEDIENTE 374.</t>
        </is>
      </c>
      <c r="C5" s="89" t="n">
        <v>-799.4299999999999</v>
      </c>
    </row>
    <row r="6">
      <c r="A6" s="34" t="inlineStr">
        <is>
          <t>33.40.2T.00.11</t>
        </is>
      </c>
      <c r="B6" s="34" t="inlineStr">
        <is>
          <t xml:space="preserve">Plan_9325 Curso_2022-23 Emitido_2022y2023 ___ ESPECIALISTA EN MEDICINA Y ENFERMERÍA AEROTRANSPORTADA (HEMS, HICAMS, FWAA) </t>
        </is>
      </c>
      <c r="C6" s="88" t="n">
        <v>32461.5</v>
      </c>
    </row>
    <row r="7">
      <c r="A7" s="57" t="inlineStr">
        <is>
          <t>33.40.2T.00.12</t>
        </is>
      </c>
      <c r="B7" s="57" t="inlineStr">
        <is>
          <t xml:space="preserve">Plan_GE84 Curso_2022-23 Emitido_2022-23 - GESTIÓN DE ASOCIACIONES DE PACIENTES </t>
        </is>
      </c>
      <c r="C7" s="99" t="n">
        <v>6768</v>
      </c>
    </row>
    <row r="8">
      <c r="A8" s="49" t="inlineStr">
        <is>
          <t>Total</t>
        </is>
      </c>
      <c r="B8" s="49" t="n"/>
      <c r="C8" s="100">
        <f>SUBTOTAL(109,Tabla5[Imp.cob.aplic.])</f>
        <v/>
      </c>
    </row>
    <row r="9">
      <c r="C9" s="9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B15" sqref="B15:C15"/>
    </sheetView>
  </sheetViews>
  <sheetFormatPr baseColWidth="10" defaultRowHeight="14.4"/>
  <cols>
    <col width="18.33203125" customWidth="1" min="1" max="1"/>
    <col width="95" customWidth="1" min="2" max="2"/>
    <col width="15.44140625" customWidth="1" min="3" max="3"/>
  </cols>
  <sheetData>
    <row r="1">
      <c r="A1" s="60" t="inlineStr">
        <is>
          <t>Org. aplic.</t>
        </is>
      </c>
      <c r="B1" s="60" t="inlineStr">
        <is>
          <t>Descripción justificante</t>
        </is>
      </c>
      <c r="C1" s="60" t="inlineStr">
        <is>
          <t>Imp. aplic.</t>
        </is>
      </c>
    </row>
    <row r="2">
      <c r="A2" s="58" t="inlineStr">
        <is>
          <t>33.40.2T.00.11</t>
        </is>
      </c>
      <c r="B2" s="58" t="inlineStr">
        <is>
          <t xml:space="preserve">LIQ-TitProp_9399-2 Curso_2023-24 AñoCont_2023 - ESPECIALISTA EN MEDICINA Y ENFERMERÍA AEROTRANSPORTADA (HEMS,HICAMS,FWAA) </t>
        </is>
      </c>
      <c r="C2" s="88" t="n">
        <v>14309.71</v>
      </c>
    </row>
    <row r="3">
      <c r="A3" s="59" t="inlineStr">
        <is>
          <t>33.40.2T.00.11</t>
        </is>
      </c>
      <c r="B3" s="59" t="inlineStr">
        <is>
          <t xml:space="preserve">LIQ-TitProp_9399-2 Curso_2023-24 AñoCont_2023 - ESPECIALISTA EN MEDICINA Y ENFERMERÍA AEROTRANSPORTADA (HEMS,HICAMS,FWAA) </t>
        </is>
      </c>
      <c r="C3" s="89" t="n">
        <v>1683</v>
      </c>
    </row>
    <row r="4">
      <c r="A4" s="58" t="inlineStr">
        <is>
          <t>33.40.2T.00.11</t>
        </is>
      </c>
      <c r="B4" s="58" t="inlineStr">
        <is>
          <t>DEVOLUCIÓN DE TASAS NÓMINAS_REMESA Nº 2024DTR082778/RDT INVERSA 2024EXPADM0377</t>
        </is>
      </c>
      <c r="C4" s="88" t="n">
        <v>-841.5</v>
      </c>
    </row>
    <row r="5">
      <c r="A5" s="59" t="inlineStr">
        <is>
          <t>33.40.2T.00.11</t>
        </is>
      </c>
      <c r="B5" s="59" t="inlineStr">
        <is>
          <t xml:space="preserve">LIQ-TitProp_9399-3 Curso_2023-24 AñoCont_2023 - ESPECIALISTA EN MEDICINA Y ENFERMERÍA AEROTRANSPORTADA (HEMS,HICAMS,FWAA) </t>
        </is>
      </c>
      <c r="C5" s="89" t="n">
        <v>14728.87</v>
      </c>
    </row>
    <row r="6">
      <c r="A6" s="58" t="inlineStr">
        <is>
          <t>33.40.2T.00.11</t>
        </is>
      </c>
      <c r="B6" s="58" t="inlineStr">
        <is>
          <t xml:space="preserve">Liq.PPub_311,00__ADRmsa_2024__EFP Enseñanzas Formación Permanente - Master, Especialista y Experto.  LIQ-TitProp_9399-Curso_2024-25 AñoCont_2024 - ESPECIALISTA EN MEDICINA Y ENFERMERÍA AEROTRANSPORTADA (HEMS,HICAMS,FWAA) </t>
        </is>
      </c>
      <c r="C6" s="88" t="n">
        <v>35893.8</v>
      </c>
    </row>
    <row r="7">
      <c r="A7" s="59" t="inlineStr">
        <is>
          <t>33.40.2T.00.11</t>
        </is>
      </c>
      <c r="B7" s="59" t="inlineStr">
        <is>
          <t xml:space="preserve">AD_Liq.PPub_311,00__ADRmsa_2024__EFP Enseñanzas Formación Permanente - Master, Especialista y Experto.  LIQ-TitProp_9399-Curso_2024-25 AñoCont_2024 - ESPECIALISTA EN MEDICINA Y ENFERMERÍA AEROTRANSPORTADA (HEMS,HICAMS,FWAA) </t>
        </is>
      </c>
      <c r="C7" s="89" t="n">
        <v>-35893.8</v>
      </c>
    </row>
    <row r="8">
      <c r="A8" s="58" t="inlineStr">
        <is>
          <t>33.40.2T.00.11</t>
        </is>
      </c>
      <c r="B8" s="58" t="inlineStr">
        <is>
          <t xml:space="preserve">LIQ-EP_Plan_9399-N Curso_2023-24_AñoCont_2024 TipoRec_Emitido - ESPECIALISTA EN MEDICINA Y ENFERMERÍA AEROTRANSPORTADA (HEMS,HICAMS,FWAA) _ (Cierre-24) </t>
        </is>
      </c>
      <c r="C8" s="88" t="n">
        <v>867</v>
      </c>
    </row>
    <row r="9">
      <c r="A9" s="59" t="inlineStr">
        <is>
          <t>33.40.2T.00.11</t>
        </is>
      </c>
      <c r="B9" s="59" t="inlineStr">
        <is>
          <t xml:space="preserve">LIQ-EP_Plan_9399-N Curso_2024-25_AñoCont_2024 TipoRec_Emitido - ESPECIALISTA EN MEDICINA Y ENFERMERÍA AEROTRANSPORTADA (HEMS,HICAMS,FWAA) _ (Cierre-24) </t>
        </is>
      </c>
      <c r="C9" s="89" t="n">
        <v>34486.2</v>
      </c>
    </row>
    <row r="10">
      <c r="A10" s="58" t="inlineStr">
        <is>
          <t>33.40.2T.00.11</t>
        </is>
      </c>
      <c r="B10" s="58" t="inlineStr">
        <is>
          <t xml:space="preserve">LIQ-EP_Plan_9399-N Curso_2023-24_AñoCont_2024 TipoRec_Rms443 - ESPECIALISTA EN MEDICINA Y ENFERMERÍA AEROTRANSPORTADA (HEMS,HICAMS,FWAA) _ (Cierre-24) </t>
        </is>
      </c>
      <c r="C10" s="88" t="n">
        <v>5.92</v>
      </c>
    </row>
    <row r="11">
      <c r="A11" s="65" t="inlineStr">
        <is>
          <t>33.40.2T.00.12</t>
        </is>
      </c>
      <c r="B11" s="65" t="inlineStr">
        <is>
          <t xml:space="preserve">LIQ-TitProp_GK19-1 Curso_2023-24 AñoCont_2023 - GESTIÓN DE ASOCIACIONES DE PACIENTES </t>
        </is>
      </c>
      <c r="C11" s="99" t="n">
        <v>7200</v>
      </c>
    </row>
    <row r="12">
      <c r="A12" s="65" t="inlineStr">
        <is>
          <t>Total</t>
        </is>
      </c>
      <c r="B12" s="65" t="n"/>
      <c r="C12" s="100">
        <f>SUBTOTAL(109,Tabla7[Imp. aplic.])</f>
        <v/>
      </c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tabSelected="1" workbookViewId="0">
      <selection activeCell="J8" sqref="J8"/>
    </sheetView>
  </sheetViews>
  <sheetFormatPr baseColWidth="10" defaultRowHeight="14.4"/>
  <cols>
    <col width="16.88671875" customWidth="1" min="1" max="1"/>
    <col width="65.33203125" customWidth="1" min="2" max="2"/>
    <col width="15.77734375" customWidth="1" min="3" max="3"/>
  </cols>
  <sheetData>
    <row r="1">
      <c r="A1" s="83" t="inlineStr">
        <is>
          <t>Org. aplic.</t>
        </is>
      </c>
      <c r="B1" s="83" t="inlineStr">
        <is>
          <t>Descripción justificante</t>
        </is>
      </c>
      <c r="C1" s="101" t="inlineStr">
        <is>
          <t>Imp. aplic.</t>
        </is>
      </c>
    </row>
    <row r="2">
      <c r="A2" s="73" t="inlineStr">
        <is>
          <t>33.40.2T.00.11</t>
        </is>
      </c>
      <c r="B2" s="73" t="inlineStr">
        <is>
          <t xml:space="preserve">LIQ-TitProp_9399-1 Curso_2024-25 AñoCont_2024 - ESPECIALISTA EN MEDICINA Y ENFERMERÍA AEROTRANSPORTADA (HEMS,HICAMS,FWAA) (parte 443) </t>
        </is>
      </c>
      <c r="C2" s="95" t="n">
        <v>1009.8</v>
      </c>
    </row>
    <row r="3">
      <c r="A3" s="76" t="inlineStr">
        <is>
          <t>33.40.2T.00.11</t>
        </is>
      </c>
      <c r="B3" s="76" t="inlineStr">
        <is>
          <t xml:space="preserve">LIQ-TitProp_9399-1 Curso_2024-25 AñoCont_2024 - ESPECIALISTA EN MEDICINA Y ENFERMERÍA AEROTRANSPORTADA (HEMS,HICAMS,FWAA) EM25-COB25 </t>
        </is>
      </c>
      <c r="C3" s="96" t="n">
        <v>3060</v>
      </c>
    </row>
    <row r="4">
      <c r="A4" s="73" t="inlineStr">
        <is>
          <t>33.40.2T.00.11</t>
        </is>
      </c>
      <c r="B4" s="73" t="inlineStr">
        <is>
          <t xml:space="preserve">LIQ-TitProp_9399-2 Curso_2024-25 AñoCont_2025 - ESPECIALISTA EN MEDICINA Y ENFERMERÍA AEROTRANSPORTADA (HEMS,HICAMS,FWAA) (parte que viene del AD-24-6810) </t>
        </is>
      </c>
      <c r="C4" s="95" t="n">
        <v>18262.84</v>
      </c>
    </row>
    <row r="5">
      <c r="A5" s="76" t="inlineStr">
        <is>
          <t>33.40.2T.00.12</t>
        </is>
      </c>
      <c r="B5" s="76" t="inlineStr">
        <is>
          <t xml:space="preserve">LIQ-TitProp_GK19-N Curso_2024-25 AñoCont_2025 - GESTIÓN DE ASOCIACIONES DE PACIENTES </t>
        </is>
      </c>
      <c r="C5" s="96" t="n">
        <v>7344</v>
      </c>
    </row>
    <row r="6">
      <c r="A6" s="73" t="inlineStr">
        <is>
          <t>33.40.2T.00.11</t>
        </is>
      </c>
      <c r="B6" s="73" t="inlineStr">
        <is>
          <t>LIQ-TitProp_9399-3 Curso_2024-25 AñoCont_2025 - ESPECIALISTA EN MEDICINA Y ENFERMERÍA AEROTRANSPORTADA (HEMS,HICAMS,FWAA) (parte que viene del AD-24-6810. 443)</t>
        </is>
      </c>
      <c r="C6" s="95" t="n">
        <v>16621.15</v>
      </c>
    </row>
    <row r="7">
      <c r="A7" s="76" t="inlineStr">
        <is>
          <t>33.40.2T.00.11</t>
        </is>
      </c>
      <c r="B7" s="76" t="inlineStr">
        <is>
          <t xml:space="preserve">LIQ-TitProp_9399-N Curso_2025-26 AñoCont_2025 - ESPECIALISTA EN MEDICINA Y ENFERMERÍA AEROTRANSPORTADA (HEMS, HICAMS, FWAA) (CIERRE 25 APLAZADO) </t>
        </is>
      </c>
      <c r="C7" s="96" t="n">
        <v>41004</v>
      </c>
    </row>
    <row r="8">
      <c r="A8" s="73" t="inlineStr">
        <is>
          <t>33.40.2T.00.11</t>
        </is>
      </c>
      <c r="B8" s="73" t="inlineStr">
        <is>
          <t xml:space="preserve">LIQ-TitProp_9399-N Curso_2025-26 AñoCont_2025 - ESPECIALISTA EN MEDICINA Y ENFERMERÍA AEROTRANSPORTADA (HEMS, HICAMS, FWAA) (CIERRE 25 APLAZADO) </t>
        </is>
      </c>
      <c r="C8" s="95" t="n">
        <v>-41004</v>
      </c>
    </row>
    <row r="9">
      <c r="A9" s="76" t="inlineStr">
        <is>
          <t>33.40.2T.00.11</t>
        </is>
      </c>
      <c r="B9" s="76" t="inlineStr">
        <is>
          <t xml:space="preserve">LIQ-TitProp_9399-1 Curso_2025-26 AñoCont_2025 - ESPECIALISTA EN MEDICINA Y ENFERMERÍA AEROTRANSPORTADA (HEMS, HICAMS, FWAA) (CIERRE 25 EMITIDO 25 COBRADO 25) </t>
        </is>
      </c>
      <c r="C9" s="96" t="n">
        <v>28366.2</v>
      </c>
    </row>
    <row r="10">
      <c r="A10" s="73" t="inlineStr">
        <is>
          <t>33.40.2T.00.11</t>
        </is>
      </c>
      <c r="B10" s="73" t="inlineStr">
        <is>
          <t xml:space="preserve">LIQ-TitProp_9399-N Curso_2025-26 AñoCont_2025 - ESPECIALISTA EN MEDICINA Y ENFERMERÍA AEROTRANSPORTADA (HEMS, HICAMS, FWAA) (CIERRE 2025 EMITIDO 25 NO-COBRADO 25) </t>
        </is>
      </c>
      <c r="C10" s="95" t="n">
        <v>1009.8</v>
      </c>
    </row>
    <row r="11">
      <c r="A11" s="76" t="inlineStr">
        <is>
          <t>10.91.2T.01.47</t>
        </is>
      </c>
      <c r="B11" s="76" t="inlineStr">
        <is>
          <t>CÓD: GM51. MICROCREDENCIAL. GESTIÓN DE PROGRAMAS DE SALUD. VACUNACIÓN E INMUNIZACIÓN</t>
        </is>
      </c>
      <c r="C11" s="96" t="n">
        <v>2129.25</v>
      </c>
    </row>
    <row r="12">
      <c r="A12" s="73" t="inlineStr">
        <is>
          <t>10.91.2T.01.48</t>
        </is>
      </c>
      <c r="B12" s="73" t="inlineStr">
        <is>
          <t>CÓD: GM51. Microcredencial. GESTIÓN DE PROGRAMAS DE SALUD. VACUNACIÓN E INMUNIZACIÓN</t>
        </is>
      </c>
      <c r="C12" s="95" t="n">
        <v>357</v>
      </c>
    </row>
    <row r="13">
      <c r="A13" s="76" t="inlineStr">
        <is>
          <t>10.91.2T.01.48</t>
        </is>
      </c>
      <c r="B13" s="76" t="inlineStr">
        <is>
          <t>Abono del 30% de la matrícula 15 estudiantes por la docencia recibida en la Microcredencial Universitaria "Gestión de Programas de Salud. Vacunación e Inmunización"</t>
        </is>
      </c>
      <c r="C13" s="96" t="n">
        <v>573.75</v>
      </c>
    </row>
    <row r="14">
      <c r="A14" s="73" t="inlineStr">
        <is>
          <t>10.91.2T.01.48</t>
        </is>
      </c>
      <c r="B14" s="73" t="inlineStr">
        <is>
          <t xml:space="preserve">LIQ-TitProp_GM51-N Curso_2024-25 AñoCont_2025 - GESTIÓN DE PROGRAMAS DE SALUD. VACUNACIÓN E INMUNIZACIÓN _ (Cierre-25) </t>
        </is>
      </c>
      <c r="C14" s="95" t="n">
        <v>573.75</v>
      </c>
    </row>
    <row r="15">
      <c r="A15" s="76" t="inlineStr">
        <is>
          <t>10.91.2T.01.56</t>
        </is>
      </c>
      <c r="B15" s="73" t="inlineStr">
        <is>
          <t xml:space="preserve">CÓD:GM50. MICROCREDENCIAL. GESTIÓN CLÍNICA. GENERALIDADES </t>
        </is>
      </c>
      <c r="C15" s="95" t="n">
        <v>3366</v>
      </c>
    </row>
    <row r="16">
      <c r="A16" s="73" t="inlineStr">
        <is>
          <t>10.91.2T.01.57</t>
        </is>
      </c>
      <c r="B16" s="73" t="inlineStr">
        <is>
          <t>Abono del 30% de la matrícula de 2 estudiantes por la docencia recibida en la Microcredencial Universitaria "Gestión Clínica. Generalidades"</t>
        </is>
      </c>
      <c r="C16" s="95" t="n">
        <v>153</v>
      </c>
    </row>
    <row r="17">
      <c r="A17" s="76" t="inlineStr">
        <is>
          <t>10.91.2T.01.57</t>
        </is>
      </c>
      <c r="B17" s="76" t="inlineStr">
        <is>
          <t xml:space="preserve">LIQ-TitProp_GM50-N Curso_2024-25 AñoCont_2025 - GESTIÓN CLÍNICA.GENERALIDADES </t>
        </is>
      </c>
      <c r="C17" s="96" t="n">
        <v>1326</v>
      </c>
    </row>
    <row r="18">
      <c r="A18" s="73" t="inlineStr">
        <is>
          <t>10.91.2T.01.57</t>
        </is>
      </c>
      <c r="B18" s="73" t="inlineStr">
        <is>
          <t xml:space="preserve">LIQ-TitProp_GM50-N Curso_2024-25 AñoCont_2025 - GESTIÓN CLÍNICA. GENERALIDADES _ (Cierre-25) </t>
        </is>
      </c>
      <c r="C18" s="95" t="n">
        <v>153</v>
      </c>
    </row>
    <row r="19">
      <c r="A19" s="76" t="inlineStr">
        <is>
          <t>10.91.2T.01.68</t>
        </is>
      </c>
      <c r="B19" s="76" t="inlineStr">
        <is>
          <t xml:space="preserve">PAGO DE 20 MATRÍCULAS DE ALUMNADO DEL CURSO GM76 - INNOVACIÓN EN LA CALIDAD DE LOS SERVICIOS DE ATENCIÓN AL NACIMIENTO Y LACTANCIA: DISEÑO CENTRADO EN LAS PERSONAS. Matrículas alumnos:   1. AINA FERRE BELDA 2. AINHOA MOLINA BELMONTE 3. ALEJANDRO OJEDA PEREZ; 4. CARMEN RODRIGUEZ GONZALVEZ 5. EKATERINA SOKOLOVA SHVETSOVA; 6. ENCARNA VALERO BURGOS 7. JAVIER GONZALEZ PASTOR 8. JORGE PORRAS ZAFRA; 9. MARIA ISABEL PLANELLES ASENSIO 10. MARIA JOSE MARTINEZ SANDOVAL 11. MARÍA TORRES FIGUEIRAS 12. MONICA SERRANO SELVA 13. NATALIA MENDEZ CERDA 14. PILAR DEL CARME ALFONSO RODRIGUEZ; 15. RAQUEL GONZALEZ PENALVA 16. ROSARIO CANTO GARCIA 17. SABRINA KALBOUZA BOUZIANE 18. TERESA MOLINA CAMBRA 19. URSULA CRUZ ANDREU 20. VERONICA RUBIO CARRETERO </t>
        </is>
      </c>
      <c r="C19" s="96" t="n">
        <v>4590</v>
      </c>
    </row>
    <row r="20">
      <c r="A20" s="73" t="inlineStr">
        <is>
          <t>10.91.2T.01.70</t>
        </is>
      </c>
      <c r="B20" s="73" t="inlineStr">
        <is>
          <t>Abono de la matrícula 20 estudiantes por la docencia recibida en la Microcredencial Universitaria "PROGRAMA DE FORMACIÓN INICIAL PARA EL USO DE DESFIBRILADORES AUTOMÁTICOS Y SEMIAUTOMÁTICOS EXTERNOS (DESA) PARA PERSONAL NO SANITARIO"</t>
        </is>
      </c>
      <c r="C20" s="95" t="n">
        <v>1020</v>
      </c>
    </row>
    <row r="21">
      <c r="A21" s="76" t="inlineStr">
        <is>
          <t>10.91.2T.02.22</t>
        </is>
      </c>
      <c r="B21" s="76" t="inlineStr">
        <is>
          <t xml:space="preserve">LIQ-TitProp_GN27-N Curso_2025-26 AñoCont_2025 - HERRAMIENTAS PARA LA GESTIÓN CLÍNICA _ (Cierre-25) </t>
        </is>
      </c>
      <c r="C21" s="96" t="n">
        <v>642.6</v>
      </c>
    </row>
    <row r="22">
      <c r="A22" s="73" t="inlineStr">
        <is>
          <t>Total</t>
        </is>
      </c>
      <c r="B22" s="73" t="n"/>
      <c r="C22" s="95">
        <f>SUBTOTAL(109,Tabla1[Imp. aplic.])</f>
        <v/>
      </c>
    </row>
    <row r="23">
      <c r="A23" s="76" t="n"/>
      <c r="B23" s="76" t="n"/>
      <c r="C23" s="96" t="n"/>
    </row>
    <row r="26">
      <c r="B26" s="81" t="inlineStr">
        <is>
          <t>Total ingresos formación 2023-25</t>
        </is>
      </c>
      <c r="C26" s="98">
        <f>Tabla7[[#Totals],[Imp. aplic.]]+Tabla5[[#Totals],[Imp.cob.aplic.]]+Tabla1[[#Totals],[Imp. aplic.]]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deu@ua.es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2026-05-28T21:59:11Z</dcterms:modified>
  <cp:lastModifiedBy>MARIA TERESA PUJALTE DEVIS</cp:lastModifiedBy>
</cp:coreProperties>
</file>