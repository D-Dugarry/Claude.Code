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2" activeTab="5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5" sheetId="6" state="visible" r:id="rId6"/>
    <sheet name="Correo" sheetId="7" state="veryHidden" r:id="rId7"/>
  </sheets>
  <definedNames>
    <definedName name="_xlnm._FilterDatabase" localSheetId="0" hidden="1">'Tesis'!$A$1:$U$14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FF0000"/>
      <sz val="8"/>
    </font>
    <font>
      <name val="Calibri"/>
      <family val="2"/>
      <b val="1"/>
      <color theme="0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95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14" fontId="2" fillId="4" borderId="1" pivotButton="0" quotePrefix="0" xfId="1"/>
    <xf numFmtId="0" fontId="11" fillId="6" borderId="1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11" fillId="6" borderId="3" applyAlignment="1" pivotButton="0" quotePrefix="0" xfId="0">
      <alignment horizontal="left" vertical="center"/>
    </xf>
    <xf numFmtId="0" fontId="11" fillId="6" borderId="4" applyAlignment="1" pivotButton="0" quotePrefix="0" xfId="0">
      <alignment horizontal="left" vertical="center"/>
    </xf>
    <xf numFmtId="164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0" borderId="1" pivotButton="0" quotePrefix="0" xfId="1"/>
    <xf numFmtId="0" fontId="0" fillId="0" borderId="1" applyAlignment="1" pivotButton="0" quotePrefix="0" xfId="0">
      <alignment horizontal="left"/>
    </xf>
    <xf numFmtId="165" fontId="0" fillId="7" borderId="5" pivotButton="0" quotePrefix="0" xfId="6"/>
    <xf numFmtId="165" fontId="0" fillId="0" borderId="5" pivotButton="0" quotePrefix="0" xfId="6"/>
    <xf numFmtId="0" fontId="2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14" fillId="7" borderId="5" pivotButton="0" quotePrefix="0" xfId="0"/>
    <xf numFmtId="0" fontId="14" fillId="0" borderId="5" pivotButton="0" quotePrefix="0" xfId="0"/>
    <xf numFmtId="165" fontId="0" fillId="0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4" fontId="3" fillId="2" borderId="0" pivotButton="0" quotePrefix="0" xfId="1"/>
    <xf numFmtId="0" fontId="15" fillId="9" borderId="0" pivotButton="0" quotePrefix="0" xfId="0"/>
    <xf numFmtId="0" fontId="16" fillId="6" borderId="1" applyAlignment="1" pivotButton="0" quotePrefix="0" xfId="0">
      <alignment horizontal="left" vertical="center"/>
    </xf>
    <xf numFmtId="0" fontId="16" fillId="6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6" fillId="6" borderId="4" applyAlignment="1" pivotButton="0" quotePrefix="0" xfId="0">
      <alignment horizontal="left" vertical="center"/>
    </xf>
    <xf numFmtId="0" fontId="16" fillId="0" borderId="1" pivotButton="0" quotePrefix="0" xfId="1"/>
    <xf numFmtId="0" fontId="16" fillId="4" borderId="1" pivotButton="0" quotePrefix="0" xfId="1"/>
    <xf numFmtId="0" fontId="16" fillId="4" borderId="1" applyAlignment="1" pivotButton="0" quotePrefix="0" xfId="1">
      <alignment horizontal="right"/>
    </xf>
    <xf numFmtId="0" fontId="16" fillId="4" borderId="0" pivotButton="0" quotePrefix="0" xfId="1"/>
    <xf numFmtId="0" fontId="2" fillId="4" borderId="1" pivotButton="0" quotePrefix="0" xfId="1"/>
    <xf numFmtId="0" fontId="2" fillId="4" borderId="0" pivotButton="0" quotePrefix="0" xfId="1"/>
    <xf numFmtId="165" fontId="0" fillId="0" borderId="7" pivotButton="0" quotePrefix="0" xfId="6"/>
    <xf numFmtId="0" fontId="0" fillId="0" borderId="7" pivotButton="0" quotePrefix="0" xfId="0"/>
    <xf numFmtId="165" fontId="12" fillId="0" borderId="7" pivotButton="0" quotePrefix="0" xfId="0"/>
    <xf numFmtId="0" fontId="13" fillId="8" borderId="6" pivotButton="0" quotePrefix="0" xfId="0"/>
    <xf numFmtId="0" fontId="14" fillId="7" borderId="7" pivotButton="0" quotePrefix="0" xfId="0"/>
    <xf numFmtId="165" fontId="0" fillId="7" borderId="7" pivotButton="0" quotePrefix="0" xfId="6"/>
    <xf numFmtId="0" fontId="9" fillId="10" borderId="7" pivotButton="0" quotePrefix="0" xfId="0"/>
    <xf numFmtId="165" fontId="12" fillId="10" borderId="7" pivotButton="0" quotePrefix="0" xfId="0"/>
    <xf numFmtId="0" fontId="0" fillId="11" borderId="0" pivotButton="0" quotePrefix="0" xfId="0"/>
    <xf numFmtId="0" fontId="0" fillId="7" borderId="5" pivotButton="0" quotePrefix="0" xfId="0"/>
    <xf numFmtId="0" fontId="0" fillId="0" borderId="5" pivotButton="0" quotePrefix="0" xfId="0"/>
    <xf numFmtId="0" fontId="17" fillId="8" borderId="6" pivotButton="0" quotePrefix="0" xfId="0"/>
    <xf numFmtId="165" fontId="17" fillId="8" borderId="6" pivotButton="0" quotePrefix="0" xfId="6"/>
    <xf numFmtId="0" fontId="18" fillId="12" borderId="8" pivotButton="0" quotePrefix="0" xfId="0"/>
    <xf numFmtId="0" fontId="18" fillId="12" borderId="9" pivotButton="0" quotePrefix="0" xfId="0"/>
    <xf numFmtId="0" fontId="19" fillId="13" borderId="8" pivotButton="0" quotePrefix="0" xfId="0"/>
    <xf numFmtId="0" fontId="19" fillId="13" borderId="9" pivotButton="0" quotePrefix="0" xfId="0"/>
    <xf numFmtId="166" fontId="19" fillId="13" borderId="9" pivotButton="0" quotePrefix="0" xfId="6"/>
    <xf numFmtId="0" fontId="19" fillId="0" borderId="8" pivotButton="0" quotePrefix="0" xfId="0"/>
    <xf numFmtId="0" fontId="19" fillId="0" borderId="9" pivotButton="0" quotePrefix="0" xfId="0"/>
    <xf numFmtId="166" fontId="19" fillId="0" borderId="9" pivotButton="0" quotePrefix="0" xfId="6"/>
    <xf numFmtId="0" fontId="20" fillId="0" borderId="10" pivotButton="0" quotePrefix="0" xfId="0"/>
    <xf numFmtId="0" fontId="20" fillId="0" borderId="11" pivotButton="0" quotePrefix="0" xfId="0"/>
    <xf numFmtId="166" fontId="20" fillId="0" borderId="11" pivotButton="0" quotePrefix="0" xfId="6"/>
    <xf numFmtId="0" fontId="15" fillId="0" borderId="1" pivotButton="0" quotePrefix="0" xfId="0"/>
    <xf numFmtId="165" fontId="15" fillId="0" borderId="1" pivotButton="0" quotePrefix="0" xfId="0"/>
    <xf numFmtId="166" fontId="18" fillId="12" borderId="9" pivotButton="0" quotePrefix="0" xfId="6"/>
    <xf numFmtId="166" fontId="20" fillId="0" borderId="11" pivotButton="0" quotePrefix="0" xfId="0"/>
    <xf numFmtId="164" fontId="2" fillId="4" borderId="1" pivotButton="0" quotePrefix="0" xfId="1"/>
    <xf numFmtId="164" fontId="3" fillId="2" borderId="0" pivotButton="0" quotePrefix="0" xfId="1"/>
    <xf numFmtId="165" fontId="0" fillId="7" borderId="5" pivotButton="0" quotePrefix="0" xfId="6"/>
    <xf numFmtId="165" fontId="0" fillId="0" borderId="5" pivotButton="0" quotePrefix="0" xfId="6"/>
    <xf numFmtId="165" fontId="0" fillId="7" borderId="7" pivotButton="0" quotePrefix="0" xfId="6"/>
    <xf numFmtId="165" fontId="12" fillId="10" borderId="7" pivotButton="0" quotePrefix="0" xfId="0"/>
    <xf numFmtId="165" fontId="0" fillId="0" borderId="0" pivotButton="0" quotePrefix="0" xfId="0"/>
    <xf numFmtId="165" fontId="17" fillId="8" borderId="6" pivotButton="0" quotePrefix="0" xfId="6"/>
    <xf numFmtId="165" fontId="0" fillId="0" borderId="7" pivotButton="0" quotePrefix="0" xfId="6"/>
    <xf numFmtId="165" fontId="12" fillId="0" borderId="7" pivotButton="0" quotePrefix="0" xfId="0"/>
    <xf numFmtId="166" fontId="19" fillId="13" borderId="9" pivotButton="0" quotePrefix="0" xfId="6"/>
    <xf numFmtId="166" fontId="19" fillId="0" borderId="9" pivotButton="0" quotePrefix="0" xfId="6"/>
    <xf numFmtId="166" fontId="20" fillId="0" borderId="11" pivotButton="0" quotePrefix="0" xfId="6"/>
    <xf numFmtId="165" fontId="15" fillId="0" borderId="1" pivotButton="0" quotePrefix="0" xfId="0"/>
    <xf numFmtId="166" fontId="18" fillId="12" borderId="9" pivotButton="0" quotePrefix="0" xfId="6"/>
    <xf numFmtId="166" fontId="20" fillId="0" borderId="1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0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2" displayName="Tabla2" ref="A1:C15" headerRowCount="1" totalsRowCount="1" headerRowDxfId="19" totalsRowDxfId="16" headerRowBorderDxfId="18" tableBorderDxfId="17" totalsRowBorderDxfId="15">
  <autoFilter ref="A1:C14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0" headerRowCount="1" totalsRowCount="1" headerRowBorderDxfId="8" tableBorderDxfId="7" totalsRowBorderDxfId="6">
  <autoFilter ref="A1:C19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8"/>
  <sheetViews>
    <sheetView showGridLines="0" zoomScale="120" zoomScaleNormal="12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H32" sqref="H32"/>
    </sheetView>
  </sheetViews>
  <sheetFormatPr baseColWidth="10" defaultColWidth="10.33203125" defaultRowHeight="10.2"/>
  <cols>
    <col width="5" customWidth="1" style="50" min="1" max="1"/>
    <col width="29.6640625" customWidth="1" style="50" min="2" max="4"/>
    <col width="40.6640625" customWidth="1" style="50" min="5" max="5"/>
    <col width="9.109375" customWidth="1" style="50" min="6" max="6"/>
    <col width="9.6640625" customWidth="1" style="50" min="7" max="7"/>
    <col width="14.44140625" customWidth="1" style="50" min="8" max="8"/>
    <col width="5.88671875" customWidth="1" style="50" min="9" max="9"/>
    <col width="25.6640625" customWidth="1" style="50" min="10" max="10"/>
    <col width="5.109375" customWidth="1" style="50" min="11" max="12"/>
    <col width="4.44140625" customWidth="1" style="50" min="13" max="13"/>
    <col width="4.88671875" customWidth="1" style="50" min="14" max="14"/>
    <col width="4.88671875" customWidth="1" style="9" min="15" max="15"/>
    <col width="4.88671875" customWidth="1" style="50" min="16" max="16"/>
    <col width="3.5546875" customWidth="1" style="9" min="17" max="17"/>
    <col width="3.5546875" customWidth="1" style="50" min="18" max="18"/>
    <col width="5.109375" customWidth="1" style="50" min="19" max="21"/>
    <col width="10.33203125" customWidth="1" style="50" min="22" max="16384"/>
  </cols>
  <sheetData>
    <row r="1" ht="41.4" customHeight="1" thickBo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ht="10.8" customHeight="1" thickBot="1">
      <c r="A2" s="21" t="inlineStr">
        <is>
          <t xml:space="preserve">B157 </t>
        </is>
      </c>
      <c r="B2" s="21" t="inlineStr">
        <is>
          <t xml:space="preserve">ECOLOGIA </t>
        </is>
      </c>
      <c r="C2" s="21" t="inlineStr">
        <is>
          <t xml:space="preserve">DOCTORADO EN CONSERVACIÓN Y RESTAURACIÓN DE ECOSISTEMAS </t>
        </is>
      </c>
      <c r="D2" s="21" t="inlineStr">
        <is>
          <t xml:space="preserve">Larsen , Elisabeth Karlstad </t>
        </is>
      </c>
      <c r="E2" s="21" t="inlineStr">
        <is>
          <t xml:space="preserve">Transpiration patterns of Pinus halepensis Mill. in response to environmental stresses in a Mediterranean climate </t>
        </is>
      </c>
      <c r="F2" s="21" t="inlineStr">
        <is>
          <t xml:space="preserve">24/05/2021 </t>
        </is>
      </c>
      <c r="G2" s="22" t="inlineStr">
        <is>
          <t xml:space="preserve">48624838D </t>
        </is>
      </c>
      <c r="H2" s="23" t="inlineStr">
        <is>
          <t xml:space="preserve">Codirector de tesis </t>
        </is>
      </c>
      <c r="I2" s="23" t="inlineStr">
        <is>
          <t xml:space="preserve">B157 </t>
        </is>
      </c>
      <c r="J2" s="24" t="inlineStr">
        <is>
          <t xml:space="preserve">ECOLOGIA </t>
        </is>
      </c>
      <c r="K2" s="27" t="n">
        <v>0.3333333333333333</v>
      </c>
      <c r="L2" s="27" t="inlineStr">
        <is>
          <t>B157</t>
        </is>
      </c>
      <c r="M2" s="49" t="n">
        <v>2020</v>
      </c>
      <c r="N2" s="49" t="inlineStr"/>
      <c r="O2" s="26" t="inlineStr"/>
      <c r="P2" s="49" t="inlineStr"/>
      <c r="Q2" s="26" t="inlineStr"/>
      <c r="R2" s="49" t="n">
        <v>100</v>
      </c>
      <c r="S2" s="49" t="n">
        <v>0.3333333333333333</v>
      </c>
      <c r="T2" s="49" t="n">
        <v>0</v>
      </c>
      <c r="U2" s="49" t="n">
        <v>0</v>
      </c>
    </row>
    <row r="3" ht="10.8" customFormat="1" customHeight="1" s="48" thickBot="1">
      <c r="A3" s="41" t="inlineStr">
        <is>
          <t xml:space="preserve">B157 </t>
        </is>
      </c>
      <c r="B3" s="41" t="inlineStr">
        <is>
          <t xml:space="preserve">ECOLOGIA </t>
        </is>
      </c>
      <c r="C3" s="41" t="inlineStr">
        <is>
          <t xml:space="preserve">DOCTORADO EN CONSERVACIÓN Y RESTAURACIÓN DE ECOSISTEMAS </t>
        </is>
      </c>
      <c r="D3" s="41" t="inlineStr">
        <is>
          <t xml:space="preserve">Larsen , Elisabeth Karlstad </t>
        </is>
      </c>
      <c r="E3" s="41" t="inlineStr">
        <is>
          <t xml:space="preserve">Transpiration patterns of Pinus halepensis Mill. in response to environmental stresses in a Mediterranean climate </t>
        </is>
      </c>
      <c r="F3" s="41" t="inlineStr">
        <is>
          <t xml:space="preserve">24/05/2021 </t>
        </is>
      </c>
      <c r="G3" s="42" t="inlineStr">
        <is>
          <t xml:space="preserve">22102953E </t>
        </is>
      </c>
      <c r="H3" s="43" t="inlineStr">
        <is>
          <t xml:space="preserve">Codirector de tesis </t>
        </is>
      </c>
      <c r="I3" s="43" t="inlineStr">
        <is>
          <t xml:space="preserve">B157 </t>
        </is>
      </c>
      <c r="J3" s="44" t="inlineStr">
        <is>
          <t xml:space="preserve">ECOLOGIA </t>
        </is>
      </c>
      <c r="K3" s="45" t="n">
        <v>0.3333333333333333</v>
      </c>
      <c r="L3" s="45" t="inlineStr">
        <is>
          <t>B157</t>
        </is>
      </c>
      <c r="M3" s="46" t="n">
        <v>2020</v>
      </c>
      <c r="N3" s="46" t="inlineStr">
        <is>
          <t>10.16</t>
        </is>
      </c>
      <c r="O3" s="47" t="n">
        <v>70</v>
      </c>
      <c r="P3" s="46" t="inlineStr"/>
      <c r="Q3" s="47" t="inlineStr"/>
      <c r="R3" s="46" t="n">
        <v>30</v>
      </c>
      <c r="S3" s="46" t="n">
        <v>0.09999999999999989</v>
      </c>
      <c r="T3" s="46" t="n">
        <v>0.2333333333333331</v>
      </c>
      <c r="U3" s="46" t="n">
        <v>0</v>
      </c>
    </row>
    <row r="4" ht="10.8" customHeight="1" thickBot="1">
      <c r="A4" s="21" t="inlineStr">
        <is>
          <t xml:space="preserve">B157 </t>
        </is>
      </c>
      <c r="B4" s="21" t="inlineStr">
        <is>
          <t xml:space="preserve">ECOLOGIA </t>
        </is>
      </c>
      <c r="C4" s="21" t="inlineStr">
        <is>
          <t xml:space="preserve">DOCTORADO EN CONSERVACIÓN Y RESTAURACIÓN DE ECOSISTEMAS </t>
        </is>
      </c>
      <c r="D4" s="21" t="inlineStr">
        <is>
          <t xml:space="preserve">Larsen , Elisabeth Karlstad </t>
        </is>
      </c>
      <c r="E4" s="21" t="inlineStr">
        <is>
          <t xml:space="preserve">Transpiration patterns of Pinus halepensis Mill. in response to environmental stresses in a Mediterranean climate </t>
        </is>
      </c>
      <c r="F4" s="21" t="inlineStr">
        <is>
          <t xml:space="preserve">24/05/2021 </t>
        </is>
      </c>
      <c r="G4" s="22" t="inlineStr">
        <is>
          <t xml:space="preserve">- </t>
        </is>
      </c>
      <c r="H4" s="23" t="inlineStr">
        <is>
          <t xml:space="preserve">Codirector de tesis </t>
        </is>
      </c>
      <c r="I4" s="23" t="inlineStr">
        <is>
          <t xml:space="preserve">B157 </t>
        </is>
      </c>
      <c r="J4" s="24" t="inlineStr">
        <is>
          <t xml:space="preserve">ECOLOGIA </t>
        </is>
      </c>
      <c r="K4" s="27" t="n">
        <v>0.3333333333333333</v>
      </c>
      <c r="L4" s="27" t="inlineStr">
        <is>
          <t>B157</t>
        </is>
      </c>
      <c r="M4" s="49" t="n">
        <v>2020</v>
      </c>
      <c r="N4" s="49" t="inlineStr"/>
      <c r="O4" s="26" t="inlineStr"/>
      <c r="P4" s="49" t="inlineStr"/>
      <c r="Q4" s="26" t="inlineStr"/>
      <c r="R4" s="49" t="n">
        <v>100</v>
      </c>
      <c r="S4" s="49" t="n">
        <v>0.3333333333333333</v>
      </c>
      <c r="T4" s="49" t="n">
        <v>0</v>
      </c>
      <c r="U4" s="49" t="n">
        <v>0</v>
      </c>
    </row>
    <row r="5" ht="10.8" customHeight="1" thickBot="1">
      <c r="A5" s="21" t="inlineStr">
        <is>
          <t xml:space="preserve">B171 </t>
        </is>
      </c>
      <c r="B5" s="21" t="inlineStr">
        <is>
          <t xml:space="preserve">CIENCIAS DEL MAR Y BIOLOGÍA APLICADA </t>
        </is>
      </c>
      <c r="C5" s="21" t="inlineStr">
        <is>
          <t xml:space="preserve">DOCTORADO EN CIENCIAS DEL MAR Y BIOLOGÍA APLICADA </t>
        </is>
      </c>
      <c r="D5" s="21" t="inlineStr">
        <is>
          <t xml:space="preserve">Casado Coy, Nuria </t>
        </is>
      </c>
      <c r="E5" s="21" t="inlineStr">
        <is>
          <t xml:space="preserve">Effects of fouling and organic matter wastes from marine aquaculture on the macrofauna and biogeochemistry of sediments. </t>
        </is>
      </c>
      <c r="F5" s="21" t="inlineStr">
        <is>
          <t xml:space="preserve">09/06/2021 </t>
        </is>
      </c>
      <c r="G5" s="22" t="inlineStr">
        <is>
          <t xml:space="preserve">74235633M </t>
        </is>
      </c>
      <c r="H5" s="23" t="inlineStr">
        <is>
          <t xml:space="preserve">Codirector de tesis </t>
        </is>
      </c>
      <c r="I5" s="23" t="inlineStr">
        <is>
          <t xml:space="preserve">B157 </t>
        </is>
      </c>
      <c r="J5" s="24" t="inlineStr">
        <is>
          <t xml:space="preserve">ECOLOGIA </t>
        </is>
      </c>
      <c r="K5" s="27" t="n">
        <v>0.5</v>
      </c>
      <c r="L5" s="27" t="inlineStr">
        <is>
          <t>B157</t>
        </is>
      </c>
      <c r="M5" s="49" t="n">
        <v>2020</v>
      </c>
      <c r="N5" s="49" t="inlineStr">
        <is>
          <t>10.16</t>
        </is>
      </c>
      <c r="O5" s="26" t="n">
        <v>50</v>
      </c>
      <c r="P5" s="49" t="inlineStr"/>
      <c r="Q5" s="26" t="n">
        <v>0</v>
      </c>
      <c r="R5" s="49" t="n">
        <v>50</v>
      </c>
      <c r="S5" s="49" t="n">
        <v>0.25</v>
      </c>
      <c r="T5" s="49" t="n">
        <v>0.25</v>
      </c>
      <c r="U5" s="49" t="n">
        <v>0</v>
      </c>
    </row>
    <row r="6">
      <c r="A6" s="49" t="inlineStr">
        <is>
          <t xml:space="preserve">B157 </t>
        </is>
      </c>
      <c r="B6" s="49" t="inlineStr">
        <is>
          <t xml:space="preserve">ECOLOGIA </t>
        </is>
      </c>
      <c r="C6" s="49" t="inlineStr">
        <is>
          <t xml:space="preserve">DOCTORADO EN CONSERVACIÓN Y RESTAURACIÓN DE ECOSISTEMAS </t>
        </is>
      </c>
      <c r="D6" s="49" t="inlineStr">
        <is>
          <t xml:space="preserve">Maturano Ruiz, Adrián </t>
        </is>
      </c>
      <c r="E6" s="49" t="inlineStr">
        <is>
          <t xml:space="preserve">Impacts of water availability on shrublands: natural and experimental extreme drought in </t>
        </is>
      </c>
      <c r="F6" s="49" t="inlineStr">
        <is>
          <t xml:space="preserve">11/03/2022 </t>
        </is>
      </c>
      <c r="G6" s="49" t="inlineStr">
        <is>
          <t xml:space="preserve">05655788L </t>
        </is>
      </c>
      <c r="H6" s="49" t="inlineStr">
        <is>
          <t xml:space="preserve">Director de tesis </t>
        </is>
      </c>
      <c r="I6" s="49" t="inlineStr">
        <is>
          <t xml:space="preserve">B157 </t>
        </is>
      </c>
      <c r="J6" s="49" t="inlineStr">
        <is>
          <t xml:space="preserve">ECOLOGIA </t>
        </is>
      </c>
      <c r="K6" s="27" t="n">
        <v>1</v>
      </c>
      <c r="L6" s="27" t="inlineStr">
        <is>
          <t>B157</t>
        </is>
      </c>
      <c r="M6" s="49" t="n">
        <v>2021</v>
      </c>
      <c r="N6" s="49" t="inlineStr">
        <is>
          <t>10.16</t>
        </is>
      </c>
      <c r="O6" s="26" t="n">
        <v>50</v>
      </c>
      <c r="P6" s="49" t="inlineStr"/>
      <c r="Q6" s="26" t="n">
        <v>0</v>
      </c>
      <c r="R6" s="49" t="n">
        <v>50</v>
      </c>
      <c r="S6" s="49" t="n">
        <v>0.5</v>
      </c>
      <c r="T6" s="49" t="n">
        <v>0.5</v>
      </c>
      <c r="U6" s="49" t="n">
        <v>0</v>
      </c>
    </row>
    <row r="7">
      <c r="A7" s="49" t="inlineStr">
        <is>
          <t xml:space="preserve">B157 </t>
        </is>
      </c>
      <c r="B7" s="49" t="inlineStr">
        <is>
          <t xml:space="preserve">ECOLOGIA </t>
        </is>
      </c>
      <c r="C7" s="49" t="inlineStr">
        <is>
          <t xml:space="preserve">DOCTORADO EN CONSERVACIÓN Y RESTAURACIÓN DE ECOSISTEMAS </t>
        </is>
      </c>
      <c r="D7" s="49" t="inlineStr">
        <is>
          <t xml:space="preserve">Moghli , Aymen </t>
        </is>
      </c>
      <c r="E7" s="49" t="inlineStr">
        <is>
          <t xml:space="preserve">Functioning of Mediterranean ecosystems in response to forest fires and post-fire management activities. </t>
        </is>
      </c>
      <c r="F7" s="49" t="inlineStr">
        <is>
          <t xml:space="preserve">15/07/2022 </t>
        </is>
      </c>
      <c r="G7" s="49" t="inlineStr">
        <is>
          <t xml:space="preserve">72519052Y </t>
        </is>
      </c>
      <c r="H7" s="49" t="inlineStr">
        <is>
          <t xml:space="preserve">Codirector de tesis </t>
        </is>
      </c>
      <c r="I7" s="49" t="inlineStr">
        <is>
          <t xml:space="preserve">B157 </t>
        </is>
      </c>
      <c r="J7" s="49" t="inlineStr">
        <is>
          <t xml:space="preserve">ECOLOGIA </t>
        </is>
      </c>
      <c r="K7" s="27" t="n">
        <v>0.5</v>
      </c>
      <c r="L7" s="27" t="inlineStr">
        <is>
          <t>B157</t>
        </is>
      </c>
      <c r="M7" s="49" t="n">
        <v>2021</v>
      </c>
      <c r="N7" s="49" t="inlineStr">
        <is>
          <t>10.16</t>
        </is>
      </c>
      <c r="O7" s="26" t="n">
        <v>50</v>
      </c>
      <c r="P7" s="49" t="inlineStr"/>
      <c r="Q7" s="26" t="n">
        <v>0</v>
      </c>
      <c r="R7" s="49" t="n">
        <v>50</v>
      </c>
      <c r="S7" s="49" t="n">
        <v>0.25</v>
      </c>
      <c r="T7" s="49" t="n">
        <v>0.25</v>
      </c>
      <c r="U7" s="49" t="n">
        <v>0</v>
      </c>
    </row>
    <row r="8">
      <c r="A8" s="49" t="inlineStr">
        <is>
          <t xml:space="preserve">B157 </t>
        </is>
      </c>
      <c r="B8" s="49" t="inlineStr">
        <is>
          <t xml:space="preserve">ECOLOGIA </t>
        </is>
      </c>
      <c r="C8" s="49" t="inlineStr">
        <is>
          <t xml:space="preserve">DOCTORADO EN CONSERVACIÓN Y RESTAURACIÓN DE ECOSISTEMAS </t>
        </is>
      </c>
      <c r="D8" s="49" t="inlineStr">
        <is>
          <t xml:space="preserve">Moghli , Aymen </t>
        </is>
      </c>
      <c r="E8" s="49" t="inlineStr">
        <is>
          <t xml:space="preserve">Functioning of Mediterranean ecosystems in response to forest fires and post-fire management activities. </t>
        </is>
      </c>
      <c r="F8" s="49" t="inlineStr">
        <is>
          <t xml:space="preserve">15/07/2022 </t>
        </is>
      </c>
      <c r="G8" s="49" t="inlineStr">
        <is>
          <t xml:space="preserve">48534429J </t>
        </is>
      </c>
      <c r="H8" s="49" t="inlineStr">
        <is>
          <t xml:space="preserve">Codirector de tesis </t>
        </is>
      </c>
      <c r="I8" s="49" t="inlineStr">
        <is>
          <t xml:space="preserve">B157 </t>
        </is>
      </c>
      <c r="J8" s="49" t="inlineStr">
        <is>
          <t xml:space="preserve">ECOLOGIA </t>
        </is>
      </c>
      <c r="K8" s="27" t="n">
        <v>0.5</v>
      </c>
      <c r="L8" s="27" t="inlineStr">
        <is>
          <t>B157</t>
        </is>
      </c>
      <c r="M8" s="49" t="n">
        <v>2021</v>
      </c>
      <c r="N8" s="49" t="inlineStr"/>
      <c r="O8" s="26" t="inlineStr"/>
      <c r="P8" s="49" t="inlineStr"/>
      <c r="Q8" s="26" t="inlineStr"/>
      <c r="R8" s="49" t="n">
        <v>100</v>
      </c>
      <c r="S8" s="49" t="n">
        <v>0.5</v>
      </c>
      <c r="T8" s="49" t="n">
        <v>0</v>
      </c>
      <c r="U8" s="49" t="n">
        <v>0</v>
      </c>
    </row>
    <row r="9">
      <c r="A9" s="49" t="inlineStr">
        <is>
          <t xml:space="preserve">B157 </t>
        </is>
      </c>
      <c r="B9" s="49" t="inlineStr">
        <is>
          <t xml:space="preserve">ECOLOGIA </t>
        </is>
      </c>
      <c r="C9" s="49" t="inlineStr">
        <is>
          <t xml:space="preserve">DOCTORADO EN CONSERVACIÓN Y RESTAURACIÓN DE ECOSISTEMAS </t>
        </is>
      </c>
      <c r="D9" s="49" t="inlineStr">
        <is>
          <t>Vicente Bartolí, Eduardo</t>
        </is>
      </c>
      <c r="E9" s="49" t="inlineStr">
        <is>
          <t>Forests ecohydrology in water-limited environments: the role of water use strategies, chronic decline, and acclimation of functional traits.</t>
        </is>
      </c>
      <c r="F9" s="20" t="n">
        <v>44825</v>
      </c>
      <c r="G9" s="49" t="inlineStr">
        <is>
          <t>37741679J</t>
        </is>
      </c>
      <c r="H9" s="49" t="inlineStr">
        <is>
          <t xml:space="preserve">Codirector de tesis </t>
        </is>
      </c>
      <c r="I9" s="49" t="inlineStr">
        <is>
          <t xml:space="preserve">B157 </t>
        </is>
      </c>
      <c r="J9" s="49" t="inlineStr">
        <is>
          <t xml:space="preserve">ECOLOGIA </t>
        </is>
      </c>
      <c r="K9" s="79" t="n">
        <v>0.5</v>
      </c>
      <c r="L9" s="49" t="inlineStr">
        <is>
          <t>B157</t>
        </is>
      </c>
      <c r="M9" s="49" t="n">
        <v>2021</v>
      </c>
      <c r="N9" s="49" t="inlineStr"/>
      <c r="O9" s="26" t="inlineStr"/>
      <c r="P9" s="49" t="inlineStr"/>
      <c r="Q9" s="26" t="inlineStr"/>
      <c r="R9" s="49" t="n">
        <v>100</v>
      </c>
      <c r="S9" s="49" t="n">
        <v>0.5</v>
      </c>
      <c r="T9" s="49" t="n">
        <v>0</v>
      </c>
      <c r="U9" s="49" t="n">
        <v>0</v>
      </c>
    </row>
    <row r="10">
      <c r="A10" s="49" t="inlineStr">
        <is>
          <t xml:space="preserve">B157 </t>
        </is>
      </c>
      <c r="B10" s="49" t="inlineStr">
        <is>
          <t xml:space="preserve">ECOLOGIA </t>
        </is>
      </c>
      <c r="C10" s="49" t="inlineStr">
        <is>
          <t xml:space="preserve">DOCTORADO EN CONSERVACIÓN Y RESTAURACIÓN DE ECOSISTEMAS </t>
        </is>
      </c>
      <c r="D10" s="49" t="inlineStr">
        <is>
          <t>Vicente Bartolí, Eduardo</t>
        </is>
      </c>
      <c r="E10" s="49" t="inlineStr">
        <is>
          <t>Forests ecohydrology in water-limited environments: the role of water use strategies, chronic decline, and acclimation of functional traits.</t>
        </is>
      </c>
      <c r="F10" s="20" t="n">
        <v>44825</v>
      </c>
      <c r="G10" s="49" t="inlineStr">
        <is>
          <t>22102953E</t>
        </is>
      </c>
      <c r="H10" s="49" t="inlineStr">
        <is>
          <t xml:space="preserve">Codirector de tesis </t>
        </is>
      </c>
      <c r="I10" s="49" t="inlineStr">
        <is>
          <t xml:space="preserve">B157 </t>
        </is>
      </c>
      <c r="J10" s="49" t="inlineStr">
        <is>
          <t xml:space="preserve">ECOLOGIA </t>
        </is>
      </c>
      <c r="K10" s="79" t="n">
        <v>0.5</v>
      </c>
      <c r="L10" s="49" t="inlineStr">
        <is>
          <t>B157</t>
        </is>
      </c>
      <c r="M10" s="49" t="n">
        <v>2021</v>
      </c>
      <c r="N10" s="49" t="inlineStr">
        <is>
          <t>10.16</t>
        </is>
      </c>
      <c r="O10" s="26" t="n">
        <v>70</v>
      </c>
      <c r="P10" s="49" t="inlineStr"/>
      <c r="Q10" s="26" t="inlineStr"/>
      <c r="R10" s="49" t="n">
        <v>30</v>
      </c>
      <c r="S10" s="49" t="n">
        <v>0.15</v>
      </c>
      <c r="T10" s="49" t="n">
        <v>0.35</v>
      </c>
      <c r="U10" s="49" t="n">
        <v>0</v>
      </c>
    </row>
    <row r="11">
      <c r="A11" s="49" t="inlineStr">
        <is>
          <t xml:space="preserve">B157 </t>
        </is>
      </c>
      <c r="B11" s="49" t="inlineStr">
        <is>
          <t xml:space="preserve">ECOLOGIA </t>
        </is>
      </c>
      <c r="C11" s="49" t="inlineStr">
        <is>
          <t xml:space="preserve">DOCTORADO EN CONSERVACIÓN Y RESTAURACIÓN DE ECOSISTEMAS </t>
        </is>
      </c>
      <c r="D11" s="49" t="inlineStr">
        <is>
          <t xml:space="preserve">Turrión Cerrejón, Diana </t>
        </is>
      </c>
      <c r="E11" s="49" t="inlineStr">
        <is>
          <t xml:space="preserve">Morpho-functional response of Aleppo pine to thinning pattern in dense post-fire forests. </t>
        </is>
      </c>
      <c r="F11" s="49" t="inlineStr">
        <is>
          <t xml:space="preserve">20/09/2023 </t>
        </is>
      </c>
      <c r="G11" s="49" t="inlineStr">
        <is>
          <t xml:space="preserve">31832052Y </t>
        </is>
      </c>
      <c r="H11" s="49" t="inlineStr">
        <is>
          <t xml:space="preserve">Director de tesis </t>
        </is>
      </c>
      <c r="I11" s="49" t="inlineStr">
        <is>
          <t xml:space="preserve">B157 </t>
        </is>
      </c>
      <c r="J11" s="49" t="inlineStr">
        <is>
          <t xml:space="preserve">ECOLOGIA </t>
        </is>
      </c>
      <c r="K11" s="31" t="n">
        <v>1</v>
      </c>
      <c r="L11" s="31" t="inlineStr">
        <is>
          <t>B157</t>
        </is>
      </c>
      <c r="M11" s="49" t="n">
        <v>2022</v>
      </c>
      <c r="N11" s="31" t="inlineStr">
        <is>
          <t>10.16</t>
        </is>
      </c>
      <c r="O11" s="31" t="n">
        <v>50</v>
      </c>
      <c r="P11" s="31" t="inlineStr"/>
      <c r="Q11" s="31" t="n">
        <v>0</v>
      </c>
      <c r="R11" s="31" t="n">
        <v>50</v>
      </c>
      <c r="S11" s="31" t="n">
        <v>0.5</v>
      </c>
      <c r="T11" s="31" t="n">
        <v>0.5</v>
      </c>
      <c r="U11" s="31" t="n">
        <v>0</v>
      </c>
    </row>
    <row r="12">
      <c r="A12" s="49" t="inlineStr">
        <is>
          <t xml:space="preserve">B157 </t>
        </is>
      </c>
      <c r="B12" s="49" t="inlineStr">
        <is>
          <t xml:space="preserve">ECOLOGIA </t>
        </is>
      </c>
      <c r="C12" s="49" t="inlineStr">
        <is>
          <t xml:space="preserve">DOCTORADO EN CONSERVACIÓN Y RESTAURACIÓN DE ECOSISTEMAS </t>
        </is>
      </c>
      <c r="D12" s="49" t="inlineStr">
        <is>
          <t xml:space="preserve">Silva Morales, Elysa Inés </t>
        </is>
      </c>
      <c r="E12" s="49" t="inlineStr">
        <is>
          <t xml:space="preserve">Tools for participatory planning of ecological restoration </t>
        </is>
      </c>
      <c r="F12" s="49" t="inlineStr">
        <is>
          <t xml:space="preserve">30/06/2023 </t>
        </is>
      </c>
      <c r="G12" s="49" t="inlineStr">
        <is>
          <t xml:space="preserve">35004437R </t>
        </is>
      </c>
      <c r="H12" s="49" t="inlineStr">
        <is>
          <t xml:space="preserve">Codirector de tesis </t>
        </is>
      </c>
      <c r="I12" s="49" t="inlineStr">
        <is>
          <t xml:space="preserve">B157 </t>
        </is>
      </c>
      <c r="J12" s="49" t="inlineStr">
        <is>
          <t xml:space="preserve">ECOLOGIA </t>
        </is>
      </c>
      <c r="K12" s="31" t="n">
        <v>0.5</v>
      </c>
      <c r="L12" s="31" t="inlineStr">
        <is>
          <t>B157</t>
        </is>
      </c>
      <c r="M12" s="49" t="n">
        <v>2022</v>
      </c>
      <c r="N12" s="31" t="inlineStr">
        <is>
          <t>10.16</t>
        </is>
      </c>
      <c r="O12" s="31" t="n">
        <v>50</v>
      </c>
      <c r="P12" s="31" t="inlineStr"/>
      <c r="Q12" s="31" t="n">
        <v>0</v>
      </c>
      <c r="R12" s="31" t="n">
        <v>50</v>
      </c>
      <c r="S12" s="31" t="n">
        <v>0.25</v>
      </c>
      <c r="T12" s="31" t="n">
        <v>0.25</v>
      </c>
      <c r="U12" s="31" t="n">
        <v>0</v>
      </c>
    </row>
    <row r="13">
      <c r="A13" s="49" t="inlineStr">
        <is>
          <t xml:space="preserve">B157 </t>
        </is>
      </c>
      <c r="B13" s="49" t="inlineStr">
        <is>
          <t xml:space="preserve">ECOLOGIA </t>
        </is>
      </c>
      <c r="C13" s="49" t="inlineStr">
        <is>
          <t xml:space="preserve">DOCTORADO EN CONSERVACIÓN Y RESTAURACIÓN DE ECOSISTEMAS </t>
        </is>
      </c>
      <c r="D13" s="49" t="inlineStr">
        <is>
          <t xml:space="preserve">Silva Morales, Elysa Inés </t>
        </is>
      </c>
      <c r="E13" s="49" t="inlineStr">
        <is>
          <t xml:space="preserve">Tools for participatory planning of ecological restoration </t>
        </is>
      </c>
      <c r="F13" s="49" t="inlineStr">
        <is>
          <t xml:space="preserve">30/06/2023 </t>
        </is>
      </c>
      <c r="G13" s="49" t="inlineStr">
        <is>
          <t xml:space="preserve">35052669W </t>
        </is>
      </c>
      <c r="H13" s="49" t="inlineStr">
        <is>
          <t xml:space="preserve">Codirector de tesis </t>
        </is>
      </c>
      <c r="I13" s="49" t="inlineStr">
        <is>
          <t xml:space="preserve">B157 </t>
        </is>
      </c>
      <c r="J13" s="49" t="inlineStr">
        <is>
          <t xml:space="preserve">ECOLOGIA </t>
        </is>
      </c>
      <c r="K13" s="31" t="n">
        <v>0.5</v>
      </c>
      <c r="L13" s="31" t="inlineStr">
        <is>
          <t>B157</t>
        </is>
      </c>
      <c r="M13" s="49" t="n">
        <v>2022</v>
      </c>
      <c r="N13" s="31" t="inlineStr">
        <is>
          <t>10.16</t>
        </is>
      </c>
      <c r="O13" s="31" t="n">
        <v>50</v>
      </c>
      <c r="P13" s="31" t="inlineStr"/>
      <c r="Q13" s="31" t="n">
        <v>0</v>
      </c>
      <c r="R13" s="31" t="n">
        <v>50</v>
      </c>
      <c r="S13" s="31" t="n">
        <v>0.25</v>
      </c>
      <c r="T13" s="31" t="n">
        <v>0.25</v>
      </c>
      <c r="U13" s="31" t="n">
        <v>0</v>
      </c>
    </row>
    <row r="14">
      <c r="A14" s="49" t="inlineStr">
        <is>
          <t xml:space="preserve">B157 </t>
        </is>
      </c>
      <c r="B14" s="49" t="inlineStr">
        <is>
          <t xml:space="preserve">ECOLOGIA </t>
        </is>
      </c>
      <c r="C14" s="49" t="inlineStr">
        <is>
          <t xml:space="preserve">DOCTORADO EN CONSERVACIÓN Y RESTAURACIÓN DE ECOSISTEMAS </t>
        </is>
      </c>
      <c r="D14" s="49" t="inlineStr">
        <is>
          <t xml:space="preserve">Aguilar Garavito, Mauricio </t>
        </is>
      </c>
      <c r="E14" s="49" t="inlineStr">
        <is>
          <t xml:space="preserve">Conservación y restauración ecológica de robledales andinos afectados por incendios </t>
        </is>
      </c>
      <c r="F14" s="49" t="inlineStr">
        <is>
          <t xml:space="preserve">18/05/2023 </t>
        </is>
      </c>
      <c r="G14" s="49" t="inlineStr">
        <is>
          <t xml:space="preserve">35052669W </t>
        </is>
      </c>
      <c r="H14" s="49" t="inlineStr">
        <is>
          <t xml:space="preserve">Director de tesis </t>
        </is>
      </c>
      <c r="I14" s="49" t="inlineStr">
        <is>
          <t xml:space="preserve">B157 </t>
        </is>
      </c>
      <c r="J14" s="49" t="inlineStr">
        <is>
          <t xml:space="preserve">ECOLOGIA </t>
        </is>
      </c>
      <c r="K14" s="31" t="n">
        <v>1</v>
      </c>
      <c r="L14" s="31" t="inlineStr">
        <is>
          <t>B157</t>
        </is>
      </c>
      <c r="M14" s="49" t="n">
        <v>2022</v>
      </c>
      <c r="N14" s="31" t="inlineStr">
        <is>
          <t>10.16</t>
        </is>
      </c>
      <c r="O14" s="31" t="n">
        <v>50</v>
      </c>
      <c r="P14" s="31" t="inlineStr"/>
      <c r="Q14" s="31" t="n">
        <v>0</v>
      </c>
      <c r="R14" s="31" t="n">
        <v>50</v>
      </c>
      <c r="S14" s="31" t="n">
        <v>0.5</v>
      </c>
      <c r="T14" s="31" t="n">
        <v>0.5</v>
      </c>
      <c r="U14" s="31" t="n">
        <v>0</v>
      </c>
    </row>
    <row r="15">
      <c r="A15" s="49" t="inlineStr">
        <is>
          <t>B157</t>
        </is>
      </c>
      <c r="B15" s="49" t="inlineStr">
        <is>
          <t>ECOLOGIA</t>
        </is>
      </c>
      <c r="C15" s="49" t="inlineStr">
        <is>
          <t>DOCTORADO EN CONSERVACIÓN Y RESTAURACIÓN DE ECOSISTEMAS</t>
        </is>
      </c>
      <c r="D15" s="49" t="inlineStr">
        <is>
          <t>Yañez Dobson, John Antony</t>
        </is>
      </c>
      <c r="E15" s="49" t="inlineStr">
        <is>
          <t>Assessment of Jellyfish Dynamics and Their Impacts in the Mediterranean: Ecological,</t>
        </is>
      </c>
      <c r="F15" s="49" t="inlineStr">
        <is>
          <t>22/07/2024</t>
        </is>
      </c>
      <c r="G15" s="49" t="inlineStr">
        <is>
          <t>52784140Z</t>
        </is>
      </c>
      <c r="H15" s="49" t="inlineStr">
        <is>
          <t>Director de tesis</t>
        </is>
      </c>
      <c r="I15" s="49" t="inlineStr">
        <is>
          <t>B157</t>
        </is>
      </c>
      <c r="J15" s="49" t="inlineStr">
        <is>
          <t>ECOLOGIA</t>
        </is>
      </c>
      <c r="K15" s="49" t="n">
        <v>1</v>
      </c>
      <c r="L15" s="49" t="inlineStr">
        <is>
          <t>B157</t>
        </is>
      </c>
      <c r="M15" s="49" t="n">
        <v>2023</v>
      </c>
      <c r="N15" s="49" t="inlineStr">
        <is>
          <t>10.16</t>
        </is>
      </c>
      <c r="O15" s="49" t="inlineStr">
        <is>
          <t>50</t>
        </is>
      </c>
      <c r="P15" s="49" t="inlineStr"/>
      <c r="Q15" s="49" t="inlineStr"/>
      <c r="R15" s="49" t="n">
        <v>50</v>
      </c>
      <c r="S15" s="49" t="n">
        <v>0.5</v>
      </c>
      <c r="T15" s="49" t="n">
        <v>0.5</v>
      </c>
      <c r="U15" s="49" t="n">
        <v>0</v>
      </c>
    </row>
    <row r="16">
      <c r="A16" s="49" t="inlineStr">
        <is>
          <t>B157</t>
        </is>
      </c>
      <c r="B16" s="49" t="inlineStr">
        <is>
          <t>ECOLOGIA</t>
        </is>
      </c>
      <c r="C16" s="49" t="inlineStr">
        <is>
          <t>DOCTORADO EN CONSERVACIÓN Y RESTAURACIÓN DE ECOSISTEMAS</t>
        </is>
      </c>
      <c r="D16" s="49" t="inlineStr">
        <is>
          <t>Sabater Blasco, Ana María</t>
        </is>
      </c>
      <c r="E16" s="49" t="inlineStr">
        <is>
          <t>Understanding the factors influencing transpiration and evapotranspiration in forests and their contribution to the water cycle</t>
        </is>
      </c>
      <c r="F16" s="49" t="inlineStr">
        <is>
          <t>12/01/2024</t>
        </is>
      </c>
      <c r="G16" s="49" t="inlineStr">
        <is>
          <t>37741679J</t>
        </is>
      </c>
      <c r="H16" s="49" t="inlineStr">
        <is>
          <t>Codirector de tesis</t>
        </is>
      </c>
      <c r="I16" s="49" t="inlineStr">
        <is>
          <t>B157</t>
        </is>
      </c>
      <c r="J16" s="49" t="inlineStr">
        <is>
          <t>ECOLOGIA</t>
        </is>
      </c>
      <c r="K16" s="49" t="n">
        <v>0.5</v>
      </c>
      <c r="L16" s="49" t="inlineStr">
        <is>
          <t>B157</t>
        </is>
      </c>
      <c r="M16" s="49" t="n">
        <v>2023</v>
      </c>
      <c r="N16" s="49" t="inlineStr"/>
      <c r="O16" s="49" t="inlineStr"/>
      <c r="P16" s="49" t="inlineStr"/>
      <c r="Q16" s="49" t="inlineStr"/>
      <c r="R16" s="49" t="n">
        <v>100</v>
      </c>
      <c r="S16" s="49" t="n">
        <v>0.5</v>
      </c>
      <c r="T16" s="49" t="n">
        <v>0</v>
      </c>
      <c r="U16" s="49" t="n">
        <v>0</v>
      </c>
    </row>
    <row r="17">
      <c r="A17" s="49" t="inlineStr">
        <is>
          <t>B157</t>
        </is>
      </c>
      <c r="B17" s="49" t="inlineStr">
        <is>
          <t>ECOLOGIA</t>
        </is>
      </c>
      <c r="C17" s="49" t="inlineStr">
        <is>
          <t>DOCTORADO EN CONSERVACIÓN Y RESTAURACIÓN DE ECOSISTEMAS</t>
        </is>
      </c>
      <c r="D17" s="49" t="inlineStr">
        <is>
          <t>Sabater Blasco, Ana María</t>
        </is>
      </c>
      <c r="E17" s="49" t="inlineStr">
        <is>
          <t>Understanding the factors influencing transpiration and evapotranspiration in forests and their contribution to the water cycle</t>
        </is>
      </c>
      <c r="F17" s="49" t="inlineStr">
        <is>
          <t>12/01/2024</t>
        </is>
      </c>
      <c r="G17" s="49" t="inlineStr">
        <is>
          <t>22102953E</t>
        </is>
      </c>
      <c r="H17" s="49" t="inlineStr">
        <is>
          <t>Codirector de tesis</t>
        </is>
      </c>
      <c r="I17" s="49" t="inlineStr">
        <is>
          <t>B157</t>
        </is>
      </c>
      <c r="J17" s="49" t="inlineStr">
        <is>
          <t>ECOLOGIA</t>
        </is>
      </c>
      <c r="K17" s="49" t="n">
        <v>0.5</v>
      </c>
      <c r="L17" s="49" t="inlineStr">
        <is>
          <t>B157</t>
        </is>
      </c>
      <c r="M17" s="49" t="n">
        <v>2023</v>
      </c>
      <c r="N17" s="49" t="inlineStr">
        <is>
          <t>10.16</t>
        </is>
      </c>
      <c r="O17" s="49" t="inlineStr">
        <is>
          <t>70</t>
        </is>
      </c>
      <c r="P17" s="49" t="inlineStr"/>
      <c r="Q17" s="49" t="inlineStr"/>
      <c r="R17" s="49" t="n">
        <v>30</v>
      </c>
      <c r="S17" s="49" t="n">
        <v>0.15</v>
      </c>
      <c r="T17" s="49" t="n">
        <v>0.35</v>
      </c>
      <c r="U17" s="49" t="n">
        <v>0</v>
      </c>
    </row>
    <row r="18">
      <c r="A18" s="49" t="inlineStr">
        <is>
          <t>B157</t>
        </is>
      </c>
      <c r="B18" s="49" t="inlineStr">
        <is>
          <t>ECOLOGIA</t>
        </is>
      </c>
      <c r="C18" s="49" t="inlineStr">
        <is>
          <t>DOCTORADO EN CONSERVACIÓN Y RESTAURACIÓN DE ECOSISTEMAS</t>
        </is>
      </c>
      <c r="D18" s="49" t="inlineStr">
        <is>
          <t>Lopezosa Estepa, Paula</t>
        </is>
      </c>
      <c r="E18" s="49" t="inlineStr">
        <is>
          <t>Identificando las consecuencias funcionales de cambios en la biodiversidad a varias escalas espaciales</t>
        </is>
      </c>
      <c r="F18" s="49" t="inlineStr">
        <is>
          <t>03/11/2023</t>
        </is>
      </c>
      <c r="G18" s="49" t="inlineStr">
        <is>
          <t>48352264P</t>
        </is>
      </c>
      <c r="H18" s="49" t="inlineStr">
        <is>
          <t>Codirector de tesis</t>
        </is>
      </c>
      <c r="I18" s="49" t="inlineStr">
        <is>
          <t>B157</t>
        </is>
      </c>
      <c r="J18" s="49" t="inlineStr">
        <is>
          <t>ECOLOGIA</t>
        </is>
      </c>
      <c r="K18" s="49" t="n">
        <v>0.5</v>
      </c>
      <c r="L18" s="49" t="inlineStr">
        <is>
          <t>B157</t>
        </is>
      </c>
      <c r="M18" s="49" t="n">
        <v>2023</v>
      </c>
      <c r="N18" s="49" t="inlineStr">
        <is>
          <t>10.16</t>
        </is>
      </c>
      <c r="O18" s="49" t="inlineStr">
        <is>
          <t>50</t>
        </is>
      </c>
      <c r="P18" s="49" t="inlineStr"/>
      <c r="Q18" s="49" t="inlineStr"/>
      <c r="R18" s="49" t="n">
        <v>50</v>
      </c>
      <c r="S18" s="49" t="n">
        <v>0.25</v>
      </c>
      <c r="T18" s="49" t="n">
        <v>0.25</v>
      </c>
      <c r="U18" s="49" t="n">
        <v>0</v>
      </c>
    </row>
    <row r="19">
      <c r="A19" s="49" t="inlineStr">
        <is>
          <t>B157</t>
        </is>
      </c>
      <c r="B19" s="49" t="inlineStr">
        <is>
          <t>ECOLOGIA</t>
        </is>
      </c>
      <c r="C19" s="49" t="inlineStr">
        <is>
          <t>DOCTORADO EN CONSERVACIÓN Y RESTAURACIÓN DE ECOSISTEMAS</t>
        </is>
      </c>
      <c r="D19" s="49" t="inlineStr">
        <is>
          <t>Lopezosa Estepa, Paula</t>
        </is>
      </c>
      <c r="E19" s="49" t="inlineStr">
        <is>
          <t>Identificando las consecuencias funcionales de cambios en la biodiversidad a varias escalas espaciales</t>
        </is>
      </c>
      <c r="F19" s="49" t="inlineStr">
        <is>
          <t>03/11/2023</t>
        </is>
      </c>
      <c r="G19" s="49" t="inlineStr">
        <is>
          <t>50768881S</t>
        </is>
      </c>
      <c r="H19" s="49" t="inlineStr">
        <is>
          <t>Codirector de tesis</t>
        </is>
      </c>
      <c r="I19" s="49" t="inlineStr">
        <is>
          <t>B157</t>
        </is>
      </c>
      <c r="J19" s="49" t="inlineStr">
        <is>
          <t>ECOLOGIA</t>
        </is>
      </c>
      <c r="K19" s="49" t="n">
        <v>0.5</v>
      </c>
      <c r="L19" s="49" t="inlineStr">
        <is>
          <t>B157</t>
        </is>
      </c>
      <c r="M19" s="49" t="n">
        <v>2023</v>
      </c>
      <c r="N19" s="49" t="inlineStr"/>
      <c r="O19" s="49" t="inlineStr"/>
      <c r="P19" s="49" t="inlineStr"/>
      <c r="Q19" s="49" t="inlineStr"/>
      <c r="R19" s="49" t="n">
        <v>100</v>
      </c>
      <c r="S19" s="49" t="n">
        <v>0.5</v>
      </c>
      <c r="T19" s="49" t="n">
        <v>0</v>
      </c>
      <c r="U19" s="49" t="n">
        <v>0</v>
      </c>
    </row>
    <row r="20" customFormat="1" s="50">
      <c r="A20" s="49" t="inlineStr">
        <is>
          <t>B157</t>
        </is>
      </c>
      <c r="B20" s="49" t="inlineStr">
        <is>
          <t>ECOLOGIA</t>
        </is>
      </c>
      <c r="C20" s="49" t="inlineStr">
        <is>
          <t>DOCTORADO EN CONSERVACIÓN Y RESTAURACIÓN DE ECOSISTEMAS</t>
        </is>
      </c>
      <c r="D20" s="49" t="inlineStr">
        <is>
          <t>Orihuela Torres, Adrian Antonio</t>
        </is>
      </c>
      <c r="E20" s="49" t="inlineStr">
        <is>
          <t>Scavenging in wetlands: State of the art, vertebrate assemblages and impact of humanrelated activities</t>
        </is>
      </c>
      <c r="F20" s="49" t="inlineStr">
        <is>
          <t>19/07/2024</t>
        </is>
      </c>
      <c r="G20" s="49" t="inlineStr">
        <is>
          <t>48361759G</t>
        </is>
      </c>
      <c r="H20" s="49" t="inlineStr">
        <is>
          <t>Codirector de tesis</t>
        </is>
      </c>
      <c r="I20" s="49" t="inlineStr">
        <is>
          <t>B157</t>
        </is>
      </c>
      <c r="J20" s="49" t="inlineStr">
        <is>
          <t>ECOLOGIA</t>
        </is>
      </c>
      <c r="K20" s="49" t="n">
        <v>0.5</v>
      </c>
      <c r="L20" s="49" t="inlineStr">
        <is>
          <t>B157</t>
        </is>
      </c>
      <c r="M20" s="49" t="n">
        <v>2023</v>
      </c>
      <c r="N20" s="49" t="inlineStr"/>
      <c r="O20" s="49" t="inlineStr"/>
      <c r="P20" s="49" t="inlineStr"/>
      <c r="Q20" s="49" t="inlineStr"/>
      <c r="R20" s="49" t="n">
        <v>100</v>
      </c>
      <c r="S20" s="49" t="n">
        <v>0.5</v>
      </c>
      <c r="T20" s="49" t="n">
        <v>0</v>
      </c>
      <c r="U20" s="49" t="n">
        <v>0</v>
      </c>
    </row>
    <row r="21" customFormat="1" s="50">
      <c r="A21" s="49" t="inlineStr">
        <is>
          <t>B157</t>
        </is>
      </c>
      <c r="B21" s="49" t="inlineStr">
        <is>
          <t>ECOLOGIA</t>
        </is>
      </c>
      <c r="C21" s="49" t="inlineStr">
        <is>
          <t>DOCTORADO EN CONSERVACIÓN Y RESTAURACIÓN DE ECOSISTEMAS</t>
        </is>
      </c>
      <c r="D21" s="49" t="inlineStr">
        <is>
          <t>Orihuela Torres, Adrian Antonio</t>
        </is>
      </c>
      <c r="E21" s="49" t="inlineStr">
        <is>
          <t>Scavenging in wetlands: State of the art, vertebrate assemblages and impact of humanrelated activities</t>
        </is>
      </c>
      <c r="F21" s="49" t="inlineStr">
        <is>
          <t>19/07/2024</t>
        </is>
      </c>
      <c r="G21" s="49" t="inlineStr">
        <is>
          <t>'-</t>
        </is>
      </c>
      <c r="H21" s="49" t="inlineStr">
        <is>
          <t>Codirector de tesis</t>
        </is>
      </c>
      <c r="I21" s="49" t="inlineStr">
        <is>
          <t>B157</t>
        </is>
      </c>
      <c r="J21" s="49" t="inlineStr">
        <is>
          <t>ECOLOGIA</t>
        </is>
      </c>
      <c r="K21" s="49" t="n">
        <v>0.5</v>
      </c>
      <c r="L21" s="49" t="inlineStr">
        <is>
          <t>B157</t>
        </is>
      </c>
      <c r="M21" s="49" t="n">
        <v>2023</v>
      </c>
      <c r="N21" s="49" t="inlineStr"/>
      <c r="O21" s="49" t="inlineStr"/>
      <c r="P21" s="49" t="inlineStr"/>
      <c r="Q21" s="49" t="inlineStr"/>
      <c r="R21" s="49" t="n">
        <v>100</v>
      </c>
      <c r="S21" s="49" t="n">
        <v>0.5</v>
      </c>
      <c r="T21" s="49" t="n">
        <v>0</v>
      </c>
      <c r="U21" s="49" t="n">
        <v>0</v>
      </c>
    </row>
    <row r="22">
      <c r="A22" s="49" t="inlineStr">
        <is>
          <t>U022</t>
        </is>
      </c>
      <c r="B22" s="49" t="inlineStr">
        <is>
          <t>ADM. FACULTAD DE CIENCIAS</t>
        </is>
      </c>
      <c r="C22" s="49" t="inlineStr">
        <is>
          <t>DOCTORADO EN CIENCIAS EXPERIMENTALES Y BIOSANITARIAS</t>
        </is>
      </c>
      <c r="D22" s="49" t="inlineStr">
        <is>
          <t>Belhadj , Radia Niamet Allah</t>
        </is>
      </c>
      <c r="E22" s="49" t="inlineStr">
        <is>
          <t>Valorization of invasive aquatic plants and algae species as potential bioactive sources for sustainable food packaging applications</t>
        </is>
      </c>
      <c r="F22" s="49" t="inlineStr">
        <is>
          <t>18/09/2024</t>
        </is>
      </c>
      <c r="G22" s="49" t="inlineStr">
        <is>
          <t>52784140Z</t>
        </is>
      </c>
      <c r="H22" s="49" t="inlineStr">
        <is>
          <t>Codirector de tesis</t>
        </is>
      </c>
      <c r="I22" s="49" t="inlineStr">
        <is>
          <t>B157</t>
        </is>
      </c>
      <c r="J22" s="49" t="inlineStr">
        <is>
          <t>ECOLOGIA</t>
        </is>
      </c>
      <c r="K22" s="49" t="n">
        <v>0.5</v>
      </c>
      <c r="L22" s="49" t="inlineStr">
        <is>
          <t>B157</t>
        </is>
      </c>
      <c r="M22" s="49" t="n">
        <v>2023</v>
      </c>
      <c r="N22" s="49" t="inlineStr">
        <is>
          <t>10.16</t>
        </is>
      </c>
      <c r="O22" s="49" t="inlineStr">
        <is>
          <t>50</t>
        </is>
      </c>
      <c r="P22" s="49" t="inlineStr"/>
      <c r="Q22" s="49" t="inlineStr"/>
      <c r="R22" s="49" t="n">
        <v>50</v>
      </c>
      <c r="S22" s="49" t="n">
        <v>0.25</v>
      </c>
      <c r="T22" s="49" t="n">
        <v>0.25</v>
      </c>
      <c r="U22" s="49" t="n">
        <v>0</v>
      </c>
    </row>
    <row r="23" customFormat="1" s="50">
      <c r="A23" s="49" t="inlineStr">
        <is>
          <t>B157</t>
        </is>
      </c>
      <c r="B23" s="49" t="inlineStr">
        <is>
          <t>Ecología</t>
        </is>
      </c>
      <c r="C23" s="49" t="inlineStr">
        <is>
          <t>DOCTORADO EN CONSERVACIÓN Y RESTAURACIÓN DE ECOSISTEMAS</t>
        </is>
      </c>
      <c r="D23" s="49" t="inlineStr">
        <is>
          <t>Marco Tresserras, Jana</t>
        </is>
      </c>
      <c r="E23" s="49" t="inlineStr">
        <is>
          <t>Ecology of urban hedgehogs (Erinaceus europaeus) in SE Spain: Activities, resting sites and movements</t>
        </is>
      </c>
      <c r="F23" s="49" t="inlineStr">
        <is>
          <t>24/02/2025</t>
        </is>
      </c>
      <c r="G23" s="49" t="inlineStr">
        <is>
          <t>21432737A</t>
        </is>
      </c>
      <c r="H23" s="49" t="inlineStr">
        <is>
          <t>Director de tesis</t>
        </is>
      </c>
      <c r="I23" s="49" t="inlineStr">
        <is>
          <t>B157</t>
        </is>
      </c>
      <c r="J23" s="49" t="inlineStr">
        <is>
          <t>Ecología</t>
        </is>
      </c>
      <c r="K23" s="49" t="n">
        <v>1</v>
      </c>
      <c r="L23" s="49" t="inlineStr">
        <is>
          <t>B157</t>
        </is>
      </c>
      <c r="M23" s="49" t="n">
        <v>2024</v>
      </c>
      <c r="N23" s="49" t="inlineStr">
        <is>
          <t>10.16</t>
        </is>
      </c>
      <c r="O23" s="49" t="inlineStr">
        <is>
          <t>30</t>
        </is>
      </c>
      <c r="P23" s="49" t="inlineStr"/>
      <c r="Q23" s="49" t="inlineStr"/>
      <c r="R23" s="49" t="n">
        <v>70</v>
      </c>
      <c r="S23" s="49" t="n">
        <v>0.7</v>
      </c>
      <c r="T23" s="49" t="n">
        <v>0.3</v>
      </c>
      <c r="U23" s="49" t="n">
        <v>0</v>
      </c>
    </row>
    <row r="24" customFormat="1" s="50">
      <c r="A24" s="49" t="inlineStr">
        <is>
          <t>B157</t>
        </is>
      </c>
      <c r="B24" s="49" t="inlineStr">
        <is>
          <t>Ecología</t>
        </is>
      </c>
      <c r="C24" s="49" t="inlineStr">
        <is>
          <t>DOCTORADO EN CONSERVACIÓN Y RESTAURACIÓN DE ECOSISTEMAS</t>
        </is>
      </c>
      <c r="D24" s="49" t="inlineStr">
        <is>
          <t>Flores García, Adrián</t>
        </is>
      </c>
      <c r="E24" s="49" t="inlineStr">
        <is>
          <t>Dynamic modelling applied to population ecology and environmental problems.</t>
        </is>
      </c>
      <c r="F24" s="49" t="inlineStr">
        <is>
          <t>07/04/2025</t>
        </is>
      </c>
      <c r="G24" s="49" t="inlineStr">
        <is>
          <t>52784140Z</t>
        </is>
      </c>
      <c r="H24" s="49" t="inlineStr">
        <is>
          <t>Codirector de tesis</t>
        </is>
      </c>
      <c r="I24" s="49" t="inlineStr">
        <is>
          <t>B157</t>
        </is>
      </c>
      <c r="J24" s="49" t="inlineStr">
        <is>
          <t>Ecología</t>
        </is>
      </c>
      <c r="K24" s="49" t="n">
        <v>0.5</v>
      </c>
      <c r="L24" s="49" t="inlineStr">
        <is>
          <t>B157</t>
        </is>
      </c>
      <c r="M24" s="49" t="n">
        <v>2024</v>
      </c>
      <c r="N24" s="49" t="inlineStr">
        <is>
          <t>10.16</t>
        </is>
      </c>
      <c r="O24" s="49" t="inlineStr">
        <is>
          <t>50</t>
        </is>
      </c>
      <c r="P24" s="49" t="inlineStr"/>
      <c r="Q24" s="49" t="inlineStr"/>
      <c r="R24" s="49" t="n">
        <v>50</v>
      </c>
      <c r="S24" s="49" t="n">
        <v>0.25</v>
      </c>
      <c r="T24" s="49" t="n">
        <v>0.25</v>
      </c>
      <c r="U24" s="49" t="n">
        <v>0</v>
      </c>
    </row>
    <row r="25" customFormat="1" s="50">
      <c r="A25" s="49" t="inlineStr">
        <is>
          <t>B157</t>
        </is>
      </c>
      <c r="B25" s="49" t="inlineStr">
        <is>
          <t>Ecología</t>
        </is>
      </c>
      <c r="C25" s="49" t="inlineStr">
        <is>
          <t>DOCTORADO EN CONSERVACIÓN Y RESTAURACIÓN DE ECOSISTEMAS</t>
        </is>
      </c>
      <c r="D25" s="49" t="inlineStr">
        <is>
          <t>López Del Castillo, Pedro</t>
        </is>
      </c>
      <c r="E25" s="49" t="inlineStr">
        <is>
          <t>Ephemeroptera y Trichoptera (Clase: Insecta) en dos ríos de la Sierra Maestra: Composición, Distribución y Uso de Microhábitat</t>
        </is>
      </c>
      <c r="F25" s="49" t="inlineStr">
        <is>
          <t>30/10/2024</t>
        </is>
      </c>
      <c r="G25" s="49" t="inlineStr">
        <is>
          <t>21432737A</t>
        </is>
      </c>
      <c r="H25" s="49" t="inlineStr">
        <is>
          <t>Codirector de tesis</t>
        </is>
      </c>
      <c r="I25" s="49" t="inlineStr">
        <is>
          <t>B157</t>
        </is>
      </c>
      <c r="J25" s="49" t="inlineStr">
        <is>
          <t>Ecología</t>
        </is>
      </c>
      <c r="K25" s="49" t="n">
        <v>0.5</v>
      </c>
      <c r="L25" s="49" t="inlineStr">
        <is>
          <t>B157</t>
        </is>
      </c>
      <c r="M25" s="49" t="n">
        <v>2024</v>
      </c>
      <c r="N25" s="49" t="inlineStr">
        <is>
          <t>10.16</t>
        </is>
      </c>
      <c r="O25" s="49" t="inlineStr">
        <is>
          <t>30</t>
        </is>
      </c>
      <c r="P25" s="49" t="inlineStr"/>
      <c r="Q25" s="49" t="inlineStr"/>
      <c r="R25" s="49" t="n">
        <v>70</v>
      </c>
      <c r="S25" s="49" t="n">
        <v>0.35</v>
      </c>
      <c r="T25" s="49" t="n">
        <v>0.15</v>
      </c>
      <c r="U25" s="49" t="n">
        <v>0</v>
      </c>
    </row>
    <row r="26" customFormat="1" s="50">
      <c r="A26" s="49" t="inlineStr">
        <is>
          <t>B157</t>
        </is>
      </c>
      <c r="B26" s="49" t="inlineStr">
        <is>
          <t>Ecología</t>
        </is>
      </c>
      <c r="C26" s="49" t="inlineStr">
        <is>
          <t>DOCTORADO EN CONSERVACIÓN Y RESTAURACIÓN DE ECOSISTEMAS</t>
        </is>
      </c>
      <c r="D26" s="49" t="inlineStr">
        <is>
          <t>López Del Castillo, Pedro</t>
        </is>
      </c>
      <c r="E26" s="49" t="inlineStr">
        <is>
          <t>Ephemeroptera y Trichoptera (Clase: Insecta) en dos ríos de la Sierra Maestra: Composición, Distribución y Uso de Microhábitat</t>
        </is>
      </c>
      <c r="F26" s="49" t="inlineStr">
        <is>
          <t>30/10/2024</t>
        </is>
      </c>
      <c r="G26" s="49" t="inlineStr">
        <is>
          <t>'-</t>
        </is>
      </c>
      <c r="H26" s="49" t="inlineStr">
        <is>
          <t>Codirector de tesis</t>
        </is>
      </c>
      <c r="I26" s="49" t="inlineStr">
        <is>
          <t>B157</t>
        </is>
      </c>
      <c r="J26" s="49" t="inlineStr">
        <is>
          <t>Ecología</t>
        </is>
      </c>
      <c r="K26" s="49" t="n">
        <v>0.5</v>
      </c>
      <c r="L26" s="49" t="inlineStr">
        <is>
          <t>B157</t>
        </is>
      </c>
      <c r="M26" s="49" t="n">
        <v>2024</v>
      </c>
      <c r="N26" s="49" t="inlineStr"/>
      <c r="O26" s="49" t="inlineStr"/>
      <c r="P26" s="49" t="inlineStr"/>
      <c r="Q26" s="49" t="inlineStr"/>
      <c r="R26" s="49" t="n">
        <v>100</v>
      </c>
      <c r="S26" s="49" t="n">
        <v>0.5</v>
      </c>
      <c r="T26" s="49" t="n">
        <v>0</v>
      </c>
      <c r="U26" s="49" t="n">
        <v>0</v>
      </c>
    </row>
    <row r="27">
      <c r="A27" s="49" t="inlineStr">
        <is>
          <t>B157</t>
        </is>
      </c>
      <c r="B27" s="49" t="inlineStr">
        <is>
          <t>Ecología</t>
        </is>
      </c>
      <c r="C27" s="49" t="inlineStr">
        <is>
          <t>DOCTORADO EN CONSERVACIÓN Y RESTAURACIÓN DE ECOSISTEMAS</t>
        </is>
      </c>
      <c r="D27" s="49" t="inlineStr">
        <is>
          <t>Urgeghe , Anna Maria</t>
        </is>
      </c>
      <c r="E27" s="49" t="inlineStr">
        <is>
          <t>Ecohydrological links and feedbacks between vegetation pattern, diversity and resource redistribution in drylands</t>
        </is>
      </c>
      <c r="F27" s="49" t="inlineStr">
        <is>
          <t>20/06/2025</t>
        </is>
      </c>
      <c r="G27" s="49" t="inlineStr">
        <is>
          <t>31832052Y</t>
        </is>
      </c>
      <c r="H27" s="49" t="inlineStr">
        <is>
          <t>Director de tesis</t>
        </is>
      </c>
      <c r="I27" s="49" t="inlineStr">
        <is>
          <t>B157</t>
        </is>
      </c>
      <c r="J27" s="49" t="inlineStr">
        <is>
          <t>Ecología</t>
        </is>
      </c>
      <c r="K27" s="49" t="n">
        <v>1</v>
      </c>
      <c r="L27" s="49" t="inlineStr">
        <is>
          <t>B157</t>
        </is>
      </c>
      <c r="M27" s="49" t="n">
        <v>2024</v>
      </c>
      <c r="N27" s="49" t="inlineStr">
        <is>
          <t>10.16</t>
        </is>
      </c>
      <c r="O27" s="49" t="inlineStr">
        <is>
          <t>50</t>
        </is>
      </c>
      <c r="P27" s="49" t="inlineStr"/>
      <c r="Q27" s="49" t="inlineStr"/>
      <c r="R27" s="49" t="n">
        <v>50</v>
      </c>
      <c r="S27" s="49" t="n">
        <v>0.5</v>
      </c>
      <c r="T27" s="49" t="n">
        <v>0.5</v>
      </c>
      <c r="U27" s="49" t="n">
        <v>0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8" t="n"/>
      <c r="P28" s="7" t="n"/>
      <c r="Q28" s="8" t="n"/>
      <c r="R28" s="7" t="n"/>
      <c r="S28" s="80">
        <f>SUM(S2:S27)</f>
        <v/>
      </c>
      <c r="T28" s="7" t="n"/>
      <c r="U28" s="7" t="n"/>
    </row>
  </sheetData>
  <autoFilter ref="A1:U14">
    <sortState ref="A2:U1868">
      <sortCondition ref="L2:L1868"/>
      <sortCondition ref="M2:M1868"/>
      <sortCondition ref="D2:D1868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6"/>
  <sheetViews>
    <sheetView zoomScaleNormal="100" workbookViewId="0">
      <selection activeCell="V11" sqref="V11"/>
    </sheetView>
  </sheetViews>
  <sheetFormatPr baseColWidth="10" defaultColWidth="11.44140625" defaultRowHeight="13.2"/>
  <cols>
    <col width="10.88671875" bestFit="1" customWidth="1" style="12" min="1" max="1"/>
    <col width="35.6640625" bestFit="1" customWidth="1" style="12" min="2" max="2"/>
    <col width="17" bestFit="1" customWidth="1" style="12" min="3" max="3"/>
    <col width="3.33203125" bestFit="1" customWidth="1" style="12" min="4" max="9"/>
    <col width="13.109375" bestFit="1" customWidth="1" style="12" min="10" max="10"/>
    <col width="5.33203125" bestFit="1" customWidth="1" style="12" min="11" max="11"/>
    <col width="5.6640625" bestFit="1" customWidth="1" style="12" min="12" max="13"/>
    <col width="5.6640625" bestFit="1" customWidth="1" style="13" min="14" max="14"/>
    <col width="5.6640625" bestFit="1" customWidth="1" style="12" min="15" max="15"/>
    <col width="5.6640625" bestFit="1" customWidth="1" style="13" min="16" max="16"/>
    <col width="5.6640625" bestFit="1" customWidth="1" style="12" min="17" max="19"/>
    <col width="11.44140625" customWidth="1" style="12" min="20" max="16384"/>
  </cols>
  <sheetData>
    <row r="1" ht="30" customHeight="1">
      <c r="A1" s="14" t="inlineStr">
        <is>
          <t>NIF</t>
        </is>
      </c>
      <c r="B1" s="14" t="inlineStr">
        <is>
          <t>NOMBRE_COMPLETO</t>
        </is>
      </c>
      <c r="C1" s="14" t="inlineStr">
        <is>
          <t>TIPO_SEXENIO</t>
        </is>
      </c>
      <c r="D1" s="15" t="inlineStr">
        <is>
          <t>2020</t>
        </is>
      </c>
      <c r="E1" s="15" t="inlineStr">
        <is>
          <t>2021</t>
        </is>
      </c>
      <c r="F1" s="15" t="inlineStr">
        <is>
          <t>2022</t>
        </is>
      </c>
      <c r="G1" s="15" t="inlineStr">
        <is>
          <t>2023</t>
        </is>
      </c>
      <c r="H1" s="15" t="inlineStr">
        <is>
          <t>2024</t>
        </is>
      </c>
      <c r="I1" s="15" t="inlineStr">
        <is>
          <t>2025</t>
        </is>
      </c>
      <c r="J1" s="14" t="inlineStr">
        <is>
          <t>Total general</t>
        </is>
      </c>
      <c r="K1" s="16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</row>
    <row r="2" ht="14.4" customHeight="1">
      <c r="A2" s="17" t="inlineStr">
        <is>
          <t>05655788L</t>
        </is>
      </c>
      <c r="B2" s="17" t="inlineStr">
        <is>
          <t>Valdecantos Dema, Alejandro</t>
        </is>
      </c>
      <c r="C2" s="17" t="inlineStr">
        <is>
          <t>FUNCIONARIO</t>
        </is>
      </c>
      <c r="D2" s="17" t="n"/>
      <c r="E2" s="17" t="n"/>
      <c r="F2" s="17" t="n">
        <v>3</v>
      </c>
      <c r="G2" s="17" t="n"/>
      <c r="H2" s="17" t="n"/>
      <c r="I2" s="17" t="n"/>
      <c r="J2" s="17" t="n">
        <v>3</v>
      </c>
      <c r="K2" s="17" t="inlineStr">
        <is>
          <t>B157</t>
        </is>
      </c>
      <c r="L2" s="18" t="inlineStr">
        <is>
          <t>10.16</t>
        </is>
      </c>
      <c r="M2" s="18" t="inlineStr">
        <is>
          <t>50</t>
        </is>
      </c>
      <c r="N2" s="18" t="inlineStr"/>
      <c r="O2" s="18" t="inlineStr"/>
      <c r="P2" s="18" t="n">
        <v>50</v>
      </c>
      <c r="Q2" s="18" t="n">
        <v>1.5</v>
      </c>
      <c r="R2" s="18" t="n">
        <v>0</v>
      </c>
      <c r="S2" s="18" t="n">
        <v>1.5</v>
      </c>
    </row>
    <row r="3" ht="14.4" customHeight="1">
      <c r="A3" s="17" t="inlineStr">
        <is>
          <t>21432737A</t>
        </is>
      </c>
      <c r="B3" s="17" t="inlineStr">
        <is>
          <t>López Iborra, Germán Manuel</t>
        </is>
      </c>
      <c r="C3" s="17" t="inlineStr">
        <is>
          <t>FUNCIONARIO</t>
        </is>
      </c>
      <c r="D3" s="17" t="n"/>
      <c r="E3" s="17" t="n"/>
      <c r="F3" s="17" t="n"/>
      <c r="G3" s="17" t="n"/>
      <c r="H3" s="17" t="n"/>
      <c r="I3" s="17" t="n">
        <v>1</v>
      </c>
      <c r="J3" s="17" t="n">
        <v>1</v>
      </c>
      <c r="K3" s="17" t="inlineStr">
        <is>
          <t>B157</t>
        </is>
      </c>
      <c r="L3" s="18" t="inlineStr">
        <is>
          <t>10.16</t>
        </is>
      </c>
      <c r="M3" s="18" t="inlineStr">
        <is>
          <t>30</t>
        </is>
      </c>
      <c r="N3" s="18" t="inlineStr"/>
      <c r="O3" s="18" t="inlineStr"/>
      <c r="P3" s="18" t="n">
        <v>70</v>
      </c>
      <c r="Q3" s="18" t="n">
        <v>0.3</v>
      </c>
      <c r="R3" s="18" t="n">
        <v>0</v>
      </c>
      <c r="S3" s="18" t="n">
        <v>0.7</v>
      </c>
    </row>
    <row r="4" ht="14.4" customHeight="1">
      <c r="A4" s="32" t="inlineStr">
        <is>
          <t>22102953E</t>
        </is>
      </c>
      <c r="B4" s="32" t="inlineStr">
        <is>
          <t>Bellot Abad, Juan Francisco</t>
        </is>
      </c>
      <c r="C4" s="33" t="inlineStr">
        <is>
          <t>Emérito</t>
        </is>
      </c>
      <c r="D4" s="32" t="n"/>
      <c r="E4" s="32" t="n"/>
      <c r="F4" s="32" t="n"/>
      <c r="G4" s="32" t="n"/>
      <c r="H4" s="32" t="n"/>
      <c r="I4" s="32" t="n">
        <v>1</v>
      </c>
      <c r="J4" s="17" t="n">
        <v>1</v>
      </c>
      <c r="K4" s="17" t="inlineStr">
        <is>
          <t>B157</t>
        </is>
      </c>
      <c r="L4" s="18" t="inlineStr">
        <is>
          <t>10.16</t>
        </is>
      </c>
      <c r="M4" s="18" t="inlineStr">
        <is>
          <t>70</t>
        </is>
      </c>
      <c r="N4" s="18" t="inlineStr"/>
      <c r="O4" s="18" t="inlineStr"/>
      <c r="P4" s="18" t="n">
        <v>30</v>
      </c>
      <c r="Q4" s="18" t="n">
        <v>0.7</v>
      </c>
      <c r="R4" s="18" t="n">
        <v>0</v>
      </c>
      <c r="S4" s="18" t="n">
        <v>0.3</v>
      </c>
    </row>
    <row r="5" ht="14.4" customHeight="1">
      <c r="A5" s="17" t="inlineStr">
        <is>
          <t>22981766M</t>
        </is>
      </c>
      <c r="B5" s="17" t="inlineStr">
        <is>
          <t>Gallego Cambronero, Diego</t>
        </is>
      </c>
      <c r="C5" s="17" t="inlineStr">
        <is>
          <t>FUNCIONARIO</t>
        </is>
      </c>
      <c r="D5" s="17" t="n"/>
      <c r="E5" s="17" t="n"/>
      <c r="F5" s="17" t="n">
        <v>2</v>
      </c>
      <c r="G5" s="17" t="n"/>
      <c r="H5" s="17" t="n"/>
      <c r="I5" s="17" t="n"/>
      <c r="J5" s="17" t="n">
        <v>2</v>
      </c>
      <c r="K5" s="17" t="inlineStr">
        <is>
          <t>B157</t>
        </is>
      </c>
      <c r="L5" s="18" t="inlineStr">
        <is>
          <t>10.16</t>
        </is>
      </c>
      <c r="M5" s="18" t="inlineStr">
        <is>
          <t>50</t>
        </is>
      </c>
      <c r="N5" s="18" t="inlineStr"/>
      <c r="O5" s="18" t="inlineStr"/>
      <c r="P5" s="18" t="n">
        <v>50</v>
      </c>
      <c r="Q5" s="18" t="n">
        <v>1</v>
      </c>
      <c r="R5" s="18" t="n">
        <v>0</v>
      </c>
      <c r="S5" s="18" t="n">
        <v>1</v>
      </c>
    </row>
    <row r="6" ht="14.4" customHeight="1">
      <c r="A6" s="17" t="inlineStr">
        <is>
          <t>31832052Y</t>
        </is>
      </c>
      <c r="B6" s="17" t="inlineStr">
        <is>
          <t>Bautista Aguilar, Susana</t>
        </is>
      </c>
      <c r="C6" s="17" t="inlineStr">
        <is>
          <t>FUNCIONARIO</t>
        </is>
      </c>
      <c r="D6" s="17" t="n"/>
      <c r="E6" s="17" t="n">
        <v>1</v>
      </c>
      <c r="F6" s="17" t="n"/>
      <c r="G6" s="17" t="n"/>
      <c r="H6" s="17" t="n"/>
      <c r="I6" s="17" t="n"/>
      <c r="J6" s="17" t="n">
        <v>1</v>
      </c>
      <c r="K6" s="17" t="inlineStr">
        <is>
          <t>B157</t>
        </is>
      </c>
      <c r="L6" s="18" t="inlineStr">
        <is>
          <t>10.16</t>
        </is>
      </c>
      <c r="M6" s="18" t="inlineStr">
        <is>
          <t>50</t>
        </is>
      </c>
      <c r="N6" s="18" t="inlineStr"/>
      <c r="O6" s="18" t="inlineStr"/>
      <c r="P6" s="18" t="n">
        <v>50</v>
      </c>
      <c r="Q6" s="18" t="n">
        <v>0.5</v>
      </c>
      <c r="R6" s="18" t="n">
        <v>0</v>
      </c>
      <c r="S6" s="18" t="n">
        <v>0.5</v>
      </c>
    </row>
    <row r="7" ht="14.4" customHeight="1">
      <c r="A7" s="17" t="inlineStr">
        <is>
          <t>35052669W</t>
        </is>
      </c>
      <c r="B7" s="17" t="inlineStr">
        <is>
          <t>Cortina Segarra, Jordi</t>
        </is>
      </c>
      <c r="C7" s="17" t="inlineStr">
        <is>
          <t>FUNCIONARIO</t>
        </is>
      </c>
      <c r="D7" s="17" t="n"/>
      <c r="E7" s="17" t="n"/>
      <c r="F7" s="17" t="n">
        <v>1</v>
      </c>
      <c r="G7" s="17" t="n"/>
      <c r="H7" s="17" t="n"/>
      <c r="I7" s="17" t="n"/>
      <c r="J7" s="17" t="n">
        <v>1</v>
      </c>
      <c r="K7" s="17" t="inlineStr">
        <is>
          <t>B157</t>
        </is>
      </c>
      <c r="L7" s="18" t="inlineStr">
        <is>
          <t>10.16</t>
        </is>
      </c>
      <c r="M7" s="18" t="inlineStr">
        <is>
          <t>50</t>
        </is>
      </c>
      <c r="N7" s="18" t="inlineStr"/>
      <c r="O7" s="18" t="inlineStr"/>
      <c r="P7" s="18" t="n">
        <v>50</v>
      </c>
      <c r="Q7" s="18" t="n">
        <v>0.5</v>
      </c>
      <c r="R7" s="18" t="n">
        <v>0</v>
      </c>
      <c r="S7" s="18" t="n">
        <v>0.5</v>
      </c>
    </row>
    <row r="8" ht="14.4" customHeight="1">
      <c r="A8" s="17" t="inlineStr">
        <is>
          <t>37741679J</t>
        </is>
      </c>
      <c r="B8" s="17" t="inlineStr">
        <is>
          <t>Vilagrosa Carmona, Alberto</t>
        </is>
      </c>
      <c r="C8" s="17" t="inlineStr">
        <is>
          <t>NO FUNCIONARIO</t>
        </is>
      </c>
      <c r="D8" s="17" t="n"/>
      <c r="E8" s="17" t="n">
        <v>1</v>
      </c>
      <c r="F8" s="17" t="n"/>
      <c r="G8" s="17" t="n"/>
      <c r="H8" s="17" t="n"/>
      <c r="I8" s="17" t="n"/>
      <c r="J8" s="17" t="n">
        <v>1</v>
      </c>
      <c r="K8" s="17" t="inlineStr">
        <is>
          <t>B157</t>
        </is>
      </c>
      <c r="L8" s="18" t="n">
        <v>0</v>
      </c>
      <c r="M8" s="18" t="n">
        <v>0</v>
      </c>
      <c r="N8" s="18" t="inlineStr"/>
      <c r="O8" s="18" t="inlineStr"/>
      <c r="P8" s="18" t="n">
        <v>100</v>
      </c>
      <c r="Q8" s="18" t="n">
        <v>0</v>
      </c>
      <c r="R8" s="18" t="n">
        <v>0</v>
      </c>
      <c r="S8" s="18" t="n">
        <v>1</v>
      </c>
    </row>
    <row r="9" ht="14.4" customHeight="1">
      <c r="A9" s="17" t="inlineStr">
        <is>
          <t>48352264P</t>
        </is>
      </c>
      <c r="B9" s="17" t="inlineStr">
        <is>
          <t>Soliveres Codina, Santiago</t>
        </is>
      </c>
      <c r="C9" s="17" t="inlineStr">
        <is>
          <t>FUNCIONARIO</t>
        </is>
      </c>
      <c r="D9" s="17" t="n"/>
      <c r="E9" s="17" t="n"/>
      <c r="F9" s="17" t="n">
        <v>2</v>
      </c>
      <c r="G9" s="17" t="n"/>
      <c r="H9" s="17" t="n">
        <v>1</v>
      </c>
      <c r="I9" s="17" t="n"/>
      <c r="J9" s="17" t="n">
        <v>3</v>
      </c>
      <c r="K9" s="17" t="inlineStr">
        <is>
          <t>B157</t>
        </is>
      </c>
      <c r="L9" s="18" t="inlineStr">
        <is>
          <t>10.16</t>
        </is>
      </c>
      <c r="M9" s="18" t="inlineStr">
        <is>
          <t>50</t>
        </is>
      </c>
      <c r="N9" s="18" t="inlineStr"/>
      <c r="O9" s="18" t="inlineStr"/>
      <c r="P9" s="18" t="n">
        <v>50</v>
      </c>
      <c r="Q9" s="18" t="n">
        <v>1.5</v>
      </c>
      <c r="R9" s="18" t="n">
        <v>0</v>
      </c>
      <c r="S9" s="18" t="n">
        <v>1.5</v>
      </c>
    </row>
    <row r="10" ht="14.4" customHeight="1">
      <c r="A10" s="17" t="inlineStr">
        <is>
          <t>48361759G</t>
        </is>
      </c>
      <c r="B10" s="17" t="inlineStr">
        <is>
          <t>Sebastián González, Esther</t>
        </is>
      </c>
      <c r="C10" s="17" t="inlineStr">
        <is>
          <t>FUNCIONARIO</t>
        </is>
      </c>
      <c r="D10" s="17" t="n"/>
      <c r="E10" s="17" t="n"/>
      <c r="F10" s="17" t="n"/>
      <c r="G10" s="17" t="n"/>
      <c r="H10" s="17" t="n"/>
      <c r="I10" s="17" t="n">
        <v>2</v>
      </c>
      <c r="J10" s="17" t="n">
        <v>2</v>
      </c>
      <c r="K10" s="17" t="inlineStr">
        <is>
          <t>B157</t>
        </is>
      </c>
      <c r="L10" s="18" t="inlineStr">
        <is>
          <t>10.16</t>
        </is>
      </c>
      <c r="M10" s="18" t="inlineStr">
        <is>
          <t>50</t>
        </is>
      </c>
      <c r="N10" s="18" t="inlineStr"/>
      <c r="O10" s="18" t="inlineStr"/>
      <c r="P10" s="18" t="n">
        <v>50</v>
      </c>
      <c r="Q10" s="18" t="n">
        <v>1</v>
      </c>
      <c r="R10" s="18" t="n">
        <v>0</v>
      </c>
      <c r="S10" s="18" t="n">
        <v>1</v>
      </c>
    </row>
    <row r="11" ht="14.4" customHeight="1">
      <c r="A11" s="17" t="inlineStr">
        <is>
          <t>48534429J</t>
        </is>
      </c>
      <c r="B11" s="17" t="inlineStr">
        <is>
          <t>Santana Pastor, Víctor Manuel</t>
        </is>
      </c>
      <c r="C11" s="17" t="inlineStr">
        <is>
          <t>FUNCIONARIO</t>
        </is>
      </c>
      <c r="D11" s="17" t="n"/>
      <c r="E11" s="17" t="n"/>
      <c r="F11" s="17" t="n"/>
      <c r="G11" s="17" t="n"/>
      <c r="H11" s="17" t="n">
        <v>2</v>
      </c>
      <c r="I11" s="17" t="n"/>
      <c r="J11" s="17" t="n">
        <v>2</v>
      </c>
      <c r="K11" s="17" t="inlineStr">
        <is>
          <t>B157</t>
        </is>
      </c>
      <c r="L11" s="18" t="n">
        <v>0</v>
      </c>
      <c r="M11" s="18" t="n">
        <v>0</v>
      </c>
      <c r="N11" s="18" t="inlineStr"/>
      <c r="O11" s="18" t="inlineStr"/>
      <c r="P11" s="18" t="n">
        <v>100</v>
      </c>
      <c r="Q11" s="18" t="n">
        <v>0</v>
      </c>
      <c r="R11" s="18" t="n">
        <v>0</v>
      </c>
      <c r="S11" s="18" t="n">
        <v>2</v>
      </c>
    </row>
    <row r="12" ht="14.4" customHeight="1">
      <c r="A12" s="17" t="inlineStr">
        <is>
          <t>52784140Z</t>
        </is>
      </c>
      <c r="B12" s="17" t="inlineStr">
        <is>
          <t>Bordehore Fontanet, Cesar</t>
        </is>
      </c>
      <c r="C12" s="17" t="inlineStr">
        <is>
          <t>FUNCIONARIO</t>
        </is>
      </c>
      <c r="D12" s="17" t="n"/>
      <c r="E12" s="17" t="n"/>
      <c r="F12" s="17" t="n"/>
      <c r="G12" s="17" t="n"/>
      <c r="H12" s="17" t="n">
        <v>2</v>
      </c>
      <c r="I12" s="17" t="n"/>
      <c r="J12" s="17" t="n">
        <v>2</v>
      </c>
      <c r="K12" s="17" t="inlineStr">
        <is>
          <t>B157</t>
        </is>
      </c>
      <c r="L12" s="18" t="inlineStr">
        <is>
          <t>10.16</t>
        </is>
      </c>
      <c r="M12" s="18" t="inlineStr">
        <is>
          <t>50</t>
        </is>
      </c>
      <c r="N12" s="18" t="inlineStr"/>
      <c r="O12" s="18" t="inlineStr"/>
      <c r="P12" s="18" t="n">
        <v>50</v>
      </c>
      <c r="Q12" s="18" t="n">
        <v>1</v>
      </c>
      <c r="R12" s="18" t="n">
        <v>0</v>
      </c>
      <c r="S12" s="18" t="n">
        <v>1</v>
      </c>
    </row>
    <row r="13" ht="14.4" customHeight="1">
      <c r="A13" s="17" t="inlineStr">
        <is>
          <t>72519052Y</t>
        </is>
      </c>
      <c r="B13" s="17" t="inlineStr">
        <is>
          <t>Baeza Berná, Manuel Jaime</t>
        </is>
      </c>
      <c r="C13" s="17" t="inlineStr">
        <is>
          <t>FUNCIONARIO</t>
        </is>
      </c>
      <c r="D13" s="17" t="n"/>
      <c r="E13" s="17" t="n"/>
      <c r="F13" s="17" t="n"/>
      <c r="G13" s="17" t="n"/>
      <c r="H13" s="17" t="n"/>
      <c r="I13" s="17" t="n">
        <v>1</v>
      </c>
      <c r="J13" s="17" t="n">
        <v>1</v>
      </c>
      <c r="K13" s="17" t="inlineStr">
        <is>
          <t>B157</t>
        </is>
      </c>
      <c r="L13" s="18" t="inlineStr">
        <is>
          <t>10.16</t>
        </is>
      </c>
      <c r="M13" s="18" t="inlineStr">
        <is>
          <t>50</t>
        </is>
      </c>
      <c r="N13" s="18" t="inlineStr"/>
      <c r="O13" s="18" t="inlineStr"/>
      <c r="P13" s="18" t="n">
        <v>50</v>
      </c>
      <c r="Q13" s="18" t="n">
        <v>0.5</v>
      </c>
      <c r="R13" s="18" t="n">
        <v>0</v>
      </c>
      <c r="S13" s="18" t="n">
        <v>0.5</v>
      </c>
    </row>
    <row r="14" ht="14.4" customHeight="1">
      <c r="A14" s="17" t="inlineStr">
        <is>
          <t>74235633M</t>
        </is>
      </c>
      <c r="B14" s="17" t="inlineStr">
        <is>
          <t>Sanz Lázaro, Carlos</t>
        </is>
      </c>
      <c r="C14" s="17" t="inlineStr">
        <is>
          <t>FUNCIONARIO</t>
        </is>
      </c>
      <c r="D14" s="17" t="n"/>
      <c r="E14" s="17" t="n"/>
      <c r="F14" s="17" t="n">
        <v>2</v>
      </c>
      <c r="G14" s="17" t="n"/>
      <c r="H14" s="17" t="n"/>
      <c r="I14" s="17" t="n">
        <v>1</v>
      </c>
      <c r="J14" s="17" t="n">
        <v>3</v>
      </c>
      <c r="K14" s="17" t="inlineStr">
        <is>
          <t>B157</t>
        </is>
      </c>
      <c r="L14" s="18" t="inlineStr">
        <is>
          <t>10.16</t>
        </is>
      </c>
      <c r="M14" s="18" t="inlineStr">
        <is>
          <t>50</t>
        </is>
      </c>
      <c r="N14" s="18" t="inlineStr"/>
      <c r="O14" s="18" t="inlineStr"/>
      <c r="P14" s="18" t="n">
        <v>50</v>
      </c>
      <c r="Q14" s="18" t="n">
        <v>1.5</v>
      </c>
      <c r="R14" s="18" t="n">
        <v>0</v>
      </c>
      <c r="S14" s="18" t="n">
        <v>1.5</v>
      </c>
    </row>
    <row r="15" ht="14.4" customHeight="1">
      <c r="A15" s="17" t="inlineStr">
        <is>
          <t>74367693E</t>
        </is>
      </c>
      <c r="B15" s="17" t="inlineStr">
        <is>
          <t>Rodríguez Caro, Roberto Carlos</t>
        </is>
      </c>
      <c r="C15" s="28" t="inlineStr">
        <is>
          <t>NO FUNCIONARIO</t>
        </is>
      </c>
      <c r="D15" s="17" t="n"/>
      <c r="E15" s="17" t="n"/>
      <c r="F15" s="17" t="n"/>
      <c r="G15" s="17" t="n"/>
      <c r="H15" s="17" t="n"/>
      <c r="I15" s="17" t="n">
        <v>1</v>
      </c>
      <c r="J15" s="17" t="n">
        <v>1</v>
      </c>
      <c r="K15" s="17" t="inlineStr">
        <is>
          <t>B157</t>
        </is>
      </c>
      <c r="L15" s="18" t="n">
        <v>0</v>
      </c>
      <c r="M15" s="18" t="n">
        <v>0</v>
      </c>
      <c r="N15" s="18" t="inlineStr"/>
      <c r="O15" s="18" t="inlineStr"/>
      <c r="P15" s="18" t="n">
        <v>100</v>
      </c>
      <c r="Q15" s="18" t="n">
        <v>0</v>
      </c>
      <c r="R15" s="18" t="n">
        <v>0</v>
      </c>
      <c r="S15" s="18" t="n">
        <v>1</v>
      </c>
    </row>
    <row r="16" ht="14.4" customHeight="1">
      <c r="A16" s="37" t="n"/>
      <c r="B16" s="37" t="n"/>
      <c r="C16" s="38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40">
        <f>SUM(S2:S15)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20" sqref="C20"/>
    </sheetView>
  </sheetViews>
  <sheetFormatPr baseColWidth="10" defaultRowHeight="14.4"/>
  <cols>
    <col width="16.44140625" customWidth="1" min="1" max="1"/>
    <col width="85" customWidth="1" min="2" max="2"/>
    <col width="15.44140625" customWidth="1" min="3" max="3"/>
  </cols>
  <sheetData>
    <row r="1">
      <c r="A1" s="54" t="inlineStr">
        <is>
          <t>Cód. org. aplic.</t>
        </is>
      </c>
      <c r="B1" s="54" t="inlineStr">
        <is>
          <t>Descripción justificante</t>
        </is>
      </c>
      <c r="C1" s="54" t="inlineStr">
        <is>
          <t>Imp.cob.aplic.</t>
        </is>
      </c>
    </row>
    <row r="2">
      <c r="A2" s="34" t="inlineStr">
        <is>
          <t>35.50.6C.00.01</t>
        </is>
      </c>
      <c r="B2" s="34" t="inlineStr">
        <is>
          <t>Gastos derivados del uso de las instalaciones de la Universidad de Alicante por parte de la unidad Mixta CEAM -UA</t>
        </is>
      </c>
      <c r="C2" s="81" t="n">
        <v>246.4</v>
      </c>
    </row>
    <row r="3">
      <c r="A3" s="35" t="inlineStr">
        <is>
          <t>35.50.6C.00.10</t>
        </is>
      </c>
      <c r="B3" s="35" t="inlineStr">
        <is>
          <t>MONITORIZACIÓN Y CONSERVACIÓN DE LA POBLACION DE CAMACHUELO TROMPETERO Y OTROS PASSERIFORMES EN LA ZEPA DEL RÍO MONTNEGRE Y ENTORNO DE LA PLANTA DE TRATAMIENTO Y VERTEDERO CONTROLADO DE R.S.U. PIEDRA NEGRA.  Nº PEDIDO 7722062771</t>
        </is>
      </c>
      <c r="C3" s="82" t="n">
        <v>17556</v>
      </c>
    </row>
    <row r="4">
      <c r="A4" s="34" t="inlineStr">
        <is>
          <t>35.50.6C.00.13</t>
        </is>
      </c>
      <c r="B4" s="34" t="inlineStr">
        <is>
          <t>REALIZACIÓN DE CENSOS Y MUESTRO DEL HÁBITAT OCUPADO Y POTENCIAL DE LA AMENAZADA ALONDRA RICOTÍ EN LA PROVINCIA DE ALICANTE</t>
        </is>
      </c>
      <c r="C4" s="81" t="n">
        <v>3399.57</v>
      </c>
    </row>
    <row r="5">
      <c r="A5" s="35" t="inlineStr">
        <is>
          <t>35.50.6C.00.14</t>
        </is>
      </c>
      <c r="B5" s="35" t="inlineStr">
        <is>
          <t>ASESORAMIENTO CIENTÍFICO-TÉCNICO EN LA ORGANIZACIÓN DEL 13º CONGRESO SERE, COORDINACIÓN Y LOCALIZACIÓN DE PONENTES Y OTRAS TAREAS DE ÍNDOLE CIENTÍFICA DEL CONGRESO</t>
        </is>
      </c>
      <c r="C5" s="82" t="n">
        <v>8026.22</v>
      </c>
    </row>
    <row r="6">
      <c r="A6" s="34" t="inlineStr">
        <is>
          <t>35.50.6P.00.15</t>
        </is>
      </c>
      <c r="B6" s="34" t="inlineStr">
        <is>
          <t>PAGO 10 BECAS LEONARDO 2020 FUNDACION BBVA</t>
        </is>
      </c>
      <c r="C6" s="81" t="n">
        <v>3995</v>
      </c>
    </row>
    <row r="7">
      <c r="A7" s="35" t="inlineStr">
        <is>
          <t>35.50.6P.00.18</t>
        </is>
      </c>
      <c r="B7" s="35" t="inlineStr">
        <is>
          <t xml:space="preserve">CIDEIG/2022/44 </t>
        </is>
      </c>
      <c r="C7" s="82" t="n">
        <v>28500</v>
      </c>
    </row>
    <row r="8">
      <c r="A8" s="34" t="inlineStr">
        <is>
          <t>35.50.6P.00.19</t>
        </is>
      </c>
      <c r="B8" s="34" t="inlineStr">
        <is>
          <t xml:space="preserve">DEVOLUCIÓN DE INGRESOS_MODELO 047_Nº de liquidación:46/2023/RAS/10276/1_ Número de justificante:047/1/002376790_Nº de referencia:047/1/002376790 </t>
        </is>
      </c>
      <c r="C8" s="81" t="n">
        <v>-2309.82</v>
      </c>
    </row>
    <row r="9">
      <c r="A9" s="35" t="inlineStr">
        <is>
          <t>35.50.6P.00.21</t>
        </is>
      </c>
      <c r="B9" s="35" t="inlineStr">
        <is>
          <t>PCI2022-135020-2PIA212022 ANUALIDAD LIBERADO</t>
        </is>
      </c>
      <c r="C9" s="82" t="n">
        <v>84638.83</v>
      </c>
    </row>
    <row r="10">
      <c r="A10" s="34" t="inlineStr">
        <is>
          <t>35.50.6P.00.22</t>
        </is>
      </c>
      <c r="B10" s="34" t="inlineStr">
        <is>
          <t xml:space="preserve">AYUDAS CIAORG/2022/45, CIAORG/2022/15, CIAORG/2022/44, CIAORG/2022/140, CIAORG/2022/89, CIAORG/2022/10, CIAORG/2022/115, CIAORG/2022/27, CIAORG/2022/117, CIAORG/2022/128, CIAORG/2022/83, CIAORG/2022/74, CIAORG/2022/125 </t>
        </is>
      </c>
      <c r="C10" s="81" t="n">
        <v>9000</v>
      </c>
    </row>
    <row r="11">
      <c r="A11" s="35" t="inlineStr">
        <is>
          <t>35.50.6P.00.23</t>
        </is>
      </c>
      <c r="B11" s="35" t="inlineStr">
        <is>
          <t xml:space="preserve">AYUDAS FCT-22-18218, FCT-22-18048, FCT-22-17730 </t>
        </is>
      </c>
      <c r="C11" s="82" t="n">
        <v>12000</v>
      </c>
    </row>
    <row r="12">
      <c r="A12" s="34" t="inlineStr">
        <is>
          <t>35.50.6P.00.24</t>
        </is>
      </c>
      <c r="B12" s="34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12" s="81" t="n">
        <v>105412</v>
      </c>
    </row>
    <row r="13">
      <c r="A13" s="35" t="inlineStr">
        <is>
          <t>35.50.6P.00.25</t>
        </is>
      </c>
      <c r="B13" s="35" t="inlineStr">
        <is>
          <t xml:space="preserve">ayudas JDC2022-048464-I, JDC2022-048464-I (Dot. Adicional), JDC2022-048845-I, JDC2022-048845-I, Dot. Adicional), JDC2022-049970-I, JDC2022-049970-I (Dot. Adicional) </t>
        </is>
      </c>
      <c r="C13" s="82" t="n">
        <v>7400</v>
      </c>
    </row>
    <row r="14">
      <c r="A14" s="55" t="inlineStr">
        <is>
          <t>35.50.6X.00.03</t>
        </is>
      </c>
      <c r="B14" s="55" t="inlineStr">
        <is>
          <t>ÚLTIMO COBRO DEL PROYECTO SAMFIX</t>
        </is>
      </c>
      <c r="C14" s="83" t="n">
        <v>29517.62</v>
      </c>
    </row>
    <row r="15" customFormat="1" s="59">
      <c r="A15" s="57" t="inlineStr">
        <is>
          <t>Total</t>
        </is>
      </c>
      <c r="B15" s="57" t="n"/>
      <c r="C15" s="84">
        <f>SUBTOTAL(109,Tabla2[Imp.cob.aplic.])</f>
        <v/>
      </c>
    </row>
    <row r="16">
      <c r="C16" s="8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3" sqref="B23:C23"/>
    </sheetView>
  </sheetViews>
  <sheetFormatPr baseColWidth="10" defaultRowHeight="14.4"/>
  <cols>
    <col width="54.109375" customWidth="1" min="2" max="2"/>
    <col width="13.33203125" customWidth="1" min="3" max="3"/>
  </cols>
  <sheetData>
    <row r="1">
      <c r="A1" s="62" t="inlineStr">
        <is>
          <t>Org. aplic.</t>
        </is>
      </c>
      <c r="B1" s="62" t="inlineStr">
        <is>
          <t>Descripción justificante</t>
        </is>
      </c>
      <c r="C1" s="86" t="inlineStr">
        <is>
          <t>Imp. aplic.</t>
        </is>
      </c>
    </row>
    <row r="2">
      <c r="A2" s="60" t="inlineStr">
        <is>
          <t>35.50.6C.00.10</t>
        </is>
      </c>
      <c r="B2" s="60" t="inlineStr">
        <is>
          <t>MONOTORIZACIÓN Y CONSERVACIÓN DE LA POBLACIÓN DE CAMACHUELO TROMPETERO Y OTROS PASSERIFORMES EN LA ZEPA DEL RÍO MONTNEGRE Y ENTORNO DE LA PLANTA DE TRATAMIENTO Y VERTEDERO CONTROLADO DE R.S.U. "PIEDRA NEGRA" Nº Pedido 7724021518</t>
        </is>
      </c>
      <c r="C2" s="81" t="n">
        <v>2676.96</v>
      </c>
    </row>
    <row r="3">
      <c r="A3" s="61" t="inlineStr">
        <is>
          <t>35.50.6C.00.10</t>
        </is>
      </c>
      <c r="B3" s="61" t="inlineStr">
        <is>
          <t>MONITORIZACIÓN Y CONSERVACIÓN DE LA POBLACION DE CAMACHUELO TROMPETERO Y OTROS PASSERIFORMES EN LA ZEPA DEL RÍO MONTNEGRE Y ENTORNO DE LA PLANTA DE TRATAMIENTO Y VERTEDERO CONTROLADO DE R.S.U. PIEDRA NEGRA Nº Pedido 7724021518</t>
        </is>
      </c>
      <c r="C3" s="82" t="n">
        <v>4595.36</v>
      </c>
    </row>
    <row r="4">
      <c r="A4" s="60" t="inlineStr">
        <is>
          <t>35.50.6C.00.11</t>
        </is>
      </c>
      <c r="B4" s="60" t="inlineStr">
        <is>
          <t>ESTUDIO DE LA SELECCIÓN DE HÁBITAT DEL ENDEMISMO MURCIANO-ALICANTINO DE DISTRIBUCIÓN RESTRINGIDA CEPHALOTA DESERTICOLOIDES (COLEOPTERA, CICINCELIDAE) EN EL ESPACIO NATURAL PROTEGIDO SALADARES DE GUADALENTÍN</t>
        </is>
      </c>
      <c r="C4" s="81" t="n">
        <v>2181.82</v>
      </c>
    </row>
    <row r="5">
      <c r="A5" s="61" t="inlineStr">
        <is>
          <t>35.50.6C.00.12</t>
        </is>
      </c>
      <c r="B5" s="61" t="inlineStr">
        <is>
          <t>ASISTENCIA PARA EL TRABAJO DENOMINADO "ESTUDIO DE LAS COMUNIDADES DE INSECTOS ASOCIADAS A ESCOLÍTIDOS Y DEFOLIADORES DE OLMOS EN LA REGIÓN DE MURCIA. ASESORAMIENTO EN EL DISEÑO DE MUESTREO, IDENTIFICACIÓN DE INSECTOS Y CARACTERIZACIÓN DE LAS COMUNIDADES ASOCIADAS, ELABORACIÓN DE MAPAS DE DISTRIBUCIÓN Y CURVAS FENOLÓGICAS".</t>
        </is>
      </c>
      <c r="C5" s="82" t="n">
        <v>218.18</v>
      </c>
    </row>
    <row r="6">
      <c r="A6" s="60" t="inlineStr">
        <is>
          <t>35.50.6C.00.15</t>
        </is>
      </c>
      <c r="B6" s="60" t="inlineStr">
        <is>
          <t>1º PAGO "ESTUDIO DEL SEGUIMIENTO DE PLAGAS DE INSECTOS FORESTALES Y ESPECIES DE INSECTOS INVASORES DE CUARENTENA FITOSANITARIA, ASÍ COMO DE LAS COMUNIDADES DE INSECTOS FORESTALES ASOCIADAS A LAS REDES DE SEGUIMIENTO FORESTAL DE LA REGIÓN DE MURCIA"</t>
        </is>
      </c>
      <c r="C6" s="81" t="n">
        <v>14080</v>
      </c>
    </row>
    <row r="7">
      <c r="A7" s="61" t="inlineStr">
        <is>
          <t>35.50.6C.00.15</t>
        </is>
      </c>
      <c r="B7" s="61" t="inlineStr">
        <is>
          <t>Proyecto: NATURFOREST1-24T. Profesor: D. Diego Gallego Cambronero. ESTUDIO DEL SEGUIMIENTO DE PLAGAS DE INSECTOS FORESTALES Y ESPECIES DE INSECTOS INVASORES DE CUARENTENA FITOSANITARIA, ASÍ COMO DE LAS COMUNIDADES DE INSECTOS FORESTALES ASOCIADAS A LAS REDES DE SEGUIMIENTO FORESTAL DE LA REGIÓN DE MURCIA</t>
        </is>
      </c>
      <c r="C7" s="82" t="n">
        <v>14080</v>
      </c>
    </row>
    <row r="8">
      <c r="A8" s="60" t="inlineStr">
        <is>
          <t>35.50.6C.00.16</t>
        </is>
      </c>
      <c r="B8" s="60" t="inlineStr">
        <is>
          <t>Evaluación de las poblaciones de alzacola en la provincia de Alicante y particularmente en el entorno del proyecto de planta fotovoltaica Mediterráneo IV</t>
        </is>
      </c>
      <c r="C8" s="81" t="n">
        <v>1100</v>
      </c>
    </row>
    <row r="9">
      <c r="A9" s="61" t="inlineStr">
        <is>
          <t>35.50.6C.00.17</t>
        </is>
      </c>
      <c r="B9" s="61" t="inlineStr">
        <is>
          <t>Evaluación de las poblaciones de alzacola en la provincia de Alicante y particularmente en el entorno del proyecto de planta fotovoltaica Mediterráneo I</t>
        </is>
      </c>
      <c r="C9" s="82" t="n">
        <v>1100</v>
      </c>
    </row>
    <row r="10">
      <c r="A10" s="60" t="inlineStr">
        <is>
          <t>35.50.6C.00.18</t>
        </is>
      </c>
      <c r="B10" s="60" t="inlineStr">
        <is>
          <t>Evaluación de las poblaciones de alzacola en la provincia de Alicante y particularmente en el entorno del proyecto de planta fotovoltaica Mediterráneo II</t>
        </is>
      </c>
      <c r="C10" s="81" t="n">
        <v>1100</v>
      </c>
    </row>
    <row r="11">
      <c r="A11" s="61" t="inlineStr">
        <is>
          <t>35.50.6C.00.19</t>
        </is>
      </c>
      <c r="B11" s="61" t="inlineStr">
        <is>
          <t>Evaluación de las poblaciones de alzacola en la provincia de Alicante y particularmente en el entorno del proyecto de planta fotovoltaica Mediterráneo III</t>
        </is>
      </c>
      <c r="C11" s="82" t="n">
        <v>1100</v>
      </c>
    </row>
    <row r="12">
      <c r="A12" s="60" t="inlineStr">
        <is>
          <t>35.50.6C.00.20</t>
        </is>
      </c>
      <c r="B12" s="60" t="inlineStr">
        <is>
          <t>PREZERO1-24I Nº DE PEDIDO 7724077528 SEGUIMIENTO DE LAS POBLACIONES DE CAMACHUELO TROMPETERO Y OTROS PASSERIFORMES EN LA ZEPA DEL RÍO MONTNEGRE Y ENTORNO DE LAS INSTALACIONES DE VALORIZACIÓN Y ELIMINACIÓN DEL PLAN ZONAL DE RESIDUOS 7 ÁREA DE GESTIÓN A2 PARA CONTRIBUIR A SU CONSERVACIÓN</t>
        </is>
      </c>
      <c r="C12" s="81" t="n">
        <v>11161.04</v>
      </c>
    </row>
    <row r="13">
      <c r="A13" s="61" t="inlineStr">
        <is>
          <t>35.50.6P.00.18</t>
        </is>
      </c>
      <c r="B13" s="61" t="inlineStr">
        <is>
          <t xml:space="preserve">ayudas CIDEIG/2022/44, CIDEIG/2022/44 </t>
        </is>
      </c>
      <c r="C13" s="82" t="n">
        <v>28500</v>
      </c>
    </row>
    <row r="14">
      <c r="A14" s="60" t="inlineStr">
        <is>
          <t>35.50.6P.00.22</t>
        </is>
      </c>
      <c r="B14" s="60" t="inlineStr">
        <is>
          <t xml:space="preserve">DEVOLUCIÓN DE INGRESOS_MODELO 047_ Nº LIQUIDACIÓN:46/2024/RAS/10317/1 Nº DE JUSTIFICANTE: 047/1/002550144_Nº DE REFERENCIA:  047/1/002550144 </t>
        </is>
      </c>
      <c r="C14" s="81" t="n">
        <v>-741.1799999999999</v>
      </c>
    </row>
    <row r="15">
      <c r="A15" s="61" t="inlineStr">
        <is>
          <t>35.50.6P.00.24</t>
        </is>
      </c>
      <c r="B15" s="61" t="inlineStr">
        <is>
          <t>PID2022-138464NB-I00-142516OB-I00-139990NB-I00-141382OB-I00-139899OB-I00-136847NB-I00-137385NB-I00-139294NB-I00-137873NA-I00-138786NB-I00-136590OB-C43</t>
        </is>
      </c>
      <c r="C15" s="82" t="n">
        <v>25112</v>
      </c>
    </row>
    <row r="16">
      <c r="A16" s="60" t="inlineStr">
        <is>
          <t>35.50.6P.00.26</t>
        </is>
      </c>
      <c r="B16" s="60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16" s="81" t="n">
        <v>9000</v>
      </c>
    </row>
    <row r="17">
      <c r="A17" s="61" t="inlineStr">
        <is>
          <t>35.50.6P.00.27</t>
        </is>
      </c>
      <c r="B17" s="61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17" s="82" t="n">
        <v>9000</v>
      </c>
    </row>
    <row r="18">
      <c r="A18" s="60" t="inlineStr">
        <is>
          <t>35.50.6P.00.27</t>
        </is>
      </c>
      <c r="B18" s="60" t="inlineStr">
        <is>
          <t>Minoración ji-2024-3628 por renuncia CIAORG/2023/169</t>
        </is>
      </c>
      <c r="C18" s="81" t="n">
        <v>-9000</v>
      </c>
    </row>
    <row r="19">
      <c r="A19" s="52" t="inlineStr">
        <is>
          <t>35.50.6X.00.04</t>
        </is>
      </c>
      <c r="B19" s="52" t="inlineStr">
        <is>
          <t xml:space="preserve">Cobro final del proyecto TRAINER </t>
        </is>
      </c>
      <c r="C19" s="87" t="n">
        <v>2092</v>
      </c>
    </row>
    <row r="20">
      <c r="A20" s="52" t="inlineStr">
        <is>
          <t>Total</t>
        </is>
      </c>
      <c r="B20" s="52" t="n"/>
      <c r="C20" s="88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B17" sqref="B17"/>
    </sheetView>
  </sheetViews>
  <sheetFormatPr baseColWidth="10" defaultRowHeight="14.4"/>
  <cols>
    <col width="17.44140625" customWidth="1" min="1" max="1"/>
    <col width="64.109375" customWidth="1" min="2" max="2"/>
    <col width="17.109375" customWidth="1" min="3" max="3"/>
  </cols>
  <sheetData>
    <row r="1">
      <c r="A1" s="64" t="inlineStr">
        <is>
          <t>Org. aplic.</t>
        </is>
      </c>
      <c r="B1" s="65" t="inlineStr">
        <is>
          <t>Descripción justificante</t>
        </is>
      </c>
      <c r="C1" s="65" t="inlineStr">
        <is>
          <t>Imp. aplic.</t>
        </is>
      </c>
    </row>
    <row r="2">
      <c r="A2" s="66" t="inlineStr">
        <is>
          <t>35.50.6C.00.15</t>
        </is>
      </c>
      <c r="B2" s="67" t="inlineStr">
        <is>
          <t>Proyecto: NATURFOREST1-24T. Profesor: D. Diego Gallego Cambronero ESTUDIO DEL SEGUIMIENTO DE PLAGAS DE INSECTOS FORESTALES Y ESPECIES DE INSECTOS INVASORES DE CUARENTENA FITOSANITARIA, ASÍ COMO DE LAS COMUNIDADES DE INSECTOS FORESTALES ASOCIADAS A LAS REDES DE SEGUIMIENTO FORESTAL DE LA REGIÓN DE MURCIA.</t>
        </is>
      </c>
      <c r="C2" s="89" t="n">
        <v>12475.19</v>
      </c>
    </row>
    <row r="3">
      <c r="A3" s="69" t="inlineStr">
        <is>
          <t>35.50.6C.00.20</t>
        </is>
      </c>
      <c r="B3" s="70" t="inlineStr">
        <is>
          <t>PREZERO1-25ID PEDIDO Nº 7725029628 Profesor principal D. Germán Manuel López Iborra SEGUIMIENTO DE LAS POBLACIONES DE CAMACHUELO TROMPETERO Y OTROS PASSERIFORMES EN LA ZEPA DEL RÍO MONTNEGRE Y ENTORNO DE LAS INSTALACIONES DE VALORIZACIÓN Y ELIMINACIÓN DEL PLAN ZONAL DE RESIDUOS 7 ÁREA DE GESTIÓN A2 PARA CONTRIBUIR A SU CONSERVACIÓN</t>
        </is>
      </c>
      <c r="C3" s="90" t="n">
        <v>18480</v>
      </c>
    </row>
    <row r="4">
      <c r="A4" s="66" t="inlineStr">
        <is>
          <t>35.50.6P.00.18</t>
        </is>
      </c>
      <c r="B4" s="67" t="inlineStr">
        <is>
          <t xml:space="preserve">Ayudas CIDEIG/2022/44, CIDEIG/2022/44 </t>
        </is>
      </c>
      <c r="C4" s="89" t="n">
        <v>28500</v>
      </c>
    </row>
    <row r="5">
      <c r="A5" s="69" t="inlineStr">
        <is>
          <t>35.50.6P.00.23</t>
        </is>
      </c>
      <c r="B5" s="70" t="inlineStr">
        <is>
          <t>ANULACIÓN DE DERECHOS REFERENTE AL INGRESO PREVISTO DESTINADO A LA ORGÁNICA 35.50.6P.00.23_ REFERENCIA  AYUDAS FCT-22-18218</t>
        </is>
      </c>
      <c r="C5" s="90" t="n">
        <v>-54.95</v>
      </c>
    </row>
    <row r="6">
      <c r="A6" s="66" t="inlineStr">
        <is>
          <t>35.50.6P.00.24</t>
        </is>
      </c>
      <c r="B6" s="67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6" s="89" t="n">
        <v>15476</v>
      </c>
    </row>
    <row r="7">
      <c r="A7" s="69" t="inlineStr">
        <is>
          <t>35.50.6P.00.24</t>
        </is>
      </c>
      <c r="B7" s="70" t="inlineStr">
        <is>
          <t xml:space="preserve">Minoración PID2022-139294NB-100 </t>
        </is>
      </c>
      <c r="C7" s="90" t="n">
        <v>-15476</v>
      </c>
    </row>
    <row r="8">
      <c r="A8" s="66" t="inlineStr">
        <is>
          <t>35.50.6P.00.24</t>
        </is>
      </c>
      <c r="B8" s="67" t="inlineStr">
        <is>
          <t>DEVOLUCIÓN DE INGRESOS PROCEDENTE DE LOS JI 20230000000004893 y 20240000000000674 DEBIDO TRASLADO DE REMANENTE DE PROYECTO A OTRA ENTIDAD.</t>
        </is>
      </c>
      <c r="C8" s="89" t="n">
        <v>-85741.66</v>
      </c>
    </row>
    <row r="9">
      <c r="A9" s="69" t="inlineStr">
        <is>
          <t>35.50.6P.00.26</t>
        </is>
      </c>
      <c r="B9" s="70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9" s="90" t="n">
        <v>-211.85</v>
      </c>
    </row>
    <row r="10">
      <c r="A10" s="66" t="inlineStr">
        <is>
          <t>35.50.6P.00.28</t>
        </is>
      </c>
      <c r="B10" s="67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10" s="89" t="n">
        <v>9000</v>
      </c>
    </row>
    <row r="11">
      <c r="A11" s="69" t="inlineStr">
        <is>
          <t>35.50.6P.00.29</t>
        </is>
      </c>
      <c r="B11" s="70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1" s="90" t="n">
        <v>58800</v>
      </c>
    </row>
    <row r="12">
      <c r="A12" s="66" t="inlineStr">
        <is>
          <t>35.50.6P.00.29</t>
        </is>
      </c>
      <c r="B12" s="6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2" s="89" t="n">
        <v>33320</v>
      </c>
    </row>
    <row r="13" ht="15" customHeight="1" thickBot="1">
      <c r="A13" s="69" t="inlineStr">
        <is>
          <t>35.50.6P.00.30</t>
        </is>
      </c>
      <c r="B13" s="70" t="inlineStr">
        <is>
          <t>Ayudas CIAICO 2024/6/31/81/130/150/168/186/204/238/296/319</t>
        </is>
      </c>
      <c r="C13" s="90" t="n">
        <v>5000</v>
      </c>
    </row>
    <row r="14" ht="15" customHeight="1" thickTop="1">
      <c r="A14" s="72" t="inlineStr">
        <is>
          <t>Total</t>
        </is>
      </c>
      <c r="B14" s="73" t="n"/>
      <c r="C14" s="91" t="n">
        <v>79566.73000000001</v>
      </c>
    </row>
    <row r="17">
      <c r="B17" s="75" t="inlineStr">
        <is>
          <t>Total ingresos investigación 2023-25</t>
        </is>
      </c>
      <c r="C17" s="92">
        <f>Tabla3[[#Totals],[Imp. aplic.]]+Tabla2[[#Totals],[Imp.cob.aplic.]]+C14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11" sqref="B11"/>
    </sheetView>
  </sheetViews>
  <sheetFormatPr baseColWidth="10" defaultRowHeight="14.4"/>
  <cols>
    <col width="14.33203125" customWidth="1" min="1" max="1"/>
    <col width="43.33203125" customWidth="1" min="2" max="2"/>
    <col width="15.44140625" customWidth="1" min="3" max="3"/>
  </cols>
  <sheetData>
    <row r="1">
      <c r="A1" s="64" t="inlineStr">
        <is>
          <t>Org. aplic.</t>
        </is>
      </c>
      <c r="B1" s="65" t="inlineStr">
        <is>
          <t>Descripción justificante</t>
        </is>
      </c>
      <c r="C1" s="93" t="inlineStr">
        <is>
          <t>Imp. aplic.</t>
        </is>
      </c>
    </row>
    <row r="2">
      <c r="A2" s="66" t="inlineStr">
        <is>
          <t>10.91.2T.02.08</t>
        </is>
      </c>
      <c r="B2" s="67" t="inlineStr">
        <is>
          <t>LIQ-TitProp_GN39-N Curso_2025-26 AñoCont_2025 - RESTAURACIÓN ECOLÓGICA. TECNOLOGÍAS INNOVADORAS PARA EL DISEÑO E IMPLEMENTA (CIERRE 25 APLAZADO)</t>
        </is>
      </c>
      <c r="C2" s="89" t="n">
        <v>168.3</v>
      </c>
    </row>
    <row r="3">
      <c r="A3" s="69" t="inlineStr">
        <is>
          <t>10.91.2T.02.08</t>
        </is>
      </c>
      <c r="B3" s="70" t="inlineStr">
        <is>
          <t>LIQ-TitProp_GN39-N Curso_2025-26 AñoCont_2025 - RESTAURACIÓN ECOLÓGICA. TECNOLOGÍAS INNOVADORAS PARA EL DISEÑO E IMPLEMENTA (CIERRE 25 APLAZADO)</t>
        </is>
      </c>
      <c r="C3" s="90" t="n">
        <v>-168.3</v>
      </c>
    </row>
    <row r="4" ht="15" customHeight="1" thickBot="1">
      <c r="A4" s="66" t="inlineStr">
        <is>
          <t>10.91.2T.02.08</t>
        </is>
      </c>
      <c r="B4" s="67" t="inlineStr">
        <is>
          <t>LIQ-TitProp_GN39-N Curso_2025-26 AñoCont_2025 - RESTAURACIÓN ECOLÓGICA. TECNOLOGÍAS INNOVADORAS PARA EL DISEÑO E IMPLEMENTA _ (Cierre-25)_EMITIDO 25 COBRADO 25</t>
        </is>
      </c>
      <c r="C4" s="89" t="n">
        <v>224.4</v>
      </c>
    </row>
    <row r="5" ht="15" customHeight="1" thickTop="1">
      <c r="A5" s="72" t="inlineStr">
        <is>
          <t>Total</t>
        </is>
      </c>
      <c r="B5" s="73" t="n"/>
      <c r="C5" s="94" t="n">
        <v>224.4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ddef@ua.es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2026-05-28T21:59:10Z</dcterms:modified>
  <cp:lastModifiedBy>MARIA TERESA PUJALTE DEVIS</cp:lastModifiedBy>
</cp:coreProperties>
</file>