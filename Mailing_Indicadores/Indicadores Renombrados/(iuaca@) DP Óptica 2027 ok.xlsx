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796" firstSheet="3" activeTab="7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_-* #,##0.00_-;\-* #,##0.00_-;_-* &quot;-&quot;??_-;_-@_-"/>
    <numFmt numFmtId="167" formatCode="_-* #,##0.00\ _€_-;\-* #,##0.00\ _€_-;_-* &quot;-&quot;??\ _€_-;_-@_-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1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878787"/>
      </right>
      <top style="medium">
        <color rgb="FF878787"/>
      </top>
      <bottom/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/>
      <diagonal/>
    </border>
    <border>
      <left style="medium">
        <color rgb="FF878787"/>
      </left>
      <right/>
      <top style="medium">
        <color rgb="FF878787"/>
      </top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3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3" fillId="0" borderId="0"/>
  </cellStyleXfs>
  <cellXfs count="121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0" fontId="2" fillId="4" borderId="2" pivotButton="0" quotePrefix="0" xfId="1"/>
    <xf numFmtId="0" fontId="2" fillId="4" borderId="2" applyAlignment="1" pivotButton="0" quotePrefix="0" xfId="1">
      <alignment horizontal="right"/>
    </xf>
    <xf numFmtId="1" fontId="2" fillId="4" borderId="2" pivotButton="0" quotePrefix="0" xfId="1"/>
    <xf numFmtId="164" fontId="2" fillId="4" borderId="2" pivotButton="0" quotePrefix="0" xfId="1"/>
    <xf numFmtId="0" fontId="2" fillId="0" borderId="1" pivotButton="0" quotePrefix="0" xfId="1"/>
    <xf numFmtId="165" fontId="2" fillId="4" borderId="2" pivotButton="0" quotePrefix="0" xfId="1"/>
    <xf numFmtId="0" fontId="12" fillId="6" borderId="3" applyAlignment="1" pivotButton="0" quotePrefix="0" xfId="0">
      <alignment horizontal="left" vertical="center"/>
    </xf>
    <xf numFmtId="0" fontId="12" fillId="6" borderId="4" applyAlignment="1" pivotButton="0" quotePrefix="0" xfId="0">
      <alignment horizontal="left" vertical="center"/>
    </xf>
    <xf numFmtId="0" fontId="12" fillId="6" borderId="5" applyAlignment="1" pivotButton="0" quotePrefix="0" xfId="0">
      <alignment horizontal="left" vertical="center"/>
    </xf>
    <xf numFmtId="0" fontId="12" fillId="6" borderId="6" applyAlignment="1" pivotButton="0" quotePrefix="0" xfId="0">
      <alignment horizontal="left" vertical="center"/>
    </xf>
    <xf numFmtId="0" fontId="2" fillId="4" borderId="3" pivotButton="0" quotePrefix="0" xfId="1"/>
    <xf numFmtId="0" fontId="2" fillId="0" borderId="3" pivotButton="0" quotePrefix="0" xfId="1"/>
    <xf numFmtId="0" fontId="2" fillId="4" borderId="3" applyAlignment="1" pivotButton="0" quotePrefix="0" xfId="1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0" borderId="1" pivotButton="0" quotePrefix="0" xfId="0"/>
    <xf numFmtId="166" fontId="6" fillId="8" borderId="7" pivotButton="0" quotePrefix="0" xfId="6"/>
    <xf numFmtId="166" fontId="6" fillId="0" borderId="7" pivotButton="0" quotePrefix="0" xfId="6"/>
    <xf numFmtId="0" fontId="9" fillId="8" borderId="7" pivotButton="0" quotePrefix="0" xfId="0"/>
    <xf numFmtId="0" fontId="9" fillId="0" borderId="7" pivotButton="0" quotePrefix="0" xfId="0"/>
    <xf numFmtId="166" fontId="0" fillId="0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0" fontId="11" fillId="9" borderId="0" pivotButton="0" quotePrefix="0" xfId="0"/>
    <xf numFmtId="0" fontId="3" fillId="2" borderId="0" pivotButton="0" quotePrefix="0" xfId="1"/>
    <xf numFmtId="0" fontId="3" fillId="2" borderId="0" applyAlignment="1" pivotButton="0" quotePrefix="0" xfId="1">
      <alignment horizontal="right"/>
    </xf>
    <xf numFmtId="164" fontId="3" fillId="2" borderId="0" pivotButton="0" quotePrefix="0" xfId="1"/>
    <xf numFmtId="166" fontId="6" fillId="8" borderId="9" pivotButton="0" quotePrefix="0" xfId="6"/>
    <xf numFmtId="0" fontId="0" fillId="0" borderId="9" pivotButton="0" quotePrefix="0" xfId="0"/>
    <xf numFmtId="0" fontId="9" fillId="8" borderId="9" pivotButton="0" quotePrefix="0" xfId="0"/>
    <xf numFmtId="0" fontId="9" fillId="10" borderId="9" pivotButton="0" quotePrefix="0" xfId="0"/>
    <xf numFmtId="166" fontId="6" fillId="10" borderId="9" pivotButton="0" quotePrefix="0" xfId="0"/>
    <xf numFmtId="0" fontId="0" fillId="11" borderId="0" pivotButton="0" quotePrefix="0" xfId="0"/>
    <xf numFmtId="0" fontId="14" fillId="7" borderId="8" pivotButton="0" quotePrefix="0" xfId="0"/>
    <xf numFmtId="0" fontId="9" fillId="0" borderId="9" pivotButton="0" quotePrefix="0" xfId="0"/>
    <xf numFmtId="166" fontId="6" fillId="0" borderId="9" pivotButton="0" quotePrefix="0" xfId="6"/>
    <xf numFmtId="166" fontId="6" fillId="0" borderId="9" pivotButton="0" quotePrefix="0" xfId="0"/>
    <xf numFmtId="0" fontId="0" fillId="8" borderId="7" pivotButton="0" quotePrefix="0" xfId="0"/>
    <xf numFmtId="166" fontId="0" fillId="8" borderId="7" pivotButton="0" quotePrefix="0" xfId="6"/>
    <xf numFmtId="0" fontId="0" fillId="0" borderId="7" pivotButton="0" quotePrefix="0" xfId="0"/>
    <xf numFmtId="166" fontId="0" fillId="0" borderId="7" pivotButton="0" quotePrefix="0" xfId="6"/>
    <xf numFmtId="0" fontId="10" fillId="7" borderId="8" pivotButton="0" quotePrefix="0" xfId="0"/>
    <xf numFmtId="166" fontId="10" fillId="7" borderId="8" pivotButton="0" quotePrefix="0" xfId="6"/>
    <xf numFmtId="166" fontId="0" fillId="0" borderId="9" pivotButton="0" quotePrefix="0" xfId="6"/>
    <xf numFmtId="166" fontId="13" fillId="0" borderId="9" pivotButton="0" quotePrefix="0" xfId="0"/>
    <xf numFmtId="0" fontId="0" fillId="8" borderId="9" pivotButton="0" quotePrefix="0" xfId="0"/>
    <xf numFmtId="166" fontId="0" fillId="8" borderId="9" pivotButton="0" quotePrefix="0" xfId="6"/>
    <xf numFmtId="166" fontId="0" fillId="0" borderId="9" pivotButton="0" quotePrefix="0" xfId="0"/>
    <xf numFmtId="0" fontId="11" fillId="0" borderId="1" pivotButton="0" quotePrefix="0" xfId="0"/>
    <xf numFmtId="166" fontId="11" fillId="0" borderId="1" pivotButton="0" quotePrefix="0" xfId="0"/>
    <xf numFmtId="167" fontId="11" fillId="0" borderId="1" pivotButton="0" quotePrefix="0" xfId="0"/>
    <xf numFmtId="0" fontId="2" fillId="4" borderId="1" pivotButton="0" quotePrefix="0" xfId="1"/>
    <xf numFmtId="0" fontId="2" fillId="0" borderId="1" pivotButton="0" quotePrefix="0" xfId="1"/>
    <xf numFmtId="0" fontId="2" fillId="0" borderId="0" pivotButton="0" quotePrefix="0" xfId="0"/>
    <xf numFmtId="0" fontId="2" fillId="4" borderId="0" pivotButton="0" quotePrefix="0" xfId="1"/>
    <xf numFmtId="0" fontId="16" fillId="12" borderId="10" pivotButton="0" quotePrefix="0" xfId="0"/>
    <xf numFmtId="0" fontId="16" fillId="12" borderId="11" pivotButton="0" quotePrefix="0" xfId="0"/>
    <xf numFmtId="0" fontId="17" fillId="13" borderId="10" pivotButton="0" quotePrefix="0" xfId="0"/>
    <xf numFmtId="0" fontId="17" fillId="13" borderId="11" pivotButton="0" quotePrefix="0" xfId="0"/>
    <xf numFmtId="167" fontId="17" fillId="13" borderId="11" pivotButton="0" quotePrefix="0" xfId="6"/>
    <xf numFmtId="0" fontId="17" fillId="0" borderId="10" pivotButton="0" quotePrefix="0" xfId="0"/>
    <xf numFmtId="0" fontId="17" fillId="0" borderId="11" pivotButton="0" quotePrefix="0" xfId="0"/>
    <xf numFmtId="167" fontId="17" fillId="0" borderId="11" pivotButton="0" quotePrefix="0" xfId="6"/>
    <xf numFmtId="0" fontId="18" fillId="0" borderId="12" pivotButton="0" quotePrefix="0" xfId="0"/>
    <xf numFmtId="0" fontId="18" fillId="0" borderId="13" pivotButton="0" quotePrefix="0" xfId="0"/>
    <xf numFmtId="167" fontId="18" fillId="0" borderId="13" pivotButton="0" quotePrefix="0" xfId="6"/>
    <xf numFmtId="0" fontId="14" fillId="12" borderId="10" pivotButton="0" quotePrefix="0" xfId="0"/>
    <xf numFmtId="0" fontId="14" fillId="12" borderId="11" pivotButton="0" quotePrefix="0" xfId="0"/>
    <xf numFmtId="167" fontId="14" fillId="12" borderId="11" pivotButton="0" quotePrefix="0" xfId="6"/>
    <xf numFmtId="0" fontId="9" fillId="13" borderId="10" pivotButton="0" quotePrefix="0" xfId="0"/>
    <xf numFmtId="0" fontId="9" fillId="13" borderId="11" pivotButton="0" quotePrefix="0" xfId="0"/>
    <xf numFmtId="167" fontId="9" fillId="13" borderId="11" pivotButton="0" quotePrefix="0" xfId="6"/>
    <xf numFmtId="0" fontId="15" fillId="0" borderId="12" pivotButton="0" quotePrefix="0" xfId="0"/>
    <xf numFmtId="0" fontId="15" fillId="0" borderId="13" pivotButton="0" quotePrefix="0" xfId="0"/>
    <xf numFmtId="167" fontId="15" fillId="0" borderId="13" pivotButton="0" quotePrefix="0" xfId="0"/>
    <xf numFmtId="165" fontId="2" fillId="4" borderId="2" pivotButton="0" quotePrefix="0" xfId="1"/>
    <xf numFmtId="164" fontId="2" fillId="4" borderId="2" pivotButton="0" quotePrefix="0" xfId="1"/>
    <xf numFmtId="164" fontId="3" fillId="2" borderId="0" pivotButton="0" quotePrefix="0" xfId="1"/>
    <xf numFmtId="166" fontId="6" fillId="8" borderId="7" pivotButton="0" quotePrefix="0" xfId="6"/>
    <xf numFmtId="166" fontId="6" fillId="0" borderId="7" pivotButton="0" quotePrefix="0" xfId="6"/>
    <xf numFmtId="166" fontId="6" fillId="0" borderId="9" pivotButton="0" quotePrefix="0" xfId="6"/>
    <xf numFmtId="166" fontId="6" fillId="0" borderId="9" pivotButton="0" quotePrefix="0" xfId="0"/>
    <xf numFmtId="166" fontId="0" fillId="0" borderId="0" pivotButton="0" quotePrefix="0" xfId="0"/>
    <xf numFmtId="166" fontId="10" fillId="7" borderId="8" pivotButton="0" quotePrefix="0" xfId="6"/>
    <xf numFmtId="166" fontId="0" fillId="8" borderId="7" pivotButton="0" quotePrefix="0" xfId="6"/>
    <xf numFmtId="166" fontId="0" fillId="0" borderId="7" pivotButton="0" quotePrefix="0" xfId="6"/>
    <xf numFmtId="166" fontId="0" fillId="0" borderId="9" pivotButton="0" quotePrefix="0" xfId="6"/>
    <xf numFmtId="166" fontId="13" fillId="0" borderId="9" pivotButton="0" quotePrefix="0" xfId="0"/>
    <xf numFmtId="167" fontId="17" fillId="13" borderId="11" pivotButton="0" quotePrefix="0" xfId="6"/>
    <xf numFmtId="167" fontId="17" fillId="0" borderId="11" pivotButton="0" quotePrefix="0" xfId="6"/>
    <xf numFmtId="167" fontId="18" fillId="0" borderId="13" pivotButton="0" quotePrefix="0" xfId="6"/>
    <xf numFmtId="166" fontId="11" fillId="0" borderId="1" pivotButton="0" quotePrefix="0" xfId="0"/>
    <xf numFmtId="166" fontId="6" fillId="8" borderId="9" pivotButton="0" quotePrefix="0" xfId="6"/>
    <xf numFmtId="166" fontId="6" fillId="10" borderId="9" pivotButton="0" quotePrefix="0" xfId="0"/>
    <xf numFmtId="166" fontId="0" fillId="8" borderId="9" pivotButton="0" quotePrefix="0" xfId="6"/>
    <xf numFmtId="166" fontId="0" fillId="0" borderId="9" pivotButton="0" quotePrefix="0" xfId="0"/>
    <xf numFmtId="167" fontId="14" fillId="12" borderId="11" pivotButton="0" quotePrefix="0" xfId="6"/>
    <xf numFmtId="167" fontId="9" fillId="13" borderId="11" pivotButton="0" quotePrefix="0" xfId="6"/>
    <xf numFmtId="167" fontId="15" fillId="0" borderId="13" pivotButton="0" quotePrefix="0" xfId="0"/>
    <xf numFmtId="167" fontId="11" fillId="0" borderId="1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34"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9"/>
          <bgColor theme="9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left/>
        <right/>
        <top/>
        <bottom/>
      </border>
    </dxf>
    <dxf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left/>
        <right/>
        <top/>
        <bottom/>
      </border>
    </dxf>
    <dxf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51" headerRowCount="1" totalsRowCount="1" headerRowDxfId="33" headerRowBorderDxfId="32" tableBorderDxfId="31" totalsRowBorderDxfId="30">
  <autoFilter ref="A1:C50"/>
  <tableColumns count="3">
    <tableColumn id="1" name="Cód. org. aplic." totalsRowLabel="Total" dataDxfId="29" totalsRowDxfId="28"/>
    <tableColumn id="2" name="Descripción justificante" dataDxfId="27" totalsRowDxfId="26"/>
    <tableColumn id="3" name="Imp.cob.aplic." totalsRowFunction="sum" dataDxfId="25" totalsRowDxfId="24" dataCellStyle="Millares" totalsRowCellStyle="Millare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52" headerRowCount="1" totalsRowCount="1" headerRowBorderDxfId="23" tableBorderDxfId="22" totalsRowBorderDxfId="21">
  <autoFilter ref="A1:C51"/>
  <tableColumns count="3">
    <tableColumn id="1" name="Org. aplic." totalsRowLabel="Total" dataDxfId="20" totalsRowDxfId="19"/>
    <tableColumn id="2" name="Descripción justificante" dataDxfId="18" totalsRowDxfId="17"/>
    <tableColumn id="3" name="Imp. aplic." totalsRowFunction="sum" dataDxfId="16" totalsRowDxfId="15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5" displayName="Tabla5" ref="A1:C7" headerRowCount="1" totalsRowCount="1" headerRowDxfId="14" totalsRowDxfId="11" headerRowBorderDxfId="13" tableBorderDxfId="12" totalsRowBorderDxfId="10">
  <autoFilter ref="A1:C6"/>
  <tableColumns count="3">
    <tableColumn id="1" name="Cód. org. aplic." totalsRowLabel="Total" dataDxfId="9" totalsRowDxfId="8"/>
    <tableColumn id="2" name="Descripción justificante" dataDxfId="7" totalsRowDxfId="6"/>
    <tableColumn id="3" name="Imp.cob.aplic." totalsRowFunction="sum" dataDxfId="5" totalsRowDxfId="4" dataCellStyle="Millares" totalsRow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6" displayName="Tabla6" ref="A1:C5" headerRowCount="1" totalsRowCount="1" headerRowDxfId="3" headerRowBorderDxfId="2" tableBorderDxfId="1" totalsRowBorderDxfId="0">
  <autoFilter ref="A1:C4"/>
  <tableColumns count="3">
    <tableColumn id="1" name="Org. aplic." totalsRowLabel="Total"/>
    <tableColumn id="2" name="Descripción justificante"/>
    <tableColumn id="3" name="Imp. aplic.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32"/>
  <sheetViews>
    <sheetView showGridLines="0" zoomScale="120" zoomScaleNormal="12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X13" sqref="X13"/>
    </sheetView>
  </sheetViews>
  <sheetFormatPr baseColWidth="10" defaultColWidth="10.33203125" defaultRowHeight="10.2"/>
  <cols>
    <col width="5" customWidth="1" style="75" min="1" max="1"/>
    <col width="29.6640625" customWidth="1" style="75" min="2" max="4"/>
    <col width="40.6640625" customWidth="1" style="75" min="5" max="5"/>
    <col width="9.109375" customWidth="1" style="75" min="6" max="6"/>
    <col width="9.6640625" customWidth="1" style="75" min="7" max="7"/>
    <col width="14.44140625" customWidth="1" style="75" min="8" max="8"/>
    <col width="5.88671875" customWidth="1" style="75" min="9" max="9"/>
    <col width="25.6640625" customWidth="1" style="75" min="10" max="10"/>
    <col width="5.109375" customWidth="1" style="75" min="11" max="12"/>
    <col width="4.44140625" customWidth="1" style="75" min="13" max="13"/>
    <col width="4.88671875" customWidth="1" style="75" min="14" max="14"/>
    <col width="4.88671875" customWidth="1" style="7" min="15" max="15"/>
    <col width="4.88671875" customWidth="1" style="75" min="16" max="16"/>
    <col width="3.5546875" customWidth="1" style="7" min="17" max="17"/>
    <col width="3.5546875" customWidth="1" style="75" min="18" max="18"/>
    <col width="5.109375" customWidth="1" style="75" min="19" max="21"/>
    <col width="10.33203125" customWidth="1" style="75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5" t="inlineStr">
        <is>
          <t xml:space="preserve">B164 </t>
        </is>
      </c>
      <c r="B2" s="15" t="inlineStr">
        <is>
          <t xml:space="preserve">FISIOLOGÍA, GENÉTICA Y MICROBIOLOGÍA </t>
        </is>
      </c>
      <c r="C2" s="15" t="inlineStr">
        <is>
          <t xml:space="preserve">DOCTORADO EN BIOLOGÍA EXPERIMENTAL Y APLICADA </t>
        </is>
      </c>
      <c r="D2" s="15" t="inlineStr">
        <is>
          <t xml:space="preserve">Kutsyr , Oksana </t>
        </is>
      </c>
      <c r="E2" s="15" t="inlineStr">
        <is>
          <t xml:space="preserve">EFFECTS OF ENVIRONMENTAL FACTORS AND NEUROPROTECTIVE COMPOUNDS ON OXIDATIVE STRESS AND INFLAMMATION IN RETINAL NEURODEGENERATIVE DISEASES </t>
        </is>
      </c>
      <c r="F2" s="15" t="inlineStr">
        <is>
          <t xml:space="preserve">11/09/2020 </t>
        </is>
      </c>
      <c r="G2" s="15" t="inlineStr">
        <is>
          <t xml:space="preserve">25416455Y </t>
        </is>
      </c>
      <c r="H2" s="15" t="inlineStr">
        <is>
          <t xml:space="preserve">Codirector de tesis </t>
        </is>
      </c>
      <c r="I2" s="15" t="inlineStr">
        <is>
          <t xml:space="preserve">B178 </t>
        </is>
      </c>
      <c r="J2" s="15" t="inlineStr">
        <is>
          <t xml:space="preserve">ÓPTICA, FARMACOLOGÍA Y ANATOMÍA </t>
        </is>
      </c>
      <c r="K2" s="96" t="n">
        <v>0.5</v>
      </c>
      <c r="L2" s="15" t="inlineStr">
        <is>
          <t>B178</t>
        </is>
      </c>
      <c r="M2" s="15" t="n">
        <v>2019</v>
      </c>
      <c r="N2" s="15" t="inlineStr"/>
      <c r="O2" s="16" t="inlineStr"/>
      <c r="P2" s="15" t="inlineStr"/>
      <c r="Q2" s="16" t="inlineStr"/>
      <c r="R2" s="17" t="n">
        <v>100</v>
      </c>
      <c r="S2" s="97" t="n">
        <v>0.5</v>
      </c>
      <c r="T2" s="97" t="n">
        <v>0</v>
      </c>
      <c r="U2" s="97" t="n">
        <v>0</v>
      </c>
    </row>
    <row r="3" ht="10.8" customHeight="1" thickBot="1">
      <c r="A3" s="15" t="inlineStr">
        <is>
          <t xml:space="preserve">U066 </t>
        </is>
      </c>
      <c r="B3" s="15" t="inlineStr">
        <is>
          <t xml:space="preserve">ADM. I.U. FÍSICA APLICADA A LA CIENCIAS Y A LAS TECNOLOGIAS </t>
        </is>
      </c>
      <c r="C3" s="15" t="inlineStr">
        <is>
          <t xml:space="preserve">DOCTORADO EN FÍSICA APLICADA A LAS CIENCIAS Y LAS TECNOLOGÍAS </t>
        </is>
      </c>
      <c r="D3" s="15" t="inlineStr">
        <is>
          <t xml:space="preserve">Martínez Abad, Antonio </t>
        </is>
      </c>
      <c r="E3" s="15" t="inlineStr">
        <is>
          <t xml:space="preserve">DESARROLLO Y VALIDACIÓN DE NUEVOS ALGORITMOS DE DETECCIÓN Y PREDICCIÓN DE LA PROGESIÓN DE LA PATOLOGÍA ECTÁSICA DE LA CÓRNEA </t>
        </is>
      </c>
      <c r="F3" s="15" t="inlineStr">
        <is>
          <t xml:space="preserve">22/11/2019 </t>
        </is>
      </c>
      <c r="G3" s="15" t="inlineStr">
        <is>
          <t xml:space="preserve">21516909H </t>
        </is>
      </c>
      <c r="H3" s="15" t="inlineStr">
        <is>
          <t xml:space="preserve">Director de tesis </t>
        </is>
      </c>
      <c r="I3" s="15" t="inlineStr">
        <is>
          <t xml:space="preserve">B178 </t>
        </is>
      </c>
      <c r="J3" s="15" t="inlineStr">
        <is>
          <t xml:space="preserve">ÓPTICA, FARMACOLOGÍA Y ANATOMÍA </t>
        </is>
      </c>
      <c r="K3" s="96" t="n">
        <v>1</v>
      </c>
      <c r="L3" s="15" t="inlineStr">
        <is>
          <t>B178</t>
        </is>
      </c>
      <c r="M3" s="15" t="n">
        <v>2019</v>
      </c>
      <c r="N3" s="15" t="inlineStr"/>
      <c r="O3" s="16" t="inlineStr"/>
      <c r="P3" s="15" t="inlineStr"/>
      <c r="Q3" s="16" t="inlineStr"/>
      <c r="R3" s="17" t="n">
        <v>100</v>
      </c>
      <c r="S3" s="97" t="n">
        <v>1</v>
      </c>
      <c r="T3" s="97" t="n">
        <v>0</v>
      </c>
      <c r="U3" s="97" t="n">
        <v>0</v>
      </c>
    </row>
    <row r="4">
      <c r="A4" s="21" t="inlineStr">
        <is>
          <t xml:space="preserve">U066 </t>
        </is>
      </c>
      <c r="B4" s="21" t="inlineStr">
        <is>
          <t xml:space="preserve">ADM. I.U. FÍSICA APLICADA A LA CIENCIAS Y A LAS TECNOLOGIAS </t>
        </is>
      </c>
      <c r="C4" s="21" t="inlineStr">
        <is>
          <t xml:space="preserve">DOCTORADO EN FÍSICA APLICADA A LAS CIENCIAS Y LAS TECNOLOGÍAS </t>
        </is>
      </c>
      <c r="D4" s="21" t="inlineStr">
        <is>
          <t xml:space="preserve">Bataille , Laurent Guy François </t>
        </is>
      </c>
      <c r="E4" s="21" t="inlineStr">
        <is>
          <t xml:space="preserve">Caracterización geométrica del tejido conjuntivo escleral y su relación con el estudio de miopía </t>
        </is>
      </c>
      <c r="F4" s="21" t="inlineStr">
        <is>
          <t xml:space="preserve">21/06/2021 </t>
        </is>
      </c>
      <c r="G4" s="22" t="inlineStr">
        <is>
          <t xml:space="preserve">21516909H </t>
        </is>
      </c>
      <c r="H4" s="23" t="inlineStr">
        <is>
          <t xml:space="preserve">Director de tesis </t>
        </is>
      </c>
      <c r="I4" s="23" t="inlineStr">
        <is>
          <t xml:space="preserve">B178 </t>
        </is>
      </c>
      <c r="J4" s="24" t="inlineStr">
        <is>
          <t xml:space="preserve">ÓPTICA, FARMACOLOGÍA Y ANATOMÍA </t>
        </is>
      </c>
      <c r="K4" s="26" t="n">
        <v>1</v>
      </c>
      <c r="L4" s="26" t="inlineStr">
        <is>
          <t>B178</t>
        </is>
      </c>
      <c r="M4" s="25" t="n">
        <v>2020</v>
      </c>
      <c r="N4" s="25" t="inlineStr"/>
      <c r="O4" s="27" t="inlineStr"/>
      <c r="P4" s="25" t="inlineStr"/>
      <c r="Q4" s="27" t="inlineStr"/>
      <c r="R4" s="25" t="n">
        <v>100</v>
      </c>
      <c r="S4" s="25" t="n">
        <v>1</v>
      </c>
      <c r="T4" s="25" t="n">
        <v>0</v>
      </c>
      <c r="U4" s="25" t="n">
        <v>0</v>
      </c>
    </row>
    <row r="5">
      <c r="A5" s="72" t="inlineStr">
        <is>
          <t xml:space="preserve">U066 </t>
        </is>
      </c>
      <c r="B5" s="72" t="inlineStr">
        <is>
          <t xml:space="preserve">ADM. I.U. FÍSICA APLICADA A LA CIENCIAS Y A LAS TECNOLOGIAS </t>
        </is>
      </c>
      <c r="C5" s="72" t="inlineStr">
        <is>
          <t xml:space="preserve">DOCTORADO EN FÍSICA APLICADA A LAS CIENCIAS Y LAS TECNOLOGÍAS </t>
        </is>
      </c>
      <c r="D5" s="72" t="inlineStr">
        <is>
          <t xml:space="preserve">Bilbao Porta, Carmen </t>
        </is>
      </c>
      <c r="E5" s="72" t="inlineStr">
        <is>
          <t xml:space="preserve">EVALUACIÓN Y CARACTERIZACIÓN DE DISFUNCIONES OCULOMOTORAS Y ANOMALÍAS BINOCULARES EN DIFERENTES GRUPOS DE POBLACIÓN INFANTIL. </t>
        </is>
      </c>
      <c r="F5" s="72" t="inlineStr">
        <is>
          <t xml:space="preserve">12/07/2021 </t>
        </is>
      </c>
      <c r="G5" s="72" t="inlineStr">
        <is>
          <t xml:space="preserve">21516909H </t>
        </is>
      </c>
      <c r="H5" s="72" t="inlineStr">
        <is>
          <t xml:space="preserve">Director de tesis </t>
        </is>
      </c>
      <c r="I5" s="72" t="inlineStr">
        <is>
          <t xml:space="preserve">B178 </t>
        </is>
      </c>
      <c r="J5" s="72" t="inlineStr">
        <is>
          <t xml:space="preserve">ÓPTICA, FARMACOLOGÍA Y ANATOMÍA </t>
        </is>
      </c>
      <c r="K5" s="73" t="n">
        <v>1</v>
      </c>
      <c r="L5" s="73" t="inlineStr">
        <is>
          <t>B178</t>
        </is>
      </c>
      <c r="M5" s="72" t="n">
        <v>2020</v>
      </c>
      <c r="N5" s="72" t="inlineStr"/>
      <c r="O5" s="14" t="inlineStr"/>
      <c r="P5" s="72" t="inlineStr"/>
      <c r="Q5" s="14" t="inlineStr"/>
      <c r="R5" s="72" t="n">
        <v>100</v>
      </c>
      <c r="S5" s="72" t="n">
        <v>1</v>
      </c>
      <c r="T5" s="72" t="n">
        <v>0</v>
      </c>
      <c r="U5" s="72" t="n">
        <v>0</v>
      </c>
    </row>
    <row r="6">
      <c r="A6" s="72" t="inlineStr">
        <is>
          <t xml:space="preserve">U022 </t>
        </is>
      </c>
      <c r="B6" s="72" t="inlineStr">
        <is>
          <t xml:space="preserve">ADM. FACULTAD DE CIENCIAS </t>
        </is>
      </c>
      <c r="C6" s="72" t="inlineStr">
        <is>
          <t xml:space="preserve">DOCTORADO EN CIENCIAS EXPERIMENTALES Y BIOSANITARIAS </t>
        </is>
      </c>
      <c r="D6" s="72" t="inlineStr">
        <is>
          <t xml:space="preserve">Comíns Palacios, Patricia María </t>
        </is>
      </c>
      <c r="E6" s="72" t="inlineStr">
        <is>
          <t xml:space="preserve">Influencia de la percepción visual en las habilidades motrices, lectoras y el rendimiento matemático de los niños de educación Infantil, Primaria y ESO </t>
        </is>
      </c>
      <c r="F6" s="72" t="inlineStr">
        <is>
          <t xml:space="preserve">01/07/2022 </t>
        </is>
      </c>
      <c r="G6" s="72" t="inlineStr">
        <is>
          <t xml:space="preserve">21516909H </t>
        </is>
      </c>
      <c r="H6" s="72" t="inlineStr">
        <is>
          <t xml:space="preserve">Director de tesis </t>
        </is>
      </c>
      <c r="I6" s="72" t="inlineStr">
        <is>
          <t xml:space="preserve">B178 </t>
        </is>
      </c>
      <c r="J6" s="72" t="inlineStr">
        <is>
          <t xml:space="preserve">ÓPTICA, FARMACOLOGÍA Y ANATOMÍA </t>
        </is>
      </c>
      <c r="K6" s="73" t="n">
        <v>1</v>
      </c>
      <c r="L6" s="73" t="inlineStr">
        <is>
          <t>B178</t>
        </is>
      </c>
      <c r="M6" s="72" t="n">
        <v>2021</v>
      </c>
      <c r="N6" s="72" t="inlineStr"/>
      <c r="O6" s="14" t="inlineStr"/>
      <c r="P6" s="72" t="inlineStr"/>
      <c r="Q6" s="14" t="inlineStr"/>
      <c r="R6" s="72" t="n">
        <v>100</v>
      </c>
      <c r="S6" s="72" t="n">
        <v>1</v>
      </c>
      <c r="T6" s="72" t="n">
        <v>0</v>
      </c>
      <c r="U6" s="72" t="n">
        <v>0</v>
      </c>
    </row>
    <row r="7">
      <c r="A7" s="72" t="inlineStr">
        <is>
          <t xml:space="preserve">U044 </t>
        </is>
      </c>
      <c r="B7" s="72" t="inlineStr">
        <is>
          <t xml:space="preserve">ADM. FACULTAD DE CIENCIAS DE LA SALUD </t>
        </is>
      </c>
      <c r="C7" s="72" t="inlineStr">
        <is>
          <t xml:space="preserve">DOCTORADO EN CIENCIAS DE LA SALUD </t>
        </is>
      </c>
      <c r="D7" s="72" t="inlineStr">
        <is>
          <t xml:space="preserve">Canto Cerdan, Mario </t>
        </is>
      </c>
      <c r="E7" s="72" t="inlineStr">
        <is>
          <t xml:space="preserve">Elaboración y validación de un cuestionario sobre sintomatología asociada a las disfunciones visuales. </t>
        </is>
      </c>
      <c r="F7" s="72" t="inlineStr">
        <is>
          <t xml:space="preserve">11/03/2022 </t>
        </is>
      </c>
      <c r="G7" s="72" t="inlineStr">
        <is>
          <t xml:space="preserve">22003995X </t>
        </is>
      </c>
      <c r="H7" s="72" t="inlineStr">
        <is>
          <t xml:space="preserve">Codirector de tesis </t>
        </is>
      </c>
      <c r="I7" s="72" t="inlineStr">
        <is>
          <t xml:space="preserve">B178 </t>
        </is>
      </c>
      <c r="J7" s="72" t="inlineStr">
        <is>
          <t xml:space="preserve">ÓPTICA, FARMACOLOGÍA Y ANATOMÍA </t>
        </is>
      </c>
      <c r="K7" s="73" t="n">
        <v>0.5</v>
      </c>
      <c r="L7" s="73" t="inlineStr">
        <is>
          <t>B178</t>
        </is>
      </c>
      <c r="M7" s="72" t="n">
        <v>2021</v>
      </c>
      <c r="N7" s="72" t="inlineStr"/>
      <c r="O7" s="14" t="inlineStr"/>
      <c r="P7" s="72" t="inlineStr"/>
      <c r="Q7" s="14" t="inlineStr"/>
      <c r="R7" s="72" t="n">
        <v>100</v>
      </c>
      <c r="S7" s="72" t="n">
        <v>0.5</v>
      </c>
      <c r="T7" s="72" t="n">
        <v>0</v>
      </c>
      <c r="U7" s="72" t="n">
        <v>0</v>
      </c>
    </row>
    <row r="8">
      <c r="A8" s="72" t="inlineStr">
        <is>
          <t xml:space="preserve">U044 </t>
        </is>
      </c>
      <c r="B8" s="72" t="inlineStr">
        <is>
          <t xml:space="preserve">ADM. FACULTAD DE CIENCIAS DE LA SALUD </t>
        </is>
      </c>
      <c r="C8" s="72" t="inlineStr">
        <is>
          <t xml:space="preserve">DOCTORADO EN CIENCIAS DE LA SALUD </t>
        </is>
      </c>
      <c r="D8" s="72" t="inlineStr">
        <is>
          <t xml:space="preserve">Canto Cerdan, Mario </t>
        </is>
      </c>
      <c r="E8" s="72" t="inlineStr">
        <is>
          <t xml:space="preserve">Elaboración y validación de un cuestionario sobre sintomatología asociada a las disfunciones visuales. </t>
        </is>
      </c>
      <c r="F8" s="72" t="inlineStr">
        <is>
          <t xml:space="preserve">11/03/2022 </t>
        </is>
      </c>
      <c r="G8" s="72" t="inlineStr">
        <is>
          <t xml:space="preserve">52754474H </t>
        </is>
      </c>
      <c r="H8" s="72" t="inlineStr">
        <is>
          <t xml:space="preserve">Codirector de tesis </t>
        </is>
      </c>
      <c r="I8" s="72" t="inlineStr">
        <is>
          <t xml:space="preserve">B178 </t>
        </is>
      </c>
      <c r="J8" s="72" t="inlineStr">
        <is>
          <t xml:space="preserve">ÓPTICA, FARMACOLOGÍA Y ANATOMÍA </t>
        </is>
      </c>
      <c r="K8" s="73" t="n">
        <v>0.5</v>
      </c>
      <c r="L8" s="73" t="inlineStr">
        <is>
          <t>B178</t>
        </is>
      </c>
      <c r="M8" s="72" t="n">
        <v>2021</v>
      </c>
      <c r="N8" s="72" t="inlineStr"/>
      <c r="O8" s="14" t="inlineStr"/>
      <c r="P8" s="72" t="inlineStr"/>
      <c r="Q8" s="14" t="inlineStr"/>
      <c r="R8" s="72" t="n">
        <v>100</v>
      </c>
      <c r="S8" s="72" t="n">
        <v>0.5</v>
      </c>
      <c r="T8" s="72" t="n">
        <v>0</v>
      </c>
      <c r="U8" s="72" t="n">
        <v>0</v>
      </c>
    </row>
    <row r="9">
      <c r="A9" s="72" t="inlineStr">
        <is>
          <t xml:space="preserve">U066 </t>
        </is>
      </c>
      <c r="B9" s="72" t="inlineStr">
        <is>
          <t xml:space="preserve">ADM. I.U. FÍSICA APLICADA A LA CIENCIAS Y A LAS TECNOLOGIAS </t>
        </is>
      </c>
      <c r="C9" s="72" t="inlineStr">
        <is>
          <t xml:space="preserve">DOCTORADO EN FÍSICA APLICADA A LAS CIENCIAS Y LAS TECNOLOGÍAS </t>
        </is>
      </c>
      <c r="D9" s="72" t="inlineStr">
        <is>
          <t xml:space="preserve">Tomás López, María Baralida </t>
        </is>
      </c>
      <c r="E9" s="72" t="inlineStr">
        <is>
          <t xml:space="preserve">Estudio e implementación de técnicas subpíxel para medidas no invasivas </t>
        </is>
      </c>
      <c r="F9" s="72" t="inlineStr">
        <is>
          <t xml:space="preserve">10/06/2022 </t>
        </is>
      </c>
      <c r="G9" s="72" t="inlineStr">
        <is>
          <t xml:space="preserve">33491671Z </t>
        </is>
      </c>
      <c r="H9" s="72" t="inlineStr">
        <is>
          <t xml:space="preserve">Codirector de tesis </t>
        </is>
      </c>
      <c r="I9" s="72" t="inlineStr">
        <is>
          <t xml:space="preserve">B178 </t>
        </is>
      </c>
      <c r="J9" s="72" t="inlineStr">
        <is>
          <t xml:space="preserve">ÓPTICA, FARMACOLOGÍA Y ANATOMÍA </t>
        </is>
      </c>
      <c r="K9" s="73" t="n">
        <v>0.5</v>
      </c>
      <c r="L9" s="73" t="inlineStr">
        <is>
          <t>B178</t>
        </is>
      </c>
      <c r="M9" s="72" t="n">
        <v>2021</v>
      </c>
      <c r="N9" s="72" t="inlineStr">
        <is>
          <t>10.20</t>
        </is>
      </c>
      <c r="O9" s="14" t="n">
        <v>50</v>
      </c>
      <c r="P9" s="72" t="inlineStr"/>
      <c r="Q9" s="14" t="n">
        <v>0</v>
      </c>
      <c r="R9" s="72" t="n">
        <v>50</v>
      </c>
      <c r="S9" s="72" t="n">
        <v>0.25</v>
      </c>
      <c r="T9" s="72" t="n">
        <v>0.25</v>
      </c>
      <c r="U9" s="72" t="n">
        <v>0</v>
      </c>
    </row>
    <row r="10">
      <c r="A10" s="72" t="inlineStr">
        <is>
          <t xml:space="preserve">U066 </t>
        </is>
      </c>
      <c r="B10" s="72" t="inlineStr">
        <is>
          <t xml:space="preserve">ADM. I.U. FÍSICA APLICADA A LA CIENCIAS Y A LAS TECNOLOGIAS </t>
        </is>
      </c>
      <c r="C10" s="72" t="inlineStr">
        <is>
          <t xml:space="preserve">DOCTORADO EN FÍSICA APLICADA A LAS CIENCIAS Y LAS TECNOLOGÍAS </t>
        </is>
      </c>
      <c r="D10" s="72" t="inlineStr">
        <is>
          <t xml:space="preserve">Hamida Abdelkader, Sidi Mohamed </t>
        </is>
      </c>
      <c r="E10" s="72" t="inlineStr">
        <is>
          <t xml:space="preserve">OPTIMIZACIÓN Y PREDICCIÓN DEL RESULTADO DE DISTINTAS OPCIONES DETRATAMIENTO EN QUERATOCONO </t>
        </is>
      </c>
      <c r="F10" s="72" t="inlineStr">
        <is>
          <t xml:space="preserve">27/06/2022 </t>
        </is>
      </c>
      <c r="G10" s="72" t="inlineStr">
        <is>
          <t xml:space="preserve">21516909H </t>
        </is>
      </c>
      <c r="H10" s="72" t="inlineStr">
        <is>
          <t xml:space="preserve">Director de tesis </t>
        </is>
      </c>
      <c r="I10" s="72" t="inlineStr">
        <is>
          <t xml:space="preserve">B178 </t>
        </is>
      </c>
      <c r="J10" s="72" t="inlineStr">
        <is>
          <t xml:space="preserve">ÓPTICA, FARMACOLOGÍA Y ANATOMÍA </t>
        </is>
      </c>
      <c r="K10" s="73" t="n">
        <v>1</v>
      </c>
      <c r="L10" s="73" t="inlineStr">
        <is>
          <t>B178</t>
        </is>
      </c>
      <c r="M10" s="72" t="n">
        <v>2021</v>
      </c>
      <c r="N10" s="72" t="inlineStr"/>
      <c r="O10" s="14" t="inlineStr"/>
      <c r="P10" s="72" t="inlineStr"/>
      <c r="Q10" s="14" t="inlineStr"/>
      <c r="R10" s="72" t="n">
        <v>100</v>
      </c>
      <c r="S10" s="72" t="n">
        <v>1</v>
      </c>
      <c r="T10" s="72" t="n">
        <v>0</v>
      </c>
      <c r="U10" s="72" t="n">
        <v>0</v>
      </c>
    </row>
    <row r="11">
      <c r="A11" s="72" t="inlineStr">
        <is>
          <t xml:space="preserve">U066 </t>
        </is>
      </c>
      <c r="B11" s="72" t="inlineStr">
        <is>
          <t xml:space="preserve">ADM. I.U. FÍSICA APLICADA A LA CIENCIAS Y A LAS TECNOLOGIAS </t>
        </is>
      </c>
      <c r="C11" s="72" t="inlineStr">
        <is>
          <t xml:space="preserve">DOCTORADO EN FÍSICA APLICADA A LAS CIENCIAS Y LAS TECNOLOGÍAS </t>
        </is>
      </c>
      <c r="D11" s="72" t="inlineStr">
        <is>
          <t xml:space="preserve">I Y Huraibat , Khalil </t>
        </is>
      </c>
      <c r="E11" s="72" t="inlineStr">
        <is>
          <t xml:space="preserve">Advanced digital reproduction of goniochromatic objects </t>
        </is>
      </c>
      <c r="F11" s="72" t="inlineStr">
        <is>
          <t xml:space="preserve">16/05/2022 </t>
        </is>
      </c>
      <c r="G11" s="72" t="inlineStr">
        <is>
          <t xml:space="preserve">73996071B </t>
        </is>
      </c>
      <c r="H11" s="72" t="inlineStr">
        <is>
          <t xml:space="preserve">Codirector de tesis </t>
        </is>
      </c>
      <c r="I11" s="72" t="inlineStr">
        <is>
          <t xml:space="preserve">B178 </t>
        </is>
      </c>
      <c r="J11" s="72" t="inlineStr">
        <is>
          <t xml:space="preserve">ÓPTICA, FARMACOLOGÍA Y ANATOMÍA </t>
        </is>
      </c>
      <c r="K11" s="73" t="n">
        <v>0.5</v>
      </c>
      <c r="L11" s="73" t="inlineStr">
        <is>
          <t>B178</t>
        </is>
      </c>
      <c r="M11" s="72" t="n">
        <v>2021</v>
      </c>
      <c r="N11" s="72" t="inlineStr">
        <is>
          <t>10.20</t>
        </is>
      </c>
      <c r="O11" s="14" t="n">
        <v>50</v>
      </c>
      <c r="P11" s="72" t="inlineStr"/>
      <c r="Q11" s="14" t="n">
        <v>0</v>
      </c>
      <c r="R11" s="72" t="n">
        <v>50</v>
      </c>
      <c r="S11" s="72" t="n">
        <v>0.25</v>
      </c>
      <c r="T11" s="72" t="n">
        <v>0.25</v>
      </c>
      <c r="U11" s="72" t="n">
        <v>0</v>
      </c>
    </row>
    <row r="12">
      <c r="A12" s="72" t="inlineStr">
        <is>
          <t xml:space="preserve">U066 </t>
        </is>
      </c>
      <c r="B12" s="72" t="inlineStr">
        <is>
          <t xml:space="preserve">ADM. I.U. FÍSICA APLICADA A LA CIENCIAS Y A LAS TECNOLOGIAS </t>
        </is>
      </c>
      <c r="C12" s="72" t="inlineStr">
        <is>
          <t xml:space="preserve">DOCTORADO EN FÍSICA APLICADA A LAS CIENCIAS Y LAS TECNOLOGÍAS </t>
        </is>
      </c>
      <c r="D12" s="72" t="inlineStr">
        <is>
          <t xml:space="preserve">Gil Casas, Maria Amparo </t>
        </is>
      </c>
      <c r="E12" s="72" t="inlineStr">
        <is>
          <t xml:space="preserve">CARACTERIZACIÓN DE LA FUNCIÓN BINOCULAR Y OCULOMOTORA EN SUJETOS CON ESCLEROSIS MÚLTIPLE </t>
        </is>
      </c>
      <c r="F12" s="72" t="inlineStr">
        <is>
          <t xml:space="preserve">21/12/2021 </t>
        </is>
      </c>
      <c r="G12" s="72" t="inlineStr">
        <is>
          <t xml:space="preserve">21516909H </t>
        </is>
      </c>
      <c r="H12" s="72" t="inlineStr">
        <is>
          <t xml:space="preserve">Codirector de tesis </t>
        </is>
      </c>
      <c r="I12" s="72" t="inlineStr">
        <is>
          <t xml:space="preserve">B178 </t>
        </is>
      </c>
      <c r="J12" s="72" t="inlineStr">
        <is>
          <t xml:space="preserve">ÓPTICA, FARMACOLOGÍA Y ANATOMÍA </t>
        </is>
      </c>
      <c r="K12" s="73" t="n">
        <v>0.5</v>
      </c>
      <c r="L12" s="73" t="inlineStr">
        <is>
          <t>B178</t>
        </is>
      </c>
      <c r="M12" s="72" t="n">
        <v>2021</v>
      </c>
      <c r="N12" s="72" t="inlineStr"/>
      <c r="O12" s="14" t="inlineStr"/>
      <c r="P12" s="72" t="inlineStr"/>
      <c r="Q12" s="14" t="inlineStr"/>
      <c r="R12" s="72" t="n">
        <v>100</v>
      </c>
      <c r="S12" s="72" t="n">
        <v>0.5</v>
      </c>
      <c r="T12" s="72" t="n">
        <v>0</v>
      </c>
      <c r="U12" s="72" t="n">
        <v>0</v>
      </c>
    </row>
    <row r="13">
      <c r="A13" s="72" t="inlineStr">
        <is>
          <t xml:space="preserve">U066 </t>
        </is>
      </c>
      <c r="B13" s="72" t="inlineStr">
        <is>
          <t xml:space="preserve">ADM. I.U. FÍSICA APLICADA A LA CIENCIAS Y A LAS TECNOLOGIAS </t>
        </is>
      </c>
      <c r="C13" s="72" t="inlineStr">
        <is>
          <t xml:space="preserve">DOCTORADO EN FÍSICA APLICADA A LAS CIENCIAS Y LAS TECNOLOGÍAS </t>
        </is>
      </c>
      <c r="D13" s="72" t="inlineStr">
        <is>
          <t xml:space="preserve">Gil Casas, Maria Amparo </t>
        </is>
      </c>
      <c r="E13" s="72" t="inlineStr">
        <is>
          <t xml:space="preserve">CARACTERIZACIÓN DE LA FUNCIÓN BINOCULAR Y OCULOMOTORA EN SUJETOS CON ESCLEROSIS MÚLTIPLE </t>
        </is>
      </c>
      <c r="F13" s="72" t="inlineStr">
        <is>
          <t xml:space="preserve">21/12/2021 </t>
        </is>
      </c>
      <c r="G13" s="72" t="inlineStr">
        <is>
          <t xml:space="preserve">20047589F </t>
        </is>
      </c>
      <c r="H13" s="72" t="inlineStr">
        <is>
          <t xml:space="preserve">Codirector de tesis </t>
        </is>
      </c>
      <c r="I13" s="72" t="inlineStr">
        <is>
          <t xml:space="preserve">B178 </t>
        </is>
      </c>
      <c r="J13" s="72" t="inlineStr">
        <is>
          <t xml:space="preserve">ÓPTICA, FARMACOLOGÍA Y ANATOMÍA </t>
        </is>
      </c>
      <c r="K13" s="73" t="n">
        <v>0.5</v>
      </c>
      <c r="L13" s="73" t="inlineStr">
        <is>
          <t>B178</t>
        </is>
      </c>
      <c r="M13" s="72" t="n">
        <v>2021</v>
      </c>
      <c r="N13" s="72" t="inlineStr"/>
      <c r="O13" s="14" t="inlineStr"/>
      <c r="P13" s="72" t="inlineStr"/>
      <c r="Q13" s="14" t="inlineStr"/>
      <c r="R13" s="72" t="n">
        <v>100</v>
      </c>
      <c r="S13" s="72" t="n">
        <v>0.5</v>
      </c>
      <c r="T13" s="72" t="n">
        <v>0</v>
      </c>
      <c r="U13" s="72" t="n">
        <v>0</v>
      </c>
    </row>
    <row r="14">
      <c r="A14" s="72" t="inlineStr">
        <is>
          <t xml:space="preserve">U044 </t>
        </is>
      </c>
      <c r="B14" s="72" t="inlineStr">
        <is>
          <t xml:space="preserve">ADM. FACULTAD DE CIENCIAS DE LA SALUD </t>
        </is>
      </c>
      <c r="C14" s="72" t="inlineStr">
        <is>
          <t xml:space="preserve">DOCTORADO EN CIENCIAS DE LA SALUD </t>
        </is>
      </c>
      <c r="D14" s="72" t="inlineStr">
        <is>
          <t xml:space="preserve">Cantó Sancho, Natalia </t>
        </is>
      </c>
      <c r="E14" s="72" t="inlineStr">
        <is>
          <t xml:space="preserve">Traducción, adaptación cultural y validación del cuestionario de Síndrome Visual Informático (CVS-Q©) al italiano, portugués, persa, eslovaco, chino e inglés </t>
        </is>
      </c>
      <c r="F14" s="72" t="inlineStr">
        <is>
          <t xml:space="preserve">12/09/2023 </t>
        </is>
      </c>
      <c r="G14" s="72" t="inlineStr">
        <is>
          <t xml:space="preserve">21472440P </t>
        </is>
      </c>
      <c r="H14" s="72" t="inlineStr">
        <is>
          <t xml:space="preserve">Codirector de tesis </t>
        </is>
      </c>
      <c r="I14" s="72" t="inlineStr">
        <is>
          <t xml:space="preserve">B178 </t>
        </is>
      </c>
      <c r="J14" s="72" t="inlineStr">
        <is>
          <t xml:space="preserve">ÓPTICA, FARMACOLOGÍA Y ANATOMÍA </t>
        </is>
      </c>
      <c r="K14" s="34" t="n">
        <v>0.5</v>
      </c>
      <c r="L14" s="34" t="inlineStr">
        <is>
          <t>B178</t>
        </is>
      </c>
      <c r="M14" s="72" t="n">
        <v>2022</v>
      </c>
      <c r="N14" s="34" t="inlineStr"/>
      <c r="O14" s="34" t="inlineStr"/>
      <c r="P14" s="34" t="inlineStr"/>
      <c r="Q14" s="34" t="inlineStr"/>
      <c r="R14" s="34" t="n">
        <v>100</v>
      </c>
      <c r="S14" s="34" t="n">
        <v>0.5</v>
      </c>
      <c r="T14" s="34" t="n">
        <v>0</v>
      </c>
      <c r="U14" s="34" t="n">
        <v>0</v>
      </c>
    </row>
    <row r="15">
      <c r="A15" s="72" t="inlineStr">
        <is>
          <t xml:space="preserve">U044 </t>
        </is>
      </c>
      <c r="B15" s="72" t="inlineStr">
        <is>
          <t xml:space="preserve">ADM. FACULTAD DE CIENCIAS DE LA SALUD </t>
        </is>
      </c>
      <c r="C15" s="72" t="inlineStr">
        <is>
          <t xml:space="preserve">DOCTORADO EN CIENCIAS DE LA SALUD </t>
        </is>
      </c>
      <c r="D15" s="72" t="inlineStr">
        <is>
          <t xml:space="preserve">Artime Ríos, Eva María </t>
        </is>
      </c>
      <c r="E15" s="72" t="inlineStr">
        <is>
          <t xml:space="preserve">EFECTO DEL EMPLEO DE LA HISTORIA CLÍNICA DIGITAL EN LA SINTOMATOLOGÍA OCULAR Y VISUAL DE TRABAJADORES SANITARIOS </t>
        </is>
      </c>
      <c r="F15" s="72" t="inlineStr">
        <is>
          <t xml:space="preserve">29/09/2023 </t>
        </is>
      </c>
      <c r="G15" s="72" t="inlineStr">
        <is>
          <t xml:space="preserve">21472440P </t>
        </is>
      </c>
      <c r="H15" s="72" t="inlineStr">
        <is>
          <t xml:space="preserve">Codirector de tesis </t>
        </is>
      </c>
      <c r="I15" s="72" t="inlineStr">
        <is>
          <t xml:space="preserve">B178 </t>
        </is>
      </c>
      <c r="J15" s="72" t="inlineStr">
        <is>
          <t xml:space="preserve">ÓPTICA, FARMACOLOGÍA Y ANATOMÍA </t>
        </is>
      </c>
      <c r="K15" s="34" t="n">
        <v>0.5</v>
      </c>
      <c r="L15" s="34" t="inlineStr">
        <is>
          <t>B178</t>
        </is>
      </c>
      <c r="M15" s="72" t="n">
        <v>2022</v>
      </c>
      <c r="N15" s="34" t="inlineStr"/>
      <c r="O15" s="34" t="inlineStr"/>
      <c r="P15" s="34" t="inlineStr"/>
      <c r="Q15" s="34" t="inlineStr"/>
      <c r="R15" s="34" t="n">
        <v>100</v>
      </c>
      <c r="S15" s="34" t="n">
        <v>0.5</v>
      </c>
      <c r="T15" s="34" t="n">
        <v>0</v>
      </c>
      <c r="U15" s="34" t="n">
        <v>0</v>
      </c>
    </row>
    <row r="16">
      <c r="A16" s="72" t="inlineStr">
        <is>
          <t xml:space="preserve">U066 </t>
        </is>
      </c>
      <c r="B16" s="72" t="inlineStr">
        <is>
          <t xml:space="preserve">I.U. FÍSICA APLICADA A LA CIENCIAS Y A LAS TECNOLOGIAS (10.20) </t>
        </is>
      </c>
      <c r="C16" s="72" t="inlineStr">
        <is>
          <t xml:space="preserve">DOCTORADO EN FÍSICA APLICADA A LAS CIENCIAS Y LAS TECNOLOGÍAS </t>
        </is>
      </c>
      <c r="D16" s="72" t="inlineStr">
        <is>
          <t xml:space="preserve">Hernández Rodríguez, Carlos Javier </t>
        </is>
      </c>
      <c r="E16" s="72" t="inlineStr">
        <is>
          <t xml:space="preserve">EFECTIVIDAD DE LA TERAPIA VISUAL BASADA EN APRENDIZAJE PERCEPTUAL Y TERAPIA DICÓPTICA PARA LA REHABILITACIÓN DE LA AMBLIOPÍA EN PACIENTES RESISTENTES AL PARCHE </t>
        </is>
      </c>
      <c r="F16" s="72" t="inlineStr">
        <is>
          <t xml:space="preserve">07/07/2023 </t>
        </is>
      </c>
      <c r="G16" s="72" t="inlineStr">
        <is>
          <t xml:space="preserve">21516909H </t>
        </is>
      </c>
      <c r="H16" s="72" t="inlineStr">
        <is>
          <t xml:space="preserve">Director de tesis </t>
        </is>
      </c>
      <c r="I16" s="72" t="inlineStr">
        <is>
          <t xml:space="preserve">B178 </t>
        </is>
      </c>
      <c r="J16" s="72" t="inlineStr">
        <is>
          <t xml:space="preserve">ÓPTICA, FARMACOLOGÍA Y ANATOMÍA </t>
        </is>
      </c>
      <c r="K16" s="34" t="n">
        <v>1</v>
      </c>
      <c r="L16" s="34" t="inlineStr">
        <is>
          <t>B178</t>
        </is>
      </c>
      <c r="M16" s="72" t="n">
        <v>2022</v>
      </c>
      <c r="N16" s="34" t="inlineStr"/>
      <c r="O16" s="34" t="inlineStr"/>
      <c r="P16" s="34" t="inlineStr"/>
      <c r="Q16" s="34" t="inlineStr"/>
      <c r="R16" s="34" t="n">
        <v>100</v>
      </c>
      <c r="S16" s="34" t="n">
        <v>1</v>
      </c>
      <c r="T16" s="34" t="n">
        <v>0</v>
      </c>
      <c r="U16" s="34" t="n">
        <v>0</v>
      </c>
    </row>
    <row r="17">
      <c r="A17" s="72" t="inlineStr">
        <is>
          <t xml:space="preserve">U066 </t>
        </is>
      </c>
      <c r="B17" s="72" t="inlineStr">
        <is>
          <t xml:space="preserve">I.U. FÍSICA APLICADA A LA CIENCIAS Y A LAS TECNOLOGIAS (10.20) </t>
        </is>
      </c>
      <c r="C17" s="72" t="inlineStr">
        <is>
          <t xml:space="preserve">DOCTORADO EN FÍSICA APLICADA A LAS CIENCIAS Y LAS TECNOLOGÍAS </t>
        </is>
      </c>
      <c r="D17" s="72" t="inlineStr">
        <is>
          <t xml:space="preserve">Sánchez García, Alicia </t>
        </is>
      </c>
      <c r="E17" s="72" t="inlineStr">
        <is>
          <t xml:space="preserve">CARACTERIZACIÓN DEL EFECTO ORTOQUERATOLÓGICO EN MIOPÍA E HIPERMETROPÍA: FACTORES DE PREDICCIÓN DEL ÉXITO DEL RESULTADO </t>
        </is>
      </c>
      <c r="F17" s="72" t="inlineStr">
        <is>
          <t xml:space="preserve">18/11/2022 </t>
        </is>
      </c>
      <c r="G17" s="72" t="inlineStr">
        <is>
          <t xml:space="preserve">21516909H </t>
        </is>
      </c>
      <c r="H17" s="72" t="inlineStr">
        <is>
          <t xml:space="preserve">Codirector de tesis </t>
        </is>
      </c>
      <c r="I17" s="72" t="inlineStr">
        <is>
          <t xml:space="preserve">B178 </t>
        </is>
      </c>
      <c r="J17" s="72" t="inlineStr">
        <is>
          <t xml:space="preserve">ÓPTICA, FARMACOLOGÍA Y ANATOMÍA </t>
        </is>
      </c>
      <c r="K17" s="34" t="n">
        <v>0.5</v>
      </c>
      <c r="L17" s="34" t="inlineStr">
        <is>
          <t>B178</t>
        </is>
      </c>
      <c r="M17" s="72" t="n">
        <v>2022</v>
      </c>
      <c r="N17" s="34" t="inlineStr"/>
      <c r="O17" s="34" t="inlineStr"/>
      <c r="P17" s="34" t="inlineStr"/>
      <c r="Q17" s="34" t="inlineStr"/>
      <c r="R17" s="34" t="n">
        <v>100</v>
      </c>
      <c r="S17" s="34" t="n">
        <v>0.5</v>
      </c>
      <c r="T17" s="34" t="n">
        <v>0</v>
      </c>
      <c r="U17" s="34" t="n">
        <v>0</v>
      </c>
    </row>
    <row r="18">
      <c r="A18" s="72" t="inlineStr">
        <is>
          <t xml:space="preserve">U066 </t>
        </is>
      </c>
      <c r="B18" s="72" t="inlineStr">
        <is>
          <t xml:space="preserve">I.U. FÍSICA APLICADA A LA CIENCIAS Y A LAS TECNOLOGIAS (10.20) </t>
        </is>
      </c>
      <c r="C18" s="72" t="inlineStr">
        <is>
          <t xml:space="preserve">DOCTORADO EN FÍSICA APLICADA A LAS CIENCIAS Y LAS TECNOLOGÍAS </t>
        </is>
      </c>
      <c r="D18" s="72" t="inlineStr">
        <is>
          <t xml:space="preserve">Bayón Rozas, Sergio </t>
        </is>
      </c>
      <c r="E18" s="72" t="inlineStr">
        <is>
          <t xml:space="preserve">Image measurement and interpretation based on goniometrical textural data </t>
        </is>
      </c>
      <c r="F18" s="72" t="inlineStr">
        <is>
          <t xml:space="preserve">19/12/2022 </t>
        </is>
      </c>
      <c r="G18" s="72" t="inlineStr">
        <is>
          <t xml:space="preserve">73996071B </t>
        </is>
      </c>
      <c r="H18" s="72" t="inlineStr">
        <is>
          <t xml:space="preserve">Director de tesis </t>
        </is>
      </c>
      <c r="I18" s="72" t="inlineStr">
        <is>
          <t xml:space="preserve">B178 </t>
        </is>
      </c>
      <c r="J18" s="72" t="inlineStr">
        <is>
          <t xml:space="preserve">ÓPTICA, FARMACOLOGÍA Y ANATOMÍA </t>
        </is>
      </c>
      <c r="K18" s="34" t="n">
        <v>1</v>
      </c>
      <c r="L18" s="34" t="inlineStr">
        <is>
          <t>B178</t>
        </is>
      </c>
      <c r="M18" s="72" t="n">
        <v>2022</v>
      </c>
      <c r="N18" s="34" t="inlineStr">
        <is>
          <t>10.20</t>
        </is>
      </c>
      <c r="O18" s="34" t="n">
        <v>50</v>
      </c>
      <c r="P18" s="34" t="inlineStr"/>
      <c r="Q18" s="34" t="n">
        <v>0</v>
      </c>
      <c r="R18" s="34" t="n">
        <v>50</v>
      </c>
      <c r="S18" s="34" t="n">
        <v>0.5</v>
      </c>
      <c r="T18" s="34" t="n">
        <v>0.5</v>
      </c>
      <c r="U18" s="34" t="n">
        <v>0</v>
      </c>
    </row>
    <row r="19">
      <c r="A19" s="72" t="inlineStr">
        <is>
          <t xml:space="preserve">U066 </t>
        </is>
      </c>
      <c r="B19" s="72" t="inlineStr">
        <is>
          <t xml:space="preserve">I.U. FÍSICA APLICADA A LA CIENCIAS Y A LAS TECNOLOGIAS (10.20) </t>
        </is>
      </c>
      <c r="C19" s="72" t="inlineStr">
        <is>
          <t xml:space="preserve">DOCTORADO EN FÍSICA APLICADA A LAS CIENCIAS Y LAS TECNOLOGÍAS </t>
        </is>
      </c>
      <c r="D19" s="72" t="inlineStr">
        <is>
          <t xml:space="preserve">Milla Barrios, Miriam </t>
        </is>
      </c>
      <c r="E19" s="72" t="inlineStr">
        <is>
          <t xml:space="preserve">Ambliopía estrábica: Caraterización y manejo clínico </t>
        </is>
      </c>
      <c r="F19" s="72" t="inlineStr">
        <is>
          <t xml:space="preserve">23/12/2022 </t>
        </is>
      </c>
      <c r="G19" s="72" t="inlineStr">
        <is>
          <t xml:space="preserve">21516909H </t>
        </is>
      </c>
      <c r="H19" s="72" t="inlineStr">
        <is>
          <t xml:space="preserve">Codirector de tesis </t>
        </is>
      </c>
      <c r="I19" s="72" t="inlineStr">
        <is>
          <t xml:space="preserve">B178 </t>
        </is>
      </c>
      <c r="J19" s="72" t="inlineStr">
        <is>
          <t xml:space="preserve">ÓPTICA, FARMACOLOGÍA Y ANATOMÍA </t>
        </is>
      </c>
      <c r="K19" s="34" t="n">
        <v>0.5</v>
      </c>
      <c r="L19" s="34" t="inlineStr">
        <is>
          <t>B178</t>
        </is>
      </c>
      <c r="M19" s="72" t="n">
        <v>2022</v>
      </c>
      <c r="N19" s="34" t="inlineStr"/>
      <c r="O19" s="34" t="inlineStr"/>
      <c r="P19" s="34" t="inlineStr"/>
      <c r="Q19" s="34" t="inlineStr"/>
      <c r="R19" s="34" t="n">
        <v>100</v>
      </c>
      <c r="S19" s="34" t="n">
        <v>0.5</v>
      </c>
      <c r="T19" s="34" t="n">
        <v>0</v>
      </c>
      <c r="U19" s="34" t="n">
        <v>0</v>
      </c>
    </row>
    <row r="20">
      <c r="A20" s="72" t="inlineStr">
        <is>
          <t xml:space="preserve">U066 </t>
        </is>
      </c>
      <c r="B20" s="72" t="inlineStr">
        <is>
          <t xml:space="preserve">I.U. FÍSICA APLICADA A LA CIENCIAS Y A LAS TECNOLOGIAS (10.20) </t>
        </is>
      </c>
      <c r="C20" s="72" t="inlineStr">
        <is>
          <t xml:space="preserve">DOCTORADO EN FÍSICA APLICADA A LAS CIENCIAS Y LAS TECNOLOGÍAS </t>
        </is>
      </c>
      <c r="D20" s="72" t="inlineStr">
        <is>
          <t xml:space="preserve">Milla Barrios, Miriam </t>
        </is>
      </c>
      <c r="E20" s="72" t="inlineStr">
        <is>
          <t xml:space="preserve">Ambliopía estrábica: Caraterización y manejo clínico </t>
        </is>
      </c>
      <c r="F20" s="72" t="inlineStr">
        <is>
          <t xml:space="preserve">23/12/2022 </t>
        </is>
      </c>
      <c r="G20" s="72" t="inlineStr">
        <is>
          <t xml:space="preserve">20047589F </t>
        </is>
      </c>
      <c r="H20" s="72" t="inlineStr">
        <is>
          <t xml:space="preserve">Codirector de tesis </t>
        </is>
      </c>
      <c r="I20" s="72" t="inlineStr">
        <is>
          <t xml:space="preserve">B178 </t>
        </is>
      </c>
      <c r="J20" s="72" t="inlineStr">
        <is>
          <t xml:space="preserve">ÓPTICA, FARMACOLOGÍA Y ANATOMÍA </t>
        </is>
      </c>
      <c r="K20" s="34" t="n">
        <v>0.5</v>
      </c>
      <c r="L20" s="34" t="inlineStr">
        <is>
          <t>B178</t>
        </is>
      </c>
      <c r="M20" s="72" t="n">
        <v>2022</v>
      </c>
      <c r="N20" s="34" t="inlineStr"/>
      <c r="O20" s="34" t="inlineStr"/>
      <c r="P20" s="34" t="inlineStr"/>
      <c r="Q20" s="34" t="inlineStr"/>
      <c r="R20" s="34" t="n">
        <v>100</v>
      </c>
      <c r="S20" s="34" t="n">
        <v>0.5</v>
      </c>
      <c r="T20" s="34" t="n">
        <v>0</v>
      </c>
      <c r="U20" s="34" t="n">
        <v>0</v>
      </c>
    </row>
    <row r="21">
      <c r="A21" s="72" t="inlineStr">
        <is>
          <t xml:space="preserve">U066 </t>
        </is>
      </c>
      <c r="B21" s="72" t="inlineStr">
        <is>
          <t xml:space="preserve">I.U. FÍSICA APLICADA A LA CIENCIAS Y A LAS TECNOLOGIAS (10.20) </t>
        </is>
      </c>
      <c r="C21" s="72" t="inlineStr">
        <is>
          <t xml:space="preserve">DOCTORADO EN FÍSICA APLICADA A LAS CIENCIAS Y LAS TECNOLOGÍAS </t>
        </is>
      </c>
      <c r="D21" s="72" t="inlineStr">
        <is>
          <t xml:space="preserve">Fukumitsu Miyamoto, Hideki </t>
        </is>
      </c>
      <c r="E21" s="72" t="inlineStr">
        <is>
          <t xml:space="preserve">OPTIMIZACIÓN DEL CÁLCULO DE LENTES INTRAOCULARES EN BASE A LA CARACTERIZACIÓN DE LA POSICIÓN ANATÓMICA DE LA LENTE MEDIANTE REFLECTOMETRÍA ÓPTICA DE BAJA COHERENCIA </t>
        </is>
      </c>
      <c r="F21" s="72" t="inlineStr">
        <is>
          <t xml:space="preserve">31/03/2023 </t>
        </is>
      </c>
      <c r="G21" s="72" t="inlineStr">
        <is>
          <t xml:space="preserve">21516909H </t>
        </is>
      </c>
      <c r="H21" s="72" t="inlineStr">
        <is>
          <t xml:space="preserve">Director de tesis </t>
        </is>
      </c>
      <c r="I21" s="72" t="inlineStr">
        <is>
          <t xml:space="preserve">B178 </t>
        </is>
      </c>
      <c r="J21" s="72" t="inlineStr">
        <is>
          <t xml:space="preserve">ÓPTICA, FARMACOLOGÍA Y ANATOMÍA </t>
        </is>
      </c>
      <c r="K21" s="34" t="n">
        <v>1</v>
      </c>
      <c r="L21" s="34" t="inlineStr">
        <is>
          <t>B178</t>
        </is>
      </c>
      <c r="M21" s="72" t="n">
        <v>2022</v>
      </c>
      <c r="N21" s="34" t="inlineStr"/>
      <c r="O21" s="34" t="inlineStr"/>
      <c r="P21" s="34" t="inlineStr"/>
      <c r="Q21" s="34" t="inlineStr"/>
      <c r="R21" s="34" t="n">
        <v>100</v>
      </c>
      <c r="S21" s="34" t="n">
        <v>1</v>
      </c>
      <c r="T21" s="34" t="n">
        <v>0</v>
      </c>
      <c r="U21" s="34" t="n">
        <v>0</v>
      </c>
    </row>
    <row r="22" customFormat="1" s="75">
      <c r="A22" s="72" t="inlineStr">
        <is>
          <t>U044</t>
        </is>
      </c>
      <c r="B22" s="72" t="inlineStr">
        <is>
          <t>ADM. FACULTAD DE CIENCIAS DE LA SALUD</t>
        </is>
      </c>
      <c r="C22" s="72" t="inlineStr">
        <is>
          <t>DOCTORADO EN CIENCIAS DE LA SALUD</t>
        </is>
      </c>
      <c r="D22" s="72" t="inlineStr">
        <is>
          <t>Sánchez Brau, María del Mar</t>
        </is>
      </c>
      <c r="E22" s="72" t="inlineStr">
        <is>
          <t>Análisis de los factores determinantes del síndrome visual informático y la influencia del diseño de lentes progresivas para su prevención</t>
        </is>
      </c>
      <c r="F22" s="72" t="inlineStr">
        <is>
          <t>10/09/2024</t>
        </is>
      </c>
      <c r="G22" s="72" t="inlineStr">
        <is>
          <t>21472440P</t>
        </is>
      </c>
      <c r="H22" s="72" t="inlineStr">
        <is>
          <t>Director de tesis</t>
        </is>
      </c>
      <c r="I22" s="73" t="inlineStr">
        <is>
          <t>B178</t>
        </is>
      </c>
      <c r="J22" s="72" t="inlineStr">
        <is>
          <t>ÓPTICA, FARMACOLOGÍA Y ANATOMÍA</t>
        </is>
      </c>
      <c r="K22" s="34" t="n">
        <v>1</v>
      </c>
      <c r="L22" s="34" t="inlineStr">
        <is>
          <t>B178</t>
        </is>
      </c>
      <c r="M22" s="34" t="n">
        <v>2023</v>
      </c>
      <c r="N22" s="34" t="inlineStr"/>
      <c r="O22" s="34" t="inlineStr"/>
      <c r="P22" s="34" t="inlineStr"/>
      <c r="Q22" s="34" t="inlineStr"/>
      <c r="R22" s="34" t="n">
        <v>100</v>
      </c>
      <c r="S22" s="34" t="n">
        <v>1</v>
      </c>
      <c r="T22" s="34" t="n">
        <v>0</v>
      </c>
      <c r="U22" s="34" t="n">
        <v>0</v>
      </c>
      <c r="V22" s="74" t="inlineStr">
        <is>
          <t>S</t>
        </is>
      </c>
    </row>
    <row r="23" customFormat="1" s="75">
      <c r="A23" s="72" t="inlineStr">
        <is>
          <t>B164</t>
        </is>
      </c>
      <c r="B23" s="72" t="inlineStr">
        <is>
          <t>Fisiología, Genética y Microbiología</t>
        </is>
      </c>
      <c r="C23" s="72" t="inlineStr">
        <is>
          <t>DOCTORADO EN BIOLOGÍA EXPERIMENTAL Y APLICADA</t>
        </is>
      </c>
      <c r="D23" s="72" t="inlineStr">
        <is>
          <t>Juvier Riesgo, Tamara</t>
        </is>
      </c>
      <c r="E23" s="72" t="inlineStr">
        <is>
          <t>Análisis comparativo entre una plataforma de realidad virtual asistida por inteligencia artificial y el
examen convencional para la evaluación de funciones visuales en neuro-oftalmología</t>
        </is>
      </c>
      <c r="F23" s="72" t="inlineStr">
        <is>
          <t>09/06/2025</t>
        </is>
      </c>
      <c r="G23" s="72" t="inlineStr">
        <is>
          <t>25416455Y</t>
        </is>
      </c>
      <c r="H23" s="72" t="inlineStr">
        <is>
          <t>Codirector de tesis</t>
        </is>
      </c>
      <c r="I23" s="73" t="inlineStr">
        <is>
          <t>B178</t>
        </is>
      </c>
      <c r="J23" s="72" t="inlineStr">
        <is>
          <t>Óptica, Farmacología y Anatomía</t>
        </is>
      </c>
      <c r="K23" s="34" t="n">
        <v>0.5</v>
      </c>
      <c r="L23" s="34" t="inlineStr">
        <is>
          <t>B178</t>
        </is>
      </c>
      <c r="M23" s="34" t="n">
        <v>2024</v>
      </c>
      <c r="N23" s="34" t="inlineStr"/>
      <c r="O23" s="34" t="inlineStr"/>
      <c r="P23" s="34" t="inlineStr"/>
      <c r="Q23" s="34" t="inlineStr"/>
      <c r="R23" s="34" t="n">
        <v>100</v>
      </c>
      <c r="S23" s="34" t="n">
        <v>0.5</v>
      </c>
      <c r="T23" s="34" t="n">
        <v>0</v>
      </c>
      <c r="U23" s="34" t="n">
        <v>0</v>
      </c>
      <c r="V23" s="74" t="n"/>
    </row>
    <row r="24" customFormat="1" s="75">
      <c r="A24" s="72" t="inlineStr">
        <is>
          <t>U044</t>
        </is>
      </c>
      <c r="B24" s="72" t="inlineStr">
        <is>
          <t>Administración Facultad de Ciencias de la Salud</t>
        </is>
      </c>
      <c r="C24" s="72" t="inlineStr">
        <is>
          <t>DOCTORADO EN CIENCIAS DE LA SALUD</t>
        </is>
      </c>
      <c r="D24" s="72" t="inlineStr">
        <is>
          <t>Cervera Sánchez, Zaíra</t>
        </is>
      </c>
      <c r="E24" s="72" t="inlineStr">
        <is>
          <t>EFICACIA DE LA FOTOTERAPIA OPTOMÉTRICA SYNTONIC PARA PRODUCIR CAMBIOS EN LA SINTOMATOLOGÍA VISUAL, EL ESTADO REFRACTIVO, LA VISIÓN BINOCULAR Y LA FUNCIÓN VISUAL</t>
        </is>
      </c>
      <c r="F24" s="72" t="inlineStr">
        <is>
          <t>06/02/2025</t>
        </is>
      </c>
      <c r="G24" s="72" t="inlineStr">
        <is>
          <t>22003995X</t>
        </is>
      </c>
      <c r="H24" s="72" t="inlineStr">
        <is>
          <t>Codirector de tesis</t>
        </is>
      </c>
      <c r="I24" s="73" t="inlineStr">
        <is>
          <t>B178</t>
        </is>
      </c>
      <c r="J24" s="72" t="inlineStr">
        <is>
          <t>Óptica, Farmacología y Anatomía</t>
        </is>
      </c>
      <c r="K24" s="34" t="n">
        <v>0.5</v>
      </c>
      <c r="L24" s="34" t="inlineStr">
        <is>
          <t>B178</t>
        </is>
      </c>
      <c r="M24" s="34" t="n">
        <v>2024</v>
      </c>
      <c r="N24" s="34" t="inlineStr"/>
      <c r="O24" s="34" t="inlineStr"/>
      <c r="P24" s="34" t="inlineStr"/>
      <c r="Q24" s="34" t="inlineStr"/>
      <c r="R24" s="34" t="n">
        <v>100</v>
      </c>
      <c r="S24" s="34" t="n">
        <v>0.5</v>
      </c>
      <c r="T24" s="34" t="n">
        <v>0</v>
      </c>
      <c r="U24" s="34" t="n">
        <v>0</v>
      </c>
      <c r="V24" s="74" t="n"/>
    </row>
    <row r="25" customFormat="1" s="75">
      <c r="A25" s="72" t="inlineStr">
        <is>
          <t>U044</t>
        </is>
      </c>
      <c r="B25" s="72" t="inlineStr">
        <is>
          <t>Administración Facultad de Ciencias de la Salud</t>
        </is>
      </c>
      <c r="C25" s="72" t="inlineStr">
        <is>
          <t>DOCTORADO EN CIENCIAS DE LA SALUD</t>
        </is>
      </c>
      <c r="D25" s="72" t="inlineStr">
        <is>
          <t>Cervera Sánchez, Zaíra</t>
        </is>
      </c>
      <c r="E25" s="72" t="inlineStr">
        <is>
          <t>EFICACIA DE LA FOTOTERAPIA OPTOMÉTRICA SYNTONIC PARA PRODUCIR CAMBIOS EN LA SINTOMATOLOGÍA VISUAL, EL ESTADO REFRACTIVO, LA VISIÓN BINOCULAR Y LA FUNCIÓN VISUAL</t>
        </is>
      </c>
      <c r="F25" s="72" t="inlineStr">
        <is>
          <t>06/02/2025</t>
        </is>
      </c>
      <c r="G25" s="72" t="inlineStr">
        <is>
          <t>52754474H</t>
        </is>
      </c>
      <c r="H25" s="72" t="inlineStr">
        <is>
          <t>Codirector de tesis</t>
        </is>
      </c>
      <c r="I25" s="73" t="inlineStr">
        <is>
          <t>B178</t>
        </is>
      </c>
      <c r="J25" s="72" t="inlineStr">
        <is>
          <t>Óptica, Farmacología y Anatomía</t>
        </is>
      </c>
      <c r="K25" s="34" t="n">
        <v>0.5</v>
      </c>
      <c r="L25" s="34" t="inlineStr">
        <is>
          <t>B178</t>
        </is>
      </c>
      <c r="M25" s="34" t="n">
        <v>2024</v>
      </c>
      <c r="N25" s="34" t="inlineStr"/>
      <c r="O25" s="34" t="inlineStr"/>
      <c r="P25" s="34" t="inlineStr"/>
      <c r="Q25" s="34" t="inlineStr"/>
      <c r="R25" s="34" t="n">
        <v>100</v>
      </c>
      <c r="S25" s="34" t="n">
        <v>0.5</v>
      </c>
      <c r="T25" s="34" t="n">
        <v>0</v>
      </c>
      <c r="U25" s="34" t="n">
        <v>0</v>
      </c>
      <c r="V25" s="74" t="n"/>
    </row>
    <row r="26" customFormat="1" s="75">
      <c r="A26" s="72" t="inlineStr">
        <is>
          <t>U044</t>
        </is>
      </c>
      <c r="B26" s="72" t="inlineStr">
        <is>
          <t>Administración Facultad de Ciencias de la Salud</t>
        </is>
      </c>
      <c r="C26" s="72" t="inlineStr">
        <is>
          <t>DOCTORADO EN CIENCIAS DE LA SALUD</t>
        </is>
      </c>
      <c r="D26" s="72" t="inlineStr">
        <is>
          <t>DEL ROSARIO GILABERT, David</t>
        </is>
      </c>
      <c r="E26" s="72" t="inlineStr">
        <is>
          <t>Efectos de las ondas mecánicas audibles sobre neuronas no auditivas: diseño e
implementación de dispositivos biocompatibles para aplicaciones de sonobiología</t>
        </is>
      </c>
      <c r="F26" s="72" t="inlineStr">
        <is>
          <t>25/03/2025</t>
        </is>
      </c>
      <c r="G26" s="72" t="inlineStr">
        <is>
          <t>48536273V</t>
        </is>
      </c>
      <c r="H26" s="72" t="inlineStr">
        <is>
          <t>Codirector de tesis</t>
        </is>
      </c>
      <c r="I26" s="73" t="inlineStr">
        <is>
          <t>B178</t>
        </is>
      </c>
      <c r="J26" s="72" t="inlineStr">
        <is>
          <t>Óptica, Farmacología y Anatomía</t>
        </is>
      </c>
      <c r="K26" s="34" t="n">
        <v>0.5</v>
      </c>
      <c r="L26" s="34" t="inlineStr">
        <is>
          <t>B178</t>
        </is>
      </c>
      <c r="M26" s="34" t="n">
        <v>2024</v>
      </c>
      <c r="N26" s="34" t="inlineStr"/>
      <c r="O26" s="34" t="inlineStr"/>
      <c r="P26" s="34" t="inlineStr"/>
      <c r="Q26" s="34" t="inlineStr"/>
      <c r="R26" s="34" t="n">
        <v>100</v>
      </c>
      <c r="S26" s="34" t="n">
        <v>0.5</v>
      </c>
      <c r="T26" s="34" t="n">
        <v>0</v>
      </c>
      <c r="U26" s="34" t="n">
        <v>0</v>
      </c>
      <c r="V26" s="74" t="n"/>
    </row>
    <row r="27" customFormat="1" s="75">
      <c r="A27" s="72" t="inlineStr">
        <is>
          <t>U066</t>
        </is>
      </c>
      <c r="B27" s="72" t="inlineStr">
        <is>
          <t>Instituto Universitario de Física Aplicada a las Ciencias y las Tecnologías (10.</t>
        </is>
      </c>
      <c r="C27" s="72" t="inlineStr">
        <is>
          <t>DOCTORADO EN FÍSICA APLICADA A LAS CIENCIAS Y LAS TECNOLOGÍAS</t>
        </is>
      </c>
      <c r="D27" s="72" t="inlineStr">
        <is>
          <t>Lloret López, Tomás</t>
        </is>
      </c>
      <c r="E27" s="72" t="inlineStr">
        <is>
          <t>Holographic lens characterization for
imaging and nonimaging photonics systems</t>
        </is>
      </c>
      <c r="F27" s="72" t="inlineStr">
        <is>
          <t>07/02/2025</t>
        </is>
      </c>
      <c r="G27" s="72" t="inlineStr">
        <is>
          <t>15421218V</t>
        </is>
      </c>
      <c r="H27" s="72" t="inlineStr">
        <is>
          <t>Codirector de tesis</t>
        </is>
      </c>
      <c r="I27" s="73" t="inlineStr">
        <is>
          <t>B178</t>
        </is>
      </c>
      <c r="J27" s="72" t="inlineStr">
        <is>
          <t>Óptica, Farmacología y Anatomía</t>
        </is>
      </c>
      <c r="K27" s="34" t="n">
        <v>0.5</v>
      </c>
      <c r="L27" s="34" t="inlineStr">
        <is>
          <t>B178</t>
        </is>
      </c>
      <c r="M27" s="34" t="n">
        <v>2024</v>
      </c>
      <c r="N27" s="34" t="inlineStr">
        <is>
          <t>10.20</t>
        </is>
      </c>
      <c r="O27" s="34" t="inlineStr">
        <is>
          <t>50</t>
        </is>
      </c>
      <c r="P27" s="34" t="inlineStr"/>
      <c r="Q27" s="34" t="inlineStr"/>
      <c r="R27" s="34" t="n">
        <v>50</v>
      </c>
      <c r="S27" s="34" t="n">
        <v>0.25</v>
      </c>
      <c r="T27" s="34" t="n">
        <v>0.25</v>
      </c>
      <c r="U27" s="34" t="n">
        <v>0</v>
      </c>
      <c r="V27" s="74" t="n"/>
    </row>
    <row r="28" customFormat="1" s="75">
      <c r="A28" s="72" t="inlineStr">
        <is>
          <t>U066</t>
        </is>
      </c>
      <c r="B28" s="72" t="inlineStr">
        <is>
          <t>Instituto Universitario de Física Aplicada a las Ciencias y las Tecnologías (10.</t>
        </is>
      </c>
      <c r="C28" s="72" t="inlineStr">
        <is>
          <t>DOCTORADO EN FÍSICA APLICADA A LAS CIENCIAS Y LAS TECNOLOGÍAS</t>
        </is>
      </c>
      <c r="D28" s="72" t="inlineStr">
        <is>
          <t>Lloret López, Tomás</t>
        </is>
      </c>
      <c r="E28" s="72" t="inlineStr">
        <is>
          <t>Holographic lens characterization for
imaging and nonimaging photonics systems</t>
        </is>
      </c>
      <c r="F28" s="72" t="inlineStr">
        <is>
          <t>07/02/2025</t>
        </is>
      </c>
      <c r="G28" s="72" t="inlineStr">
        <is>
          <t>21983769R</t>
        </is>
      </c>
      <c r="H28" s="72" t="inlineStr">
        <is>
          <t>Codirector de tesis</t>
        </is>
      </c>
      <c r="I28" s="73" t="inlineStr">
        <is>
          <t>B178</t>
        </is>
      </c>
      <c r="J28" s="72" t="inlineStr">
        <is>
          <t>Óptica, Farmacología y Anatomía</t>
        </is>
      </c>
      <c r="K28" s="34" t="n">
        <v>0.5</v>
      </c>
      <c r="L28" s="34" t="inlineStr">
        <is>
          <t>B178</t>
        </is>
      </c>
      <c r="M28" s="34" t="n">
        <v>2024</v>
      </c>
      <c r="N28" s="34" t="inlineStr">
        <is>
          <t>10.20</t>
        </is>
      </c>
      <c r="O28" s="34" t="inlineStr">
        <is>
          <t>50</t>
        </is>
      </c>
      <c r="P28" s="34" t="inlineStr"/>
      <c r="Q28" s="34" t="inlineStr"/>
      <c r="R28" s="34" t="n">
        <v>50</v>
      </c>
      <c r="S28" s="34" t="n">
        <v>0.25</v>
      </c>
      <c r="T28" s="34" t="n">
        <v>0.25</v>
      </c>
      <c r="U28" s="34" t="n">
        <v>0</v>
      </c>
      <c r="V28" s="74" t="n"/>
    </row>
    <row r="29" customFormat="1" s="75">
      <c r="A29" s="72" t="inlineStr">
        <is>
          <t>U066</t>
        </is>
      </c>
      <c r="B29" s="72" t="inlineStr">
        <is>
          <t>Instituto Universitario de Física Aplicada a las Ciencias y las Tecnologías (10.</t>
        </is>
      </c>
      <c r="C29" s="72" t="inlineStr">
        <is>
          <t>DOCTORADO EN FÍSICA APLICADA A LAS CIENCIAS Y LAS TECNOLOGÍAS</t>
        </is>
      </c>
      <c r="D29" s="72" t="inlineStr">
        <is>
          <t>Mena Guevara, Kévin Javier</t>
        </is>
      </c>
      <c r="E29" s="72" t="inlineStr">
        <is>
          <t>VALIDACIÓN DE HERRAMIENTAS DIGITALES PARA EVALUAR LA FUNCIÓN BINOCULAR Y
LA SENSIBILIDAD AL CONTRASTE Y ESTUDIO DE SU APLICABILIDAD CLÍNICA EN EL
ÁMBITO DE LAS LENTES DE CONTACTO MULTIFOCALES</t>
        </is>
      </c>
      <c r="F29" s="72" t="inlineStr">
        <is>
          <t>20/12/2024</t>
        </is>
      </c>
      <c r="G29" s="72" t="inlineStr">
        <is>
          <t>52723265C</t>
        </is>
      </c>
      <c r="H29" s="72" t="inlineStr">
        <is>
          <t>Codirector de tesis</t>
        </is>
      </c>
      <c r="I29" s="73" t="inlineStr">
        <is>
          <t>B178</t>
        </is>
      </c>
      <c r="J29" s="72" t="inlineStr">
        <is>
          <t>Óptica, Farmacología y Anatomía</t>
        </is>
      </c>
      <c r="K29" s="34" t="n">
        <v>0.5</v>
      </c>
      <c r="L29" s="34" t="inlineStr">
        <is>
          <t>B178</t>
        </is>
      </c>
      <c r="M29" s="34" t="n">
        <v>2024</v>
      </c>
      <c r="N29" s="34" t="inlineStr"/>
      <c r="O29" s="34" t="inlineStr"/>
      <c r="P29" s="34" t="inlineStr"/>
      <c r="Q29" s="34" t="inlineStr"/>
      <c r="R29" s="34" t="n">
        <v>100</v>
      </c>
      <c r="S29" s="34" t="n">
        <v>0.5</v>
      </c>
      <c r="T29" s="34" t="n">
        <v>0</v>
      </c>
      <c r="U29" s="34" t="n">
        <v>0</v>
      </c>
      <c r="V29" s="74" t="n"/>
    </row>
    <row r="30" customFormat="1" s="75">
      <c r="A30" s="72" t="inlineStr">
        <is>
          <t>U066</t>
        </is>
      </c>
      <c r="B30" s="72" t="inlineStr">
        <is>
          <t>Instituto Universitario de Física Aplicada a las Ciencias y las Tecnologías (10.</t>
        </is>
      </c>
      <c r="C30" s="72" t="inlineStr">
        <is>
          <t>DOCTORADO EN FÍSICA APLICADA A LAS CIENCIAS Y LAS TECNOLOGÍAS</t>
        </is>
      </c>
      <c r="D30" s="72" t="inlineStr">
        <is>
          <t>Mena Guevara, Kévin Javier</t>
        </is>
      </c>
      <c r="E30" s="72" t="inlineStr">
        <is>
          <t>VALIDACIÓN DE HERRAMIENTAS DIGITALES PARA EVALUAR LA FUNCIÓN BINOCULAR Y
LA SENSIBILIDAD AL CONTRASTE Y ESTUDIO DE SU APLICABILIDAD CLÍNICA EN EL
ÁMBITO DE LAS LENTES DE CONTACTO MULTIFOCALES</t>
        </is>
      </c>
      <c r="F30" s="72" t="inlineStr">
        <is>
          <t>20/12/2024</t>
        </is>
      </c>
      <c r="G30" s="72" t="inlineStr">
        <is>
          <t>21516909H</t>
        </is>
      </c>
      <c r="H30" s="72" t="inlineStr">
        <is>
          <t>Codirector de tesis</t>
        </is>
      </c>
      <c r="I30" s="73" t="inlineStr">
        <is>
          <t>B178</t>
        </is>
      </c>
      <c r="J30" s="72" t="inlineStr">
        <is>
          <t>Óptica, Farmacología y Anatomía</t>
        </is>
      </c>
      <c r="K30" s="34" t="n">
        <v>0.5</v>
      </c>
      <c r="L30" s="34" t="inlineStr">
        <is>
          <t>B178</t>
        </is>
      </c>
      <c r="M30" s="34" t="n">
        <v>2024</v>
      </c>
      <c r="N30" s="34" t="inlineStr"/>
      <c r="O30" s="34" t="inlineStr"/>
      <c r="P30" s="34" t="inlineStr"/>
      <c r="Q30" s="34" t="inlineStr"/>
      <c r="R30" s="34" t="n">
        <v>100</v>
      </c>
      <c r="S30" s="34" t="n">
        <v>0.5</v>
      </c>
      <c r="T30" s="34" t="n">
        <v>0</v>
      </c>
      <c r="U30" s="34" t="n">
        <v>0</v>
      </c>
      <c r="V30" s="74" t="n"/>
    </row>
    <row r="31" customFormat="1" s="75">
      <c r="A31" s="72" t="inlineStr">
        <is>
          <t>U066</t>
        </is>
      </c>
      <c r="B31" s="72" t="inlineStr">
        <is>
          <t>Instituto Universitario de Física Aplicada a las Ciencias y las Tecnologías (10.</t>
        </is>
      </c>
      <c r="C31" s="72" t="inlineStr">
        <is>
          <t>DOCTORADO EN FÍSICA APLICADA A LAS CIENCIAS Y LAS TECNOLOGÍAS</t>
        </is>
      </c>
      <c r="D31" s="72" t="inlineStr">
        <is>
          <t>Berramdane , kheloud</t>
        </is>
      </c>
      <c r="E31" s="72" t="inlineStr">
        <is>
          <t>Holographic diffraction gratings storage in phototohydrogel</t>
        </is>
      </c>
      <c r="F31" s="72" t="inlineStr">
        <is>
          <t>24/01/2025</t>
        </is>
      </c>
      <c r="G31" s="72" t="inlineStr">
        <is>
          <t>21983769R</t>
        </is>
      </c>
      <c r="H31" s="72" t="inlineStr">
        <is>
          <t>Codirector de tesis</t>
        </is>
      </c>
      <c r="I31" s="73" t="inlineStr">
        <is>
          <t>B178</t>
        </is>
      </c>
      <c r="J31" s="72" t="inlineStr">
        <is>
          <t>Óptica, Farmacología y Anatomía</t>
        </is>
      </c>
      <c r="K31" s="34" t="n">
        <v>0.5</v>
      </c>
      <c r="L31" s="34" t="inlineStr">
        <is>
          <t>B178</t>
        </is>
      </c>
      <c r="M31" s="34" t="n">
        <v>2024</v>
      </c>
      <c r="N31" s="34" t="inlineStr">
        <is>
          <t>10.20</t>
        </is>
      </c>
      <c r="O31" s="34" t="inlineStr">
        <is>
          <t>50</t>
        </is>
      </c>
      <c r="P31" s="34" t="inlineStr"/>
      <c r="Q31" s="34" t="inlineStr"/>
      <c r="R31" s="34" t="n">
        <v>50</v>
      </c>
      <c r="S31" s="34" t="n">
        <v>0.25</v>
      </c>
      <c r="T31" s="34" t="n">
        <v>0.25</v>
      </c>
      <c r="U31" s="34" t="n">
        <v>0</v>
      </c>
      <c r="V31" s="74" t="n"/>
    </row>
    <row r="32">
      <c r="A32" s="45" t="n"/>
      <c r="B32" s="45" t="n"/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6" t="n"/>
      <c r="P32" s="45" t="n"/>
      <c r="Q32" s="46" t="n"/>
      <c r="R32" s="45" t="n"/>
      <c r="S32" s="98">
        <f>SUM(S2:S31)</f>
        <v/>
      </c>
      <c r="T32" s="45" t="n"/>
      <c r="U32" s="45" t="n"/>
    </row>
  </sheetData>
  <autoFilter ref="A1:U1">
    <sortState ref="A2:T1887">
      <sortCondition ref="K2:K1887"/>
      <sortCondition ref="L2:L1887"/>
      <sortCondition ref="D2:D1887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30"/>
  <sheetViews>
    <sheetView topLeftCell="A4" zoomScaleNormal="100" workbookViewId="0">
      <selection activeCell="C39" sqref="C39"/>
    </sheetView>
  </sheetViews>
  <sheetFormatPr baseColWidth="10" defaultColWidth="11.44140625" defaultRowHeight="13.2"/>
  <cols>
    <col width="10.44140625" bestFit="1" customWidth="1" style="11" min="1" max="1"/>
    <col width="39.5546875" bestFit="1" customWidth="1" style="11" min="2" max="2"/>
    <col width="17" bestFit="1" customWidth="1" style="11" min="3" max="3"/>
    <col width="3.33203125" bestFit="1" customWidth="1" style="11" min="4" max="9"/>
    <col width="13.109375" bestFit="1" customWidth="1" style="11" min="10" max="10"/>
    <col width="5.33203125" bestFit="1" customWidth="1" style="11" min="11" max="11"/>
    <col width="5.6640625" bestFit="1" customWidth="1" style="11" min="12" max="13"/>
    <col width="5.6640625" bestFit="1" customWidth="1" style="12" min="14" max="14"/>
    <col width="5.6640625" bestFit="1" customWidth="1" style="11" min="15" max="15"/>
    <col width="5.6640625" bestFit="1" customWidth="1" style="12" min="16" max="16"/>
    <col width="5.6640625" bestFit="1" customWidth="1" style="11" min="17" max="19"/>
    <col width="11.44140625" customWidth="1" style="11" min="20" max="16384"/>
  </cols>
  <sheetData>
    <row r="1" ht="60" customFormat="1" customHeight="1" s="10">
      <c r="A1" s="28" t="inlineStr">
        <is>
          <t>NIF</t>
        </is>
      </c>
      <c r="B1" s="28" t="inlineStr">
        <is>
          <t>NOMBRE_COMPLETO</t>
        </is>
      </c>
      <c r="C1" s="28" t="inlineStr">
        <is>
          <t>TIPO_SEXENIO</t>
        </is>
      </c>
      <c r="D1" s="29" t="inlineStr">
        <is>
          <t>2020</t>
        </is>
      </c>
      <c r="E1" s="29" t="inlineStr">
        <is>
          <t>2021</t>
        </is>
      </c>
      <c r="F1" s="29" t="inlineStr">
        <is>
          <t>2022</t>
        </is>
      </c>
      <c r="G1" s="29" t="inlineStr">
        <is>
          <t>2023</t>
        </is>
      </c>
      <c r="H1" s="29" t="inlineStr">
        <is>
          <t>2024</t>
        </is>
      </c>
      <c r="I1" s="29" t="inlineStr">
        <is>
          <t>2025</t>
        </is>
      </c>
      <c r="J1" s="28" t="inlineStr">
        <is>
          <t>Total general</t>
        </is>
      </c>
      <c r="K1" s="30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</row>
    <row r="2" ht="14.4" customHeight="1">
      <c r="A2" s="31" t="inlineStr">
        <is>
          <t>15421218V</t>
        </is>
      </c>
      <c r="B2" s="31" t="inlineStr">
        <is>
          <t>Morales Vidal, Marta</t>
        </is>
      </c>
      <c r="C2" s="31" t="inlineStr">
        <is>
          <t>FUNCIONARIO</t>
        </is>
      </c>
      <c r="D2" s="31" t="n"/>
      <c r="E2" s="31" t="n"/>
      <c r="F2" s="31" t="n"/>
      <c r="G2" s="31" t="n"/>
      <c r="H2" s="31" t="n"/>
      <c r="I2" s="31" t="n">
        <v>2</v>
      </c>
      <c r="J2" s="31" t="n">
        <v>2</v>
      </c>
      <c r="K2" s="31" t="inlineStr">
        <is>
          <t>B178</t>
        </is>
      </c>
      <c r="L2" s="32" t="inlineStr">
        <is>
          <t>10.20</t>
        </is>
      </c>
      <c r="M2" s="32" t="inlineStr">
        <is>
          <t>50</t>
        </is>
      </c>
      <c r="N2" s="32" t="inlineStr"/>
      <c r="O2" s="32" t="inlineStr"/>
      <c r="P2" s="32" t="n">
        <v>50</v>
      </c>
      <c r="Q2" s="32" t="n">
        <v>1</v>
      </c>
      <c r="R2" s="32" t="n">
        <v>0</v>
      </c>
      <c r="S2" s="32" t="n">
        <v>1</v>
      </c>
    </row>
    <row r="3" ht="14.4" customHeight="1">
      <c r="A3" s="31" t="inlineStr">
        <is>
          <t>20015950Q</t>
        </is>
      </c>
      <c r="B3" s="31" t="inlineStr">
        <is>
          <t>Miret Mari, Juan Jose</t>
        </is>
      </c>
      <c r="C3" s="31" t="inlineStr">
        <is>
          <t>FUNCIONARIO</t>
        </is>
      </c>
      <c r="D3" s="31" t="n"/>
      <c r="E3" s="31" t="n"/>
      <c r="F3" s="31" t="n">
        <v>1</v>
      </c>
      <c r="G3" s="31" t="n"/>
      <c r="H3" s="31" t="n"/>
      <c r="I3" s="31" t="n"/>
      <c r="J3" s="31" t="n">
        <v>1</v>
      </c>
      <c r="K3" s="31" t="inlineStr">
        <is>
          <t>B178</t>
        </is>
      </c>
      <c r="L3" s="32" t="inlineStr">
        <is>
          <t>10.20</t>
        </is>
      </c>
      <c r="M3" s="32" t="inlineStr">
        <is>
          <t>20</t>
        </is>
      </c>
      <c r="N3" s="32" t="inlineStr"/>
      <c r="O3" s="32" t="inlineStr"/>
      <c r="P3" s="32" t="n">
        <v>80</v>
      </c>
      <c r="Q3" s="32" t="n">
        <v>0.2</v>
      </c>
      <c r="R3" s="32" t="n">
        <v>0</v>
      </c>
      <c r="S3" s="32" t="n">
        <v>0.8</v>
      </c>
    </row>
    <row r="4" ht="14.4" customHeight="1">
      <c r="A4" s="31" t="inlineStr">
        <is>
          <t>20047589F</t>
        </is>
      </c>
      <c r="B4" s="31" t="inlineStr">
        <is>
          <t>Molina Martín, Ainhoa</t>
        </is>
      </c>
      <c r="C4" s="31" t="inlineStr">
        <is>
          <t>NO FUNCIONARIO</t>
        </is>
      </c>
      <c r="D4" s="31" t="n"/>
      <c r="E4" s="31" t="n"/>
      <c r="F4" s="31" t="n"/>
      <c r="G4" s="31" t="n"/>
      <c r="H4" s="31" t="n">
        <v>1</v>
      </c>
      <c r="I4" s="31" t="n"/>
      <c r="J4" s="31" t="n">
        <v>1</v>
      </c>
      <c r="K4" s="31" t="inlineStr">
        <is>
          <t>B178</t>
        </is>
      </c>
      <c r="L4" s="32" t="n">
        <v>0</v>
      </c>
      <c r="M4" s="32" t="n">
        <v>0</v>
      </c>
      <c r="N4" s="32" t="inlineStr"/>
      <c r="O4" s="32" t="inlineStr"/>
      <c r="P4" s="32" t="n">
        <v>100</v>
      </c>
      <c r="Q4" s="32" t="n">
        <v>0</v>
      </c>
      <c r="R4" s="32" t="n">
        <v>0</v>
      </c>
      <c r="S4" s="32" t="n">
        <v>1</v>
      </c>
    </row>
    <row r="5" ht="14.4" customHeight="1">
      <c r="A5" s="31" t="inlineStr">
        <is>
          <t>20472122Y</t>
        </is>
      </c>
      <c r="B5" s="31" t="inlineStr">
        <is>
          <t>González López, Pablo</t>
        </is>
      </c>
      <c r="C5" s="33" t="inlineStr">
        <is>
          <t>NO FUNCIONARIO</t>
        </is>
      </c>
      <c r="D5" s="31" t="n"/>
      <c r="E5" s="31" t="n"/>
      <c r="F5" s="31" t="n"/>
      <c r="G5" s="31" t="n"/>
      <c r="H5" s="31" t="n"/>
      <c r="I5" s="31" t="n">
        <v>1</v>
      </c>
      <c r="J5" s="31" t="n">
        <v>1</v>
      </c>
      <c r="K5" s="31" t="inlineStr">
        <is>
          <t>B178</t>
        </is>
      </c>
      <c r="L5" s="32" t="n">
        <v>0</v>
      </c>
      <c r="M5" s="32" t="n">
        <v>0</v>
      </c>
      <c r="N5" s="32" t="inlineStr"/>
      <c r="O5" s="32" t="inlineStr"/>
      <c r="P5" s="32" t="n">
        <v>100</v>
      </c>
      <c r="Q5" s="32" t="n">
        <v>0</v>
      </c>
      <c r="R5" s="32" t="n">
        <v>0</v>
      </c>
      <c r="S5" s="32" t="n">
        <v>1</v>
      </c>
    </row>
    <row r="6" ht="14.4" customHeight="1">
      <c r="A6" s="31" t="inlineStr">
        <is>
          <t>21396421G</t>
        </is>
      </c>
      <c r="B6" s="31" t="inlineStr">
        <is>
          <t>Boj Giménez, Pedro José</t>
        </is>
      </c>
      <c r="C6" s="31" t="inlineStr">
        <is>
          <t>Vivos</t>
        </is>
      </c>
      <c r="D6" s="31" t="n"/>
      <c r="E6" s="31" t="n"/>
      <c r="F6" s="31" t="n"/>
      <c r="G6" s="31" t="n"/>
      <c r="H6" s="31" t="n"/>
      <c r="I6" s="31" t="n">
        <v>1</v>
      </c>
      <c r="J6" s="31" t="n">
        <v>1</v>
      </c>
      <c r="K6" s="31" t="inlineStr">
        <is>
          <t>B178</t>
        </is>
      </c>
      <c r="L6" s="32" t="inlineStr">
        <is>
          <t>10.14</t>
        </is>
      </c>
      <c r="M6" s="32" t="inlineStr">
        <is>
          <t>10</t>
        </is>
      </c>
      <c r="N6" s="32" t="inlineStr"/>
      <c r="O6" s="32" t="inlineStr"/>
      <c r="P6" s="32" t="n">
        <v>90</v>
      </c>
      <c r="Q6" s="32" t="n">
        <v>0.1</v>
      </c>
      <c r="R6" s="32" t="n">
        <v>0</v>
      </c>
      <c r="S6" s="32" t="n">
        <v>0.9</v>
      </c>
    </row>
    <row r="7" ht="14.4" customHeight="1">
      <c r="A7" s="31" t="inlineStr">
        <is>
          <t>21456187Q</t>
        </is>
      </c>
      <c r="B7" s="31" t="inlineStr">
        <is>
          <t>Pérez Rodríguez, Jorge</t>
        </is>
      </c>
      <c r="C7" s="31" t="inlineStr">
        <is>
          <t>FUNCIONARIO</t>
        </is>
      </c>
      <c r="D7" s="31" t="n"/>
      <c r="E7" s="31" t="n"/>
      <c r="F7" s="31" t="n"/>
      <c r="G7" s="31" t="n"/>
      <c r="H7" s="31" t="n">
        <v>1</v>
      </c>
      <c r="I7" s="31" t="n"/>
      <c r="J7" s="31" t="n">
        <v>1</v>
      </c>
      <c r="K7" s="31" t="inlineStr">
        <is>
          <t>B178</t>
        </is>
      </c>
      <c r="L7" s="32" t="inlineStr">
        <is>
          <t>10.20</t>
        </is>
      </c>
      <c r="M7" s="32" t="inlineStr">
        <is>
          <t>50</t>
        </is>
      </c>
      <c r="N7" s="32" t="inlineStr"/>
      <c r="O7" s="32" t="inlineStr"/>
      <c r="P7" s="32" t="n">
        <v>50</v>
      </c>
      <c r="Q7" s="32" t="n">
        <v>0.5</v>
      </c>
      <c r="R7" s="32" t="n">
        <v>0</v>
      </c>
      <c r="S7" s="32" t="n">
        <v>0.5</v>
      </c>
    </row>
    <row r="8" ht="14.4" customHeight="1">
      <c r="A8" s="31" t="inlineStr">
        <is>
          <t>21456823P</t>
        </is>
      </c>
      <c r="B8" s="31" t="inlineStr">
        <is>
          <t>Vázquez Ferri, Carmen</t>
        </is>
      </c>
      <c r="C8" s="31" t="inlineStr">
        <is>
          <t>Vivos</t>
        </is>
      </c>
      <c r="D8" s="31" t="n"/>
      <c r="E8" s="31" t="n"/>
      <c r="F8" s="31" t="n"/>
      <c r="G8" s="31" t="n"/>
      <c r="H8" s="31" t="n"/>
      <c r="I8" s="31" t="n">
        <v>1</v>
      </c>
      <c r="J8" s="31" t="n">
        <v>1</v>
      </c>
      <c r="K8" s="31" t="inlineStr">
        <is>
          <t>B178</t>
        </is>
      </c>
      <c r="L8" s="32" t="inlineStr">
        <is>
          <t>10.20</t>
        </is>
      </c>
      <c r="M8" s="32" t="inlineStr">
        <is>
          <t>20</t>
        </is>
      </c>
      <c r="N8" s="32" t="inlineStr"/>
      <c r="O8" s="32" t="inlineStr"/>
      <c r="P8" s="32" t="n">
        <v>80</v>
      </c>
      <c r="Q8" s="32" t="n">
        <v>0.2</v>
      </c>
      <c r="R8" s="32" t="n">
        <v>0</v>
      </c>
      <c r="S8" s="32" t="n">
        <v>0.8</v>
      </c>
    </row>
    <row r="9" ht="14.4" customHeight="1">
      <c r="A9" s="31" t="inlineStr">
        <is>
          <t>21459318L</t>
        </is>
      </c>
      <c r="B9" s="31" t="inlineStr">
        <is>
          <t>Doménech Amigot, María Begoña</t>
        </is>
      </c>
      <c r="C9" s="31" t="inlineStr">
        <is>
          <t>FUNCIONARIO</t>
        </is>
      </c>
      <c r="D9" s="31" t="n"/>
      <c r="E9" s="31" t="n"/>
      <c r="F9" s="31" t="n"/>
      <c r="G9" s="31" t="n"/>
      <c r="H9" s="31" t="n">
        <v>1</v>
      </c>
      <c r="I9" s="31" t="n"/>
      <c r="J9" s="31" t="n">
        <v>1</v>
      </c>
      <c r="K9" s="31" t="inlineStr">
        <is>
          <t>B178</t>
        </is>
      </c>
      <c r="L9" s="32" t="inlineStr">
        <is>
          <t>10.20</t>
        </is>
      </c>
      <c r="M9" s="32" t="inlineStr">
        <is>
          <t>20</t>
        </is>
      </c>
      <c r="N9" s="32" t="inlineStr"/>
      <c r="O9" s="32" t="inlineStr"/>
      <c r="P9" s="32" t="n">
        <v>80</v>
      </c>
      <c r="Q9" s="32" t="n">
        <v>0.2</v>
      </c>
      <c r="R9" s="32" t="n">
        <v>0</v>
      </c>
      <c r="S9" s="32" t="n">
        <v>0.8</v>
      </c>
    </row>
    <row r="10" ht="14.4" customHeight="1">
      <c r="A10" s="31" t="inlineStr">
        <is>
          <t>21472440P</t>
        </is>
      </c>
      <c r="B10" s="31" t="inlineStr">
        <is>
          <t>Seguí Crespo, María del Mar</t>
        </is>
      </c>
      <c r="C10" s="31" t="inlineStr">
        <is>
          <t>FUNCIONARIO</t>
        </is>
      </c>
      <c r="D10" s="31" t="n">
        <v>1</v>
      </c>
      <c r="E10" s="31" t="n"/>
      <c r="F10" s="31" t="n"/>
      <c r="G10" s="31" t="n"/>
      <c r="H10" s="31" t="n"/>
      <c r="I10" s="31" t="n"/>
      <c r="J10" s="31" t="n">
        <v>1</v>
      </c>
      <c r="K10" s="31" t="inlineStr">
        <is>
          <t>B178</t>
        </is>
      </c>
      <c r="L10" s="32" t="n">
        <v>0</v>
      </c>
      <c r="M10" s="32" t="n">
        <v>0</v>
      </c>
      <c r="N10" s="32" t="inlineStr"/>
      <c r="O10" s="32" t="inlineStr"/>
      <c r="P10" s="32" t="n">
        <v>100</v>
      </c>
      <c r="Q10" s="32" t="n">
        <v>0</v>
      </c>
      <c r="R10" s="32" t="n">
        <v>0</v>
      </c>
      <c r="S10" s="32" t="n">
        <v>1</v>
      </c>
    </row>
    <row r="11" ht="14.4" customHeight="1">
      <c r="A11" s="31" t="inlineStr">
        <is>
          <t>21508379K</t>
        </is>
      </c>
      <c r="B11" s="31" t="inlineStr">
        <is>
          <t>García Llopis, Celia</t>
        </is>
      </c>
      <c r="C11" s="31" t="inlineStr">
        <is>
          <t>FUNCIONARIO</t>
        </is>
      </c>
      <c r="D11" s="31" t="n"/>
      <c r="E11" s="31" t="n"/>
      <c r="F11" s="31" t="n"/>
      <c r="G11" s="31" t="n">
        <v>1</v>
      </c>
      <c r="H11" s="31" t="n"/>
      <c r="I11" s="31" t="n"/>
      <c r="J11" s="31" t="n">
        <v>1</v>
      </c>
      <c r="K11" s="31" t="inlineStr">
        <is>
          <t>B178</t>
        </is>
      </c>
      <c r="L11" s="32" t="inlineStr">
        <is>
          <t>10.20</t>
        </is>
      </c>
      <c r="M11" s="32" t="inlineStr">
        <is>
          <t>20</t>
        </is>
      </c>
      <c r="N11" s="32" t="inlineStr"/>
      <c r="O11" s="32" t="inlineStr"/>
      <c r="P11" s="32" t="n">
        <v>80</v>
      </c>
      <c r="Q11" s="32" t="n">
        <v>0.2</v>
      </c>
      <c r="R11" s="32" t="n">
        <v>0</v>
      </c>
      <c r="S11" s="32" t="n">
        <v>0.8</v>
      </c>
    </row>
    <row r="12" ht="14.4" customHeight="1">
      <c r="A12" s="31" t="inlineStr">
        <is>
          <t>21516909H</t>
        </is>
      </c>
      <c r="B12" s="31" t="inlineStr">
        <is>
          <t>Piñero Llorens, David Pablo</t>
        </is>
      </c>
      <c r="C12" s="31" t="inlineStr">
        <is>
          <t>FUNCIONARIO</t>
        </is>
      </c>
      <c r="D12" s="31" t="n"/>
      <c r="E12" s="31" t="n"/>
      <c r="F12" s="31" t="n"/>
      <c r="G12" s="31" t="n"/>
      <c r="H12" s="31" t="n">
        <v>2</v>
      </c>
      <c r="I12" s="31" t="n">
        <v>1</v>
      </c>
      <c r="J12" s="31" t="n">
        <v>3</v>
      </c>
      <c r="K12" s="31" t="inlineStr">
        <is>
          <t>B178</t>
        </is>
      </c>
      <c r="L12" s="32" t="n">
        <v>0</v>
      </c>
      <c r="M12" s="32" t="n">
        <v>0</v>
      </c>
      <c r="N12" s="32" t="inlineStr"/>
      <c r="O12" s="32" t="inlineStr"/>
      <c r="P12" s="32" t="n">
        <v>100</v>
      </c>
      <c r="Q12" s="32" t="n">
        <v>0</v>
      </c>
      <c r="R12" s="32" t="n">
        <v>0</v>
      </c>
      <c r="S12" s="32" t="n">
        <v>3</v>
      </c>
    </row>
    <row r="13">
      <c r="A13" s="40" t="inlineStr">
        <is>
          <t>21676502Z</t>
        </is>
      </c>
      <c r="B13" s="40" t="inlineStr">
        <is>
          <t>Fernández Sánchez, Laura</t>
        </is>
      </c>
      <c r="C13" s="40" t="inlineStr">
        <is>
          <t>FUNCIONARIO</t>
        </is>
      </c>
      <c r="D13" s="40" t="n"/>
      <c r="E13" s="40" t="n"/>
      <c r="F13" s="40" t="n"/>
      <c r="G13" s="40" t="n">
        <v>2</v>
      </c>
      <c r="H13" s="40" t="n"/>
      <c r="I13" s="40" t="n">
        <v>1</v>
      </c>
      <c r="J13" s="40" t="n">
        <v>3</v>
      </c>
      <c r="K13" s="40" t="inlineStr">
        <is>
          <t>B178</t>
        </is>
      </c>
      <c r="L13" s="41" t="n">
        <v>0</v>
      </c>
      <c r="M13" s="41" t="n">
        <v>0</v>
      </c>
      <c r="N13" s="41" t="inlineStr"/>
      <c r="O13" s="41" t="inlineStr"/>
      <c r="P13" s="41" t="n">
        <v>100</v>
      </c>
      <c r="Q13" s="41" t="n">
        <v>0</v>
      </c>
      <c r="R13" s="41" t="n">
        <v>0</v>
      </c>
      <c r="S13" s="41" t="n">
        <v>3</v>
      </c>
    </row>
    <row r="14" ht="14.4" customHeight="1">
      <c r="A14" s="31" t="inlineStr">
        <is>
          <t>21983769R</t>
        </is>
      </c>
      <c r="B14" s="31" t="inlineStr">
        <is>
          <t>Pascual Villalobos, María Inmaculada</t>
        </is>
      </c>
      <c r="C14" s="31" t="inlineStr">
        <is>
          <t>FUNCIONARIO</t>
        </is>
      </c>
      <c r="D14" s="31" t="n"/>
      <c r="E14" s="31" t="n"/>
      <c r="F14" s="31" t="n"/>
      <c r="G14" s="31" t="n">
        <v>1</v>
      </c>
      <c r="H14" s="31" t="n"/>
      <c r="I14" s="31" t="n"/>
      <c r="J14" s="31" t="n">
        <v>1</v>
      </c>
      <c r="K14" s="31" t="inlineStr">
        <is>
          <t>B178</t>
        </is>
      </c>
      <c r="L14" s="32" t="inlineStr">
        <is>
          <t>10.20</t>
        </is>
      </c>
      <c r="M14" s="32" t="inlineStr">
        <is>
          <t>50</t>
        </is>
      </c>
      <c r="N14" s="32" t="inlineStr"/>
      <c r="O14" s="32" t="inlineStr"/>
      <c r="P14" s="32" t="n">
        <v>50</v>
      </c>
      <c r="Q14" s="32" t="n">
        <v>0.5</v>
      </c>
      <c r="R14" s="32" t="n">
        <v>0</v>
      </c>
      <c r="S14" s="32" t="n">
        <v>0.5</v>
      </c>
    </row>
    <row r="15" ht="14.4" customHeight="1">
      <c r="A15" s="31" t="inlineStr">
        <is>
          <t>22003995X</t>
        </is>
      </c>
      <c r="B15" s="31" t="inlineStr">
        <is>
          <t>Cacho Martínez, Maria del Pilar</t>
        </is>
      </c>
      <c r="C15" s="31" t="inlineStr">
        <is>
          <t>FUNCIONARIO</t>
        </is>
      </c>
      <c r="D15" s="31" t="n"/>
      <c r="E15" s="31" t="n"/>
      <c r="F15" s="31" t="n"/>
      <c r="G15" s="31" t="n"/>
      <c r="H15" s="31" t="n">
        <v>1</v>
      </c>
      <c r="I15" s="31" t="n"/>
      <c r="J15" s="31" t="n">
        <v>1</v>
      </c>
      <c r="K15" s="31" t="inlineStr">
        <is>
          <t>B178</t>
        </is>
      </c>
      <c r="L15" s="32" t="n">
        <v>0</v>
      </c>
      <c r="M15" s="32" t="n">
        <v>0</v>
      </c>
      <c r="N15" s="32" t="inlineStr"/>
      <c r="O15" s="32" t="inlineStr"/>
      <c r="P15" s="32" t="n">
        <v>100</v>
      </c>
      <c r="Q15" s="32" t="n">
        <v>0</v>
      </c>
      <c r="R15" s="32" t="n">
        <v>0</v>
      </c>
      <c r="S15" s="32" t="n">
        <v>1</v>
      </c>
    </row>
    <row r="16" ht="14.4" customHeight="1">
      <c r="A16" s="31" t="inlineStr">
        <is>
          <t>25416455Y</t>
        </is>
      </c>
      <c r="B16" s="31" t="inlineStr">
        <is>
          <t>Maneu Flores, Victoria Eugenia</t>
        </is>
      </c>
      <c r="C16" s="33" t="inlineStr">
        <is>
          <t>FUNCIONARIO</t>
        </is>
      </c>
      <c r="D16" s="31" t="n"/>
      <c r="E16" s="31" t="n"/>
      <c r="F16" s="31" t="n"/>
      <c r="G16" s="31" t="n"/>
      <c r="H16" s="31" t="n">
        <v>1</v>
      </c>
      <c r="I16" s="31" t="n"/>
      <c r="J16" s="31" t="n">
        <v>1</v>
      </c>
      <c r="K16" s="31" t="inlineStr">
        <is>
          <t>B178</t>
        </is>
      </c>
      <c r="L16" s="32" t="n">
        <v>0</v>
      </c>
      <c r="M16" s="32" t="n">
        <v>0</v>
      </c>
      <c r="N16" s="32" t="inlineStr"/>
      <c r="O16" s="32" t="inlineStr"/>
      <c r="P16" s="32" t="n">
        <v>100</v>
      </c>
      <c r="Q16" s="32" t="n">
        <v>0</v>
      </c>
      <c r="R16" s="32" t="n">
        <v>0</v>
      </c>
      <c r="S16" s="32" t="n">
        <v>1</v>
      </c>
    </row>
    <row r="17" ht="14.4" customHeight="1">
      <c r="A17" s="31" t="inlineStr">
        <is>
          <t>29168744Y</t>
        </is>
      </c>
      <c r="B17" s="31" t="inlineStr">
        <is>
          <t>Camps Sanchis, Vicente Jesús</t>
        </is>
      </c>
      <c r="C17" s="31" t="inlineStr">
        <is>
          <t>FUNCIONARIO</t>
        </is>
      </c>
      <c r="D17" s="31" t="n"/>
      <c r="E17" s="31" t="n">
        <v>1</v>
      </c>
      <c r="F17" s="31" t="n"/>
      <c r="G17" s="31" t="n"/>
      <c r="H17" s="31" t="n"/>
      <c r="I17" s="31" t="n"/>
      <c r="J17" s="31" t="n">
        <v>1</v>
      </c>
      <c r="K17" s="31" t="inlineStr">
        <is>
          <t>B178</t>
        </is>
      </c>
      <c r="L17" s="32" t="n">
        <v>0</v>
      </c>
      <c r="M17" s="32" t="n">
        <v>0</v>
      </c>
      <c r="N17" s="32" t="inlineStr"/>
      <c r="O17" s="32" t="inlineStr"/>
      <c r="P17" s="32" t="n">
        <v>100</v>
      </c>
      <c r="Q17" s="32" t="n">
        <v>0</v>
      </c>
      <c r="R17" s="32" t="n">
        <v>0</v>
      </c>
      <c r="S17" s="32" t="n">
        <v>1</v>
      </c>
    </row>
    <row r="18" ht="14.4" customHeight="1">
      <c r="A18" s="31" t="inlineStr">
        <is>
          <t>33491671Z</t>
        </is>
      </c>
      <c r="B18" s="31" t="inlineStr">
        <is>
          <t>Mas Candela, David Salvador</t>
        </is>
      </c>
      <c r="C18" s="31" t="inlineStr">
        <is>
          <t>FUNCIONARIO</t>
        </is>
      </c>
      <c r="D18" s="31" t="n">
        <v>1</v>
      </c>
      <c r="E18" s="31" t="n"/>
      <c r="F18" s="31" t="n"/>
      <c r="G18" s="31" t="n"/>
      <c r="H18" s="31" t="n"/>
      <c r="I18" s="31" t="n"/>
      <c r="J18" s="31" t="n">
        <v>1</v>
      </c>
      <c r="K18" s="31" t="inlineStr">
        <is>
          <t>B178</t>
        </is>
      </c>
      <c r="L18" s="32" t="inlineStr">
        <is>
          <t>10.20</t>
        </is>
      </c>
      <c r="M18" s="32" t="inlineStr">
        <is>
          <t>50</t>
        </is>
      </c>
      <c r="N18" s="32" t="inlineStr"/>
      <c r="O18" s="32" t="inlineStr"/>
      <c r="P18" s="32" t="n">
        <v>50</v>
      </c>
      <c r="Q18" s="32" t="n">
        <v>0.5</v>
      </c>
      <c r="R18" s="32" t="n">
        <v>0</v>
      </c>
      <c r="S18" s="32" t="n">
        <v>0.5</v>
      </c>
    </row>
    <row r="19" ht="14.4" customHeight="1">
      <c r="A19" s="31" t="inlineStr">
        <is>
          <t>45842003J</t>
        </is>
      </c>
      <c r="B19" s="31" t="inlineStr">
        <is>
          <t>Vidal Gil, Lorena</t>
        </is>
      </c>
      <c r="C19" s="31" t="inlineStr">
        <is>
          <t>NO FUNCIONARIO</t>
        </is>
      </c>
      <c r="D19" s="31" t="n"/>
      <c r="E19" s="31" t="n"/>
      <c r="F19" s="31" t="n"/>
      <c r="G19" s="31" t="n"/>
      <c r="H19" s="31" t="n"/>
      <c r="I19" s="31" t="n">
        <v>1</v>
      </c>
      <c r="J19" s="31" t="n">
        <v>1</v>
      </c>
      <c r="K19" s="31" t="inlineStr">
        <is>
          <t>B178</t>
        </is>
      </c>
      <c r="L19" s="32" t="n">
        <v>0</v>
      </c>
      <c r="M19" s="32" t="n">
        <v>0</v>
      </c>
      <c r="N19" s="32" t="inlineStr"/>
      <c r="O19" s="32" t="inlineStr"/>
      <c r="P19" s="32" t="n">
        <v>100</v>
      </c>
      <c r="Q19" s="32" t="n">
        <v>0</v>
      </c>
      <c r="R19" s="32" t="n">
        <v>0</v>
      </c>
      <c r="S19" s="32" t="n">
        <v>1</v>
      </c>
    </row>
    <row r="20" ht="14.4" customHeight="1">
      <c r="A20" s="31" t="inlineStr">
        <is>
          <t>48325137K</t>
        </is>
      </c>
      <c r="B20" s="31" t="inlineStr">
        <is>
          <t>Fernández Varó, María Helena</t>
        </is>
      </c>
      <c r="C20" s="31" t="inlineStr">
        <is>
          <t>Vivos</t>
        </is>
      </c>
      <c r="D20" s="31" t="n"/>
      <c r="E20" s="31" t="n"/>
      <c r="F20" s="31" t="n"/>
      <c r="G20" s="31" t="n"/>
      <c r="H20" s="31" t="n"/>
      <c r="I20" s="31" t="n">
        <v>1</v>
      </c>
      <c r="J20" s="31" t="n">
        <v>1</v>
      </c>
      <c r="K20" s="31" t="inlineStr">
        <is>
          <t>B178</t>
        </is>
      </c>
      <c r="L20" s="32" t="inlineStr">
        <is>
          <t>10.20</t>
        </is>
      </c>
      <c r="M20" s="32" t="inlineStr">
        <is>
          <t>20</t>
        </is>
      </c>
      <c r="N20" s="32" t="inlineStr"/>
      <c r="O20" s="32" t="inlineStr"/>
      <c r="P20" s="32" t="n">
        <v>80</v>
      </c>
      <c r="Q20" s="32" t="n">
        <v>0.2</v>
      </c>
      <c r="R20" s="32" t="n">
        <v>0</v>
      </c>
      <c r="S20" s="32" t="n">
        <v>0.8</v>
      </c>
    </row>
    <row r="21" ht="14.4" customHeight="1">
      <c r="A21" s="31" t="inlineStr">
        <is>
          <t>48344600A</t>
        </is>
      </c>
      <c r="B21" s="31" t="inlineStr">
        <is>
          <t>Gómez Vicente, María Violeta</t>
        </is>
      </c>
      <c r="C21" s="31" t="inlineStr">
        <is>
          <t>FUNCIONARIO</t>
        </is>
      </c>
      <c r="D21" s="31" t="n">
        <v>2</v>
      </c>
      <c r="E21" s="31" t="n"/>
      <c r="F21" s="31" t="n">
        <v>1</v>
      </c>
      <c r="G21" s="31" t="n"/>
      <c r="H21" s="31" t="n"/>
      <c r="I21" s="31" t="n"/>
      <c r="J21" s="31" t="n">
        <v>3</v>
      </c>
      <c r="K21" s="31" t="inlineStr">
        <is>
          <t>B178</t>
        </is>
      </c>
      <c r="L21" s="32" t="n">
        <v>0</v>
      </c>
      <c r="M21" s="32" t="n">
        <v>0</v>
      </c>
      <c r="N21" s="32" t="inlineStr"/>
      <c r="O21" s="32" t="inlineStr"/>
      <c r="P21" s="32" t="n">
        <v>100</v>
      </c>
      <c r="Q21" s="32" t="n">
        <v>0</v>
      </c>
      <c r="R21" s="32" t="n">
        <v>0</v>
      </c>
      <c r="S21" s="32" t="n">
        <v>3</v>
      </c>
    </row>
    <row r="22" ht="14.4" customHeight="1">
      <c r="A22" s="31" t="inlineStr">
        <is>
          <t>48536273V</t>
        </is>
      </c>
      <c r="B22" s="31" t="inlineStr">
        <is>
          <t>Esquiva Sobrino, Gema</t>
        </is>
      </c>
      <c r="C22" s="31" t="inlineStr">
        <is>
          <t>FUNCIONARIO</t>
        </is>
      </c>
      <c r="D22" s="31" t="n"/>
      <c r="E22" s="31" t="n"/>
      <c r="F22" s="31" t="n">
        <v>2</v>
      </c>
      <c r="G22" s="31" t="n"/>
      <c r="H22" s="31" t="n"/>
      <c r="I22" s="31" t="n"/>
      <c r="J22" s="31" t="n">
        <v>2</v>
      </c>
      <c r="K22" s="31" t="inlineStr">
        <is>
          <t>B178</t>
        </is>
      </c>
      <c r="L22" s="32" t="n">
        <v>0</v>
      </c>
      <c r="M22" s="32" t="n">
        <v>0</v>
      </c>
      <c r="N22" s="32" t="inlineStr"/>
      <c r="O22" s="32" t="inlineStr"/>
      <c r="P22" s="32" t="n">
        <v>100</v>
      </c>
      <c r="Q22" s="32" t="n">
        <v>0</v>
      </c>
      <c r="R22" s="32" t="n">
        <v>0</v>
      </c>
      <c r="S22" s="32" t="n">
        <v>2</v>
      </c>
    </row>
    <row r="23" ht="14.4" customHeight="1">
      <c r="A23" s="31" t="inlineStr">
        <is>
          <t>52723265C</t>
        </is>
      </c>
      <c r="B23" s="31" t="inlineStr">
        <is>
          <t>de Fez Sáiz, María Dolores</t>
        </is>
      </c>
      <c r="C23" s="31" t="inlineStr">
        <is>
          <t>FUNCIONARIO</t>
        </is>
      </c>
      <c r="D23" s="31" t="n"/>
      <c r="E23" s="31" t="n"/>
      <c r="F23" s="31" t="n"/>
      <c r="G23" s="31" t="n">
        <v>1</v>
      </c>
      <c r="H23" s="31" t="n"/>
      <c r="I23" s="31" t="n"/>
      <c r="J23" s="31" t="n">
        <v>1</v>
      </c>
      <c r="K23" s="31" t="inlineStr">
        <is>
          <t>B178</t>
        </is>
      </c>
      <c r="L23" s="32" t="n">
        <v>0</v>
      </c>
      <c r="M23" s="32" t="n">
        <v>0</v>
      </c>
      <c r="N23" s="32" t="inlineStr"/>
      <c r="O23" s="32" t="inlineStr"/>
      <c r="P23" s="32" t="n">
        <v>100</v>
      </c>
      <c r="Q23" s="32" t="n">
        <v>0</v>
      </c>
      <c r="R23" s="32" t="n">
        <v>0</v>
      </c>
      <c r="S23" s="32" t="n">
        <v>1</v>
      </c>
    </row>
    <row r="24" ht="14.4" customHeight="1">
      <c r="A24" s="31" t="inlineStr">
        <is>
          <t>52754474H</t>
        </is>
      </c>
      <c r="B24" s="31" t="inlineStr">
        <is>
          <t>García Muñoz, Ángel</t>
        </is>
      </c>
      <c r="C24" s="33" t="inlineStr">
        <is>
          <t>FUNCIONARIO</t>
        </is>
      </c>
      <c r="D24" s="31" t="n"/>
      <c r="E24" s="31" t="n"/>
      <c r="F24" s="31" t="n"/>
      <c r="G24" s="31" t="n"/>
      <c r="H24" s="31" t="n">
        <v>1</v>
      </c>
      <c r="I24" s="31" t="n"/>
      <c r="J24" s="31" t="n">
        <v>1</v>
      </c>
      <c r="K24" s="31" t="inlineStr">
        <is>
          <t>B178</t>
        </is>
      </c>
      <c r="L24" s="32" t="n">
        <v>0</v>
      </c>
      <c r="M24" s="32" t="n">
        <v>0</v>
      </c>
      <c r="N24" s="32" t="inlineStr"/>
      <c r="O24" s="32" t="inlineStr"/>
      <c r="P24" s="32" t="n">
        <v>100</v>
      </c>
      <c r="Q24" s="32" t="n">
        <v>0</v>
      </c>
      <c r="R24" s="32" t="n">
        <v>0</v>
      </c>
      <c r="S24" s="32" t="n">
        <v>1</v>
      </c>
    </row>
    <row r="25" ht="14.4" customHeight="1">
      <c r="A25" s="31" t="inlineStr">
        <is>
          <t>52771150L</t>
        </is>
      </c>
      <c r="B25" s="31" t="inlineStr">
        <is>
          <t>Ausó Monreal, Eva</t>
        </is>
      </c>
      <c r="C25" s="33" t="inlineStr">
        <is>
          <t>FUNCIONARIO</t>
        </is>
      </c>
      <c r="D25" s="31" t="n"/>
      <c r="E25" s="31" t="n"/>
      <c r="F25" s="31" t="n"/>
      <c r="G25" s="31" t="n"/>
      <c r="H25" s="31" t="n"/>
      <c r="I25" s="31" t="n">
        <v>3</v>
      </c>
      <c r="J25" s="31" t="n">
        <v>3</v>
      </c>
      <c r="K25" s="31" t="inlineStr">
        <is>
          <t>B178</t>
        </is>
      </c>
      <c r="L25" s="32" t="n">
        <v>0</v>
      </c>
      <c r="M25" s="32" t="n">
        <v>0</v>
      </c>
      <c r="N25" s="32" t="inlineStr"/>
      <c r="O25" s="32" t="inlineStr"/>
      <c r="P25" s="32" t="n">
        <v>100</v>
      </c>
      <c r="Q25" s="32" t="n">
        <v>0</v>
      </c>
      <c r="R25" s="32" t="n">
        <v>0</v>
      </c>
      <c r="S25" s="32" t="n">
        <v>3</v>
      </c>
    </row>
    <row r="26" ht="14.4" customHeight="1">
      <c r="A26" s="31" t="inlineStr">
        <is>
          <t>73995818B</t>
        </is>
      </c>
      <c r="B26" s="31" t="inlineStr">
        <is>
          <t>Espinosa Tomás, Julián</t>
        </is>
      </c>
      <c r="C26" s="33" t="inlineStr">
        <is>
          <t>FUNCIONARIO</t>
        </is>
      </c>
      <c r="D26" s="31" t="n"/>
      <c r="E26" s="31" t="n"/>
      <c r="F26" s="31" t="n"/>
      <c r="G26" s="31" t="n">
        <v>1</v>
      </c>
      <c r="H26" s="31" t="n"/>
      <c r="I26" s="31" t="n"/>
      <c r="J26" s="31" t="n">
        <v>1</v>
      </c>
      <c r="K26" s="31" t="inlineStr">
        <is>
          <t>B178</t>
        </is>
      </c>
      <c r="L26" s="32" t="inlineStr">
        <is>
          <t>10.20</t>
        </is>
      </c>
      <c r="M26" s="32" t="inlineStr">
        <is>
          <t>20</t>
        </is>
      </c>
      <c r="N26" s="32" t="inlineStr"/>
      <c r="O26" s="32" t="inlineStr"/>
      <c r="P26" s="32" t="n">
        <v>80</v>
      </c>
      <c r="Q26" s="32" t="n">
        <v>0.2</v>
      </c>
      <c r="R26" s="32" t="n">
        <v>0</v>
      </c>
      <c r="S26" s="32" t="n">
        <v>0.8</v>
      </c>
    </row>
    <row r="27" ht="14.4" customHeight="1">
      <c r="A27" s="31" t="inlineStr">
        <is>
          <t>73996071B</t>
        </is>
      </c>
      <c r="B27" s="31" t="inlineStr">
        <is>
          <t>Perales Romero, Esther</t>
        </is>
      </c>
      <c r="C27" s="33" t="inlineStr">
        <is>
          <t>FUNCIONARIO</t>
        </is>
      </c>
      <c r="D27" s="31" t="n"/>
      <c r="E27" s="31" t="n"/>
      <c r="F27" s="31" t="n">
        <v>2</v>
      </c>
      <c r="G27" s="31" t="n"/>
      <c r="H27" s="31" t="n"/>
      <c r="I27" s="31" t="n">
        <v>1</v>
      </c>
      <c r="J27" s="31" t="n">
        <v>3</v>
      </c>
      <c r="K27" s="31" t="inlineStr">
        <is>
          <t>B178</t>
        </is>
      </c>
      <c r="L27" s="41" t="inlineStr">
        <is>
          <t>10.20</t>
        </is>
      </c>
      <c r="M27" s="41" t="inlineStr">
        <is>
          <t>50</t>
        </is>
      </c>
      <c r="N27" s="41" t="inlineStr"/>
      <c r="O27" s="41" t="inlineStr"/>
      <c r="P27" s="41" t="n">
        <v>50</v>
      </c>
      <c r="Q27" s="41" t="n">
        <v>1.5</v>
      </c>
      <c r="R27" s="41" t="n">
        <v>0</v>
      </c>
      <c r="S27" s="41" t="n">
        <v>1.5</v>
      </c>
    </row>
    <row r="28" ht="14.4" customHeight="1">
      <c r="A28" s="31" t="inlineStr">
        <is>
          <t>74231817F</t>
        </is>
      </c>
      <c r="B28" s="31" t="inlineStr">
        <is>
          <t>Meléndez Oliva, Erika</t>
        </is>
      </c>
      <c r="C28" s="33" t="inlineStr">
        <is>
          <t>NO FUNCIONARIO</t>
        </is>
      </c>
      <c r="D28" s="31" t="n"/>
      <c r="E28" s="31" t="n"/>
      <c r="F28" s="31" t="n"/>
      <c r="G28" s="31" t="n"/>
      <c r="H28" s="31" t="n"/>
      <c r="I28" s="31" t="n">
        <v>1</v>
      </c>
      <c r="J28" s="31" t="n">
        <v>1</v>
      </c>
      <c r="K28" s="31" t="inlineStr">
        <is>
          <t>B178</t>
        </is>
      </c>
      <c r="L28" s="41" t="n">
        <v>0</v>
      </c>
      <c r="M28" s="41" t="n">
        <v>0</v>
      </c>
      <c r="N28" s="41" t="inlineStr"/>
      <c r="O28" s="41" t="inlineStr"/>
      <c r="P28" s="41" t="n">
        <v>100</v>
      </c>
      <c r="Q28" s="41" t="n">
        <v>0</v>
      </c>
      <c r="R28" s="41" t="n">
        <v>0</v>
      </c>
      <c r="S28" s="41" t="n">
        <v>1</v>
      </c>
    </row>
    <row r="29" ht="14.4" customHeight="1">
      <c r="A29" s="31" t="inlineStr">
        <is>
          <t>77562996G</t>
        </is>
      </c>
      <c r="B29" s="31" t="inlineStr">
        <is>
          <t>Caballero Caballero, María Teresa</t>
        </is>
      </c>
      <c r="C29" s="33" t="inlineStr">
        <is>
          <t>FUNCIONARIO</t>
        </is>
      </c>
      <c r="D29" s="31" t="n"/>
      <c r="E29" s="31" t="n"/>
      <c r="F29" s="31" t="n">
        <v>1</v>
      </c>
      <c r="G29" s="31" t="n"/>
      <c r="H29" s="31" t="n"/>
      <c r="I29" s="31" t="n"/>
      <c r="J29" s="31" t="n">
        <v>1</v>
      </c>
      <c r="K29" s="31" t="inlineStr">
        <is>
          <t>B178</t>
        </is>
      </c>
      <c r="L29" s="41" t="n">
        <v>0</v>
      </c>
      <c r="M29" s="41" t="n">
        <v>0</v>
      </c>
      <c r="N29" s="41" t="inlineStr"/>
      <c r="O29" s="41" t="inlineStr"/>
      <c r="P29" s="41" t="n">
        <v>100</v>
      </c>
      <c r="Q29" s="41" t="n">
        <v>0</v>
      </c>
      <c r="R29" s="41" t="n">
        <v>0</v>
      </c>
      <c r="S29" s="41" t="n">
        <v>1</v>
      </c>
    </row>
    <row r="30" ht="14.4" customHeight="1">
      <c r="A30" s="42" t="n"/>
      <c r="B30" s="42" t="n"/>
      <c r="C30" s="43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4">
        <f>SUM(S2:S29)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topLeftCell="A7" workbookViewId="0">
      <selection activeCell="G46" sqref="G46"/>
    </sheetView>
  </sheetViews>
  <sheetFormatPr baseColWidth="10" defaultRowHeight="14.4"/>
  <cols>
    <col width="17.6640625" customWidth="1" min="1" max="1"/>
    <col width="85.109375" customWidth="1" min="2" max="2"/>
    <col width="15.44140625" customWidth="1" min="3" max="3"/>
  </cols>
  <sheetData>
    <row r="1">
      <c r="A1" s="54" t="inlineStr">
        <is>
          <t>Cód. org. aplic.</t>
        </is>
      </c>
      <c r="B1" s="54" t="inlineStr">
        <is>
          <t>Descripción justificante</t>
        </is>
      </c>
      <c r="C1" s="54" t="inlineStr">
        <is>
          <t>Imp.cob.aplic.</t>
        </is>
      </c>
    </row>
    <row r="2">
      <c r="A2" s="37" t="inlineStr">
        <is>
          <t>33.30.6C.00.19</t>
        </is>
      </c>
      <c r="B2" s="37" t="inlineStr">
        <is>
          <t>Consultoría regulatoria en evaluaciones clínicas de productos sanitarios</t>
        </is>
      </c>
      <c r="C2" s="99" t="n">
        <v>352</v>
      </c>
    </row>
    <row r="3">
      <c r="A3" s="38" t="inlineStr">
        <is>
          <t>33.30.6C.00.23</t>
        </is>
      </c>
      <c r="B3" s="38" t="inlineStr">
        <is>
          <t>SCIENTIFIC ARTICLE IMPACT FACTOR 1 "EAGLE EYE LUTEIN20"</t>
        </is>
      </c>
      <c r="C3" s="100" t="n">
        <v>774.4</v>
      </c>
    </row>
    <row r="4">
      <c r="A4" s="37" t="inlineStr">
        <is>
          <t>33.30.6C.00.24</t>
        </is>
      </c>
      <c r="B4" s="37" t="inlineStr">
        <is>
          <t>ASESORAMIENTO CIENTÍFICO, ASISTENCIA CLÍNICA Y ELABORACIÓN DE ARTÍCULOS. ABRIL 2023</t>
        </is>
      </c>
      <c r="C4" s="99" t="n">
        <v>1352.91</v>
      </c>
    </row>
    <row r="5">
      <c r="A5" s="38" t="inlineStr">
        <is>
          <t>33.30.6C.00.24</t>
        </is>
      </c>
      <c r="B5" s="38" t="inlineStr">
        <is>
          <t>ASESORIAMIENTO CIENTÍFICO, ASISTENCIA CLÍNICA Y ELABORACIÓN DE ARTÍCULOS. JUNIO 2023</t>
        </is>
      </c>
      <c r="C5" s="100" t="n">
        <v>1913.93</v>
      </c>
    </row>
    <row r="6">
      <c r="A6" s="37" t="inlineStr">
        <is>
          <t>33.30.6C.00.24</t>
        </is>
      </c>
      <c r="B6" s="37" t="inlineStr">
        <is>
          <t>ASESORAMIENTO CIENTÍFICO ASISTENCIA CLÍNICA Y ELABORACIÓN DE ARTÍCULOS. MARZO 2023</t>
        </is>
      </c>
      <c r="C6" s="99" t="n">
        <v>1242.95</v>
      </c>
    </row>
    <row r="7">
      <c r="A7" s="38" t="inlineStr">
        <is>
          <t>33.30.6C.00.24</t>
        </is>
      </c>
      <c r="B7" s="38" t="inlineStr">
        <is>
          <t>ASESORIAMIENTO CIENTÍFICO, ASISTENCIA CLÍNICA Y ELABORACIÓN DE ARTÍCULOS. JULIO 2023</t>
        </is>
      </c>
      <c r="C7" s="100" t="n">
        <v>663.09</v>
      </c>
    </row>
    <row r="8">
      <c r="A8" s="37" t="inlineStr">
        <is>
          <t>33.30.6C.00.24</t>
        </is>
      </c>
      <c r="B8" s="37" t="inlineStr">
        <is>
          <t>ASESORAMIENTO CIENTÍFICO ASISTENCIA CLÍNICA Y ELABORACIÓN DE ARTÍCULOS. FEBRERO 2023</t>
        </is>
      </c>
      <c r="C8" s="99" t="n">
        <v>1346.29</v>
      </c>
    </row>
    <row r="9">
      <c r="A9" s="38" t="inlineStr">
        <is>
          <t>33.30.6C.00.24</t>
        </is>
      </c>
      <c r="B9" s="38" t="inlineStr">
        <is>
          <t>ASESORAMIENTO CIENTÍFICO, ASISTENCIA CLÍNICA Y ELABORACIÓN DE ARTÍCULOS.  NOVIEMBRE 2023</t>
        </is>
      </c>
      <c r="C9" s="100" t="n">
        <v>1013.09</v>
      </c>
    </row>
    <row r="10">
      <c r="A10" s="37" t="inlineStr">
        <is>
          <t>33.30.6C.00.24</t>
        </is>
      </c>
      <c r="B10" s="37" t="inlineStr">
        <is>
          <t>ASESORAMIENTO CIENTÍFICO, ASISTENCIA CLÍNICA Y ELABORACIÓN DE ARTÍCULOS. AGOSTO 2023</t>
        </is>
      </c>
      <c r="C10" s="99" t="n">
        <v>961.9299999999999</v>
      </c>
    </row>
    <row r="11">
      <c r="A11" s="38" t="inlineStr">
        <is>
          <t>33.30.6C.00.24</t>
        </is>
      </c>
      <c r="B11" s="38" t="inlineStr">
        <is>
          <t>ASESORAMIENTO CIENTÍFICO, ASISTENCIA CLÍNICA Y ELABORACIÓN DE ARTÍCULOS. SEPTIEMBRE 2023</t>
        </is>
      </c>
      <c r="C11" s="100" t="n">
        <v>146.87</v>
      </c>
    </row>
    <row r="12">
      <c r="A12" s="37" t="inlineStr">
        <is>
          <t>33.30.6C.00.24</t>
        </is>
      </c>
      <c r="B12" s="37" t="inlineStr">
        <is>
          <t>ASESORAMIENTO CIENTÍFICO ASISTENCIA CLÍNICA Y ELABORACIÓN DE ARTÍCULOS. DICIEMBRE 2022</t>
        </is>
      </c>
      <c r="C12" s="99" t="n">
        <v>1386</v>
      </c>
    </row>
    <row r="13">
      <c r="A13" s="38" t="inlineStr">
        <is>
          <t>33.30.6C.00.24</t>
        </is>
      </c>
      <c r="B13" s="38" t="inlineStr">
        <is>
          <t>ASESORAMIENTO CIENTÍFICO ASISTENCIA CLÍNICA Y ELABORACIÓN DE ARTÍCULOS. ENERO 2023</t>
        </is>
      </c>
      <c r="C13" s="100" t="n">
        <v>1007.25</v>
      </c>
    </row>
    <row r="14">
      <c r="A14" s="37" t="inlineStr">
        <is>
          <t>33.30.6C.00.24</t>
        </is>
      </c>
      <c r="B14" s="37" t="inlineStr">
        <is>
          <t>ASESORAMIENTO CIENTÍFICO, ASISTENCIA CLÍNICA Y ELABORACIÓN DE ARTÍCULOS, MAYO 2023</t>
        </is>
      </c>
      <c r="C14" s="99" t="n">
        <v>1328.98</v>
      </c>
    </row>
    <row r="15">
      <c r="A15" s="38" t="inlineStr">
        <is>
          <t>33.30.6C.00.24</t>
        </is>
      </c>
      <c r="B15" s="38" t="inlineStr">
        <is>
          <t>ASESORAMIENTO CIENTÍFICO, ASISTENCIA CLÍNICA Y ELABORACIÓN DE ARTÍCULOS. OCTUBRE 2023</t>
        </is>
      </c>
      <c r="C15" s="100" t="n">
        <v>1035.74</v>
      </c>
    </row>
    <row r="16">
      <c r="A16" s="37" t="inlineStr">
        <is>
          <t>33.30.6C.00.42</t>
        </is>
      </c>
      <c r="B16" s="37" t="inlineStr">
        <is>
          <t xml:space="preserve">Other goods and services item WP3 Software optimisation consultancy Acuerdo de consultoría (referencia nº VALCASADO1-20I) Firmado en el ámbito del proyecto titulado "Virtual eye model system for personalised refractive surgery treatment" - 'VEMoS' ('action') Grant Agreement number: 878748 - VEMoS-h2020-EIC-FTI-2018-2020 Finalización de la consultoría en las siguientes tareas: Tarea 3.3. Estudio a gran escala de ojos no tratados. Inicio y finalización de la consultoría. </t>
        </is>
      </c>
      <c r="C16" s="99" t="n">
        <v>2200</v>
      </c>
    </row>
    <row r="17">
      <c r="A17" s="38" t="inlineStr">
        <is>
          <t>33.30.6C.00.42</t>
        </is>
      </c>
      <c r="B17" s="38" t="inlineStr">
        <is>
          <t>Other goods and services item WP2 Software optimisation consultancy Acuerdo de consultoría (referencia nº VALCASADO1-20I) Firmado en el ámbito del proyecto titulado "Virtual eye model system for personalised refractive surgery treatment" - 'VEMoS' ('action') Grant Agreement number: 878748 -VEMoS-h2020-EIC-FTI-2018-2020 Finalización de la consultoría en las siguientes tareas: Tarea 2.3. Actualización e integración del programa VEMOS Tarea 2.4. Optimización de la simulación de ojos no tratados</t>
        </is>
      </c>
      <c r="C17" s="100" t="n">
        <v>7040</v>
      </c>
    </row>
    <row r="18">
      <c r="A18" s="37" t="inlineStr">
        <is>
          <t>33.30.6C.00.42</t>
        </is>
      </c>
      <c r="B18" s="37" t="inlineStr">
        <is>
          <t xml:space="preserve">Other goods and services item WP3 Software optimisation consultancy Acuerdo de consultoría referencia nº VALCASADO1-20I) Firmado en el ámbito del proyecto titulado "Virtual eye model system for personalised refractive surgery treatment" - 'VEMoS' ('action') Grant Agreement number: 878748 - VEMoSh2020-EIC-FTI-2018-2020 Finalización de la consultoría en las siguientes tareas: Tarea 3.4. Estudio piloto a gran escala de ojos  tratados. </t>
        </is>
      </c>
      <c r="C18" s="99" t="n">
        <v>2200</v>
      </c>
    </row>
    <row r="19">
      <c r="A19" s="38" t="inlineStr">
        <is>
          <t>33.30.6C.00.46</t>
        </is>
      </c>
      <c r="B19" s="38" t="inlineStr">
        <is>
          <t>ESTUDIO MEDIANTE MATLAB DE CLASIFICACIÓN Y ASIGNACIÓN DE TONOS A LOS COLORES DEKTON Nº pedido:2555373 Pago final: 50%</t>
        </is>
      </c>
      <c r="C19" s="100" t="n">
        <v>3548.16</v>
      </c>
    </row>
    <row r="20">
      <c r="A20" s="37" t="inlineStr">
        <is>
          <t>33.30.6C.00.53</t>
        </is>
      </c>
      <c r="B20" s="37" t="inlineStr">
        <is>
          <t>Formación Teórico-Práctica Astigmatismo: Adaptación de lentes de contacto en directo. 23 y 24 marzo. AEC-Cornellá, Barcelona. PO 3004503811</t>
        </is>
      </c>
      <c r="C20" s="99" t="n">
        <v>1408</v>
      </c>
    </row>
    <row r="21">
      <c r="A21" s="38" t="inlineStr">
        <is>
          <t>33.30.6C.00.54</t>
        </is>
      </c>
      <c r="B21" s="38" t="inlineStr">
        <is>
          <t xml:space="preserve">Fase 1: "Desarrollo de una herramienta de control de calidad basado en un sistema de medida en líquido" Fase 1.2. Perfeccionamiento de las herramientas Fase 1.3.  Implementación a I'iCrom (software propio) Fase 1.4- Validación final </t>
        </is>
      </c>
      <c r="C21" s="100" t="n">
        <v>10909.1</v>
      </c>
    </row>
    <row r="22">
      <c r="A22" s="37" t="inlineStr">
        <is>
          <t>33.30.6C.00.58</t>
        </is>
      </c>
      <c r="B22" s="37" t="inlineStr">
        <is>
          <t>INICIO DEL ESTUDIO CLÍNICO "EVALUACIÓN CLÍNICA DE LAS LENTES DE CONTACTO DE ORTOQUERATOLOGÍA ALEXA AR EN POBLACIÓN MIOPE"</t>
        </is>
      </c>
      <c r="C22" s="99" t="n">
        <v>2474.21</v>
      </c>
    </row>
    <row r="23">
      <c r="A23" s="38" t="inlineStr">
        <is>
          <t>33.30.6C.00.58</t>
        </is>
      </c>
      <c r="B23" s="38" t="inlineStr">
        <is>
          <t>Fase de finalización del estudio clínico: "EVALUACIÓN CLÍNICA DE LAS LENTES DE CONTACTO DE ORTOQUERATOLOGÍA ALEXA AR EN POBLACIÓN MIOPE".</t>
        </is>
      </c>
      <c r="C23" s="100" t="n">
        <v>2474.21</v>
      </c>
    </row>
    <row r="24">
      <c r="A24" s="37" t="inlineStr">
        <is>
          <t>33.30.6C.00.58</t>
        </is>
      </c>
      <c r="B24" s="37" t="inlineStr">
        <is>
          <t>"EVALUACIÓN CLÍNICA DE LAS LENTES DE CONTACTO DE ORTOQUERATOLOGÍA ALEXA AR EN POBLACIÓN MIOPE"</t>
        </is>
      </c>
      <c r="C24" s="99" t="n">
        <v>2474.21</v>
      </c>
    </row>
    <row r="25">
      <c r="A25" s="38" t="inlineStr">
        <is>
          <t>33.30.6C.00.62</t>
        </is>
      </c>
      <c r="B25" s="38" t="inlineStr">
        <is>
          <t>Realización de la revisión sistemática "Efficacy of presbyopia-correcting contact lenses: a systematic review"</t>
        </is>
      </c>
      <c r="C25" s="100" t="n">
        <v>880</v>
      </c>
    </row>
    <row r="26">
      <c r="A26" s="37" t="inlineStr">
        <is>
          <t>33.30.6C.00.66</t>
        </is>
      </c>
      <c r="B26" s="37" t="inlineStr">
        <is>
          <t>Pruebas de evaluación del estado de la visión del color mediante tests psicofísicos de diagnóstico</t>
        </is>
      </c>
      <c r="C26" s="99" t="n">
        <v>88</v>
      </c>
    </row>
    <row r="27">
      <c r="A27" s="38" t="inlineStr">
        <is>
          <t>33.30.6C.00.76</t>
        </is>
      </c>
      <c r="B27" s="38" t="inlineStr">
        <is>
          <t>Segundo pago para realizar un estudio epidemiológico para comparar los cambios en la prevalencia de problemas del sueño y del estado de ánimo en una muestra de usuarios de dispositivos digitales tras el consumo de un producto alimenticio</t>
        </is>
      </c>
      <c r="C27" s="100" t="n">
        <v>2125</v>
      </c>
    </row>
    <row r="28">
      <c r="A28" s="38" t="inlineStr">
        <is>
          <t>33.30.6C.00.80</t>
        </is>
      </c>
      <c r="B28" s="38" t="inlineStr">
        <is>
          <t>Preparación del artículo para envío a revista científica titulado "Long term safety and efficacy of a foldable iris-fixated phakic intraocular lens for the correction of myopia"</t>
        </is>
      </c>
      <c r="C28" s="100" t="n">
        <v>1452</v>
      </c>
    </row>
    <row r="29">
      <c r="A29" s="37" t="inlineStr">
        <is>
          <t>33.30.6C.00.81</t>
        </is>
      </c>
      <c r="B29" s="37" t="inlineStr">
        <is>
          <t>EVALUACIÓN DE LA VISIÓN DEL COLOR MEDIANTE TEST PSICOFÍSICOS DE DIAGNÓSTICO</t>
        </is>
      </c>
      <c r="C29" s="99" t="n">
        <v>114.4</v>
      </c>
    </row>
    <row r="30">
      <c r="A30" s="38" t="inlineStr">
        <is>
          <t>33.30.6C.00.82</t>
        </is>
      </c>
      <c r="B30" s="38" t="inlineStr">
        <is>
          <t>Evaluación de la visión del color mediante test psicofísicos de diagnóstico</t>
        </is>
      </c>
      <c r="C30" s="100" t="n">
        <v>114.4</v>
      </c>
    </row>
    <row r="31">
      <c r="A31" s="37" t="inlineStr">
        <is>
          <t>33.30.6C.00.83</t>
        </is>
      </c>
      <c r="B31" s="37" t="inlineStr">
        <is>
          <t xml:space="preserve">Evaluación del color mediante test psicofísicos de diagnósitico. </t>
        </is>
      </c>
      <c r="C31" s="99" t="n">
        <v>114.4</v>
      </c>
    </row>
    <row r="32">
      <c r="A32" s="38" t="inlineStr">
        <is>
          <t>33.30.6C.00.84</t>
        </is>
      </c>
      <c r="B32" s="38" t="inlineStr">
        <is>
          <t>Evaluación del color mediante tests psicofísicos de diagnóstico</t>
        </is>
      </c>
      <c r="C32" s="100" t="n">
        <v>114.4</v>
      </c>
    </row>
    <row r="33">
      <c r="A33" s="37" t="inlineStr">
        <is>
          <t>33.30.6C.00.85</t>
        </is>
      </c>
      <c r="B33" s="37" t="inlineStr">
        <is>
          <t>EVALUACIÓN DEL COLOR MEDIANTE TESTS PSICOFÍSICOS DE DIAGNÓSTICO</t>
        </is>
      </c>
      <c r="C33" s="99" t="n">
        <v>114.4</v>
      </c>
    </row>
    <row r="34">
      <c r="A34" s="38" t="inlineStr">
        <is>
          <t>33.30.6C.00.87</t>
        </is>
      </c>
      <c r="B34" s="38" t="inlineStr">
        <is>
          <t>Evaluación del color mediante test psicofísicos de diagnóstico</t>
        </is>
      </c>
      <c r="C34" s="100" t="n">
        <v>114.4</v>
      </c>
    </row>
    <row r="35">
      <c r="A35" s="37" t="inlineStr">
        <is>
          <t>33.30.6C.00.88</t>
        </is>
      </c>
      <c r="B35" s="37" t="inlineStr">
        <is>
          <t>Evaluación de la visión mediante tests psicofísicos de diagnóstico</t>
        </is>
      </c>
      <c r="C35" s="99" t="n">
        <v>88</v>
      </c>
    </row>
    <row r="36">
      <c r="A36" s="38" t="inlineStr">
        <is>
          <t>33.30.6C.00.89</t>
        </is>
      </c>
      <c r="B36" s="38" t="inlineStr">
        <is>
          <t>EVALUACIÓN DE LA VISIÓN DEL COLOR MEDIANTE TESTS PSICOFÍSICOS DE DIAGNÓSTICO</t>
        </is>
      </c>
      <c r="C36" s="100" t="n">
        <v>88</v>
      </c>
    </row>
    <row r="37">
      <c r="A37" s="37" t="inlineStr">
        <is>
          <t>33.30.6C.00.91</t>
        </is>
      </c>
      <c r="B37" s="37" t="inlineStr">
        <is>
          <t>EVALUACIÓN DE LA VISIÓN DEL COLOR MEDIANTE TEST PSICOFÍSICOS DE DIAGNÓSTICO. PACIENTE PAU MORENO NAVARRO</t>
        </is>
      </c>
      <c r="C37" s="99" t="n">
        <v>114.4</v>
      </c>
    </row>
    <row r="38">
      <c r="A38" s="38" t="inlineStr">
        <is>
          <t>33.30.6C.00.92</t>
        </is>
      </c>
      <c r="B38" s="38" t="inlineStr">
        <is>
          <t xml:space="preserve">PREPARACIÓN DEL ARTÍCULO PARA EUROPEAN JOURNAL OF OPHTHALMOLOGY TITULADO "SHORT-TERM CLINICAL OUTCOMES OF CATARACT SURGERY WITH IMPLANTATION OF THE AT LISA TRI TORIC 939M/MP INTRAOCULAR LENS USING AN OPTIMIZED PREOPERATIVE AND INTRAO"  </t>
        </is>
      </c>
      <c r="C38" s="100" t="n">
        <v>1690.9</v>
      </c>
    </row>
    <row r="39">
      <c r="A39" s="37" t="inlineStr">
        <is>
          <t>33.30.6C.00.93</t>
        </is>
      </c>
      <c r="B39" s="37" t="inlineStr">
        <is>
          <t>Preparación del artículo para la revista científica sobre los resultados clínicos del implante de la lente intraocular Synergy Toric.</t>
        </is>
      </c>
      <c r="C39" s="99" t="n">
        <v>1320</v>
      </c>
    </row>
    <row r="40">
      <c r="A40" s="38" t="inlineStr">
        <is>
          <t>33.30.6C.00.94</t>
        </is>
      </c>
      <c r="B40" s="38" t="inlineStr">
        <is>
          <t>PO. 4500030235 COMPARISON OF THE OPTICAL RING SECTION CORRESPONDING TO DIAMETER HIGHER THAN 4 MM OF THE MINI WELL READY AND THE MONOFOCAL MINI 4 READY IOLS</t>
        </is>
      </c>
      <c r="C40" s="100" t="n">
        <v>1760</v>
      </c>
    </row>
    <row r="41">
      <c r="A41" s="37" t="inlineStr">
        <is>
          <t>33.30.6C.00.96</t>
        </is>
      </c>
      <c r="B41" s="37" t="inlineStr">
        <is>
          <t>EVALUACIÓN DEL COLOR MEDIANTE TESTS PSICOFÍSICOS DE DIAGNÓSTICO .  PACIENTE: ANGEL LUIS MORENO GUTIÉRREZ</t>
        </is>
      </c>
      <c r="C41" s="99" t="n">
        <v>114.4</v>
      </c>
    </row>
    <row r="42">
      <c r="A42" s="38" t="inlineStr">
        <is>
          <t>33.30.6C.00.99</t>
        </is>
      </c>
      <c r="B42" s="38" t="inlineStr">
        <is>
          <t>EVALUACIÓN DEL COLOR MEDIANTE TESTS PSICOFÍSICOS DE DIAGNÓSTICO</t>
        </is>
      </c>
      <c r="C42" s="100" t="n">
        <v>114.4</v>
      </c>
    </row>
    <row r="43">
      <c r="A43" s="37" t="inlineStr">
        <is>
          <t>33.30.6C.01.00</t>
        </is>
      </c>
      <c r="B43" s="37" t="inlineStr">
        <is>
          <t>PREPARACIÓN DEL ARTÍCULO PARA ENVÍO A REVISTA CIENTÍFICA TITULADO " ANALYSIS OF THE VISUAL FUNCTION WITH THE CONTINUOUS TRANSITIONAL FOCUS INTRAOCULAR LENS PRECIZON PRESBYOPIC"</t>
        </is>
      </c>
      <c r="C43" s="99" t="n">
        <v>1496</v>
      </c>
    </row>
    <row r="44">
      <c r="A44" s="38" t="inlineStr">
        <is>
          <t>33.30.6C.01.01</t>
        </is>
      </c>
      <c r="B44" s="38" t="inlineStr">
        <is>
          <t>EVALUACIÓN DE LA VISIÓN DEL COLOR MEDIANTE TEST PSICOFÍSICOS DE DIAGNÓSTICO</t>
        </is>
      </c>
      <c r="C44" s="100" t="n">
        <v>114.4</v>
      </c>
    </row>
    <row r="45">
      <c r="A45" s="37" t="inlineStr">
        <is>
          <t>33.30.6P.00.16</t>
        </is>
      </c>
      <c r="B45" s="37" t="inlineStr">
        <is>
          <t xml:space="preserve">PID2019-104980GB-I00/107265GB-I00/108192GB-I00/109627GB-I00/111208GB-I00/105542RB-I00/106230RB-I00/106601RB-I00 </t>
        </is>
      </c>
      <c r="C45" s="99" t="n">
        <v>41280</v>
      </c>
    </row>
    <row r="46">
      <c r="A46" s="38" t="inlineStr">
        <is>
          <t>33.30.6P.00.22</t>
        </is>
      </c>
      <c r="B46" s="38" t="inlineStr">
        <is>
          <t xml:space="preserve">AICO/2021/013/062/093/130/132/163/165 </t>
        </is>
      </c>
      <c r="C46" s="100" t="n">
        <v>29500</v>
      </c>
    </row>
    <row r="47">
      <c r="A47" s="37" t="inlineStr">
        <is>
          <t>33.30.6P.00.22</t>
        </is>
      </c>
      <c r="B47" s="37" t="inlineStr">
        <is>
          <t>DEVOLUCIÓN DE INGRESOS_MODELO 047_Nº de liquidación: 46/2023/RAS/10200/1_Número de justificante: 047/1/002359944_Nº de referencia:047/1/002359944</t>
        </is>
      </c>
      <c r="C47" s="99" t="n">
        <v>-216.8</v>
      </c>
    </row>
    <row r="48">
      <c r="A48" s="38" t="inlineStr">
        <is>
          <t>33.30.6P.00.23</t>
        </is>
      </c>
      <c r="B48" s="38" t="inlineStr">
        <is>
          <t xml:space="preserve">CIDEXG/2022/45  CIDEXG/2022/60  </t>
        </is>
      </c>
      <c r="C48" s="100" t="n">
        <v>95000</v>
      </c>
    </row>
    <row r="49">
      <c r="A49" s="37" t="inlineStr">
        <is>
          <t>33.30.6P.00.24</t>
        </is>
      </c>
      <c r="B49" s="37" t="inlineStr">
        <is>
          <t>DEVOLUCIÓN DE INGRESOS_MODELO 047_CIACO 2021 EN 2022_Nº de liquidación:46/2023/RAS/10205/1 047/_Número de justificante:047/1/002362793_Nº de referencia:047/1/002362793</t>
        </is>
      </c>
      <c r="C49" s="99" t="n">
        <v>-1832.23</v>
      </c>
    </row>
    <row r="50">
      <c r="A50" s="55" t="inlineStr">
        <is>
          <t>33.30.6P.00.24</t>
        </is>
      </c>
      <c r="B50" s="55" t="inlineStr">
        <is>
          <t xml:space="preserve">CIAICO/2021/019/074/124/158/167/173/221/279/305/328/335/339/345/348 </t>
        </is>
      </c>
      <c r="C50" s="101" t="n">
        <v>28690</v>
      </c>
    </row>
    <row r="51">
      <c r="A51" s="55" t="inlineStr">
        <is>
          <t>Total</t>
        </is>
      </c>
      <c r="B51" s="55" t="n"/>
      <c r="C51" s="102">
        <f>SUBTOTAL(109,Tabla2[Imp.cob.aplic.])</f>
        <v/>
      </c>
    </row>
    <row r="52">
      <c r="C52" s="10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topLeftCell="A40" workbookViewId="0">
      <selection activeCell="B55" sqref="B55:C55"/>
    </sheetView>
  </sheetViews>
  <sheetFormatPr baseColWidth="10" defaultRowHeight="14.4"/>
  <cols>
    <col width="47" customWidth="1" min="2" max="2"/>
    <col width="13.33203125" customWidth="1" min="3" max="3"/>
  </cols>
  <sheetData>
    <row r="1">
      <c r="A1" s="62" t="inlineStr">
        <is>
          <t>Org. aplic.</t>
        </is>
      </c>
      <c r="B1" s="62" t="inlineStr">
        <is>
          <t>Descripción justificante</t>
        </is>
      </c>
      <c r="C1" s="104" t="inlineStr">
        <is>
          <t>Imp. aplic.</t>
        </is>
      </c>
    </row>
    <row r="2">
      <c r="A2" s="58" t="inlineStr">
        <is>
          <t>33.30.6C.00.19</t>
        </is>
      </c>
      <c r="B2" s="58" t="inlineStr">
        <is>
          <t>Consultoría regulatoria en evaluación clínica de producto sanitario (anillos de tensión capsular).</t>
        </is>
      </c>
      <c r="C2" s="105" t="n">
        <v>264</v>
      </c>
    </row>
    <row r="3">
      <c r="A3" s="60" t="inlineStr">
        <is>
          <t>33.30.6C.00.23</t>
        </is>
      </c>
      <c r="B3" s="60" t="inlineStr">
        <is>
          <t>"Predicted accuracy of postoperative spherical equivalent after cataract surgery using Barrett Universal II and IOLMaster 700 biometry" &amp; "Evaluation of perception of photic phenomena through diffractive multifocal intraocular lens designs by its virtual implantation"</t>
        </is>
      </c>
      <c r="C3" s="106" t="n">
        <v>2464</v>
      </c>
    </row>
    <row r="4">
      <c r="A4" s="58" t="inlineStr">
        <is>
          <t>33.30.6C.00.24</t>
        </is>
      </c>
      <c r="B4" s="58" t="inlineStr">
        <is>
          <t>ASESORAMIENTO CIENTÍFICO, ASISTENCIA CLÍNICA Y ELABORACIÓN DE ARTÍCULOS. DICIEMBRE 2023</t>
        </is>
      </c>
      <c r="C4" s="105" t="n">
        <v>1430.55</v>
      </c>
    </row>
    <row r="5">
      <c r="A5" s="60" t="inlineStr">
        <is>
          <t>33.30.6C.00.24</t>
        </is>
      </c>
      <c r="B5" s="60" t="inlineStr">
        <is>
          <t>Asesoramiento científico, asistencia clínica y elaboración de artículos científicos.  Enero 2024</t>
        </is>
      </c>
      <c r="C5" s="106" t="n">
        <v>517.49</v>
      </c>
    </row>
    <row r="6">
      <c r="A6" s="58" t="inlineStr">
        <is>
          <t>33.30.6C.00.24</t>
        </is>
      </c>
      <c r="B6" s="58" t="inlineStr">
        <is>
          <t>Asesoramiento científico, asistencia clínica y elaboración de artículos científicos.  Febrero 2024</t>
        </is>
      </c>
      <c r="C6" s="105" t="n">
        <v>782.72</v>
      </c>
    </row>
    <row r="7">
      <c r="A7" s="60" t="inlineStr">
        <is>
          <t>33.30.6C.00.24</t>
        </is>
      </c>
      <c r="B7" s="60" t="inlineStr">
        <is>
          <t>Asesoramiento científico, asistencia clínica y elaboración de artículos científicos.  Marzo 2024</t>
        </is>
      </c>
      <c r="C7" s="106" t="n">
        <v>448.25</v>
      </c>
    </row>
    <row r="8">
      <c r="A8" s="58" t="inlineStr">
        <is>
          <t>33.30.6C.00.24</t>
        </is>
      </c>
      <c r="B8" s="58" t="inlineStr">
        <is>
          <t>Asesoramiento científico, asistencia clínica y elaboración de artículos científicos.  Abril 2024</t>
        </is>
      </c>
      <c r="C8" s="105" t="n">
        <v>21.89</v>
      </c>
    </row>
    <row r="9">
      <c r="A9" s="60" t="inlineStr">
        <is>
          <t>33.30.6C.00.24</t>
        </is>
      </c>
      <c r="B9" s="60" t="inlineStr">
        <is>
          <t>Asesoramiento científico, asistencia clínica y elaboración de artículos científicos.  Mayo 2024</t>
        </is>
      </c>
      <c r="C9" s="106" t="n">
        <v>127.78</v>
      </c>
    </row>
    <row r="10">
      <c r="A10" s="58" t="inlineStr">
        <is>
          <t>33.30.6C.00.24</t>
        </is>
      </c>
      <c r="B10" s="58" t="inlineStr">
        <is>
          <t>Asesoramiento científico, asistencia clínica y elaboración de artículos científicos.  JUNIO 2024</t>
        </is>
      </c>
      <c r="C10" s="105" t="n">
        <v>1884.14</v>
      </c>
    </row>
    <row r="11">
      <c r="A11" s="60" t="inlineStr">
        <is>
          <t>33.30.6C.00.24</t>
        </is>
      </c>
      <c r="B11" s="60" t="inlineStr">
        <is>
          <t>Asesoramiento científico, asistencia clínica y elaboración de artículos científicos. JULIO 2024</t>
        </is>
      </c>
      <c r="C11" s="106" t="n">
        <v>525.13</v>
      </c>
    </row>
    <row r="12">
      <c r="A12" s="58" t="inlineStr">
        <is>
          <t>33.30.6C.00.24</t>
        </is>
      </c>
      <c r="B12" s="58" t="inlineStr">
        <is>
          <t>Asesoramiento científico, asistencia clínica y elaboración de artículos científicos. AGOSTO 2024</t>
        </is>
      </c>
      <c r="C12" s="105" t="n">
        <v>1056.62</v>
      </c>
    </row>
    <row r="13">
      <c r="A13" s="60" t="inlineStr">
        <is>
          <t>33.30.6C.00.24</t>
        </is>
      </c>
      <c r="B13" s="60" t="inlineStr">
        <is>
          <t>Asesoramiento científico, asistencia clínica y elaboración de artículos científicos. SEPTIEMBRE 2024</t>
        </is>
      </c>
      <c r="C13" s="106" t="n">
        <v>3429.77</v>
      </c>
    </row>
    <row r="14">
      <c r="A14" s="58" t="inlineStr">
        <is>
          <t>33.30.6C.00.24</t>
        </is>
      </c>
      <c r="B14" s="58" t="inlineStr">
        <is>
          <t>Asesoramiento científico, asistencia clínica y elaboración de artículos científicos. OCTUBRE  2024</t>
        </is>
      </c>
      <c r="C14" s="105" t="n">
        <v>785.8099999999999</v>
      </c>
    </row>
    <row r="15">
      <c r="A15" s="60" t="inlineStr">
        <is>
          <t>33.30.6C.00.24</t>
        </is>
      </c>
      <c r="B15" s="60" t="inlineStr">
        <is>
          <t>ASESORÍA CLÍNICA Y DE INVESTIGACIÓN A NIVEL DE TERAPIA VISUAL, CONTROL DE MIOPÍA Y SUPERFICIE OCULAR EN EL ÁMBITO ASISTENCIAL DEL DEPARTAMENTO DE OFTALMOLOGÍA DE UN HOSPITAL NOVIEMBRE 2024 CONTRATO "IMQO1-24T"- INVESTIGADOR RESPONSABLE: DAVID PIÑERO LLORENS</t>
        </is>
      </c>
      <c r="C15" s="106" t="n">
        <v>499.27</v>
      </c>
    </row>
    <row r="16">
      <c r="A16" s="58" t="inlineStr">
        <is>
          <t>33.30.6C.00.65</t>
        </is>
      </c>
      <c r="B16" s="58" t="inlineStr">
        <is>
          <t>INFORME TÉCNICO SOBRE DEFINICIÓN, MANEJO Y BIOMARCADORES DE OJO SECO</t>
        </is>
      </c>
      <c r="C16" s="105" t="n">
        <v>352</v>
      </c>
    </row>
    <row r="17">
      <c r="A17" s="60" t="inlineStr">
        <is>
          <t>33.30.6C.00.90</t>
        </is>
      </c>
      <c r="B17" s="60" t="inlineStr">
        <is>
          <t>CONSULTANCY SERVICES</t>
        </is>
      </c>
      <c r="C17" s="106" t="n">
        <v>4400</v>
      </c>
    </row>
    <row r="18">
      <c r="A18" s="58" t="inlineStr">
        <is>
          <t>33.30.6C.00.95</t>
        </is>
      </c>
      <c r="B18" s="58" t="inlineStr">
        <is>
          <t>Realización de una presentación en el pasado congreso de la SEO en Sevilla (Septiembre 2023) y dos webinars sobre control de miopía (Noviembre 2023)</t>
        </is>
      </c>
      <c r="C18" s="105" t="n">
        <v>696.96</v>
      </c>
    </row>
    <row r="19">
      <c r="A19" s="60" t="inlineStr">
        <is>
          <t>33.30.6C.00.95</t>
        </is>
      </c>
      <c r="B19" s="60" t="inlineStr">
        <is>
          <t>Realización de una presentación en el congreso OPTOM24 celebrado en Madrid (12 abril 2024).</t>
        </is>
      </c>
      <c r="C19" s="106" t="n">
        <v>343.2</v>
      </c>
    </row>
    <row r="20">
      <c r="A20" s="58" t="inlineStr">
        <is>
          <t>33.30.6C.00.97</t>
        </is>
      </c>
      <c r="B20" s="58" t="inlineStr">
        <is>
          <t>Artículo científico titulado "Characterization of vault with two models of posterior chamber phakic intraocular lenses".</t>
        </is>
      </c>
      <c r="C20" s="105" t="n">
        <v>1320</v>
      </c>
    </row>
    <row r="21">
      <c r="A21" s="60" t="inlineStr">
        <is>
          <t>33.30.6C.01.02</t>
        </is>
      </c>
      <c r="B21" s="60" t="inlineStr">
        <is>
          <t>PO 4500033662 COMPARISON OF THE OPTICAL RING SECTION CORRESPONDING TO DIAMETER HIGHER THAN 4 MM OF THE VIVITY AND THE LUXSMART IOLS</t>
        </is>
      </c>
      <c r="C21" s="106" t="n">
        <v>3520</v>
      </c>
    </row>
    <row r="22">
      <c r="A22" s="58" t="inlineStr">
        <is>
          <t>33.30.6C.01.03</t>
        </is>
      </c>
      <c r="B22" s="58" t="inlineStr">
        <is>
          <t>DEVELOP A STRUCTURE FOR AN ESCRS POSITIONING PAPER ON "ELEVATING THE STANDARD OF CARE WITH THE POWER OF EVIDENCE-BASED MEDICINE" PO: P25668042N</t>
        </is>
      </c>
      <c r="C22" s="105" t="n">
        <v>924</v>
      </c>
    </row>
    <row r="23">
      <c r="A23" s="60" t="inlineStr">
        <is>
          <t>33.30.6C.01.04</t>
        </is>
      </c>
      <c r="B23" s="60" t="inlineStr">
        <is>
          <t>EVALUACIÓN DE LA VISIÓN DEL COLOR MEDIANTE TEST PSICOFÍSICOS DE DIAGNÓSTICO</t>
        </is>
      </c>
      <c r="C23" s="106" t="n">
        <v>114.4</v>
      </c>
    </row>
    <row r="24">
      <c r="A24" s="58" t="inlineStr">
        <is>
          <t>33.30.6C.01.06</t>
        </is>
      </c>
      <c r="B24" s="58" t="inlineStr">
        <is>
          <t>Informe técnico sobre calidad óptica de lente</t>
        </is>
      </c>
      <c r="C24" s="105" t="n">
        <v>5280</v>
      </c>
    </row>
    <row r="25">
      <c r="A25" s="60" t="inlineStr">
        <is>
          <t>33.30.6C.01.06</t>
        </is>
      </c>
      <c r="B25" s="60" t="inlineStr">
        <is>
          <t>Informe técnico sobre calidad óptica de lente</t>
        </is>
      </c>
      <c r="C25" s="106" t="n">
        <v>5280</v>
      </c>
    </row>
    <row r="26">
      <c r="A26" s="58" t="inlineStr">
        <is>
          <t>33.30.6C.01.07</t>
        </is>
      </c>
      <c r="B26" s="58" t="inlineStr">
        <is>
          <t>PREPARACIÓN Y PUBLICACIÓN DE ARTÍCULO PARA LA REVISTA CIENTÍFICA JOURNAL OF REFRACTIVE SURGERY TITULADO "LONG-TERM PREVALENCE OF OPACIFICATION OF A HYDROPHYLIC ACRYLIC ROTATIONALLY ASYMMETRIC REFRACTIVE MULTIFOCAL INTRAOCULAR LENS"</t>
        </is>
      </c>
      <c r="C26" s="105" t="n">
        <v>1056</v>
      </c>
    </row>
    <row r="27">
      <c r="A27" s="60" t="inlineStr">
        <is>
          <t>33.30.6C.01.08</t>
        </is>
      </c>
      <c r="B27" s="60" t="inlineStr">
        <is>
          <t>EVALUACIÓN DEL COLOR MEDIANTE TESTS PSICOFÍSICOS DE DIAGNÓSTICO</t>
        </is>
      </c>
      <c r="C27" s="106" t="n">
        <v>114.4</v>
      </c>
    </row>
    <row r="28">
      <c r="A28" s="58" t="inlineStr">
        <is>
          <t>33.30.6C.01.09</t>
        </is>
      </c>
      <c r="B28" s="58" t="inlineStr">
        <is>
          <t>EVALUACIÓN DEL COLOR MEDIANTE TESTS PSICOFÍSICOS DE DIAGNÓSTICO</t>
        </is>
      </c>
      <c r="C28" s="105" t="n">
        <v>114.4</v>
      </c>
    </row>
    <row r="29">
      <c r="A29" s="60" t="inlineStr">
        <is>
          <t>33.30.6C.01.10</t>
        </is>
      </c>
      <c r="B29" s="60" t="inlineStr">
        <is>
          <t>Proyecto de Investigación. "Reposicionamiento de fármacos bloqueantes de la entrada de calcio a la célula para el tratamiento de enfermedades neurodegenerativas de la retina"</t>
        </is>
      </c>
      <c r="C29" s="106" t="n">
        <v>12144</v>
      </c>
    </row>
    <row r="30">
      <c r="A30" s="58" t="inlineStr">
        <is>
          <t>33.30.6C.01.11</t>
        </is>
      </c>
      <c r="B30" s="58" t="inlineStr">
        <is>
          <t>EVALUACIÓN DE LA VISIÓN DEL COLOR MEDIANTE TEST PSICOFÍSICOS DE DIAGNÓSTICO</t>
        </is>
      </c>
      <c r="C30" s="105" t="n">
        <v>114.4</v>
      </c>
    </row>
    <row r="31">
      <c r="A31" s="60" t="inlineStr">
        <is>
          <t>33.30.6C.01.12</t>
        </is>
      </c>
      <c r="B31" s="60" t="inlineStr">
        <is>
          <t>EVALUACIÓN DEL COLOR MEDIANTE TESTS PSICOFÍSICOS DE DIAGNÓSTICO</t>
        </is>
      </c>
      <c r="C31" s="106" t="n">
        <v>114.4</v>
      </c>
    </row>
    <row r="32">
      <c r="A32" s="58" t="inlineStr">
        <is>
          <t>33.30.6C.01.13</t>
        </is>
      </c>
      <c r="B32" s="58" t="inlineStr">
        <is>
          <t xml:space="preserve">Fase 2 del ensayo clínico para evaluar la seguridad y eficacia de las lentes de contacto de ortoqueratología KATT. Pago inicial. </t>
        </is>
      </c>
      <c r="C32" s="105" t="n">
        <v>6231.58</v>
      </c>
    </row>
    <row r="33">
      <c r="A33" s="60" t="inlineStr">
        <is>
          <t>33.30.6C.01.13</t>
        </is>
      </c>
      <c r="B33" s="60" t="inlineStr">
        <is>
          <t xml:space="preserve">Fase 2 del ensayo clínico para evaluar la seguridad y eficacia de las lentes de contacto de ortoqueratología KATT.  Segundo pago. </t>
        </is>
      </c>
      <c r="C33" s="106" t="n">
        <v>3115.79</v>
      </c>
    </row>
    <row r="34">
      <c r="A34" s="58" t="inlineStr">
        <is>
          <t>33.30.6C.01.14</t>
        </is>
      </c>
      <c r="B34" s="58" t="inlineStr">
        <is>
          <t>EVALUACIÓN DEL COLOR MEDIANTE TESTS PSICOFÍSICOS DE DIAGNÓSTICO</t>
        </is>
      </c>
      <c r="C34" s="105" t="n">
        <v>114.4</v>
      </c>
    </row>
    <row r="35">
      <c r="A35" s="60" t="inlineStr">
        <is>
          <t>33.30.6C.01.15</t>
        </is>
      </c>
      <c r="B35" s="60" t="inlineStr">
        <is>
          <t>ANALYSIS OPTICAL PERFORMANCE RAYONE IOL PO 4500037214</t>
        </is>
      </c>
      <c r="C35" s="106" t="n">
        <v>1760</v>
      </c>
    </row>
    <row r="36">
      <c r="A36" s="58" t="inlineStr">
        <is>
          <t>33.30.6C.01.16</t>
        </is>
      </c>
      <c r="B36" s="58" t="inlineStr">
        <is>
          <t>EVALUACIÓN DEL COLOR MEDIANTE TESTS PSICOFÍSICOS DE DIAGNÓSTICO</t>
        </is>
      </c>
      <c r="C36" s="105" t="n">
        <v>114.4</v>
      </c>
    </row>
    <row r="37">
      <c r="A37" s="60" t="inlineStr">
        <is>
          <t>33.30.6C.01.17</t>
        </is>
      </c>
      <c r="B37" s="60" t="inlineStr">
        <is>
          <t>ORDEN DE COMPRA Nº 4200223593 Servicios de consultoría  - Programa de Desarrollo Profesional 2024. Madrid - Programa de Desenvolvimento Profissional 2024.</t>
        </is>
      </c>
      <c r="C37" s="106" t="n">
        <v>1830.4</v>
      </c>
    </row>
    <row r="38">
      <c r="A38" s="58" t="inlineStr">
        <is>
          <t>33.30.6C.01.18</t>
        </is>
      </c>
      <c r="B38" s="58" t="inlineStr">
        <is>
          <t>EVALUACIÓN DE CONTENIDO Y EJECUCIÓN DEL EJERCICIO 2023 DEL PROYECTO 952.608 DE LA EMPRESA INSTITUTO OFTALMOLÓGICO FERNÁNDEZ-VEGA, S.L.</t>
        </is>
      </c>
      <c r="C38" s="105" t="n">
        <v>572</v>
      </c>
    </row>
    <row r="39">
      <c r="A39" s="60" t="inlineStr">
        <is>
          <t>33.30.6C.01.20</t>
        </is>
      </c>
      <c r="B39" s="60" t="inlineStr">
        <is>
          <t>EVALUACIÓN DE LA VISIÓN DEL COLOR MEDIANTE TESTS PSICOFÍSICOS DE DIAGNÓSTICO</t>
        </is>
      </c>
      <c r="C39" s="106" t="n">
        <v>114.4</v>
      </c>
    </row>
    <row r="40">
      <c r="A40" s="58" t="inlineStr">
        <is>
          <t>33.30.6C.01.21</t>
        </is>
      </c>
      <c r="B40" s="58" t="inlineStr">
        <is>
          <t>EVALUACIÓN DE LA VISIÓN DEL COLOR MEDIANTE TESTS PSICOFÍSICOS DE DIAGNÓSTICO</t>
        </is>
      </c>
      <c r="C40" s="105" t="n">
        <v>114.4</v>
      </c>
    </row>
    <row r="41">
      <c r="A41" s="60" t="inlineStr">
        <is>
          <t>33.30.6C.01.22</t>
        </is>
      </c>
      <c r="B41" s="60" t="inlineStr">
        <is>
          <t>EVALUACIÓN DE LA VISIÓN DEL COLOR MEDIANTE TESTS PSICOFÍSICOS DE DIAGNÓSTICO</t>
        </is>
      </c>
      <c r="C41" s="106" t="n">
        <v>114.4</v>
      </c>
    </row>
    <row r="42">
      <c r="A42" s="58" t="inlineStr">
        <is>
          <t>33.30.6C.01.23</t>
        </is>
      </c>
      <c r="B42" s="58" t="inlineStr">
        <is>
          <t>IDENTIFICATION OF PARAMETERS AND RELATIVE RANGES IN ORDER TO ALLOW A SAFE IMPLANT OF THE EVOLUX IOL PO 4500038297</t>
        </is>
      </c>
      <c r="C42" s="105" t="n">
        <v>2200</v>
      </c>
    </row>
    <row r="43">
      <c r="A43" s="60" t="inlineStr">
        <is>
          <t>33.30.6C.01.24</t>
        </is>
      </c>
      <c r="B43" s="60" t="inlineStr">
        <is>
          <t>EVALUACIÓN DE LA VISIÓN DEL COLOR MEDIANTE TESTS PSICOFÍSICOS DE DIAGNÓSTICO</t>
        </is>
      </c>
      <c r="C43" s="106" t="n">
        <v>114.4</v>
      </c>
    </row>
    <row r="44">
      <c r="A44" s="58" t="inlineStr">
        <is>
          <t>33.30.6P.00.22</t>
        </is>
      </c>
      <c r="B44" s="58" t="inlineStr">
        <is>
          <t>DEVOLUCIÓN DE INGRESO_MODELO 047_SUBVENCIÓN AICO  ANUALIDAD_2023</t>
        </is>
      </c>
      <c r="C44" s="105" t="n">
        <v>-259.04</v>
      </c>
    </row>
    <row r="45">
      <c r="A45" s="60" t="inlineStr">
        <is>
          <t>33.30.6P.00.23</t>
        </is>
      </c>
      <c r="B45" s="60" t="inlineStr">
        <is>
          <t xml:space="preserve">ayudas CIDEXG/2022/45, CIDEXG/2022/60, CIDEXG/2022/45, CIDEXG/2022/60  </t>
        </is>
      </c>
      <c r="C45" s="106" t="n">
        <v>95000</v>
      </c>
    </row>
    <row r="46">
      <c r="A46" s="58" t="inlineStr">
        <is>
          <t>33.30.6P.00.24</t>
        </is>
      </c>
      <c r="B46" s="58" t="inlineStr">
        <is>
          <t xml:space="preserve">CIAICO/2021/019/074/124/158/167/173/279/305/328/335/345/348/339 </t>
        </is>
      </c>
      <c r="C46" s="105" t="n">
        <v>29390</v>
      </c>
    </row>
    <row r="47">
      <c r="A47" s="60" t="inlineStr">
        <is>
          <t>33.30.6P.00.24</t>
        </is>
      </c>
      <c r="B47" s="60" t="inlineStr">
        <is>
          <t>DEVOLUCIÓN DE INGRESOS_MODELO 047_Nº DE LIQUIDACIÓN: 46/2024/RAS/10135/1_ Nº DE JUSTIFICANTE: 047/1/002493531/ Nº DE REFERENCIA: 047/1/002493531</t>
        </is>
      </c>
      <c r="C47" s="106" t="n">
        <v>-9293.84</v>
      </c>
    </row>
    <row r="48">
      <c r="A48" s="58" t="inlineStr">
        <is>
          <t>33.30.6P.00.26</t>
        </is>
      </c>
      <c r="B48" s="58" t="inlineStr">
        <is>
          <t>PROGRAMA AYUDAS ICAR 2023 PROYECTO PRESBYSIM</t>
        </is>
      </c>
      <c r="C48" s="105" t="n">
        <v>10557.76</v>
      </c>
    </row>
    <row r="49">
      <c r="A49" s="60" t="inlineStr">
        <is>
          <t>33.30.6P.00.27</t>
        </is>
      </c>
      <c r="B49" s="60" t="inlineStr">
        <is>
          <t>AYUDAS PID2023-146660OB-I00, PID2023-148259NB-I00, PID2023-148881OB-I00, PID2023-149456NB-I00, PID2023-149624NB-I00, PID2023-149643NB-I00, PID2023-149994NB-I00, PID2023-150750NB-I00, PID2023-150795NB-C22,PID2023-151958NB-I00, PID2023-151982NB-I00, PID2023-152305NB-I00, PID2023-152358NA-I00, PID2023-152372NB-I00, PID2023-152734NB-I00, PID2023-152869OB-C21, PID2023-153032NB-I00</t>
        </is>
      </c>
      <c r="C49" s="106" t="n">
        <v>96000</v>
      </c>
    </row>
    <row r="50">
      <c r="A50" s="58" t="inlineStr">
        <is>
          <t>33.30.6P.00.27</t>
        </is>
      </c>
      <c r="B50" s="58" t="inlineStr">
        <is>
      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      </is>
      </c>
      <c r="C50" s="105" t="n">
        <v>17216</v>
      </c>
    </row>
    <row r="51">
      <c r="A51" s="49" t="inlineStr">
        <is>
          <t>33.30.6X.00.02</t>
        </is>
      </c>
      <c r="B51" s="49" t="inlineStr">
        <is>
          <t>Primer cobro del proyecto xDDiff</t>
        </is>
      </c>
      <c r="C51" s="107" t="n">
        <v>66495</v>
      </c>
    </row>
    <row r="52">
      <c r="A52" s="49" t="inlineStr">
        <is>
          <t>Total</t>
        </is>
      </c>
      <c r="B52" s="49" t="n"/>
      <c r="C52" s="108">
        <f>SUBTOTAL(109,Tabla3[Imp. aplic.])</f>
        <v/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9"/>
  <sheetViews>
    <sheetView topLeftCell="A43" workbookViewId="0">
      <selection activeCell="C60" sqref="C60"/>
    </sheetView>
  </sheetViews>
  <sheetFormatPr baseColWidth="10" defaultRowHeight="14.4"/>
  <cols>
    <col width="18.33203125" customWidth="1" min="1" max="1"/>
    <col width="45.21875" customWidth="1" min="2" max="2"/>
    <col width="18.21875" customWidth="1" min="3" max="3"/>
  </cols>
  <sheetData>
    <row r="1">
      <c r="A1" s="76" t="inlineStr">
        <is>
          <t>Org. aplic.</t>
        </is>
      </c>
      <c r="B1" s="77" t="inlineStr">
        <is>
          <t>Descripción justificante</t>
        </is>
      </c>
      <c r="C1" s="77" t="inlineStr">
        <is>
          <t>Imp. aplic.</t>
        </is>
      </c>
    </row>
    <row r="2">
      <c r="A2" s="78" t="inlineStr">
        <is>
          <t>33.30.6C.00.08</t>
        </is>
      </c>
      <c r="B2" s="79" t="inlineStr">
        <is>
          <t>Regalías anualidad 2024 por la licencia de uso de la obra "Cuestionario de síndrome visual informático CVS-Q" y obras derivadas. (Ref.contratoIMIM1-17O) Nº comanda: S132600</t>
        </is>
      </c>
      <c r="C2" s="109" t="n">
        <v>1800</v>
      </c>
    </row>
    <row r="3">
      <c r="A3" s="81" t="inlineStr">
        <is>
          <t>33.30.6C.00.65</t>
        </is>
      </c>
      <c r="B3" s="82" t="inlineStr">
        <is>
          <t>Revisión del artículo científico "Feasibility of a membrane--based cytology method for minimally invasive human corneal epithelial sampling: integrated results from three prospective multicenter biomolecular sub-studies".  CORNEA1-24TD - CORNEA PROJECT - David Piñero Llorens</t>
        </is>
      </c>
      <c r="C3" s="110" t="n">
        <v>220</v>
      </c>
    </row>
    <row r="4">
      <c r="A4" s="78" t="inlineStr">
        <is>
          <t>33.30.6C.01.05</t>
        </is>
      </c>
      <c r="B4" s="79" t="inlineStr">
        <is>
          <t>Evaluación clínica de las lentes de ortoqueratología "Seefree" en población infantil.  Primer pago</t>
        </is>
      </c>
      <c r="C4" s="109" t="n">
        <v>3005.2</v>
      </c>
    </row>
    <row r="5">
      <c r="A5" s="81" t="inlineStr">
        <is>
          <t>33.30.6C.01.05</t>
        </is>
      </c>
      <c r="B5" s="82" t="inlineStr">
        <is>
          <t>SEGUNDA FACTURA DEL CONTRATO (6 MESES DESDE EL INICIO DEL ENSAYO)</t>
        </is>
      </c>
      <c r="C5" s="110" t="n">
        <v>3005.2</v>
      </c>
    </row>
    <row r="6">
      <c r="A6" s="78" t="inlineStr">
        <is>
          <t>33.30.6C.01.05</t>
        </is>
      </c>
      <c r="B6" s="79" t="inlineStr">
        <is>
          <t>TERCERA FACTURA DEL CONTRATO (12 MESES DESDE EL INICIO DEL ENSAYO)</t>
        </is>
      </c>
      <c r="C6" s="109" t="n">
        <v>3005.2</v>
      </c>
    </row>
    <row r="7">
      <c r="A7" s="81" t="inlineStr">
        <is>
          <t>33.30.6C.01.06</t>
        </is>
      </c>
      <c r="B7" s="82" t="inlineStr">
        <is>
          <t>INFORME TÉCNICO SOBRE LA CALIDAD ÓPTICA DE UNA LENTE</t>
        </is>
      </c>
      <c r="C7" s="110" t="n">
        <v>6600</v>
      </c>
    </row>
    <row r="8">
      <c r="A8" s="78" t="inlineStr">
        <is>
          <t>33.30.6C.01.17</t>
        </is>
      </c>
      <c r="B8" s="79" t="inlineStr">
        <is>
          <t>ORDEN DE COMPRA Nº 4200231176 ADVISORY TORICS Consultoría David Piñero</t>
        </is>
      </c>
      <c r="C8" s="109" t="n">
        <v>422.4</v>
      </c>
    </row>
    <row r="9">
      <c r="A9" s="81" t="inlineStr">
        <is>
          <t>33.30.6C.01.17</t>
        </is>
      </c>
      <c r="B9" s="82" t="inlineStr">
        <is>
          <t>ORDEN DE COMPRA Nº 4200276586 Formación a los ópticos en el PDP Alcon</t>
        </is>
      </c>
      <c r="C9" s="110" t="n">
        <v>915.2</v>
      </c>
    </row>
    <row r="10">
      <c r="A10" s="78" t="inlineStr">
        <is>
          <t>33.30.6C.01.17</t>
        </is>
      </c>
      <c r="B10" s="79" t="inlineStr">
        <is>
          <t>ORDEN DE COMPRA Nº 4200282555 Commercial Advisory &amp; Consulting- Advisory Board - David Piñero</t>
        </is>
      </c>
      <c r="C10" s="109" t="n">
        <v>2816</v>
      </c>
    </row>
    <row r="11">
      <c r="A11" s="81" t="inlineStr">
        <is>
          <t>33.30.6C.01.19</t>
        </is>
      </c>
      <c r="B11" s="82" t="inlineStr">
        <is>
          <t>Asesoría científico-clínica de varios dispositivos comercializados por AJL Ophthalmic</t>
        </is>
      </c>
      <c r="C11" s="110" t="n">
        <v>704</v>
      </c>
    </row>
    <row r="12">
      <c r="A12" s="78" t="inlineStr">
        <is>
          <t>33.30.6C.01.25</t>
        </is>
      </c>
      <c r="B12" s="79" t="inlineStr">
        <is>
          <t>ASESORÍA CLÍNICA Y DE INVESTIGACIÓN A NIVEL DE TERAPIA VISUAL, CONTROL DE MIOPÍA Y SUPERFICIE OCULAR EN EL ÁMBITO ASISTENCIAL DEL DEPARTAMENTO DE OFTALMOLOGÍA DE UN HOSPITAL  DICIEMBRE 2024 CONTRATO "IMQO1-24T"- INVESTIGADOR RESPONSABLE: DAVID PIÑERO LLORENS</t>
        </is>
      </c>
      <c r="C12" s="109" t="n">
        <v>1014.37</v>
      </c>
    </row>
    <row r="13">
      <c r="A13" s="81" t="inlineStr">
        <is>
          <t>33.30.6C.01.25</t>
        </is>
      </c>
      <c r="B13" s="82" t="inlineStr">
        <is>
          <t>ASESORÍA CLÍNICA Y DE INVESTIGACIÓN A NIVEL DE TERAPIA VISUAL, CONTROL DE MIOPÍA Y SUPERFICIE OCULAR EN EL ÁMBITO ASISTENCIAL DEL DEPARTAMENTO DE OFTALMOLOGÍA DE UN HOSPITAL   ENERO 2025 CONTRATO "IMQO1-24T"- INVESTIGADOR RESPONSABLE: DAVID PIÑERO LLORENS</t>
        </is>
      </c>
      <c r="C13" s="110" t="n">
        <v>821.9299999999999</v>
      </c>
    </row>
    <row r="14">
      <c r="A14" s="78" t="inlineStr">
        <is>
          <t>33.30.6C.01.25</t>
        </is>
      </c>
      <c r="B14" s="79" t="inlineStr">
        <is>
          <t>ASESORÍA CLÍNICA Y DE INVESTIGACIÓN A NIVEL DE TERAPIA VISUAL, CONTROL DE MIOPÍA Y SUPERFICIE OCULAR EN EL ÁMBITO ASISTENCIAL DEL DEPARTAMENTO DE OFTALMOLOGÍA DE UN HOSPITAL  FEBRERO 2025 CONTRATO "IMQO1-24T"- INVESTIGADOR RESPONSABLE: DAVID PIÑERO LLORENS</t>
        </is>
      </c>
      <c r="C14" s="109" t="n">
        <v>1329.12</v>
      </c>
    </row>
    <row r="15">
      <c r="A15" s="81" t="inlineStr">
        <is>
          <t>33.30.6C.01.25</t>
        </is>
      </c>
      <c r="B15" s="82" t="inlineStr">
        <is>
          <t>ASESORÍA CLÍNICA Y DE INVESTIGACIÓN A NIVEL DE TERAPIA VISUAL, CONTROL DE MIOPÍA Y SUPERFICIE OCULAR EN EL ÁMBITO ASISTENCIAL DEL DEPARTAMENTO DE OFTALMOLOGÍA DE UN HOSPITAL MARZO 2025. CONTRATO"IMQO1-24T"-INVESTIGADOR RESPONSABLE: DAVID PIÑERO LLORENS</t>
        </is>
      </c>
      <c r="C15" s="110" t="n">
        <v>1238.69</v>
      </c>
    </row>
    <row r="16">
      <c r="A16" s="78" t="inlineStr">
        <is>
          <t>33.30.6C.01.25</t>
        </is>
      </c>
      <c r="B16" s="79" t="inlineStr">
        <is>
          <t>ASESORÍA CLÍNICA Y DE INVESTIGACIÓN A NIVEL DE TERAPIA VISUAL, CONTROL DE MIOPÍA Y SUPERFICIE OCULAR EN EL ÁMBITO ASISTENCIAL DEL DEPARTAMENTO DE OFTALMOLOGÍA DE UN HOSPITAL. ABRIL 2025 - CONTRATO"IMQO1-24T"-INVESTIGADOR RESPONSABLE: DAVID PIÑERO LLORENS</t>
        </is>
      </c>
      <c r="C16" s="109" t="n">
        <v>861.89</v>
      </c>
    </row>
    <row r="17">
      <c r="A17" s="81" t="inlineStr">
        <is>
          <t>33.30.6C.01.25</t>
        </is>
      </c>
      <c r="B17" s="82" t="inlineStr">
        <is>
          <t>ASESORÍA CLÍNICA Y DE INVESTIGACIÓN A NIVEL DE TERAPIA VISUAL, CONTROL DE MIOPÍA Y SUPERFICIE OCULAR EN EL ÁMBITO ASISTENCIAL DEL DEPARTAMENTO DE OFTALMOLOGÍA DE UN HOSPITAL. JUNIO 2025. CONTRATO "IMQO1-24T" - INVESTIGADOR RESPONSABLE: DAVID PIÑERO LLORENS</t>
        </is>
      </c>
      <c r="C17" s="110" t="n">
        <v>1380.9</v>
      </c>
    </row>
    <row r="18">
      <c r="A18" s="78" t="inlineStr">
        <is>
          <t>33.30.6C.01.25</t>
        </is>
      </c>
      <c r="B18" s="79" t="inlineStr">
        <is>
          <t>Asesoría clínica y de investigación a nivel de terapia visual, control de miopía y superficie ocular en el ámbito asistencial del departamento de oftalmología de un hospital. JULIO 2025. Contrato "IMQO1-24T" - Investigador David Piñero Llorens</t>
        </is>
      </c>
      <c r="C18" s="109" t="n">
        <v>714.25</v>
      </c>
    </row>
    <row r="19">
      <c r="A19" s="81" t="inlineStr">
        <is>
          <t>33.30.6C.01.25</t>
        </is>
      </c>
      <c r="B19" s="82" t="inlineStr">
        <is>
          <t>Asesoría clínica y de investigación a nivel de terapia visual, control de miopía y superficie ocular en el ámbito asistencial del departamento de oftalmología de un hospital. AGOSTO 2025. Contrato "IMQO1-24T" - Investigador David Piñero Llorens</t>
        </is>
      </c>
      <c r="C19" s="110" t="n">
        <v>463.34</v>
      </c>
    </row>
    <row r="20">
      <c r="A20" s="78" t="inlineStr">
        <is>
          <t>33.30.6C.01.25</t>
        </is>
      </c>
      <c r="B20" s="79" t="inlineStr">
        <is>
          <t>Asesoría clínica y de investigación a nivel de terapia visual, control de miopía y superficie ocular en el ámbito asistencial del departamento de oftalmología de un hospital. SEPTIEMBRE 2025. Contrato "IMQO1-24T" - Investigador David Piñero Llorens</t>
        </is>
      </c>
      <c r="C20" s="109" t="n">
        <v>644.64</v>
      </c>
    </row>
    <row r="21">
      <c r="A21" s="81" t="inlineStr">
        <is>
          <t>33.30.6C.01.25</t>
        </is>
      </c>
      <c r="B21" s="82" t="inlineStr">
        <is>
          <t>Asesoría clínica y de investigación a nivel de terapia visual, control de miopía y superficie ocular en el ámbito asistencial del departamento de oftalmología de un hospital. OCTUBRE 2025 Contrato "IMQO1-24T" - Investigador David Piñero Llorens</t>
        </is>
      </c>
      <c r="C21" s="110" t="n">
        <v>1045.92</v>
      </c>
    </row>
    <row r="22">
      <c r="A22" s="78" t="inlineStr">
        <is>
          <t>33.30.6C.01.25</t>
        </is>
      </c>
      <c r="B22" s="79" t="inlineStr">
        <is>
          <t>Asesoría clínica y de investigación a nivel de terapia visual, control de miopía y superficie ocular en el ámbito asistencial del departamento de oftalmología de un hospital. NOVIEMBRE 2025 Contrato "IMQO1-24T" - Investigador David Piñero Llorens</t>
        </is>
      </c>
      <c r="C22" s="109" t="n">
        <v>1026.07</v>
      </c>
    </row>
    <row r="23">
      <c r="A23" s="81" t="inlineStr">
        <is>
          <t>33.30.6C.01.27</t>
        </is>
      </c>
      <c r="B23" s="82" t="inlineStr">
        <is>
          <t>ANALYSIS OF THE OPTICAL PERFORMANCE OF THE EVOLUX IOL  PO N. 4500039086</t>
        </is>
      </c>
      <c r="C23" s="110" t="n">
        <v>1760</v>
      </c>
    </row>
    <row r="24">
      <c r="A24" s="78" t="inlineStr">
        <is>
          <t>33.30.6C.01.28</t>
        </is>
      </c>
      <c r="B24" s="79" t="inlineStr">
        <is>
          <t>EVALUACIÓN DE LA VISIÓN DEL COLOR MEDIANTE TEST PSICOFÍSICOS DE DIAGNÓSTICO</t>
        </is>
      </c>
      <c r="C24" s="109" t="n">
        <v>114.4</v>
      </c>
    </row>
    <row r="25">
      <c r="A25" s="81" t="inlineStr">
        <is>
          <t>33.30.6C.01.29</t>
        </is>
      </c>
      <c r="B25" s="82" t="inlineStr">
        <is>
          <t xml:space="preserve">EVALUACIÓN DE LA VISIÓN DEL COLOR MEDIANTE TEST PSICOFÍSICOS DE DIAGNOSTICO </t>
        </is>
      </c>
      <c r="C25" s="110" t="n">
        <v>114.4</v>
      </c>
    </row>
    <row r="26">
      <c r="A26" s="78" t="inlineStr">
        <is>
          <t>33.30.6C.01.30</t>
        </is>
      </c>
      <c r="B26" s="79" t="inlineStr">
        <is>
          <t>EVALUACIÓN DE LA VISIÓN DEL COLOR MEDIANTE TEST PSICOFÍSICOS DE DIAGNOSTICO</t>
        </is>
      </c>
      <c r="C26" s="109" t="n">
        <v>114.4</v>
      </c>
    </row>
    <row r="27">
      <c r="A27" s="81" t="inlineStr">
        <is>
          <t>33.30.6C.01.31</t>
        </is>
      </c>
      <c r="B27" s="82" t="inlineStr">
        <is>
          <t>EVALUACIÓN DE LA VISIÓN DEL COLOR MEDIANTE TEST PSICOFÍSICOS DE DIAGNÓSTICO</t>
        </is>
      </c>
      <c r="C27" s="110" t="n">
        <v>114.4</v>
      </c>
    </row>
    <row r="28">
      <c r="A28" s="78" t="inlineStr">
        <is>
          <t>33.30.6C.01.32</t>
        </is>
      </c>
      <c r="B28" s="79" t="inlineStr">
        <is>
          <t>EVALUACIÓN DE LA VISIÓN DEL COLOR MEDIANTE TEST PSICOFÍSICOS DE DIAGNÓSTICO</t>
        </is>
      </c>
      <c r="C28" s="109" t="n">
        <v>114.4</v>
      </c>
    </row>
    <row r="29">
      <c r="A29" s="81" t="inlineStr">
        <is>
          <t>33.30.6C.01.33</t>
        </is>
      </c>
      <c r="B29" s="82" t="inlineStr">
        <is>
          <t>EVALUACIÓN DE LA VISIÓN DEL COLOR MEDIANTE TEST PSICOFÍSICOS DE DISGNÓSTICO</t>
        </is>
      </c>
      <c r="C29" s="110" t="n">
        <v>114.4</v>
      </c>
    </row>
    <row r="30">
      <c r="A30" s="78" t="inlineStr">
        <is>
          <t>33.30.6C.01.34</t>
        </is>
      </c>
      <c r="B30" s="79" t="inlineStr">
        <is>
          <t>EVALUACIÓN DE LA VISIÓN DEL COLOR MEDIANTE TEST PSICOFÍSICOS DE DIAGNÓSTICO</t>
        </is>
      </c>
      <c r="C30" s="109" t="n">
        <v>114.4</v>
      </c>
    </row>
    <row r="31">
      <c r="A31" s="81" t="inlineStr">
        <is>
          <t>33.30.6C.01.35</t>
        </is>
      </c>
      <c r="B31" s="82" t="inlineStr">
        <is>
          <t>PREPARACIÓN Y PUBLICACIÓN DEL ARTÍCULO PARA LA REVISTA CIENTÍFICA JOURNAL OF CATARACT AND REFRACTIVE SURGERY TITULADO "FULL CHARACTERIZATION OF OPACIFICATIONS OF A SPECIFIC TYPE OF HYDROPHILIC INTRAOCULAR LENSES INCLUDING OPTICAL COHERENCE TOMOGRAPHY ANALYSIS"</t>
        </is>
      </c>
      <c r="C31" s="110" t="n">
        <v>1056</v>
      </c>
    </row>
    <row r="32">
      <c r="A32" s="78" t="inlineStr">
        <is>
          <t>33.30.6C.01.36</t>
        </is>
      </c>
      <c r="B32" s="79" t="inlineStr">
        <is>
          <t>EVALUACIÓN DE LA VISIÓN DEL COLOR MEDIANTE TEST PSICOFÍSICOS DE DIAGNÓSTICO</t>
        </is>
      </c>
      <c r="C32" s="109" t="n">
        <v>114.4</v>
      </c>
    </row>
    <row r="33">
      <c r="A33" s="81" t="inlineStr">
        <is>
          <t>33.30.6C.01.37</t>
        </is>
      </c>
      <c r="B33" s="82" t="inlineStr">
        <is>
          <t>EVALUACIÓN DE LA VISIÓN DEL COLOR MEDIANTE TESTS PSICOFÍSICOS DE DIAGNÓSTICO</t>
        </is>
      </c>
      <c r="C33" s="110" t="n">
        <v>114.4</v>
      </c>
    </row>
    <row r="34">
      <c r="A34" s="78" t="inlineStr">
        <is>
          <t>33.30.6C.01.38</t>
        </is>
      </c>
      <c r="B34" s="79" t="inlineStr">
        <is>
          <t>Participation and scientific advice form Dr. Vicente J. Camps at the advisory board meeting titled "EVIDENCE-BASED FUNCTIONAL CLASSIFICATION OF SIMULTANEOUS VISION INTRAOCULAR LENSES SEEKING CONSENSUS ON SIFI IOL PORTFOLIO", held on 11 April 2025 in Rome, Italy PO 45000042286</t>
        </is>
      </c>
      <c r="C34" s="109" t="n">
        <v>880</v>
      </c>
    </row>
    <row r="35">
      <c r="A35" s="81" t="inlineStr">
        <is>
          <t>33.30.6C.01.39</t>
        </is>
      </c>
      <c r="B35" s="82" t="inlineStr">
        <is>
          <t>Evaluación de la visión del color mediante tests psicofísicos de diagnóstico</t>
        </is>
      </c>
      <c r="C35" s="110" t="n">
        <v>114.4</v>
      </c>
    </row>
    <row r="36">
      <c r="A36" s="78" t="inlineStr">
        <is>
          <t>33.30.6C.01.41</t>
        </is>
      </c>
      <c r="B36" s="79" t="inlineStr">
        <is>
          <t>EVALUACIÓN DE LA VISIÓN DEL COLOR MEDIANTE TEST PSICOFÍSICOS DE DIAGNÓSTICO</t>
        </is>
      </c>
      <c r="C36" s="109" t="n">
        <v>114.4</v>
      </c>
    </row>
    <row r="37">
      <c r="A37" s="81" t="inlineStr">
        <is>
          <t>33.30.6C.01.42</t>
        </is>
      </c>
      <c r="B37" s="82" t="inlineStr">
        <is>
          <t xml:space="preserve">EVALUACION DE LA VISIÓN DEL COLOR MEDIANTE TEST PSICOFÍSICOS DE DIAGNÓSTICO </t>
        </is>
      </c>
      <c r="C37" s="110" t="n">
        <v>114.4</v>
      </c>
    </row>
    <row r="38">
      <c r="A38" s="78" t="inlineStr">
        <is>
          <t>33.30.6C.01.43</t>
        </is>
      </c>
      <c r="B38" s="79" t="inlineStr">
        <is>
          <t>DEVELOP A WORKING OPTOPAD UNIT</t>
        </is>
      </c>
      <c r="C38" s="109" t="n">
        <v>2640</v>
      </c>
    </row>
    <row r="39">
      <c r="A39" s="81" t="inlineStr">
        <is>
          <t>33.30.6C.01.44</t>
        </is>
      </c>
      <c r="B39" s="82" t="inlineStr">
        <is>
          <t>EVALUACIÓN DE LA VISIÓN DEL COLOR MEDIANTE TEST PSICOFÍSICOS DE DIAGNÓSTICO</t>
        </is>
      </c>
      <c r="C39" s="110" t="n">
        <v>114.4</v>
      </c>
    </row>
    <row r="40">
      <c r="A40" s="78" t="inlineStr">
        <is>
          <t>33.30.6C.01.45</t>
        </is>
      </c>
      <c r="B40" s="79" t="inlineStr">
        <is>
          <t>EVALUACIÓN DE LA VISIÓN DEL COLOR MEDIANTE TEST PSICOFÍSICOS DE DISGNÓSTICO</t>
        </is>
      </c>
      <c r="C40" s="109" t="n">
        <v>114.4</v>
      </c>
    </row>
    <row r="41">
      <c r="A41" s="81" t="inlineStr">
        <is>
          <t>33.30.6C.01.46</t>
        </is>
      </c>
      <c r="B41" s="82" t="inlineStr">
        <is>
          <t>Preparación del artículo para la revista científica sobre los resultados clínicos del implante de la lente intraocular PureSee</t>
        </is>
      </c>
      <c r="C41" s="110" t="n">
        <v>1056</v>
      </c>
    </row>
    <row r="42">
      <c r="A42" s="78" t="inlineStr">
        <is>
          <t>33.30.6C.01.47</t>
        </is>
      </c>
      <c r="B42" s="79" t="inlineStr">
        <is>
          <t>EVALUACIÓN DE LA VISIÓN DEL COLOR MEDIANTE TEST PSICOFÍSICOS DE DIAGNÓSTICO</t>
        </is>
      </c>
      <c r="C42" s="109" t="n">
        <v>114.4</v>
      </c>
    </row>
    <row r="43">
      <c r="A43" s="81" t="inlineStr">
        <is>
          <t>33.30.6C.01.48</t>
        </is>
      </c>
      <c r="B43" s="82" t="inlineStr">
        <is>
          <t>EVALUACIÓN DE LA VISIÓN DEL COLOR MEDIANTE TESTS PSICOFÍSICOS DE DIAGNÓSTICO</t>
        </is>
      </c>
      <c r="C43" s="110" t="n">
        <v>114.4</v>
      </c>
    </row>
    <row r="44">
      <c r="A44" s="78" t="inlineStr">
        <is>
          <t>33.30.6C.01.49</t>
        </is>
      </c>
      <c r="B44" s="79" t="inlineStr">
        <is>
          <t>EVALUACIÓN DE LA VISIÓN DEL COLOR MEDIANTE TESTS PSICOFÍSICOS DE DIAGNÓSTICO</t>
        </is>
      </c>
      <c r="C44" s="109" t="n">
        <v>114.4</v>
      </c>
    </row>
    <row r="45">
      <c r="A45" s="81" t="inlineStr">
        <is>
          <t>33.30.6C.01.50</t>
        </is>
      </c>
      <c r="B45" s="82" t="inlineStr">
        <is>
          <t>EVALUACIÓN DE LA VISIÓN DEL COLOR MEDIANTE TESTS PSICOFÍSICOS DE DIAGNÓSTICO</t>
        </is>
      </c>
      <c r="C45" s="110" t="n">
        <v>114.4</v>
      </c>
    </row>
    <row r="46">
      <c r="A46" s="78" t="inlineStr">
        <is>
          <t>33.30.6C.01.51</t>
        </is>
      </c>
      <c r="B46" s="79" t="inlineStr">
        <is>
          <t>EVALUACIÓN DE LA VISIÓN DEL COLOR MEDIANTE TESTS PSICOFÍSICOS DE DIAGNÓSTICO</t>
        </is>
      </c>
      <c r="C46" s="109" t="n">
        <v>114.4</v>
      </c>
    </row>
    <row r="47">
      <c r="A47" s="81" t="inlineStr">
        <is>
          <t>33.30.6C.01.52</t>
        </is>
      </c>
      <c r="B47" s="82" t="inlineStr">
        <is>
          <t>Participation and scientific advice from Dr. Vicente Jesús Camps at the advisory board meeting titled "Decoding the Wavefront Signature of SIFI IOLs: From Science to Clinical Evidence and Real- World Benefits", held on 24-26 October 2025 in Taormina, Italy P.O. 4500043534</t>
        </is>
      </c>
      <c r="C47" s="110" t="n">
        <v>1760</v>
      </c>
    </row>
    <row r="48">
      <c r="A48" s="78" t="inlineStr">
        <is>
          <t>33.30.6C.01.53</t>
        </is>
      </c>
      <c r="B48" s="79" t="inlineStr">
        <is>
          <t>EVALUACIÓN DE LA VISIÓN DEL COLOR MEDIANTE TESTS PSICOFÍSICOS DE DIAGNÓSTICO</t>
        </is>
      </c>
      <c r="C48" s="109" t="n">
        <v>114.4</v>
      </c>
    </row>
    <row r="49">
      <c r="A49" s="81" t="inlineStr">
        <is>
          <t>33.30.6C.01.54</t>
        </is>
      </c>
      <c r="B49" s="82" t="inlineStr">
        <is>
          <t>EVALUACIÓN DE LA VISIÓN DEL COLOR MEDIANTE TESTS PSICOFÍSICOS DE DIAGNÓSTICO</t>
        </is>
      </c>
      <c r="C49" s="110" t="n">
        <v>114.4</v>
      </c>
    </row>
    <row r="50">
      <c r="A50" s="78" t="inlineStr">
        <is>
          <t>33.30.6C.01.55</t>
        </is>
      </c>
      <c r="B50" s="79" t="inlineStr">
        <is>
          <t>EVALUACIÓN DE LA VISIÓN DEL COLOR MEDIANTE TESTS PSICOFÍSICOS DE DIAGNÓSTICO</t>
        </is>
      </c>
      <c r="C50" s="109" t="n">
        <v>114.4</v>
      </c>
    </row>
    <row r="51">
      <c r="A51" s="81" t="inlineStr">
        <is>
          <t>33.30.6P.00.21</t>
        </is>
      </c>
      <c r="B51" s="82" t="inlineStr">
        <is>
          <t>DEVOLUCIÓN DE INGRESOS_SGI_REINTEGRO DE REMANENTES DE PROYECTOS MEDIANTE TRANSFERENCIA BANCARIA.</t>
        </is>
      </c>
      <c r="C51" s="110" t="n">
        <v>-3803.16</v>
      </c>
    </row>
    <row r="52">
      <c r="A52" s="78" t="inlineStr">
        <is>
          <t>33.30.6P.00.23</t>
        </is>
      </c>
      <c r="B52" s="79" t="inlineStr">
        <is>
          <t xml:space="preserve">Ayudas CIDEXG/2022/45, CIDEXG/2022/45 , CIDEXG/2022/60 , CIDEXG/2022/60  </t>
        </is>
      </c>
      <c r="C52" s="109" t="n">
        <v>95238.10000000001</v>
      </c>
    </row>
    <row r="53">
      <c r="A53" s="81" t="inlineStr">
        <is>
          <t>33.30.6P.00.24</t>
        </is>
      </c>
      <c r="B53" s="82" t="inlineStr">
        <is>
          <t>DEVOLUCIÓN DE INGRESOS_MODELO 047_  REFERENCIA: CIACO/2021/158/279/339/124/348/074/345/173</t>
        </is>
      </c>
      <c r="C53" s="110" t="n">
        <v>-327.97</v>
      </c>
    </row>
    <row r="54">
      <c r="A54" s="78" t="inlineStr">
        <is>
          <t>33.30.6P.00.27</t>
        </is>
      </c>
      <c r="B54" s="79" t="inlineStr">
        <is>
      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      </is>
      </c>
      <c r="C54" s="109" t="n">
        <v>14208</v>
      </c>
    </row>
    <row r="55" ht="15" customHeight="1" thickBot="1">
      <c r="A55" s="81" t="inlineStr">
        <is>
          <t>33.30.6P.00.28</t>
        </is>
      </c>
      <c r="B55" s="82" t="inlineStr">
        <is>
          <t>Ayudas CIESGT/2025/08 - CIESGT/2025/09</t>
        </is>
      </c>
      <c r="C55" s="110" t="n">
        <v>26630.14</v>
      </c>
    </row>
    <row r="56" ht="15" customHeight="1" thickTop="1">
      <c r="A56" s="84" t="inlineStr">
        <is>
          <t>Total</t>
        </is>
      </c>
      <c r="B56" s="85" t="n"/>
      <c r="C56" s="111" t="n">
        <v>176648.23</v>
      </c>
    </row>
    <row r="59">
      <c r="B59" s="69" t="inlineStr">
        <is>
          <t>Total ingresos investigación 2023-25</t>
        </is>
      </c>
      <c r="C59" s="112">
        <f>C56+Tabla2[[#Totals],[Imp.cob.aplic.]]+Tabla3[[#Totals],[Imp.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B14" sqref="B14"/>
    </sheetView>
  </sheetViews>
  <sheetFormatPr baseColWidth="10" defaultRowHeight="14.4"/>
  <cols>
    <col width="16.44140625" customWidth="1" min="1" max="1"/>
    <col width="53.44140625" customWidth="1" min="2" max="2"/>
    <col width="15.44140625" customWidth="1" min="3" max="3"/>
  </cols>
  <sheetData>
    <row r="1">
      <c r="A1" s="54" t="inlineStr">
        <is>
          <t>Cód. org. aplic.</t>
        </is>
      </c>
      <c r="B1" s="54" t="inlineStr">
        <is>
          <t>Descripción justificante</t>
        </is>
      </c>
      <c r="C1" s="54" t="inlineStr">
        <is>
          <t>Imp.cob.aplic.</t>
        </is>
      </c>
    </row>
    <row r="2">
      <c r="A2" s="37" t="inlineStr">
        <is>
          <t>33.30.2T.00.01</t>
        </is>
      </c>
      <c r="B2" s="37" t="inlineStr">
        <is>
          <t>JORNADA OPTOINNOVA 2023. INSCRIPCIÓN DANIEL MONSÁLVEZ ROMÍN</t>
        </is>
      </c>
      <c r="C2" s="99" t="n">
        <v>30</v>
      </c>
    </row>
    <row r="3">
      <c r="A3" s="38" t="inlineStr">
        <is>
          <t>33.30.2T.00.01</t>
        </is>
      </c>
      <c r="B3" s="38" t="inlineStr">
        <is>
          <t xml:space="preserve">Plan_GH96 Curso_2022-23 Emitido_2022-23 -JORNADA OPTOINNOVA 2023 </t>
        </is>
      </c>
      <c r="C3" s="100" t="n">
        <v>1764</v>
      </c>
    </row>
    <row r="4">
      <c r="A4" s="37" t="inlineStr">
        <is>
          <t>33.30.2T.00.01</t>
        </is>
      </c>
      <c r="B4" s="37" t="inlineStr">
        <is>
          <t>DEVOLUCIÓN TASAS NÓMINA REMESA Nº2023DTR200234/RDTINVERSA EN :2023EXPADM1253</t>
        </is>
      </c>
      <c r="C4" s="99" t="n">
        <v>-9</v>
      </c>
    </row>
    <row r="5">
      <c r="A5" s="38" t="inlineStr">
        <is>
          <t>33.30.2T.00.01</t>
        </is>
      </c>
      <c r="B5" s="38" t="inlineStr">
        <is>
          <t>JORNADA OPTOINNOVA 2023. INSCRIPCIÓN ANA TAUSTE FRANCÉS</t>
        </is>
      </c>
      <c r="C5" s="100" t="n">
        <v>35</v>
      </c>
    </row>
    <row r="6">
      <c r="A6" s="50" t="inlineStr">
        <is>
          <t>33.30.2T.00.03</t>
        </is>
      </c>
      <c r="B6" s="50" t="inlineStr">
        <is>
          <t xml:space="preserve">Plan_9164 Curso_2022-23 Emitido_2022-23 - MÁSTER EN TECNOLOGÍA DEL COLOR PARA EL SECTOR AUTOMOCIÓN </t>
        </is>
      </c>
      <c r="C6" s="113" t="n">
        <v>1964.39</v>
      </c>
    </row>
    <row r="7" customFormat="1" s="53">
      <c r="A7" s="51" t="inlineStr">
        <is>
          <t>Total</t>
        </is>
      </c>
      <c r="B7" s="51" t="n"/>
      <c r="C7" s="114">
        <f>SUBTOTAL(109,Tabla5[Imp.cob.aplic.])</f>
        <v/>
      </c>
    </row>
    <row r="8">
      <c r="C8" s="10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8" sqref="B8:C8"/>
    </sheetView>
  </sheetViews>
  <sheetFormatPr baseColWidth="10" defaultRowHeight="14.4"/>
  <cols>
    <col width="50.33203125" customWidth="1" min="2" max="2"/>
    <col width="11.6640625" customWidth="1" min="3" max="3"/>
  </cols>
  <sheetData>
    <row r="1">
      <c r="A1" s="62" t="inlineStr">
        <is>
          <t>Org. aplic.</t>
        </is>
      </c>
      <c r="B1" s="62" t="inlineStr">
        <is>
          <t>Descripción justificante</t>
        </is>
      </c>
      <c r="C1" s="62" t="inlineStr">
        <is>
          <t>Imp. aplic.</t>
        </is>
      </c>
    </row>
    <row r="2">
      <c r="A2" s="58" t="inlineStr">
        <is>
          <t>33.30.2T.00.01</t>
        </is>
      </c>
      <c r="B2" s="58" t="inlineStr">
        <is>
          <t xml:space="preserve">LIQ-TitProp_GK25-1 Curso_2023-24 AñoCont_2024 - OPTOINNOVA 2024 </t>
        </is>
      </c>
      <c r="C2" s="105" t="n">
        <v>625.5</v>
      </c>
    </row>
    <row r="3">
      <c r="A3" s="60" t="inlineStr">
        <is>
          <t>33.30.2T.00.01</t>
        </is>
      </c>
      <c r="B3" s="60" t="inlineStr">
        <is>
          <t>DEVOLUCIÓN TASAS NÓMINAS_REMESA Nº 2024DTR207964_ RDT INVERSA 2024EXPADM1087</t>
        </is>
      </c>
      <c r="C3" s="106" t="n">
        <v>-27</v>
      </c>
    </row>
    <row r="4">
      <c r="A4" s="66" t="inlineStr">
        <is>
          <t>33.30.2T.00.01</t>
        </is>
      </c>
      <c r="B4" s="66" t="inlineStr">
        <is>
          <t>DEVOLUCIÓN DE TASAS NÓMINAS_REMESA Nº 2024DTR231568/RDT INVERSA 2024EXPADM1155</t>
        </is>
      </c>
      <c r="C4" s="115" t="n">
        <v>-40.5</v>
      </c>
    </row>
    <row r="5">
      <c r="A5" s="49" t="inlineStr">
        <is>
          <t>Total</t>
        </is>
      </c>
      <c r="B5" s="49" t="n"/>
      <c r="C5" s="116">
        <f>SUBTOTAL(109,Tabla6[Imp.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C8" sqref="C8"/>
    </sheetView>
  </sheetViews>
  <sheetFormatPr baseColWidth="10" defaultRowHeight="14.4"/>
  <cols>
    <col width="17.77734375" customWidth="1" min="1" max="1"/>
    <col width="55.109375" customWidth="1" min="2" max="2"/>
    <col width="17.77734375" customWidth="1" min="3" max="3"/>
  </cols>
  <sheetData>
    <row r="1">
      <c r="A1" s="87" t="inlineStr">
        <is>
          <t>Org. aplic.</t>
        </is>
      </c>
      <c r="B1" s="88" t="inlineStr">
        <is>
          <t>Descripción justificante</t>
        </is>
      </c>
      <c r="C1" s="117" t="inlineStr">
        <is>
          <t>Imp. aplic.</t>
        </is>
      </c>
    </row>
    <row r="2" ht="15" customHeight="1" thickBot="1">
      <c r="A2" s="90" t="inlineStr">
        <is>
          <t>33.30.2T.00.01</t>
        </is>
      </c>
      <c r="B2" s="91" t="inlineStr">
        <is>
          <t xml:space="preserve">LIQ-TitProp_GM24-N Curso_2024-25 AñoCont_2025 - OPTOINNOVA 2025 </t>
        </is>
      </c>
      <c r="C2" s="118" t="n">
        <v>657</v>
      </c>
    </row>
    <row r="3" ht="15" customHeight="1" thickTop="1">
      <c r="A3" s="93" t="inlineStr">
        <is>
          <t>Total</t>
        </is>
      </c>
      <c r="B3" s="94" t="n"/>
      <c r="C3" s="119" t="n">
        <v>657</v>
      </c>
    </row>
    <row r="7">
      <c r="B7" s="69" t="inlineStr">
        <is>
          <t>Total ingresos formación 2023-25</t>
        </is>
      </c>
      <c r="C7" s="120">
        <f>C3+Tabla5[[#Totals],[Imp.cob.aplic.]]+Tabla6[[#Totals],[Imp. aplic.]]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iuaca@ua.es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2026-05-28T21:59:18Z</dcterms:modified>
  <cp:lastModifiedBy>MARIA TERESA PUJALTE DEVIS</cp:lastModifiedBy>
</cp:coreProperties>
</file>