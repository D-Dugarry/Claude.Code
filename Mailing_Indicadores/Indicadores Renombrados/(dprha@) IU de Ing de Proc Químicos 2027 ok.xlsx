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Correo" sheetId="6" state="veryHidden" r:id="rId6"/>
  </sheets>
  <definedNames>
    <definedName name="_xlnm._FilterDatabase" localSheetId="0" hidden="1">'Tesis'!$A$1:$V$1</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3">
    <numFmt numFmtId="164" formatCode="_-* #,##0.00_-;\-* #,##0.00_-;_-* &quot;-&quot;??_-;_-@_-"/>
    <numFmt numFmtId="165" formatCode="0.0"/>
    <numFmt numFmtId="166" formatCode="_-* #,##0.00\ _€_-;\-* #,##0.00\ _€_-;_-* &quot;-&quot;??\ _€_-;_-@_-"/>
  </numFmts>
  <fonts count="17">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b val="1"/>
      <color theme="1"/>
      <sz val="10"/>
    </font>
    <font>
      <name val="Calibri"/>
      <family val="2"/>
      <b val="1"/>
      <color theme="1"/>
      <sz val="11"/>
      <scheme val="minor"/>
    </font>
    <font>
      <name val="Calibri"/>
      <family val="2"/>
      <color theme="1"/>
      <sz val="11"/>
      <scheme val="minor"/>
    </font>
    <font>
      <name val="Arial"/>
      <family val="2"/>
      <b val="1"/>
      <color theme="0"/>
      <sz val="10"/>
    </font>
    <font>
      <name val="Arial"/>
      <family val="2"/>
      <b val="1"/>
      <color theme="0"/>
      <sz val="10"/>
    </font>
    <font>
      <name val="Arial"/>
      <family val="2"/>
      <color theme="1"/>
      <sz val="10"/>
    </font>
    <font>
      <name val="Calibri"/>
      <family val="2"/>
      <b val="1"/>
      <color theme="0"/>
      <sz val="11"/>
      <scheme val="minor"/>
    </font>
  </fonts>
  <fills count="12">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
      </top>
      <bottom style="thin">
        <color theme="9" tint="0.3999755851924192"/>
      </bottom>
      <diagonal/>
    </border>
    <border>
      <left/>
      <right/>
      <top style="thin">
        <color indexed="64"/>
      </top>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2" fillId="0" borderId="0"/>
    <xf numFmtId="0" fontId="2" fillId="0" borderId="0"/>
    <xf numFmtId="0" fontId="5" fillId="0" borderId="0"/>
    <xf numFmtId="0" fontId="5" fillId="0" borderId="0"/>
    <xf numFmtId="0" fontId="6" fillId="0" borderId="0"/>
    <xf numFmtId="0" fontId="1" fillId="0" borderId="0"/>
    <xf numFmtId="166" fontId="12" fillId="0" borderId="0"/>
  </cellStyleXfs>
  <cellXfs count="68">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0" fillId="0" borderId="1" applyAlignment="1" pivotButton="0" quotePrefix="0" xfId="0">
      <alignment horizontal="center"/>
    </xf>
    <xf numFmtId="0" fontId="2" fillId="4" borderId="1" pivotButton="0" quotePrefix="0" xfId="1"/>
    <xf numFmtId="0" fontId="2" fillId="4" borderId="1" applyAlignment="1" pivotButton="0" quotePrefix="0" xfId="1">
      <alignment horizontal="right"/>
    </xf>
    <xf numFmtId="0" fontId="4" fillId="3" borderId="1" applyAlignment="1" pivotButton="0" quotePrefix="0" xfId="2">
      <alignment horizontal="center"/>
    </xf>
    <xf numFmtId="0" fontId="15" fillId="7" borderId="2" pivotButton="0" quotePrefix="0" xfId="0"/>
    <xf numFmtId="164" fontId="0" fillId="7" borderId="2" pivotButton="0" quotePrefix="0" xfId="6"/>
    <xf numFmtId="0" fontId="15" fillId="0" borderId="2" pivotButton="0" quotePrefix="0" xfId="0"/>
    <xf numFmtId="164" fontId="0" fillId="0" borderId="2" pivotButton="0" quotePrefix="0" xfId="6"/>
    <xf numFmtId="164" fontId="11" fillId="0" borderId="0" pivotButton="0" quotePrefix="0" xfId="0"/>
    <xf numFmtId="0" fontId="2" fillId="8" borderId="0" pivotButton="0" quotePrefix="0" xfId="1"/>
    <xf numFmtId="0" fontId="2" fillId="8" borderId="0" applyAlignment="1" pivotButton="0" quotePrefix="0" xfId="1">
      <alignment horizontal="right"/>
    </xf>
    <xf numFmtId="165" fontId="3" fillId="8" borderId="0" pivotButton="0" quotePrefix="0" xfId="1"/>
    <xf numFmtId="0" fontId="0" fillId="0" borderId="1" applyAlignment="1" pivotButton="0" quotePrefix="0" xfId="0">
      <alignment horizontal="left"/>
    </xf>
    <xf numFmtId="0" fontId="0" fillId="8" borderId="0" pivotButton="0" quotePrefix="0" xfId="0"/>
    <xf numFmtId="0" fontId="0" fillId="8" borderId="0" applyAlignment="1" pivotButton="0" quotePrefix="0" xfId="0">
      <alignment horizontal="left"/>
    </xf>
    <xf numFmtId="0" fontId="9" fillId="0" borderId="5" pivotButton="0" quotePrefix="0" xfId="0"/>
    <xf numFmtId="0" fontId="14" fillId="6" borderId="4" pivotButton="0" quotePrefix="0" xfId="0"/>
    <xf numFmtId="0" fontId="15" fillId="0" borderId="5" pivotButton="0" quotePrefix="0" xfId="0"/>
    <xf numFmtId="164" fontId="0" fillId="0" borderId="5" pivotButton="0" quotePrefix="0" xfId="6"/>
    <xf numFmtId="164" fontId="12" fillId="0" borderId="5" pivotButton="0" quotePrefix="0" xfId="0"/>
    <xf numFmtId="0" fontId="0" fillId="7" borderId="2" pivotButton="0" quotePrefix="0" xfId="0"/>
    <xf numFmtId="0" fontId="0" fillId="0" borderId="2" pivotButton="0" quotePrefix="0" xfId="0"/>
    <xf numFmtId="0" fontId="16" fillId="6" borderId="4" pivotButton="0" quotePrefix="0" xfId="0"/>
    <xf numFmtId="164" fontId="16" fillId="6" borderId="4" pivotButton="0" quotePrefix="0" xfId="6"/>
    <xf numFmtId="0" fontId="0" fillId="0" borderId="5" pivotButton="0" quotePrefix="0" xfId="0"/>
    <xf numFmtId="0" fontId="0" fillId="0" borderId="5" pivotButton="0" quotePrefix="0" xfId="0"/>
    <xf numFmtId="0" fontId="11" fillId="0" borderId="1" pivotButton="0" quotePrefix="0" xfId="0"/>
    <xf numFmtId="166" fontId="11" fillId="0" borderId="1" pivotButton="0" quotePrefix="0" xfId="6"/>
    <xf numFmtId="0" fontId="0" fillId="9" borderId="1" applyAlignment="1" pivotButton="0" quotePrefix="0" xfId="0">
      <alignment horizontal="center"/>
    </xf>
    <xf numFmtId="0" fontId="13" fillId="10" borderId="6" pivotButton="0" quotePrefix="0" xfId="0"/>
    <xf numFmtId="0" fontId="13" fillId="10" borderId="7" pivotButton="0" quotePrefix="0" xfId="0"/>
    <xf numFmtId="0" fontId="9" fillId="11" borderId="6" pivotButton="0" quotePrefix="0" xfId="0"/>
    <xf numFmtId="0" fontId="9" fillId="11" borderId="7" pivotButton="0" quotePrefix="0" xfId="0"/>
    <xf numFmtId="166" fontId="9" fillId="11" borderId="7" pivotButton="0" quotePrefix="0" xfId="6"/>
    <xf numFmtId="0" fontId="9" fillId="0" borderId="6" pivotButton="0" quotePrefix="0" xfId="0"/>
    <xf numFmtId="0" fontId="9" fillId="0" borderId="7" pivotButton="0" quotePrefix="0" xfId="0"/>
    <xf numFmtId="166" fontId="9" fillId="0" borderId="7" pivotButton="0" quotePrefix="0" xfId="6"/>
    <xf numFmtId="0" fontId="10" fillId="0" borderId="8" pivotButton="0" quotePrefix="0" xfId="0"/>
    <xf numFmtId="0" fontId="10" fillId="0" borderId="9" pivotButton="0" quotePrefix="0" xfId="0"/>
    <xf numFmtId="166" fontId="10" fillId="0" borderId="9" pivotButton="0" quotePrefix="0" xfId="6"/>
    <xf numFmtId="165" fontId="11" fillId="8" borderId="3" applyAlignment="1" pivotButton="0" quotePrefix="0" xfId="0">
      <alignment horizontal="center"/>
    </xf>
    <xf numFmtId="0" fontId="0" fillId="0" borderId="3" pivotButton="0" quotePrefix="0" xfId="0"/>
    <xf numFmtId="164" fontId="0" fillId="7" borderId="2" pivotButton="0" quotePrefix="0" xfId="6"/>
    <xf numFmtId="164" fontId="0" fillId="0" borderId="2" pivotButton="0" quotePrefix="0" xfId="6"/>
    <xf numFmtId="164" fontId="0" fillId="0" borderId="5" pivotButton="0" quotePrefix="0" xfId="6"/>
    <xf numFmtId="164" fontId="12" fillId="0" borderId="5" pivotButton="0" quotePrefix="0" xfId="0"/>
    <xf numFmtId="164" fontId="11" fillId="0" borderId="0" pivotButton="0" quotePrefix="0" xfId="0"/>
    <xf numFmtId="164" fontId="16" fillId="6" borderId="4" pivotButton="0" quotePrefix="0" xfId="6"/>
    <xf numFmtId="166" fontId="9" fillId="11" borderId="7" pivotButton="0" quotePrefix="0" xfId="6"/>
    <xf numFmtId="166" fontId="9" fillId="0" borderId="7" pivotButton="0" quotePrefix="0" xfId="6"/>
    <xf numFmtId="166" fontId="10" fillId="0" borderId="9" pivotButton="0" quotePrefix="0" xfId="6"/>
    <xf numFmtId="166" fontId="11" fillId="0" borderId="1" pivotButton="0" quotePrefix="0" xfId="6"/>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19">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abla2" displayName="Tabla2" ref="A1:C62" headerRowCount="1" totalsRowCount="1" headerRowDxfId="18" headerRowBorderDxfId="17" tableBorderDxfId="16" totalsRowBorderDxfId="15">
  <autoFilter ref="A1:C61"/>
  <tableColumns count="3">
    <tableColumn id="1" name="Cód. org. aplic." totalsRowLabel="Total" dataDxfId="14" totalsRowDxfId="13"/>
    <tableColumn id="2" name="Descripción justificante" dataDxfId="12" totalsRowDxfId="11"/>
    <tableColumn id="3" name="Imp.cob.aplic." totalsRowFunction="sum" dataDxfId="10" totalsRowDxfId="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3" displayName="Tabla3" ref="A1:C60" headerRowCount="1" totalsRowCount="1" headerRowBorderDxfId="8" tableBorderDxfId="7" totalsRowBorderDxfId="6">
  <autoFilter ref="A1:C59"/>
  <tableColumns count="3">
    <tableColumn id="1" name="Org. aplic." totalsRowLabel="Total" dataDxfId="5" totalsRowDxfId="4"/>
    <tableColumn id="2" name="Descripción justificante" dataDxfId="3" totalsRowDxfId="2"/>
    <tableColumn id="3"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52"/>
  <sheetViews>
    <sheetView showGridLines="0" tabSelected="1" topLeftCell="F23" zoomScale="120" zoomScaleNormal="120" workbookViewId="0">
      <selection activeCell="X37" sqref="X37"/>
    </sheetView>
  </sheetViews>
  <sheetFormatPr baseColWidth="10" defaultColWidth="10.28515625" defaultRowHeight="11.25"/>
  <cols>
    <col width="5" customWidth="1" style="5" min="1" max="1"/>
    <col width="29.7109375" customWidth="1" style="5" min="2" max="4"/>
    <col width="40.7109375" customWidth="1" style="5" min="5" max="5"/>
    <col width="9.140625" customWidth="1" style="5" min="6" max="6"/>
    <col width="9.7109375" customWidth="1" style="5" min="7" max="7"/>
    <col width="14.42578125" customWidth="1" style="5" min="8" max="8"/>
    <col width="5.85546875" customWidth="1" style="5" min="9" max="9"/>
    <col width="25.7109375" customWidth="1" style="5" min="10" max="10"/>
    <col width="5.140625" customWidth="1" style="5" min="11" max="11"/>
    <col width="5.28515625" customWidth="1" style="6" min="12" max="12"/>
    <col width="4.85546875" customWidth="1" style="5" min="13" max="13"/>
    <col width="8.42578125" customWidth="1" style="6" min="14" max="14"/>
    <col width="4.85546875" customWidth="1" style="5" min="15" max="15"/>
    <col width="4.85546875" bestFit="1" customWidth="1" style="6" min="16" max="16"/>
    <col width="7.140625" bestFit="1" customWidth="1" style="5" min="17" max="17"/>
    <col width="5.140625" customWidth="1" style="5" min="18" max="20"/>
    <col width="5.85546875" customWidth="1" style="5" min="21" max="21"/>
    <col width="10.28515625" customWidth="1" style="5"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19" t="inlineStr">
        <is>
          <t>EJERCICIO</t>
        </is>
      </c>
      <c r="N1" s="3" t="inlineStr">
        <is>
          <t>INS 1</t>
        </is>
      </c>
      <c r="O1" s="4" t="inlineStr">
        <is>
          <t>DED INS 1</t>
        </is>
      </c>
      <c r="P1" s="3" t="inlineStr">
        <is>
          <t>INS 2</t>
        </is>
      </c>
      <c r="Q1" s="4" t="inlineStr">
        <is>
          <t>DED INS 2</t>
        </is>
      </c>
      <c r="R1" s="3" t="inlineStr">
        <is>
          <t>DED DEP</t>
        </is>
      </c>
      <c r="S1" s="3" t="inlineStr">
        <is>
          <t>TDOC DEP</t>
        </is>
      </c>
      <c r="T1" s="3" t="inlineStr">
        <is>
          <t>TDOC INST 1</t>
        </is>
      </c>
      <c r="U1" s="3" t="inlineStr">
        <is>
          <t>TDOC INST 2</t>
        </is>
      </c>
    </row>
    <row r="2">
      <c r="A2" s="17" t="inlineStr">
        <is>
          <t xml:space="preserve">U040 </t>
        </is>
      </c>
      <c r="B2" s="17" t="inlineStr">
        <is>
          <t xml:space="preserve">ADM. I.U. DE INGENIERÍA DE LOS PROCESOS QUÍMICOS </t>
        </is>
      </c>
      <c r="C2" s="17" t="inlineStr">
        <is>
          <t xml:space="preserve">DOCTORADO EN INGENIERÍA QUÍMICA </t>
        </is>
      </c>
      <c r="D2" s="17" t="inlineStr">
        <is>
          <t xml:space="preserve">Horodytska , Oksana </t>
        </is>
      </c>
      <c r="E2" s="17" t="inlineStr">
        <is>
          <t xml:space="preserve">PLASTICS RECYCLING: NEW CHALLENGES IN THE AGE OF THE CIRCULAR ECONOMY </t>
        </is>
      </c>
      <c r="F2" s="17" t="inlineStr">
        <is>
          <t xml:space="preserve">15/09/2020 </t>
        </is>
      </c>
      <c r="G2" s="17" t="inlineStr">
        <is>
          <t xml:space="preserve">73768475T </t>
        </is>
      </c>
      <c r="H2" s="17" t="inlineStr">
        <is>
          <t xml:space="preserve">Director de tesis </t>
        </is>
      </c>
      <c r="I2" s="17" t="inlineStr">
        <is>
          <t xml:space="preserve">B151 </t>
        </is>
      </c>
      <c r="J2" s="17" t="inlineStr">
        <is>
          <t xml:space="preserve">INGENIERÍA QUÍMICA </t>
        </is>
      </c>
      <c r="K2" s="18" t="n">
        <v>1</v>
      </c>
      <c r="L2" s="17" t="inlineStr">
        <is>
          <t>B151</t>
        </is>
      </c>
      <c r="M2" s="18" t="n">
        <v>2019</v>
      </c>
      <c r="N2" s="17" t="inlineStr">
        <is>
          <t>10.05</t>
        </is>
      </c>
      <c r="O2" s="18" t="inlineStr">
        <is>
          <t>10</t>
        </is>
      </c>
      <c r="P2" s="17" t="inlineStr">
        <is>
          <t>10.09</t>
        </is>
      </c>
      <c r="Q2" s="17" t="inlineStr">
        <is>
          <t>55</t>
        </is>
      </c>
      <c r="R2" s="17" t="n">
        <v>35</v>
      </c>
      <c r="S2" s="17" t="n">
        <v>0.35</v>
      </c>
      <c r="T2" s="17" t="n">
        <v>0.1</v>
      </c>
      <c r="U2" s="17" t="n">
        <v>0.55</v>
      </c>
    </row>
    <row r="3">
      <c r="A3" s="17" t="inlineStr">
        <is>
          <t xml:space="preserve">U020 </t>
        </is>
      </c>
      <c r="B3" s="17" t="inlineStr">
        <is>
          <t xml:space="preserve">ADM. I.U. DEL AGUA Y DE LAS CIENCIAS AMBIENTALES </t>
        </is>
      </c>
      <c r="C3" s="17" t="inlineStr">
        <is>
          <t xml:space="preserve">DOCTORADO EN AGUA Y DESARROLLO SOSTENIBLE </t>
        </is>
      </c>
      <c r="D3" s="17" t="inlineStr">
        <is>
          <t xml:space="preserve">Aldeguer Esquerdo, Alejandro </t>
        </is>
      </c>
      <c r="E3" s="17" t="inlineStr">
        <is>
          <t xml:space="preserve">Tratamientos combinados mediante carbón activado y ozono para reducir la presencia de atrazina, simazina, carbamazepina y diclofenaco en medio acuoso. </t>
        </is>
      </c>
      <c r="F3" s="17" t="inlineStr">
        <is>
          <t xml:space="preserve">27/05/2022 </t>
        </is>
      </c>
      <c r="G3" s="17" t="inlineStr">
        <is>
          <t xml:space="preserve">21407034Z </t>
        </is>
      </c>
      <c r="H3" s="17" t="inlineStr">
        <is>
          <t xml:space="preserve">Codirector de tesis </t>
        </is>
      </c>
      <c r="I3" s="17" t="inlineStr">
        <is>
          <t xml:space="preserve">B151 </t>
        </is>
      </c>
      <c r="J3" s="17" t="inlineStr">
        <is>
          <t xml:space="preserve">INGENIERÍA QUÍMICA </t>
        </is>
      </c>
      <c r="K3" s="18" t="n">
        <v>0.5</v>
      </c>
      <c r="L3" s="17" t="inlineStr">
        <is>
          <t>B151</t>
        </is>
      </c>
      <c r="M3" s="18" t="n">
        <v>2021</v>
      </c>
      <c r="N3" s="17" t="inlineStr">
        <is>
          <t>10.05</t>
        </is>
      </c>
      <c r="O3" s="18" t="n">
        <v>45</v>
      </c>
      <c r="P3" s="17" t="inlineStr">
        <is>
          <t>10.09</t>
        </is>
      </c>
      <c r="Q3" s="17" t="n">
        <v>45</v>
      </c>
      <c r="R3" s="17" t="n">
        <v>10</v>
      </c>
      <c r="S3" s="17" t="n">
        <v>0.05</v>
      </c>
      <c r="T3" s="17" t="n">
        <v>0.225</v>
      </c>
      <c r="U3" s="17" t="n">
        <v>0.225</v>
      </c>
    </row>
    <row r="4">
      <c r="A4" s="17" t="inlineStr">
        <is>
          <t xml:space="preserve">U040 </t>
        </is>
      </c>
      <c r="B4" s="17" t="inlineStr">
        <is>
          <t xml:space="preserve">I.U. DE INGENIERÍA DE LOS PROCESOS QUÍMICOS (10.09) </t>
        </is>
      </c>
      <c r="C4" s="17" t="inlineStr">
        <is>
          <t xml:space="preserve">DOCTORADO EN INGENIERÍA QUÍMICA </t>
        </is>
      </c>
      <c r="D4" s="17" t="inlineStr">
        <is>
          <t xml:space="preserve">Cabanes Gil, Andrea </t>
        </is>
      </c>
      <c r="E4" s="17" t="inlineStr">
        <is>
          <t xml:space="preserve">Upcycling of post-consumer plastic waste: identification and mitigation of vocs in post-consumer polyolefins </t>
        </is>
      </c>
      <c r="F4" s="17" t="inlineStr">
        <is>
          <t xml:space="preserve">19/09/2022 </t>
        </is>
      </c>
      <c r="G4" s="17" t="inlineStr">
        <is>
          <t xml:space="preserve">73768475T </t>
        </is>
      </c>
      <c r="H4" s="17" t="inlineStr">
        <is>
          <t xml:space="preserve">Director de tesis </t>
        </is>
      </c>
      <c r="I4" s="17" t="inlineStr">
        <is>
          <t xml:space="preserve">B151 </t>
        </is>
      </c>
      <c r="J4" s="17" t="inlineStr">
        <is>
          <t xml:space="preserve">INGENIERÍA QUÍMICA </t>
        </is>
      </c>
      <c r="K4" s="18" t="n">
        <v>1</v>
      </c>
      <c r="L4" s="17" t="inlineStr">
        <is>
          <t>B151</t>
        </is>
      </c>
      <c r="M4" s="18" t="n">
        <v>2021</v>
      </c>
      <c r="N4" s="17" t="inlineStr">
        <is>
          <t>10.05</t>
        </is>
      </c>
      <c r="O4" s="18" t="n">
        <v>10</v>
      </c>
      <c r="P4" s="17" t="inlineStr">
        <is>
          <t>10.09</t>
        </is>
      </c>
      <c r="Q4" s="17" t="n">
        <v>55</v>
      </c>
      <c r="R4" s="17" t="n">
        <v>35</v>
      </c>
      <c r="S4" s="17" t="n">
        <v>0.35</v>
      </c>
      <c r="T4" s="17" t="n">
        <v>0.1</v>
      </c>
      <c r="U4" s="17" t="n">
        <v>0.55</v>
      </c>
    </row>
    <row r="5">
      <c r="A5" s="17" t="inlineStr">
        <is>
          <t xml:space="preserve">B151 </t>
        </is>
      </c>
      <c r="B5" s="17" t="inlineStr">
        <is>
          <t xml:space="preserve">INGENIERÍA QUÍMICA </t>
        </is>
      </c>
      <c r="C5" s="17" t="inlineStr">
        <is>
          <t xml:space="preserve">DOCTORADO EN INGENIERÍA QUÍMICA </t>
        </is>
      </c>
      <c r="D5" s="17" t="inlineStr">
        <is>
          <t xml:space="preserve">Gandon Ros, Gerard </t>
        </is>
      </c>
      <c r="E5" s="17" t="inlineStr">
        <is>
          <t xml:space="preserve">Mejora de la viabilidad industrial de procesos que mitigan la contaminación originada al valorizar residuos de aparatos eléctricos y electrónicos: simbiosis con los pilares del desarrollo sostenible </t>
        </is>
      </c>
      <c r="F5" s="17" t="inlineStr">
        <is>
          <t xml:space="preserve">23/09/2022 </t>
        </is>
      </c>
      <c r="G5" s="17" t="inlineStr">
        <is>
          <t xml:space="preserve">48317347M </t>
        </is>
      </c>
      <c r="H5" s="17" t="inlineStr">
        <is>
          <t xml:space="preserve">Codirector de tesis </t>
        </is>
      </c>
      <c r="I5" s="17" t="inlineStr">
        <is>
          <t xml:space="preserve">B151 </t>
        </is>
      </c>
      <c r="J5" s="17" t="inlineStr">
        <is>
          <t xml:space="preserve">INGENIERÍA QUÍMICA </t>
        </is>
      </c>
      <c r="K5" s="18" t="n">
        <v>0.5</v>
      </c>
      <c r="L5" s="17" t="inlineStr">
        <is>
          <t>B151</t>
        </is>
      </c>
      <c r="M5" s="18" t="n">
        <v>2021</v>
      </c>
      <c r="N5" s="17" t="inlineStr">
        <is>
          <t>10.05</t>
        </is>
      </c>
      <c r="O5" s="18" t="n">
        <v>10</v>
      </c>
      <c r="P5" s="17" t="inlineStr">
        <is>
          <t>10.09</t>
        </is>
      </c>
      <c r="Q5" s="17" t="n">
        <v>65</v>
      </c>
      <c r="R5" s="17" t="n">
        <v>25</v>
      </c>
      <c r="S5" s="17" t="n">
        <v>0.125</v>
      </c>
      <c r="T5" s="17" t="n">
        <v>0.05</v>
      </c>
      <c r="U5" s="17" t="n">
        <v>0.325</v>
      </c>
    </row>
    <row r="6">
      <c r="A6" s="17" t="inlineStr">
        <is>
          <t xml:space="preserve">B151 </t>
        </is>
      </c>
      <c r="B6" s="17" t="inlineStr">
        <is>
          <t xml:space="preserve">INGENIERÍA QUÍMICA </t>
        </is>
      </c>
      <c r="C6" s="17" t="inlineStr">
        <is>
          <t xml:space="preserve">DOCTORADO EN INGENIERÍA QUÍMICA </t>
        </is>
      </c>
      <c r="D6" s="17" t="inlineStr">
        <is>
          <t>Díaz Basantes, Milene Fernanda</t>
        </is>
      </c>
      <c r="E6" s="17" t="inlineStr">
        <is>
          <t xml:space="preserve">MICROPLÁSTICOS EN ALIMENTOS </t>
        </is>
      </c>
      <c r="F6" s="17" t="inlineStr">
        <is>
          <t xml:space="preserve">18/11/2022 </t>
        </is>
      </c>
      <c r="G6" s="17" t="inlineStr">
        <is>
          <t xml:space="preserve">73768475T </t>
        </is>
      </c>
      <c r="H6" s="17" t="inlineStr">
        <is>
          <t xml:space="preserve">Codirector de tesis </t>
        </is>
      </c>
      <c r="I6" s="17" t="inlineStr">
        <is>
          <t xml:space="preserve">B151 </t>
        </is>
      </c>
      <c r="J6" s="17" t="inlineStr">
        <is>
          <t xml:space="preserve">INGENIERÍA QUÍMICA </t>
        </is>
      </c>
      <c r="K6" s="18" t="n">
        <v>0.5</v>
      </c>
      <c r="L6" s="17" t="inlineStr">
        <is>
          <t>B151</t>
        </is>
      </c>
      <c r="M6" s="18" t="n">
        <v>2022</v>
      </c>
      <c r="N6" s="17" t="inlineStr">
        <is>
          <t>10.05</t>
        </is>
      </c>
      <c r="O6" s="18" t="n">
        <v>10</v>
      </c>
      <c r="P6" s="17" t="inlineStr">
        <is>
          <t>10.09</t>
        </is>
      </c>
      <c r="Q6" s="17" t="n">
        <v>55</v>
      </c>
      <c r="R6" s="17" t="n">
        <v>35</v>
      </c>
      <c r="S6" s="17" t="n">
        <v>0.175</v>
      </c>
      <c r="T6" s="17" t="n">
        <v>0.05</v>
      </c>
      <c r="U6" s="17" t="n">
        <v>0.275</v>
      </c>
    </row>
    <row r="7">
      <c r="A7" s="17" t="inlineStr">
        <is>
          <t xml:space="preserve">B151 </t>
        </is>
      </c>
      <c r="B7" s="17" t="inlineStr">
        <is>
          <t xml:space="preserve">INGENIERÍA QUÍMICA </t>
        </is>
      </c>
      <c r="C7" s="17" t="inlineStr">
        <is>
          <t xml:space="preserve">DOCTORADO EN INGENIERÍA QUÍMICA </t>
        </is>
      </c>
      <c r="D7" s="17" t="inlineStr">
        <is>
          <t>Gomis Blasco, Alejandro</t>
        </is>
      </c>
      <c r="E7" s="17" t="inlineStr">
        <is>
          <t xml:space="preserve">Equilibrio de fases en sistemas agua+alcohol de cadena.corta+electrolito. Determinación experimental, consistencia termodinámica y modelización </t>
        </is>
      </c>
      <c r="F7" s="17" t="inlineStr">
        <is>
          <t xml:space="preserve">14/09/2022 </t>
        </is>
      </c>
      <c r="G7" s="17" t="inlineStr">
        <is>
          <t xml:space="preserve">21399719J </t>
        </is>
      </c>
      <c r="H7" s="17" t="inlineStr">
        <is>
          <t xml:space="preserve">Codirector de tesis </t>
        </is>
      </c>
      <c r="I7" s="17" t="inlineStr">
        <is>
          <t xml:space="preserve">B151 </t>
        </is>
      </c>
      <c r="J7" s="17" t="inlineStr">
        <is>
          <t xml:space="preserve">INGENIERÍA QUÍMICA </t>
        </is>
      </c>
      <c r="K7" s="18" t="n">
        <v>0.5</v>
      </c>
      <c r="L7" s="17" t="inlineStr">
        <is>
          <t>B151</t>
        </is>
      </c>
      <c r="M7" s="18" t="n">
        <v>2022</v>
      </c>
      <c r="N7" s="17" t="inlineStr">
        <is>
          <t>10.05</t>
        </is>
      </c>
      <c r="O7" s="18" t="n">
        <v>10</v>
      </c>
      <c r="P7" s="17" t="inlineStr">
        <is>
          <t>10.09</t>
        </is>
      </c>
      <c r="Q7" s="17" t="n">
        <v>65</v>
      </c>
      <c r="R7" s="17" t="n">
        <v>25</v>
      </c>
      <c r="S7" s="17" t="n">
        <v>0.125</v>
      </c>
      <c r="T7" s="17" t="n">
        <v>0.05</v>
      </c>
      <c r="U7" s="17" t="n">
        <v>0.325</v>
      </c>
    </row>
    <row r="8">
      <c r="A8" s="17" t="inlineStr">
        <is>
          <t xml:space="preserve">U020 </t>
        </is>
      </c>
      <c r="B8" s="17" t="inlineStr">
        <is>
          <t xml:space="preserve">I.U. DEL AGUA Y DE LAS CIENCIAS AMBIENTALES (10.05) </t>
        </is>
      </c>
      <c r="C8" s="17" t="inlineStr">
        <is>
          <t xml:space="preserve">DOCTORADO EN AGUA Y DESARROLLO SOSTENIBLE </t>
        </is>
      </c>
      <c r="D8" s="17" t="inlineStr">
        <is>
          <t>Martínez Moya, Sergio</t>
        </is>
      </c>
      <c r="E8" s="17" t="inlineStr">
        <is>
          <t xml:space="preserve">TRATAMIENTO DE AGUA POR ELECTROMAGNETISMO: INFLUENCIA EN LA PRECIPITACIÓN DE CARBONATO CÁLCICO Y EFECTOS EN OTRAS APLICACIONES </t>
        </is>
      </c>
      <c r="F8" s="17" t="inlineStr">
        <is>
          <t xml:space="preserve">03/04/2023 </t>
        </is>
      </c>
      <c r="G8" s="17" t="inlineStr">
        <is>
          <t xml:space="preserve">21496269D </t>
        </is>
      </c>
      <c r="H8" s="17" t="inlineStr">
        <is>
          <t xml:space="preserve">Codirector de tesis </t>
        </is>
      </c>
      <c r="I8" s="17" t="inlineStr">
        <is>
          <t xml:space="preserve">B151 </t>
        </is>
      </c>
      <c r="J8" s="17" t="inlineStr">
        <is>
          <t xml:space="preserve">INGENIERÍA QUÍMICA </t>
        </is>
      </c>
      <c r="K8" s="18" t="n">
        <v>0.5</v>
      </c>
      <c r="L8" s="17" t="inlineStr">
        <is>
          <t>B151</t>
        </is>
      </c>
      <c r="M8" s="18" t="n">
        <v>2022</v>
      </c>
      <c r="N8" s="17" t="inlineStr">
        <is>
          <t>10.05</t>
        </is>
      </c>
      <c r="O8" s="18" t="n">
        <v>10</v>
      </c>
      <c r="P8" s="17" t="inlineStr">
        <is>
          <t>10.09</t>
        </is>
      </c>
      <c r="Q8" s="17" t="n">
        <v>65</v>
      </c>
      <c r="R8" s="17" t="n">
        <v>25</v>
      </c>
      <c r="S8" s="17" t="n">
        <v>0.125</v>
      </c>
      <c r="T8" s="17" t="n">
        <v>0.05</v>
      </c>
      <c r="U8" s="17" t="n">
        <v>0.325</v>
      </c>
    </row>
    <row r="9">
      <c r="A9" s="17" t="inlineStr">
        <is>
          <t>B151</t>
        </is>
      </c>
      <c r="B9" s="17" t="inlineStr">
        <is>
          <t>INGENIERÍA QUÍMICA</t>
        </is>
      </c>
      <c r="C9" s="17" t="inlineStr">
        <is>
          <t>DOCTORADO EN INGENIERÍA QUÍMICA</t>
        </is>
      </c>
      <c r="D9" s="17" t="inlineStr">
        <is>
          <t>Flores Oña, Diego Roberto</t>
        </is>
      </c>
      <c r="E9" s="17" t="inlineStr">
        <is>
          <t>Síntesis y Aplicación de Nanopartículas de Carbono obtenidas mediante Carbonización</t>
        </is>
      </c>
      <c r="F9" s="17" t="inlineStr">
        <is>
          <t>20/03/2024</t>
        </is>
      </c>
      <c r="G9" s="17" t="inlineStr">
        <is>
          <t>73768475T</t>
        </is>
      </c>
      <c r="H9" s="17" t="inlineStr">
        <is>
          <t>Director de tesis</t>
        </is>
      </c>
      <c r="I9" s="17" t="inlineStr">
        <is>
          <t>B151</t>
        </is>
      </c>
      <c r="J9" s="17" t="inlineStr">
        <is>
          <t>INGENIERÍA QUÍMICA</t>
        </is>
      </c>
      <c r="K9" s="18" t="n">
        <v>1</v>
      </c>
      <c r="L9" s="17" t="inlineStr">
        <is>
          <t>B151</t>
        </is>
      </c>
      <c r="M9" s="18" t="n">
        <v>2023</v>
      </c>
      <c r="N9" s="17" t="inlineStr">
        <is>
          <t>10.05</t>
        </is>
      </c>
      <c r="O9" s="18" t="inlineStr">
        <is>
          <t>10</t>
        </is>
      </c>
      <c r="P9" s="17" t="inlineStr">
        <is>
          <t>10.09</t>
        </is>
      </c>
      <c r="Q9" s="17" t="inlineStr">
        <is>
          <t>55</t>
        </is>
      </c>
      <c r="R9" s="17" t="n">
        <v>35</v>
      </c>
      <c r="S9" s="17" t="n">
        <v>0.35</v>
      </c>
      <c r="T9" s="17" t="n">
        <v>0.1</v>
      </c>
      <c r="U9" s="17" t="n">
        <v>0.55</v>
      </c>
      <c r="V9" s="5" t="inlineStr">
        <is>
          <t>S</t>
        </is>
      </c>
    </row>
    <row r="10">
      <c r="A10" s="17" t="inlineStr">
        <is>
          <t>B151</t>
        </is>
      </c>
      <c r="B10" s="17" t="inlineStr">
        <is>
          <t>INGENIERÍA QUÍMICA</t>
        </is>
      </c>
      <c r="C10" s="17" t="inlineStr">
        <is>
          <t>DOCTORADO EN INGENIERÍA QUÍMICA</t>
        </is>
      </c>
      <c r="D10" s="17" t="inlineStr">
        <is>
          <t>Núñez Ramos, Samuel Santiago</t>
        </is>
      </c>
      <c r="E10" s="17" t="inlineStr">
        <is>
          <t>CONTAMINANTES PELIGROSOS EN PLÁSTICOS RECICLADOS Y TRATAMIENTOS PARA SU MITIGACIÓN</t>
        </is>
      </c>
      <c r="F10" s="17" t="inlineStr">
        <is>
          <t>21/03/2024</t>
        </is>
      </c>
      <c r="G10" s="17" t="inlineStr">
        <is>
          <t>21513988H</t>
        </is>
      </c>
      <c r="H10" s="17" t="inlineStr">
        <is>
          <t>Codirector de tesis</t>
        </is>
      </c>
      <c r="I10" s="17" t="inlineStr">
        <is>
          <t>B151</t>
        </is>
      </c>
      <c r="J10" s="17" t="inlineStr">
        <is>
          <t>INGENIERÍA QUÍMICA</t>
        </is>
      </c>
      <c r="K10" s="18" t="n">
        <v>0.5</v>
      </c>
      <c r="L10" s="17" t="inlineStr">
        <is>
          <t>B151</t>
        </is>
      </c>
      <c r="M10" s="18" t="n">
        <v>2023</v>
      </c>
      <c r="N10" s="17" t="inlineStr">
        <is>
          <t>10.05</t>
        </is>
      </c>
      <c r="O10" s="18" t="inlineStr">
        <is>
          <t>10</t>
        </is>
      </c>
      <c r="P10" s="17" t="inlineStr">
        <is>
          <t>10.09</t>
        </is>
      </c>
      <c r="Q10" s="17" t="inlineStr">
        <is>
          <t>65</t>
        </is>
      </c>
      <c r="R10" s="17" t="n">
        <v>25</v>
      </c>
      <c r="S10" s="17" t="n">
        <v>0.125</v>
      </c>
      <c r="T10" s="17" t="n">
        <v>0.05</v>
      </c>
      <c r="U10" s="17" t="n">
        <v>0.325</v>
      </c>
      <c r="V10" s="5" t="inlineStr">
        <is>
          <t>S</t>
        </is>
      </c>
    </row>
    <row r="11">
      <c r="A11" s="17" t="inlineStr">
        <is>
          <t>B151</t>
        </is>
      </c>
      <c r="B11" s="17" t="inlineStr">
        <is>
          <t>INGENIERÍA QUÍMICA</t>
        </is>
      </c>
      <c r="C11" s="17" t="inlineStr">
        <is>
          <t>DOCTORADO EN INGENIERÍA QUÍMICA</t>
        </is>
      </c>
      <c r="D11" s="17" t="inlineStr">
        <is>
          <t>Quiroga Colmenares, Eliana Marcela</t>
        </is>
      </c>
      <c r="E11" s="17" t="inlineStr">
        <is>
          <t>Catalytic production of high-value chemicals from biomass-derived products</t>
        </is>
      </c>
      <c r="F11" s="17" t="inlineStr">
        <is>
          <t>11/03/2024</t>
        </is>
      </c>
      <c r="G11" s="17" t="inlineStr">
        <is>
          <t>21513988H</t>
        </is>
      </c>
      <c r="H11" s="17" t="inlineStr">
        <is>
          <t>Codirector de tesis</t>
        </is>
      </c>
      <c r="I11" s="17" t="inlineStr">
        <is>
          <t>B151</t>
        </is>
      </c>
      <c r="J11" s="17" t="inlineStr">
        <is>
          <t>INGENIERÍA QUÍMICA</t>
        </is>
      </c>
      <c r="K11" s="18" t="n">
        <v>0.5</v>
      </c>
      <c r="L11" s="17" t="inlineStr">
        <is>
          <t>B151</t>
        </is>
      </c>
      <c r="M11" s="18" t="n">
        <v>2023</v>
      </c>
      <c r="N11" s="17" t="inlineStr">
        <is>
          <t>10.05</t>
        </is>
      </c>
      <c r="O11" s="18" t="inlineStr">
        <is>
          <t>10</t>
        </is>
      </c>
      <c r="P11" s="17" t="inlineStr">
        <is>
          <t>10.09</t>
        </is>
      </c>
      <c r="Q11" s="17" t="inlineStr">
        <is>
          <t>65</t>
        </is>
      </c>
      <c r="R11" s="17" t="n">
        <v>25</v>
      </c>
      <c r="S11" s="17" t="n">
        <v>0.125</v>
      </c>
      <c r="T11" s="17" t="n">
        <v>0.05</v>
      </c>
      <c r="U11" s="17" t="n">
        <v>0.325</v>
      </c>
      <c r="V11" s="5" t="inlineStr">
        <is>
          <t>S</t>
        </is>
      </c>
    </row>
    <row r="12">
      <c r="A12" s="17" t="inlineStr">
        <is>
          <t xml:space="preserve">U020 </t>
        </is>
      </c>
      <c r="B12" s="17" t="inlineStr">
        <is>
          <t xml:space="preserve">ADM. I.U. DEL AGUA Y DE LAS CIENCIAS AMBIENTALES </t>
        </is>
      </c>
      <c r="C12" s="17" t="inlineStr">
        <is>
          <t xml:space="preserve">DOCTORADO EN AGUA Y DESARROLLO SOSTENIBLE </t>
        </is>
      </c>
      <c r="D12" s="17" t="inlineStr">
        <is>
          <t xml:space="preserve">Bernal Romero del Hombre Bueno, María de los Ángeles </t>
        </is>
      </c>
      <c r="E12" s="17" t="inlineStr">
        <is>
          <t xml:space="preserve">Reducción de microcontaminantes mediante procesos biológicos, tratamiento con membranas y carbón activado </t>
        </is>
      </c>
      <c r="F12" s="17" t="inlineStr">
        <is>
          <t xml:space="preserve">27/05/2020 </t>
        </is>
      </c>
      <c r="G12" s="17" t="inlineStr">
        <is>
          <t xml:space="preserve">21455103J </t>
        </is>
      </c>
      <c r="H12" s="17" t="inlineStr">
        <is>
          <t xml:space="preserve">Codirector de tesis </t>
        </is>
      </c>
      <c r="I12" s="17" t="inlineStr">
        <is>
          <t xml:space="preserve">B151 </t>
        </is>
      </c>
      <c r="J12" s="17" t="inlineStr">
        <is>
          <t xml:space="preserve">INGENIERÍA QUÍMICA </t>
        </is>
      </c>
      <c r="K12" s="18" t="n">
        <v>0.5</v>
      </c>
      <c r="L12" s="17" t="inlineStr">
        <is>
          <t>B151</t>
        </is>
      </c>
      <c r="M12" s="18" t="n">
        <v>2019</v>
      </c>
      <c r="N12" s="17" t="inlineStr">
        <is>
          <t>10.09</t>
        </is>
      </c>
      <c r="O12" s="18" t="inlineStr">
        <is>
          <t>40</t>
        </is>
      </c>
      <c r="P12" s="17" t="inlineStr">
        <is>
          <t>10.05</t>
        </is>
      </c>
      <c r="Q12" s="17" t="inlineStr">
        <is>
          <t>20</t>
        </is>
      </c>
      <c r="R12" s="17" t="n">
        <v>40</v>
      </c>
      <c r="S12" s="17" t="n">
        <v>0.2</v>
      </c>
      <c r="T12" s="17" t="n">
        <v>0.2</v>
      </c>
      <c r="U12" s="17" t="n">
        <v>0.1</v>
      </c>
    </row>
    <row r="13">
      <c r="A13" s="17" t="inlineStr">
        <is>
          <t xml:space="preserve">U020 </t>
        </is>
      </c>
      <c r="B13" s="17" t="inlineStr">
        <is>
          <t xml:space="preserve">ADM. I.U. DEL AGUA Y DE LAS CIENCIAS AMBIENTALES </t>
        </is>
      </c>
      <c r="C13" s="17" t="inlineStr">
        <is>
          <t xml:space="preserve">DOCTORADO EN AGUA Y DESARROLLO SOSTENIBLE </t>
        </is>
      </c>
      <c r="D13" s="17" t="inlineStr">
        <is>
          <t xml:space="preserve">Bernal Romero del Hombre Bueno, María de los Ángeles </t>
        </is>
      </c>
      <c r="E13" s="17" t="inlineStr">
        <is>
          <t xml:space="preserve">Reducción de microcontaminantes mediante procesos biológicos, tratamiento con membranas y carbón activado </t>
        </is>
      </c>
      <c r="F13" s="17" t="inlineStr">
        <is>
          <t xml:space="preserve">27/05/2020 </t>
        </is>
      </c>
      <c r="G13" s="17" t="inlineStr">
        <is>
          <t xml:space="preserve">21943946Z </t>
        </is>
      </c>
      <c r="H13" s="17" t="inlineStr">
        <is>
          <t xml:space="preserve">Codirector de tesis </t>
        </is>
      </c>
      <c r="I13" s="17" t="inlineStr">
        <is>
          <t xml:space="preserve">B151 </t>
        </is>
      </c>
      <c r="J13" s="17" t="inlineStr">
        <is>
          <t xml:space="preserve">INGENIERÍA QUÍMICA </t>
        </is>
      </c>
      <c r="K13" s="18" t="n">
        <v>0.5</v>
      </c>
      <c r="L13" s="17" t="inlineStr">
        <is>
          <t>B151</t>
        </is>
      </c>
      <c r="M13" s="18" t="n">
        <v>2019</v>
      </c>
      <c r="N13" s="17" t="inlineStr">
        <is>
          <t>10.09</t>
        </is>
      </c>
      <c r="O13" s="18" t="inlineStr">
        <is>
          <t>10</t>
        </is>
      </c>
      <c r="P13" s="17" t="inlineStr">
        <is>
          <t>10.05</t>
        </is>
      </c>
      <c r="Q13" s="17" t="inlineStr">
        <is>
          <t>80</t>
        </is>
      </c>
      <c r="R13" s="17" t="n">
        <v>10</v>
      </c>
      <c r="S13" s="17" t="n">
        <v>0.05</v>
      </c>
      <c r="T13" s="17" t="n">
        <v>0.05</v>
      </c>
      <c r="U13" s="17" t="n">
        <v>0.4</v>
      </c>
    </row>
    <row r="14">
      <c r="A14" s="17" t="inlineStr">
        <is>
          <t xml:space="preserve">U040 </t>
        </is>
      </c>
      <c r="B14" s="17" t="inlineStr">
        <is>
          <t xml:space="preserve">ADM. I.U. DE INGENIERÍA DE LOS PROCESOS QUÍMICOS </t>
        </is>
      </c>
      <c r="C14" s="17" t="inlineStr">
        <is>
          <t xml:space="preserve">DOCTORADO EN INGENIERÍA QUÍMICA </t>
        </is>
      </c>
      <c r="D14" s="17" t="inlineStr">
        <is>
          <t xml:space="preserve">Asensio Morant, Javier </t>
        </is>
      </c>
      <c r="E14" s="17" t="inlineStr">
        <is>
          <t xml:space="preserve">PIRÓLISIS TÉRMICA Y CATALÍTICA DE LA NICOTINA Y NNK Y NNN, DOS NITROSAMINAS ESPECÍFICAS DEL TABACO </t>
        </is>
      </c>
      <c r="F14" s="17" t="inlineStr">
        <is>
          <t xml:space="preserve">04/12/2020 </t>
        </is>
      </c>
      <c r="G14" s="17" t="inlineStr">
        <is>
          <t xml:space="preserve">21401194Q </t>
        </is>
      </c>
      <c r="H14" s="17" t="inlineStr">
        <is>
          <t xml:space="preserve">Codirector de tesis </t>
        </is>
      </c>
      <c r="I14" s="17" t="inlineStr">
        <is>
          <t xml:space="preserve">B151 </t>
        </is>
      </c>
      <c r="J14" s="17" t="inlineStr">
        <is>
          <t xml:space="preserve">INGENIERÍA QUÍMICA </t>
        </is>
      </c>
      <c r="K14" s="18" t="n">
        <v>0.5</v>
      </c>
      <c r="L14" s="17" t="inlineStr">
        <is>
          <t>B151</t>
        </is>
      </c>
      <c r="M14" s="18" t="n">
        <v>2019</v>
      </c>
      <c r="N14" s="17" t="inlineStr">
        <is>
          <t>10.09</t>
        </is>
      </c>
      <c r="O14" s="18" t="n">
        <v>65</v>
      </c>
      <c r="P14" s="17" t="inlineStr"/>
      <c r="Q14" s="17" t="n">
        <v>0</v>
      </c>
      <c r="R14" s="17" t="n">
        <v>35</v>
      </c>
      <c r="S14" s="17" t="n">
        <v>0.175</v>
      </c>
      <c r="T14" s="17" t="n">
        <v>0.325</v>
      </c>
      <c r="U14" s="17" t="n">
        <v>0</v>
      </c>
    </row>
    <row r="15">
      <c r="A15" s="17" t="inlineStr">
        <is>
          <t xml:space="preserve">U040 </t>
        </is>
      </c>
      <c r="B15" s="17" t="inlineStr">
        <is>
          <t xml:space="preserve">ADM. I.U. DE INGENIERÍA DE LOS PROCESOS QUÍMICOS </t>
        </is>
      </c>
      <c r="C15" s="17" t="inlineStr">
        <is>
          <t xml:space="preserve">DOCTORADO EN INGENIERÍA QUÍMICA </t>
        </is>
      </c>
      <c r="D15" s="17" t="inlineStr">
        <is>
          <t xml:space="preserve">Asensio Morant, Javier </t>
        </is>
      </c>
      <c r="E15" s="17" t="inlineStr">
        <is>
          <t xml:space="preserve">PIRÓLISIS TÉRMICA Y CATALÍTICA DE LA NICOTINA Y NNK Y NNN, DOS NITROSAMINAS ESPECÍFICAS DEL TABACO </t>
        </is>
      </c>
      <c r="F15" s="17" t="inlineStr">
        <is>
          <t xml:space="preserve">04/12/2020 </t>
        </is>
      </c>
      <c r="G15" s="17" t="inlineStr">
        <is>
          <t xml:space="preserve">22003811X </t>
        </is>
      </c>
      <c r="H15" s="17" t="inlineStr">
        <is>
          <t xml:space="preserve">Codirector de tesis </t>
        </is>
      </c>
      <c r="I15" s="17" t="inlineStr">
        <is>
          <t xml:space="preserve">B151 </t>
        </is>
      </c>
      <c r="J15" s="17" t="inlineStr">
        <is>
          <t xml:space="preserve">INGENIERÍA QUÍMICA </t>
        </is>
      </c>
      <c r="K15" s="18" t="n">
        <v>0.5</v>
      </c>
      <c r="L15" s="17" t="inlineStr">
        <is>
          <t>B151</t>
        </is>
      </c>
      <c r="M15" s="18" t="n">
        <v>2019</v>
      </c>
      <c r="N15" s="17" t="inlineStr">
        <is>
          <t>10.09</t>
        </is>
      </c>
      <c r="O15" s="18" t="n">
        <v>65</v>
      </c>
      <c r="P15" s="17" t="inlineStr"/>
      <c r="Q15" s="17" t="n">
        <v>0</v>
      </c>
      <c r="R15" s="17" t="n">
        <v>35</v>
      </c>
      <c r="S15" s="17" t="n">
        <v>0.175</v>
      </c>
      <c r="T15" s="17" t="n">
        <v>0.325</v>
      </c>
      <c r="U15" s="17" t="n">
        <v>0</v>
      </c>
    </row>
    <row r="16">
      <c r="A16" s="17" t="inlineStr">
        <is>
          <t xml:space="preserve">U040 </t>
        </is>
      </c>
      <c r="B16" s="17" t="inlineStr">
        <is>
          <t xml:space="preserve">ADM. I.U. DE INGENIERÍA DE LOS PROCESOS QUÍMICOS </t>
        </is>
      </c>
      <c r="C16" s="17" t="inlineStr">
        <is>
          <t xml:space="preserve">DOCTORADO EN INGENIERÍA QUÍMICA </t>
        </is>
      </c>
      <c r="D16" s="17" t="inlineStr">
        <is>
          <t xml:space="preserve">Vázquez Vázquez, Daniel </t>
        </is>
      </c>
      <c r="E16" s="17" t="inlineStr">
        <is>
          <t xml:space="preserve">Integrating and modeling multiple objectives in the design of chemical and industrial processes. </t>
        </is>
      </c>
      <c r="F16" s="17" t="inlineStr">
        <is>
          <t xml:space="preserve">23/10/2020 </t>
        </is>
      </c>
      <c r="G16" s="17" t="inlineStr">
        <is>
          <t xml:space="preserve">21511293Z </t>
        </is>
      </c>
      <c r="H16" s="17" t="inlineStr">
        <is>
          <t xml:space="preserve">Codirector de tesis </t>
        </is>
      </c>
      <c r="I16" s="17" t="inlineStr">
        <is>
          <t xml:space="preserve">B151 </t>
        </is>
      </c>
      <c r="J16" s="17" t="inlineStr">
        <is>
          <t xml:space="preserve">INGENIERÍA QUÍMICA </t>
        </is>
      </c>
      <c r="K16" s="18" t="n">
        <v>0.5</v>
      </c>
      <c r="L16" s="17" t="inlineStr">
        <is>
          <t>B151</t>
        </is>
      </c>
      <c r="M16" s="18" t="n">
        <v>2019</v>
      </c>
      <c r="N16" s="17" t="inlineStr">
        <is>
          <t>10.09</t>
        </is>
      </c>
      <c r="O16" s="18" t="n">
        <v>65</v>
      </c>
      <c r="P16" s="17" t="inlineStr"/>
      <c r="Q16" s="17" t="n">
        <v>0</v>
      </c>
      <c r="R16" s="17" t="n">
        <v>35</v>
      </c>
      <c r="S16" s="17" t="n">
        <v>0.175</v>
      </c>
      <c r="T16" s="17" t="n">
        <v>0.325</v>
      </c>
      <c r="U16" s="17" t="n">
        <v>0</v>
      </c>
    </row>
    <row r="17">
      <c r="A17" s="17" t="inlineStr">
        <is>
          <t xml:space="preserve">U040 </t>
        </is>
      </c>
      <c r="B17" s="17" t="inlineStr">
        <is>
          <t xml:space="preserve">ADM. I.U. DE INGENIERÍA DE LOS PROCESOS QUÍMICOS </t>
        </is>
      </c>
      <c r="C17" s="17" t="inlineStr">
        <is>
          <t xml:space="preserve">DOCTORADO EN INGENIERÍA QUÍMICA </t>
        </is>
      </c>
      <c r="D17" s="17" t="inlineStr">
        <is>
          <t xml:space="preserve">Vázquez Vázquez, Daniel </t>
        </is>
      </c>
      <c r="E17" s="17" t="inlineStr">
        <is>
          <t xml:space="preserve">Integrating and modeling multiple objectives in the design of chemical and industrial processes. </t>
        </is>
      </c>
      <c r="F17" s="17" t="inlineStr">
        <is>
          <t xml:space="preserve">23/10/2020 </t>
        </is>
      </c>
      <c r="G17" s="17" t="inlineStr">
        <is>
          <t xml:space="preserve">21477495A </t>
        </is>
      </c>
      <c r="H17" s="17" t="inlineStr">
        <is>
          <t xml:space="preserve">Codirector de tesis </t>
        </is>
      </c>
      <c r="I17" s="17" t="inlineStr">
        <is>
          <t xml:space="preserve">B151 </t>
        </is>
      </c>
      <c r="J17" s="17" t="inlineStr">
        <is>
          <t xml:space="preserve">INGENIERÍA QUÍMICA </t>
        </is>
      </c>
      <c r="K17" s="18" t="n">
        <v>0.5</v>
      </c>
      <c r="L17" s="17" t="inlineStr">
        <is>
          <t>B151</t>
        </is>
      </c>
      <c r="M17" s="18" t="n">
        <v>2019</v>
      </c>
      <c r="N17" s="17" t="inlineStr">
        <is>
          <t>10.09</t>
        </is>
      </c>
      <c r="O17" s="18" t="n">
        <v>65</v>
      </c>
      <c r="P17" s="17" t="inlineStr"/>
      <c r="Q17" s="17" t="n">
        <v>0</v>
      </c>
      <c r="R17" s="17" t="n">
        <v>35</v>
      </c>
      <c r="S17" s="17" t="n">
        <v>0.175</v>
      </c>
      <c r="T17" s="17" t="n">
        <v>0.325</v>
      </c>
      <c r="U17" s="17" t="n">
        <v>0</v>
      </c>
    </row>
    <row r="18">
      <c r="A18" s="17" t="inlineStr">
        <is>
          <t xml:space="preserve">U020 </t>
        </is>
      </c>
      <c r="B18" s="17" t="inlineStr">
        <is>
          <t xml:space="preserve">ADM. I.U. DEL AGUA Y DE LAS CIENCIAS AMBIENTALES </t>
        </is>
      </c>
      <c r="C18" s="17" t="inlineStr">
        <is>
          <t xml:space="preserve">DOCTORADO EN AGUA Y DESARROLLO SOSTENIBLE </t>
        </is>
      </c>
      <c r="D18" s="17" t="inlineStr">
        <is>
          <t xml:space="preserve">MORA CABRERA, KAREN VIVIANA </t>
        </is>
      </c>
      <c r="E18" s="17" t="inlineStr">
        <is>
          <t xml:space="preserve">Tratamiento de aguas residuales mediante UASB + eMBR para eliminación de productos farmacéuticos en aguas residuales urbanas </t>
        </is>
      </c>
      <c r="F18" s="17" t="inlineStr">
        <is>
          <t xml:space="preserve">15/09/2021 </t>
        </is>
      </c>
      <c r="G18" s="17" t="inlineStr">
        <is>
          <t xml:space="preserve">21943946Z </t>
        </is>
      </c>
      <c r="H18" s="17" t="inlineStr">
        <is>
          <t xml:space="preserve">Codirector de tesis </t>
        </is>
      </c>
      <c r="I18" s="17" t="inlineStr">
        <is>
          <t xml:space="preserve">B151 </t>
        </is>
      </c>
      <c r="J18" s="17" t="inlineStr">
        <is>
          <t xml:space="preserve">INGENIERÍA QUÍMICA </t>
        </is>
      </c>
      <c r="K18" s="18" t="n">
        <v>0.5</v>
      </c>
      <c r="L18" s="17" t="inlineStr">
        <is>
          <t>B151</t>
        </is>
      </c>
      <c r="M18" s="18" t="n">
        <v>2020</v>
      </c>
      <c r="N18" s="17" t="inlineStr">
        <is>
          <t>10.09</t>
        </is>
      </c>
      <c r="O18" s="18" t="n">
        <v>10</v>
      </c>
      <c r="P18" s="17" t="inlineStr">
        <is>
          <t>10.05</t>
        </is>
      </c>
      <c r="Q18" s="17" t="n">
        <v>80</v>
      </c>
      <c r="R18" s="17" t="n">
        <v>10</v>
      </c>
      <c r="S18" s="17" t="n">
        <v>0.05</v>
      </c>
      <c r="T18" s="17" t="n">
        <v>0.05</v>
      </c>
      <c r="U18" s="17" t="n">
        <v>0.4</v>
      </c>
    </row>
    <row r="19">
      <c r="A19" s="17" t="inlineStr">
        <is>
          <t xml:space="preserve">U020 </t>
        </is>
      </c>
      <c r="B19" s="17" t="inlineStr">
        <is>
          <t xml:space="preserve">ADM. I.U. DEL AGUA Y DE LAS CIENCIAS AMBIENTALES </t>
        </is>
      </c>
      <c r="C19" s="17" t="inlineStr">
        <is>
          <t xml:space="preserve">DOCTORADO EN AGUA Y DESARROLLO SOSTENIBLE </t>
        </is>
      </c>
      <c r="D19" s="17" t="inlineStr">
        <is>
          <t xml:space="preserve">Jódar Abellán, Antonio </t>
        </is>
      </c>
      <c r="E19" s="17" t="inlineStr">
        <is>
          <t xml:space="preserve">Hydrological impacts of global change. Adaptation alternatives in complex water systems with water resources scarcity and severe natural risks (southeast of Spain) </t>
        </is>
      </c>
      <c r="F19" s="17" t="inlineStr">
        <is>
          <t xml:space="preserve">09/07/2021 </t>
        </is>
      </c>
      <c r="G19" s="17" t="inlineStr">
        <is>
          <t xml:space="preserve">21943946Z </t>
        </is>
      </c>
      <c r="H19" s="17" t="inlineStr">
        <is>
          <t xml:space="preserve">Codirector de tesis </t>
        </is>
      </c>
      <c r="I19" s="17" t="inlineStr">
        <is>
          <t xml:space="preserve">B151 </t>
        </is>
      </c>
      <c r="J19" s="17" t="inlineStr">
        <is>
          <t xml:space="preserve">INGENIERÍA QUÍMICA </t>
        </is>
      </c>
      <c r="K19" s="18" t="n">
        <v>0.3333333333333333</v>
      </c>
      <c r="L19" s="17" t="inlineStr">
        <is>
          <t>B151</t>
        </is>
      </c>
      <c r="M19" s="18" t="n">
        <v>2020</v>
      </c>
      <c r="N19" s="17" t="inlineStr">
        <is>
          <t>10.09</t>
        </is>
      </c>
      <c r="O19" s="18" t="n">
        <v>10</v>
      </c>
      <c r="P19" s="17" t="inlineStr">
        <is>
          <t>10.05</t>
        </is>
      </c>
      <c r="Q19" s="17" t="n">
        <v>80</v>
      </c>
      <c r="R19" s="17" t="n">
        <v>10</v>
      </c>
      <c r="S19" s="17" t="n">
        <v>0.03333333333333333</v>
      </c>
      <c r="T19" s="17" t="n">
        <v>0.03333333333333333</v>
      </c>
      <c r="U19" s="17" t="n">
        <v>0.2666666666666667</v>
      </c>
    </row>
    <row r="20">
      <c r="A20" s="17" t="inlineStr">
        <is>
          <t xml:space="preserve">U040 </t>
        </is>
      </c>
      <c r="B20" s="17" t="inlineStr">
        <is>
          <t xml:space="preserve">ADM. I.U. DE INGENIERÍA DE LOS PROCESOS QUÍMICOS </t>
        </is>
      </c>
      <c r="C20" s="17" t="inlineStr">
        <is>
          <t xml:space="preserve">DOCTORADO EN INGENIERÍA QUÍMICA </t>
        </is>
      </c>
      <c r="D20" s="17" t="inlineStr">
        <is>
          <t xml:space="preserve">Domene López, Daniel </t>
        </is>
      </c>
      <c r="E20" s="17" t="inlineStr">
        <is>
          <t xml:space="preserve">ALMIDÓN TERMOPLÁSTICO PARA EL DISEÑO DE APLICACIONES MEDIOAMBIENTALES SOSTENIBLES </t>
        </is>
      </c>
      <c r="F20" s="17" t="inlineStr">
        <is>
          <t xml:space="preserve">21/12/2020 </t>
        </is>
      </c>
      <c r="G20" s="17" t="inlineStr">
        <is>
          <t xml:space="preserve">21462400L </t>
        </is>
      </c>
      <c r="H20" s="17" t="inlineStr">
        <is>
          <t xml:space="preserve">Codirector de tesis </t>
        </is>
      </c>
      <c r="I20" s="17" t="inlineStr">
        <is>
          <t xml:space="preserve">B151 </t>
        </is>
      </c>
      <c r="J20" s="17" t="inlineStr">
        <is>
          <t xml:space="preserve">INGENIERÍA QUÍMICA </t>
        </is>
      </c>
      <c r="K20" s="18" t="n">
        <v>0.5</v>
      </c>
      <c r="L20" s="17" t="inlineStr">
        <is>
          <t>B151</t>
        </is>
      </c>
      <c r="M20" s="18" t="n">
        <v>2020</v>
      </c>
      <c r="N20" s="17" t="inlineStr">
        <is>
          <t>10.09</t>
        </is>
      </c>
      <c r="O20" s="18" t="n">
        <v>65</v>
      </c>
      <c r="P20" s="17" t="inlineStr"/>
      <c r="Q20" s="17" t="n">
        <v>0</v>
      </c>
      <c r="R20" s="17" t="n">
        <v>35</v>
      </c>
      <c r="S20" s="17" t="n">
        <v>0.175</v>
      </c>
      <c r="T20" s="17" t="n">
        <v>0.325</v>
      </c>
      <c r="U20" s="17" t="n">
        <v>0</v>
      </c>
    </row>
    <row r="21">
      <c r="A21" s="17" t="inlineStr">
        <is>
          <t xml:space="preserve">U040 </t>
        </is>
      </c>
      <c r="B21" s="17" t="inlineStr">
        <is>
          <t xml:space="preserve">ADM. I.U. DE INGENIERÍA DE LOS PROCESOS QUÍMICOS </t>
        </is>
      </c>
      <c r="C21" s="17" t="inlineStr">
        <is>
          <t xml:space="preserve">DOCTORADO EN INGENIERÍA QUÍMICA </t>
        </is>
      </c>
      <c r="D21" s="17" t="inlineStr">
        <is>
          <t xml:space="preserve">Domene López, Daniel </t>
        </is>
      </c>
      <c r="E21" s="17" t="inlineStr">
        <is>
          <t xml:space="preserve">ALMIDÓN TERMOPLÁSTICO PARA EL DISEÑO DE APLICACIONES MEDIOAMBIENTALES SOSTENIBLES </t>
        </is>
      </c>
      <c r="F21" s="17" t="inlineStr">
        <is>
          <t xml:space="preserve">21/12/2020 </t>
        </is>
      </c>
      <c r="G21" s="17" t="inlineStr">
        <is>
          <t xml:space="preserve">21494722A </t>
        </is>
      </c>
      <c r="H21" s="17" t="inlineStr">
        <is>
          <t xml:space="preserve">Codirector de tesis </t>
        </is>
      </c>
      <c r="I21" s="17" t="inlineStr">
        <is>
          <t xml:space="preserve">B151 </t>
        </is>
      </c>
      <c r="J21" s="17" t="inlineStr">
        <is>
          <t xml:space="preserve">INGENIERÍA QUÍMICA </t>
        </is>
      </c>
      <c r="K21" s="18" t="n">
        <v>0.5</v>
      </c>
      <c r="L21" s="17" t="inlineStr">
        <is>
          <t>B151</t>
        </is>
      </c>
      <c r="M21" s="18" t="n">
        <v>2020</v>
      </c>
      <c r="N21" s="17" t="inlineStr">
        <is>
          <t>10.09</t>
        </is>
      </c>
      <c r="O21" s="18" t="n">
        <v>65</v>
      </c>
      <c r="P21" s="17" t="inlineStr"/>
      <c r="Q21" s="17" t="n">
        <v>0</v>
      </c>
      <c r="R21" s="17" t="n">
        <v>35</v>
      </c>
      <c r="S21" s="17" t="n">
        <v>0.175</v>
      </c>
      <c r="T21" s="17" t="n">
        <v>0.325</v>
      </c>
      <c r="U21" s="17" t="n">
        <v>0</v>
      </c>
    </row>
    <row r="22">
      <c r="A22" s="17" t="inlineStr">
        <is>
          <t xml:space="preserve">B151 </t>
        </is>
      </c>
      <c r="B22" s="17" t="inlineStr">
        <is>
          <t xml:space="preserve">INGENIERÍA QUÍMICA </t>
        </is>
      </c>
      <c r="C22" s="17" t="inlineStr">
        <is>
          <t xml:space="preserve">DOCTORADO EN INGENIERÍA QUÍMICA </t>
        </is>
      </c>
      <c r="D22" s="17" t="inlineStr">
        <is>
          <t xml:space="preserve">Londoño Larrea, Pablo Andrés </t>
        </is>
      </c>
      <c r="E22" s="17" t="inlineStr">
        <is>
          <t xml:space="preserve">Obtención y caracterización del biocarbón de cáscara de cacao y su aplicación como enmienda al suelo </t>
        </is>
      </c>
      <c r="F22" s="17" t="inlineStr">
        <is>
          <t xml:space="preserve">25/05/2022 </t>
        </is>
      </c>
      <c r="G22" s="17" t="inlineStr">
        <is>
          <t xml:space="preserve">21401194Q </t>
        </is>
      </c>
      <c r="H22" s="17" t="inlineStr">
        <is>
          <t xml:space="preserve">Codirector de tesis </t>
        </is>
      </c>
      <c r="I22" s="17" t="inlineStr">
        <is>
          <t xml:space="preserve">B151 </t>
        </is>
      </c>
      <c r="J22" s="17" t="inlineStr">
        <is>
          <t xml:space="preserve">INGENIERÍA QUÍMICA </t>
        </is>
      </c>
      <c r="K22" s="18" t="n">
        <v>0.5</v>
      </c>
      <c r="L22" s="17" t="inlineStr">
        <is>
          <t>B151</t>
        </is>
      </c>
      <c r="M22" s="18" t="n">
        <v>2021</v>
      </c>
      <c r="N22" s="17" t="inlineStr">
        <is>
          <t>10.09</t>
        </is>
      </c>
      <c r="O22" s="18" t="n">
        <v>65</v>
      </c>
      <c r="P22" s="17" t="inlineStr"/>
      <c r="Q22" s="17" t="n">
        <v>0</v>
      </c>
      <c r="R22" s="17" t="n">
        <v>35</v>
      </c>
      <c r="S22" s="17" t="n">
        <v>0.175</v>
      </c>
      <c r="T22" s="17" t="n">
        <v>0.325</v>
      </c>
      <c r="U22" s="17" t="n">
        <v>0</v>
      </c>
    </row>
    <row r="23">
      <c r="A23" s="17" t="inlineStr">
        <is>
          <t xml:space="preserve">B151 </t>
        </is>
      </c>
      <c r="B23" s="17" t="inlineStr">
        <is>
          <t xml:space="preserve">INGENIERÍA QUÍMICA </t>
        </is>
      </c>
      <c r="C23" s="17" t="inlineStr">
        <is>
          <t xml:space="preserve">DOCTORADO EN INGENIERÍA QUÍMICA </t>
        </is>
      </c>
      <c r="D23" s="17" t="inlineStr">
        <is>
          <t xml:space="preserve">Londoño Larrea, Pablo Andrés </t>
        </is>
      </c>
      <c r="E23" s="17" t="inlineStr">
        <is>
          <t xml:space="preserve">Obtención y caracterización del biocarbón de cáscara de cacao y su aplicación como enmienda al suelo </t>
        </is>
      </c>
      <c r="F23" s="17" t="inlineStr">
        <is>
          <t xml:space="preserve">25/05/2022 </t>
        </is>
      </c>
      <c r="G23" s="17" t="inlineStr">
        <is>
          <t xml:space="preserve">21470517V </t>
        </is>
      </c>
      <c r="H23" s="17" t="inlineStr">
        <is>
          <t xml:space="preserve">Codirector de tesis </t>
        </is>
      </c>
      <c r="I23" s="17" t="inlineStr">
        <is>
          <t xml:space="preserve">B151 </t>
        </is>
      </c>
      <c r="J23" s="17" t="inlineStr">
        <is>
          <t xml:space="preserve">INGENIERÍA QUÍMICA </t>
        </is>
      </c>
      <c r="K23" s="18" t="n">
        <v>0.5</v>
      </c>
      <c r="L23" s="17" t="inlineStr">
        <is>
          <t>B151</t>
        </is>
      </c>
      <c r="M23" s="18" t="n">
        <v>2021</v>
      </c>
      <c r="N23" s="17" t="inlineStr">
        <is>
          <t>10.09</t>
        </is>
      </c>
      <c r="O23" s="18" t="n">
        <v>65</v>
      </c>
      <c r="P23" s="17" t="inlineStr"/>
      <c r="Q23" s="17" t="n">
        <v>0</v>
      </c>
      <c r="R23" s="17" t="n">
        <v>35</v>
      </c>
      <c r="S23" s="17" t="n">
        <v>0.175</v>
      </c>
      <c r="T23" s="17" t="n">
        <v>0.325</v>
      </c>
      <c r="U23" s="17" t="n">
        <v>0</v>
      </c>
    </row>
    <row r="24">
      <c r="A24" s="17" t="inlineStr">
        <is>
          <t xml:space="preserve">U040 </t>
        </is>
      </c>
      <c r="B24" s="17" t="inlineStr">
        <is>
          <t xml:space="preserve">ADM. I.U. DE INGENIERÍA DE LOS PROCESOS QUÍMICOS </t>
        </is>
      </c>
      <c r="C24" s="17" t="inlineStr">
        <is>
          <t xml:space="preserve">DOCTORADO EN INGENIERÍA QUÍMICA </t>
        </is>
      </c>
      <c r="D24" s="17" t="inlineStr">
        <is>
          <t xml:space="preserve">Calabuig Belda, Emilio </t>
        </is>
      </c>
      <c r="E24" s="17" t="inlineStr">
        <is>
          <t xml:space="preserve">"Pirólisis y descomposición del tabaco, efectos del uso catalizadores mesoporosos SBA-15" </t>
        </is>
      </c>
      <c r="F24" s="17" t="inlineStr">
        <is>
          <t xml:space="preserve">17/12/2021 </t>
        </is>
      </c>
      <c r="G24" s="17" t="inlineStr">
        <is>
          <t xml:space="preserve">21401194Q </t>
        </is>
      </c>
      <c r="H24" s="17" t="inlineStr">
        <is>
          <t xml:space="preserve">Codirector de tesis </t>
        </is>
      </c>
      <c r="I24" s="17" t="inlineStr">
        <is>
          <t xml:space="preserve">B151 </t>
        </is>
      </c>
      <c r="J24" s="17" t="inlineStr">
        <is>
          <t xml:space="preserve">INGENIERÍA QUÍMICA </t>
        </is>
      </c>
      <c r="K24" s="18" t="n">
        <v>0.5</v>
      </c>
      <c r="L24" s="17" t="inlineStr">
        <is>
          <t>B151</t>
        </is>
      </c>
      <c r="M24" s="18" t="n">
        <v>2021</v>
      </c>
      <c r="N24" s="17" t="inlineStr">
        <is>
          <t>10.09</t>
        </is>
      </c>
      <c r="O24" s="18" t="n">
        <v>65</v>
      </c>
      <c r="P24" s="17" t="inlineStr"/>
      <c r="Q24" s="17" t="n">
        <v>0</v>
      </c>
      <c r="R24" s="17" t="n">
        <v>35</v>
      </c>
      <c r="S24" s="17" t="n">
        <v>0.175</v>
      </c>
      <c r="T24" s="17" t="n">
        <v>0.325</v>
      </c>
      <c r="U24" s="17" t="n">
        <v>0</v>
      </c>
    </row>
    <row r="25">
      <c r="A25" s="17" t="inlineStr">
        <is>
          <t xml:space="preserve">U040 </t>
        </is>
      </c>
      <c r="B25" s="17" t="inlineStr">
        <is>
          <t xml:space="preserve">ADM. I.U. DE INGENIERÍA DE LOS PROCESOS QUÍMICOS </t>
        </is>
      </c>
      <c r="C25" s="17" t="inlineStr">
        <is>
          <t xml:space="preserve">DOCTORADO EN INGENIERÍA QUÍMICA </t>
        </is>
      </c>
      <c r="D25" s="17" t="inlineStr">
        <is>
          <t xml:space="preserve">Calabuig Belda, Emilio </t>
        </is>
      </c>
      <c r="E25" s="17" t="inlineStr">
        <is>
          <t xml:space="preserve">"Pirólisis y descomposición del tabaco, efectos del uso catalizadores mesoporosos SBA-15" </t>
        </is>
      </c>
      <c r="F25" s="17" t="inlineStr">
        <is>
          <t xml:space="preserve">17/12/2021 </t>
        </is>
      </c>
      <c r="G25" s="17" t="inlineStr">
        <is>
          <t xml:space="preserve">22003811X </t>
        </is>
      </c>
      <c r="H25" s="17" t="inlineStr">
        <is>
          <t xml:space="preserve">Codirector de tesis </t>
        </is>
      </c>
      <c r="I25" s="17" t="inlineStr">
        <is>
          <t xml:space="preserve">B151 </t>
        </is>
      </c>
      <c r="J25" s="17" t="inlineStr">
        <is>
          <t xml:space="preserve">INGENIERÍA QUÍMICA </t>
        </is>
      </c>
      <c r="K25" s="18" t="n">
        <v>0.5</v>
      </c>
      <c r="L25" s="17" t="inlineStr">
        <is>
          <t>B151</t>
        </is>
      </c>
      <c r="M25" s="18" t="n">
        <v>2021</v>
      </c>
      <c r="N25" s="17" t="inlineStr">
        <is>
          <t>10.09</t>
        </is>
      </c>
      <c r="O25" s="18" t="n">
        <v>65</v>
      </c>
      <c r="P25" s="17" t="inlineStr"/>
      <c r="Q25" s="17" t="n">
        <v>0</v>
      </c>
      <c r="R25" s="17" t="n">
        <v>35</v>
      </c>
      <c r="S25" s="17" t="n">
        <v>0.175</v>
      </c>
      <c r="T25" s="17" t="n">
        <v>0.325</v>
      </c>
      <c r="U25" s="17" t="n">
        <v>0</v>
      </c>
    </row>
    <row r="26">
      <c r="A26" s="17" t="inlineStr">
        <is>
          <t xml:space="preserve">B151 </t>
        </is>
      </c>
      <c r="B26" s="17" t="inlineStr">
        <is>
          <t xml:space="preserve">INGENIERÍA QUÍMICA </t>
        </is>
      </c>
      <c r="C26" s="17" t="inlineStr">
        <is>
          <t xml:space="preserve">DOCTORADO EN INGENIERÍA QUÍMICA </t>
        </is>
      </c>
      <c r="D26" s="17" t="inlineStr">
        <is>
          <t xml:space="preserve">Gandon Ros, Gerard </t>
        </is>
      </c>
      <c r="E26" s="17" t="inlineStr">
        <is>
          <t xml:space="preserve">Mejora de la viabilidad industrial de procesos que mitigan la contaminación originada al valorizar residuos de aparatos eléctricos y electrónicos: simbiosis con los pilares del desarrollo sostenible </t>
        </is>
      </c>
      <c r="F26" s="17" t="inlineStr">
        <is>
          <t xml:space="preserve">23/09/2022 </t>
        </is>
      </c>
      <c r="G26" s="17" t="inlineStr">
        <is>
          <t xml:space="preserve">48352073R </t>
        </is>
      </c>
      <c r="H26" s="17" t="inlineStr">
        <is>
          <t xml:space="preserve">Codirector de tesis </t>
        </is>
      </c>
      <c r="I26" s="17" t="inlineStr">
        <is>
          <t xml:space="preserve">B151 </t>
        </is>
      </c>
      <c r="J26" s="17" t="inlineStr">
        <is>
          <t xml:space="preserve">INGENIERÍA QUÍMICA </t>
        </is>
      </c>
      <c r="K26" s="18" t="n">
        <v>0.5</v>
      </c>
      <c r="L26" s="17" t="inlineStr">
        <is>
          <t>B151</t>
        </is>
      </c>
      <c r="M26" s="18" t="n">
        <v>2021</v>
      </c>
      <c r="N26" s="17" t="inlineStr">
        <is>
          <t>10.09</t>
        </is>
      </c>
      <c r="O26" s="18" t="n">
        <v>65</v>
      </c>
      <c r="P26" s="17" t="inlineStr"/>
      <c r="Q26" s="17" t="n">
        <v>0</v>
      </c>
      <c r="R26" s="17" t="n">
        <v>35</v>
      </c>
      <c r="S26" s="17" t="n">
        <v>0.175</v>
      </c>
      <c r="T26" s="17" t="n">
        <v>0.325</v>
      </c>
      <c r="U26" s="17" t="n">
        <v>0</v>
      </c>
    </row>
    <row r="27">
      <c r="A27" s="17" t="inlineStr">
        <is>
          <t xml:space="preserve">B151 </t>
        </is>
      </c>
      <c r="B27" s="17" t="inlineStr">
        <is>
          <t xml:space="preserve">INGENIERÍA QUÍMICA </t>
        </is>
      </c>
      <c r="C27" s="17" t="inlineStr">
        <is>
          <t xml:space="preserve">DOCTORADO EN INGENIERÍA QUÍMICA </t>
        </is>
      </c>
      <c r="D27" s="17" t="inlineStr">
        <is>
          <t>Medina Romo, Sergio</t>
        </is>
      </c>
      <c r="E27" s="17" t="inlineStr">
        <is>
          <t xml:space="preserve">PRODUCCIÓN DE BIOCARBÓN POR PIRÓLISIS LENTA A PARTIR DE BIOMASA RESIDUAL DE PRODUCTIVIDAD DE LOS MISMOS INVERNADEROS URBANOS Y SU APLICACIÓN EN LA MEJORA DE LA </t>
        </is>
      </c>
      <c r="F27" s="17" t="inlineStr">
        <is>
          <t xml:space="preserve">27/06/2023 </t>
        </is>
      </c>
      <c r="G27" s="17" t="inlineStr">
        <is>
          <t xml:space="preserve">21401194Q </t>
        </is>
      </c>
      <c r="H27" s="17" t="inlineStr">
        <is>
          <t xml:space="preserve">Codirector de tesis </t>
        </is>
      </c>
      <c r="I27" s="17" t="inlineStr">
        <is>
          <t xml:space="preserve">B151 </t>
        </is>
      </c>
      <c r="J27" s="17" t="inlineStr">
        <is>
          <t xml:space="preserve">INGENIERÍA QUÍMICA </t>
        </is>
      </c>
      <c r="K27" s="18" t="n">
        <v>0.33</v>
      </c>
      <c r="L27" s="17" t="inlineStr">
        <is>
          <t>B151</t>
        </is>
      </c>
      <c r="M27" s="18" t="n">
        <v>2022</v>
      </c>
      <c r="N27" s="17" t="inlineStr">
        <is>
          <t>10.09</t>
        </is>
      </c>
      <c r="O27" s="18" t="n">
        <v>65</v>
      </c>
      <c r="P27" s="17" t="inlineStr"/>
      <c r="Q27" s="17" t="n">
        <v>0</v>
      </c>
      <c r="R27" s="17" t="n">
        <v>35</v>
      </c>
      <c r="S27" s="17" t="n">
        <v>0.1155</v>
      </c>
      <c r="T27" s="17" t="n">
        <v>0.2145</v>
      </c>
      <c r="U27" s="17" t="n">
        <v>0</v>
      </c>
    </row>
    <row r="28">
      <c r="A28" s="17" t="inlineStr">
        <is>
          <t xml:space="preserve">B151 </t>
        </is>
      </c>
      <c r="B28" s="17" t="inlineStr">
        <is>
          <t xml:space="preserve">INGENIERÍA QUÍMICA </t>
        </is>
      </c>
      <c r="C28" s="17" t="inlineStr">
        <is>
          <t xml:space="preserve">DOCTORADO EN INGENIERÍA QUÍMICA </t>
        </is>
      </c>
      <c r="D28" s="17" t="inlineStr">
        <is>
          <t>Medina Romo, Sergio</t>
        </is>
      </c>
      <c r="E28" s="17" t="inlineStr">
        <is>
          <t xml:space="preserve">PRODUCCIÓN DE BIOCARBÓN POR PIRÓLISIS LENTA A PARTIR DE BIOMASA RESIDUAL DE PRODUCTIVIDAD DE LOS MISMOS INVERNADEROS URBANOS Y SU APLICACIÓN EN LA MEJORA DE LA </t>
        </is>
      </c>
      <c r="F28" s="17" t="inlineStr">
        <is>
          <t xml:space="preserve">27/06/2023 </t>
        </is>
      </c>
      <c r="G28" s="17" t="inlineStr">
        <is>
          <t xml:space="preserve">21470517V </t>
        </is>
      </c>
      <c r="H28" s="17" t="inlineStr">
        <is>
          <t xml:space="preserve">Codirector de tesis </t>
        </is>
      </c>
      <c r="I28" s="17" t="inlineStr">
        <is>
          <t xml:space="preserve">B151 </t>
        </is>
      </c>
      <c r="J28" s="17" t="inlineStr">
        <is>
          <t xml:space="preserve">INGENIERÍA QUÍMICA </t>
        </is>
      </c>
      <c r="K28" s="18" t="n">
        <v>0.33</v>
      </c>
      <c r="L28" s="17" t="inlineStr">
        <is>
          <t>B151</t>
        </is>
      </c>
      <c r="M28" s="18" t="n">
        <v>2022</v>
      </c>
      <c r="N28" s="17" t="inlineStr">
        <is>
          <t>10.09</t>
        </is>
      </c>
      <c r="O28" s="18" t="n">
        <v>65</v>
      </c>
      <c r="P28" s="17" t="inlineStr"/>
      <c r="Q28" s="17" t="n">
        <v>0</v>
      </c>
      <c r="R28" s="17" t="n">
        <v>35</v>
      </c>
      <c r="S28" s="17" t="n">
        <v>0.1155</v>
      </c>
      <c r="T28" s="17" t="n">
        <v>0.2145</v>
      </c>
      <c r="U28" s="17" t="n">
        <v>0</v>
      </c>
    </row>
    <row r="29">
      <c r="A29" s="17" t="inlineStr">
        <is>
          <t xml:space="preserve">B151 </t>
        </is>
      </c>
      <c r="B29" s="17" t="inlineStr">
        <is>
          <t xml:space="preserve">INGENIERÍA QUÍMICA </t>
        </is>
      </c>
      <c r="C29" s="17" t="inlineStr">
        <is>
          <t xml:space="preserve">DOCTORADO EN INGENIERÍA QUÍMICA </t>
        </is>
      </c>
      <c r="D29" s="17" t="inlineStr">
        <is>
          <t>Díaz Basantes, Milene Fernanda</t>
        </is>
      </c>
      <c r="E29" s="17" t="inlineStr">
        <is>
          <t xml:space="preserve">MICROPLÁSTICOS EN ALIMENTOS </t>
        </is>
      </c>
      <c r="F29" s="17" t="inlineStr">
        <is>
          <t xml:space="preserve">18/11/2022 </t>
        </is>
      </c>
      <c r="G29" s="17" t="inlineStr">
        <is>
          <t xml:space="preserve">22006135B </t>
        </is>
      </c>
      <c r="H29" s="17" t="inlineStr">
        <is>
          <t xml:space="preserve">Codirector de tesis </t>
        </is>
      </c>
      <c r="I29" s="17" t="inlineStr">
        <is>
          <t xml:space="preserve">B151 </t>
        </is>
      </c>
      <c r="J29" s="17" t="inlineStr">
        <is>
          <t xml:space="preserve">INGENIERÍA QUÍMICA </t>
        </is>
      </c>
      <c r="K29" s="18" t="n">
        <v>0.5</v>
      </c>
      <c r="L29" s="17" t="inlineStr">
        <is>
          <t>B151</t>
        </is>
      </c>
      <c r="M29" s="18" t="n">
        <v>2022</v>
      </c>
      <c r="N29" s="17" t="inlineStr">
        <is>
          <t>10.09</t>
        </is>
      </c>
      <c r="O29" s="18" t="n">
        <v>65</v>
      </c>
      <c r="P29" s="17" t="inlineStr"/>
      <c r="Q29" s="17" t="n">
        <v>0</v>
      </c>
      <c r="R29" s="17" t="n">
        <v>35</v>
      </c>
      <c r="S29" s="17" t="n">
        <v>0.175</v>
      </c>
      <c r="T29" s="17" t="n">
        <v>0.325</v>
      </c>
      <c r="U29" s="17" t="n">
        <v>0</v>
      </c>
    </row>
    <row r="30">
      <c r="A30" s="17" t="inlineStr">
        <is>
          <t xml:space="preserve">B151 </t>
        </is>
      </c>
      <c r="B30" s="17" t="inlineStr">
        <is>
          <t xml:space="preserve">INGENIERÍA QUÍMICA </t>
        </is>
      </c>
      <c r="C30" s="17" t="inlineStr">
        <is>
          <t xml:space="preserve">DOCTORADO EN INGENIERÍA QUÍMICA </t>
        </is>
      </c>
      <c r="D30" s="17" t="inlineStr">
        <is>
          <t>López Terán, Jorge Luis</t>
        </is>
      </c>
      <c r="E30" s="17" t="inlineStr">
        <is>
          <t xml:space="preserve">Obtención y caracterización de nuevos biomateriales a base de almidón termoplástico y productos naturales </t>
        </is>
      </c>
      <c r="F30" s="17" t="inlineStr">
        <is>
          <t xml:space="preserve">02/03/2023 </t>
        </is>
      </c>
      <c r="G30" s="17" t="inlineStr">
        <is>
          <t xml:space="preserve">22003811X </t>
        </is>
      </c>
      <c r="H30" s="17" t="inlineStr">
        <is>
          <t xml:space="preserve">Codirector de tesis </t>
        </is>
      </c>
      <c r="I30" s="17" t="inlineStr">
        <is>
          <t xml:space="preserve">B151 </t>
        </is>
      </c>
      <c r="J30" s="17" t="inlineStr">
        <is>
          <t xml:space="preserve">INGENIERÍA QUÍMICA </t>
        </is>
      </c>
      <c r="K30" s="18" t="n">
        <v>0.5</v>
      </c>
      <c r="L30" s="17" t="inlineStr">
        <is>
          <t>B151</t>
        </is>
      </c>
      <c r="M30" s="18" t="n">
        <v>2022</v>
      </c>
      <c r="N30" s="17" t="inlineStr">
        <is>
          <t>10.09</t>
        </is>
      </c>
      <c r="O30" s="18" t="n">
        <v>65</v>
      </c>
      <c r="P30" s="17" t="inlineStr"/>
      <c r="Q30" s="17" t="n">
        <v>0</v>
      </c>
      <c r="R30" s="17" t="n">
        <v>35</v>
      </c>
      <c r="S30" s="17" t="n">
        <v>0.175</v>
      </c>
      <c r="T30" s="17" t="n">
        <v>0.325</v>
      </c>
      <c r="U30" s="17" t="n">
        <v>0</v>
      </c>
    </row>
    <row r="31">
      <c r="A31" s="17" t="inlineStr">
        <is>
          <t xml:space="preserve">B151 </t>
        </is>
      </c>
      <c r="B31" s="17" t="inlineStr">
        <is>
          <t xml:space="preserve">INGENIERÍA QUÍMICA </t>
        </is>
      </c>
      <c r="C31" s="17" t="inlineStr">
        <is>
          <t xml:space="preserve">DOCTORADO EN INGENIERÍA QUÍMICA </t>
        </is>
      </c>
      <c r="D31" s="17" t="inlineStr">
        <is>
          <t>Garcia Castro, Florencia Lujan</t>
        </is>
      </c>
      <c r="E31" s="17" t="inlineStr">
        <is>
          <t xml:space="preserve">Optimization of sustainable supply chain design under uncertainty </t>
        </is>
      </c>
      <c r="F31" s="17" t="inlineStr">
        <is>
          <t xml:space="preserve">22/09/2023 </t>
        </is>
      </c>
      <c r="G31" s="17" t="inlineStr">
        <is>
          <t xml:space="preserve">21511293Z </t>
        </is>
      </c>
      <c r="H31" s="17" t="inlineStr">
        <is>
          <t xml:space="preserve">Codirector de tesis </t>
        </is>
      </c>
      <c r="I31" s="17" t="inlineStr">
        <is>
          <t xml:space="preserve">B151 </t>
        </is>
      </c>
      <c r="J31" s="17" t="inlineStr">
        <is>
          <t xml:space="preserve">INGENIERÍA QUÍMICA </t>
        </is>
      </c>
      <c r="K31" s="18" t="n">
        <v>0.5</v>
      </c>
      <c r="L31" s="17" t="inlineStr">
        <is>
          <t>B151</t>
        </is>
      </c>
      <c r="M31" s="18" t="n">
        <v>2022</v>
      </c>
      <c r="N31" s="17" t="inlineStr">
        <is>
          <t>10.09</t>
        </is>
      </c>
      <c r="O31" s="18" t="n">
        <v>65</v>
      </c>
      <c r="P31" s="17" t="inlineStr"/>
      <c r="Q31" s="17" t="n">
        <v>0</v>
      </c>
      <c r="R31" s="17" t="n">
        <v>35</v>
      </c>
      <c r="S31" s="17" t="n">
        <v>0.175</v>
      </c>
      <c r="T31" s="17" t="n">
        <v>0.325</v>
      </c>
      <c r="U31" s="17" t="n">
        <v>0</v>
      </c>
    </row>
    <row r="32">
      <c r="A32" s="17" t="inlineStr">
        <is>
          <t xml:space="preserve">B151 </t>
        </is>
      </c>
      <c r="B32" s="17" t="inlineStr">
        <is>
          <t xml:space="preserve">INGENIERÍA QUÍMICA </t>
        </is>
      </c>
      <c r="C32" s="17" t="inlineStr">
        <is>
          <t xml:space="preserve">DOCTORADO EN INGENIERÍA QUÍMICA </t>
        </is>
      </c>
      <c r="D32" s="17" t="inlineStr">
        <is>
          <t>Garcia Castro, Florencia Lujan</t>
        </is>
      </c>
      <c r="E32" s="17" t="inlineStr">
        <is>
          <t xml:space="preserve">Optimization of sustainable supply chain design under uncertainty </t>
        </is>
      </c>
      <c r="F32" s="17" t="inlineStr">
        <is>
          <t xml:space="preserve">22/09/2023 </t>
        </is>
      </c>
      <c r="G32" s="17" t="inlineStr">
        <is>
          <t xml:space="preserve">21477495A </t>
        </is>
      </c>
      <c r="H32" s="17" t="inlineStr">
        <is>
          <t xml:space="preserve">Codirector de tesis </t>
        </is>
      </c>
      <c r="I32" s="17" t="inlineStr">
        <is>
          <t xml:space="preserve">B151 </t>
        </is>
      </c>
      <c r="J32" s="17" t="inlineStr">
        <is>
          <t xml:space="preserve">INGENIERÍA QUÍMICA </t>
        </is>
      </c>
      <c r="K32" s="18" t="n">
        <v>0.5</v>
      </c>
      <c r="L32" s="17" t="inlineStr">
        <is>
          <t>B151</t>
        </is>
      </c>
      <c r="M32" s="18" t="n">
        <v>2022</v>
      </c>
      <c r="N32" s="17" t="inlineStr">
        <is>
          <t>10.09</t>
        </is>
      </c>
      <c r="O32" s="18" t="n">
        <v>65</v>
      </c>
      <c r="P32" s="17" t="inlineStr"/>
      <c r="Q32" s="17" t="n">
        <v>0</v>
      </c>
      <c r="R32" s="17" t="n">
        <v>35</v>
      </c>
      <c r="S32" s="17" t="n">
        <v>0.175</v>
      </c>
      <c r="T32" s="17" t="n">
        <v>0.325</v>
      </c>
      <c r="U32" s="17" t="n">
        <v>0</v>
      </c>
    </row>
    <row r="33">
      <c r="A33" s="17" t="inlineStr">
        <is>
          <t xml:space="preserve">B151 </t>
        </is>
      </c>
      <c r="B33" s="17" t="inlineStr">
        <is>
          <t xml:space="preserve">INGENIERÍA QUÍMICA </t>
        </is>
      </c>
      <c r="C33" s="17" t="inlineStr">
        <is>
          <t xml:space="preserve">DOCTORADO EN INGENIERÍA QUÍMICA </t>
        </is>
      </c>
      <c r="D33" s="17" t="inlineStr">
        <is>
          <t>Martínez Castro, Jennifer</t>
        </is>
      </c>
      <c r="E33" s="17" t="inlineStr">
        <is>
          <t xml:space="preserve">FORMULACIONES DE ALMIDÓN TERMOPLÁSTICO CON PLASTIFICANTES DE NUEVA GENERACIÓN </t>
        </is>
      </c>
      <c r="F33" s="17" t="inlineStr">
        <is>
          <t xml:space="preserve">25/05/2023 </t>
        </is>
      </c>
      <c r="G33" s="17" t="inlineStr">
        <is>
          <t xml:space="preserve">21462400L </t>
        </is>
      </c>
      <c r="H33" s="17" t="inlineStr">
        <is>
          <t xml:space="preserve">Codirector de tesis </t>
        </is>
      </c>
      <c r="I33" s="17" t="inlineStr">
        <is>
          <t xml:space="preserve">B151 </t>
        </is>
      </c>
      <c r="J33" s="17" t="inlineStr">
        <is>
          <t xml:space="preserve">INGENIERÍA QUÍMICA </t>
        </is>
      </c>
      <c r="K33" s="18" t="n">
        <v>0.5</v>
      </c>
      <c r="L33" s="17" t="inlineStr">
        <is>
          <t>B151</t>
        </is>
      </c>
      <c r="M33" s="18" t="n">
        <v>2022</v>
      </c>
      <c r="N33" s="17" t="inlineStr">
        <is>
          <t>10.09</t>
        </is>
      </c>
      <c r="O33" s="18" t="n">
        <v>65</v>
      </c>
      <c r="P33" s="17" t="inlineStr"/>
      <c r="Q33" s="17" t="n">
        <v>0</v>
      </c>
      <c r="R33" s="17" t="n">
        <v>35</v>
      </c>
      <c r="S33" s="17" t="n">
        <v>0.175</v>
      </c>
      <c r="T33" s="17" t="n">
        <v>0.325</v>
      </c>
      <c r="U33" s="17" t="n">
        <v>0</v>
      </c>
    </row>
    <row r="34">
      <c r="A34" s="17" t="inlineStr">
        <is>
          <t xml:space="preserve">B151 </t>
        </is>
      </c>
      <c r="B34" s="17" t="inlineStr">
        <is>
          <t xml:space="preserve">INGENIERÍA QUÍMICA </t>
        </is>
      </c>
      <c r="C34" s="17" t="inlineStr">
        <is>
          <t xml:space="preserve">DOCTORADO EN INGENIERÍA QUÍMICA </t>
        </is>
      </c>
      <c r="D34" s="17" t="inlineStr">
        <is>
          <t>Martínez Castro, Jennifer</t>
        </is>
      </c>
      <c r="E34" s="17" t="inlineStr">
        <is>
          <t xml:space="preserve">FORMULACIONES DE ALMIDÓN TERMOPLÁSTICO CON PLASTIFICANTES DE NUEVA GENERACIÓN </t>
        </is>
      </c>
      <c r="F34" s="17" t="inlineStr">
        <is>
          <t xml:space="preserve">25/05/2023 </t>
        </is>
      </c>
      <c r="G34" s="17" t="inlineStr">
        <is>
          <t xml:space="preserve">21494722A </t>
        </is>
      </c>
      <c r="H34" s="17" t="inlineStr">
        <is>
          <t xml:space="preserve">Codirector de tesis </t>
        </is>
      </c>
      <c r="I34" s="17" t="inlineStr">
        <is>
          <t xml:space="preserve">B151 </t>
        </is>
      </c>
      <c r="J34" s="17" t="inlineStr">
        <is>
          <t xml:space="preserve">INGENIERÍA QUÍMICA </t>
        </is>
      </c>
      <c r="K34" s="18" t="n">
        <v>0.5</v>
      </c>
      <c r="L34" s="17" t="inlineStr">
        <is>
          <t>B151</t>
        </is>
      </c>
      <c r="M34" s="18" t="n">
        <v>2022</v>
      </c>
      <c r="N34" s="17" t="inlineStr">
        <is>
          <t>10.09</t>
        </is>
      </c>
      <c r="O34" s="18" t="n">
        <v>65</v>
      </c>
      <c r="P34" s="17" t="inlineStr"/>
      <c r="Q34" s="17" t="n">
        <v>0</v>
      </c>
      <c r="R34" s="17" t="n">
        <v>35</v>
      </c>
      <c r="S34" s="17" t="n">
        <v>0.175</v>
      </c>
      <c r="T34" s="17" t="n">
        <v>0.325</v>
      </c>
      <c r="U34" s="17" t="n">
        <v>0</v>
      </c>
    </row>
    <row r="35">
      <c r="A35" s="17" t="inlineStr">
        <is>
          <t xml:space="preserve">B151 </t>
        </is>
      </c>
      <c r="B35" s="17" t="inlineStr">
        <is>
          <t xml:space="preserve">INGENIERÍA QUÍMICA </t>
        </is>
      </c>
      <c r="C35" s="17" t="inlineStr">
        <is>
          <t xml:space="preserve">DOCTORADO EN INGENIERÍA QUÍMICA </t>
        </is>
      </c>
      <c r="D35" s="17" t="inlineStr">
        <is>
          <t>Carbonell Hermida, Paloma</t>
        </is>
      </c>
      <c r="E35" s="17" t="inlineStr">
        <is>
          <t xml:space="preserve">Correlación del equilibrio entre fases: ELV, ELL, ELS, ELLL y ELLS. Limitaciones y estrategias para superarlas. </t>
        </is>
      </c>
      <c r="F35" s="17" t="inlineStr">
        <is>
          <t xml:space="preserve">12/12/2022 </t>
        </is>
      </c>
      <c r="G35" s="17" t="inlineStr">
        <is>
          <t xml:space="preserve">21401194Q </t>
        </is>
      </c>
      <c r="H35" s="17" t="inlineStr">
        <is>
          <t xml:space="preserve">Codirector de tesis </t>
        </is>
      </c>
      <c r="I35" s="17" t="inlineStr">
        <is>
          <t xml:space="preserve">B151 </t>
        </is>
      </c>
      <c r="J35" s="17" t="inlineStr">
        <is>
          <t xml:space="preserve">INGENIERÍA QUÍMICA </t>
        </is>
      </c>
      <c r="K35" s="18" t="n">
        <v>0.5</v>
      </c>
      <c r="L35" s="17" t="inlineStr">
        <is>
          <t>B151</t>
        </is>
      </c>
      <c r="M35" s="18" t="n">
        <v>2022</v>
      </c>
      <c r="N35" s="17" t="inlineStr">
        <is>
          <t>10.09</t>
        </is>
      </c>
      <c r="O35" s="18" t="n">
        <v>65</v>
      </c>
      <c r="P35" s="17" t="inlineStr"/>
      <c r="Q35" s="17" t="n">
        <v>0</v>
      </c>
      <c r="R35" s="17" t="n">
        <v>35</v>
      </c>
      <c r="S35" s="17" t="n">
        <v>0.175</v>
      </c>
      <c r="T35" s="17" t="n">
        <v>0.325</v>
      </c>
      <c r="U35" s="17" t="n">
        <v>0</v>
      </c>
    </row>
    <row r="36">
      <c r="A36" s="17" t="inlineStr">
        <is>
          <t xml:space="preserve">B151 </t>
        </is>
      </c>
      <c r="B36" s="17" t="inlineStr">
        <is>
          <t xml:space="preserve">INGENIERÍA QUÍMICA </t>
        </is>
      </c>
      <c r="C36" s="17" t="inlineStr">
        <is>
          <t xml:space="preserve">DOCTORADO EN INGENIERÍA QUÍMICA </t>
        </is>
      </c>
      <c r="D36" s="17" t="inlineStr">
        <is>
          <t>Carbonell Hermida, Paloma</t>
        </is>
      </c>
      <c r="E36" s="17" t="inlineStr">
        <is>
          <t xml:space="preserve">Correlación del equilibrio entre fases: ELV, ELL, ELS, ELLL y ELLS. Limitaciones y estrategias para superarlas. </t>
        </is>
      </c>
      <c r="F36" s="17" t="inlineStr">
        <is>
          <t xml:space="preserve">12/12/2022 </t>
        </is>
      </c>
      <c r="G36" s="17" t="inlineStr">
        <is>
          <t xml:space="preserve">21489023P </t>
        </is>
      </c>
      <c r="H36" s="17" t="inlineStr">
        <is>
          <t xml:space="preserve">Codirector de tesis </t>
        </is>
      </c>
      <c r="I36" s="17" t="inlineStr">
        <is>
          <t xml:space="preserve">B151 </t>
        </is>
      </c>
      <c r="J36" s="17" t="inlineStr">
        <is>
          <t xml:space="preserve">INGENIERÍA QUÍMICA </t>
        </is>
      </c>
      <c r="K36" s="18" t="n">
        <v>0.5</v>
      </c>
      <c r="L36" s="17" t="inlineStr">
        <is>
          <t>B151</t>
        </is>
      </c>
      <c r="M36" s="18" t="n">
        <v>2022</v>
      </c>
      <c r="N36" s="17" t="inlineStr">
        <is>
          <t>10.09</t>
        </is>
      </c>
      <c r="O36" s="18" t="n">
        <v>65</v>
      </c>
      <c r="P36" s="17" t="inlineStr"/>
      <c r="Q36" s="17" t="n">
        <v>0</v>
      </c>
      <c r="R36" s="17" t="n">
        <v>35</v>
      </c>
      <c r="S36" s="17" t="n">
        <v>0.175</v>
      </c>
      <c r="T36" s="17" t="n">
        <v>0.325</v>
      </c>
      <c r="U36" s="17" t="n">
        <v>0</v>
      </c>
    </row>
    <row r="37">
      <c r="A37" s="17" t="inlineStr">
        <is>
          <t xml:space="preserve">B151 </t>
        </is>
      </c>
      <c r="B37" s="17" t="inlineStr">
        <is>
          <t xml:space="preserve">INGENIERÍA QUÍMICA </t>
        </is>
      </c>
      <c r="C37" s="17" t="inlineStr">
        <is>
          <t xml:space="preserve">DOCTORADO EN INGENIERÍA QUÍMICA </t>
        </is>
      </c>
      <c r="D37" s="17" t="inlineStr">
        <is>
          <t>Francisco dos Santos, Lucas</t>
        </is>
      </c>
      <c r="E37" s="17" t="inlineStr">
        <is>
          <t xml:space="preserve">Optimization of chemical process simulation: Application to the optimal rigorous design </t>
        </is>
      </c>
      <c r="F37" s="17" t="inlineStr">
        <is>
          <t xml:space="preserve">30/06/2023 </t>
        </is>
      </c>
      <c r="G37" s="17" t="inlineStr">
        <is>
          <t xml:space="preserve">21477495A </t>
        </is>
      </c>
      <c r="H37" s="17" t="inlineStr">
        <is>
          <t xml:space="preserve">Codirector de tesis </t>
        </is>
      </c>
      <c r="I37" s="17" t="inlineStr">
        <is>
          <t xml:space="preserve">B151 </t>
        </is>
      </c>
      <c r="J37" s="17" t="inlineStr">
        <is>
          <t xml:space="preserve">INGENIERÍA QUÍMICA </t>
        </is>
      </c>
      <c r="K37" s="18" t="n">
        <v>0.5</v>
      </c>
      <c r="L37" s="17" t="inlineStr">
        <is>
          <t>B151</t>
        </is>
      </c>
      <c r="M37" s="18" t="n">
        <v>2022</v>
      </c>
      <c r="N37" s="17" t="inlineStr">
        <is>
          <t>10.09</t>
        </is>
      </c>
      <c r="O37" s="18" t="n">
        <v>65</v>
      </c>
      <c r="P37" s="17" t="inlineStr"/>
      <c r="Q37" s="17" t="n">
        <v>0</v>
      </c>
      <c r="R37" s="17" t="n">
        <v>35</v>
      </c>
      <c r="S37" s="17" t="n">
        <v>0.175</v>
      </c>
      <c r="T37" s="17" t="n">
        <v>0.325</v>
      </c>
      <c r="U37" s="17" t="n">
        <v>0</v>
      </c>
    </row>
    <row r="38">
      <c r="A38" s="17" t="inlineStr">
        <is>
          <t xml:space="preserve">B151 </t>
        </is>
      </c>
      <c r="B38" s="17" t="inlineStr">
        <is>
          <t xml:space="preserve">INGENIERÍA QUÍMICA </t>
        </is>
      </c>
      <c r="C38" s="17" t="inlineStr">
        <is>
          <t xml:space="preserve">DOCTORADO EN INGENIERÍA QUÍMICA </t>
        </is>
      </c>
      <c r="D38" s="17" t="inlineStr">
        <is>
          <t>Gomis Blasco, Alejandro</t>
        </is>
      </c>
      <c r="E38" s="17" t="inlineStr">
        <is>
          <t xml:space="preserve">Equilibrio de fases en sistemas agua+alcohol de cadena.corta+electrolito. Determinación experimental, consistencia termodinámica y modelización </t>
        </is>
      </c>
      <c r="F38" s="17" t="inlineStr">
        <is>
          <t xml:space="preserve">14/09/2022 </t>
        </is>
      </c>
      <c r="G38" s="17" t="inlineStr">
        <is>
          <t xml:space="preserve">48344784A </t>
        </is>
      </c>
      <c r="H38" s="17" t="inlineStr">
        <is>
          <t xml:space="preserve">Codirector de tesis </t>
        </is>
      </c>
      <c r="I38" s="17" t="inlineStr">
        <is>
          <t xml:space="preserve">B151 </t>
        </is>
      </c>
      <c r="J38" s="17" t="inlineStr">
        <is>
          <t xml:space="preserve">INGENIERÍA QUÍMICA </t>
        </is>
      </c>
      <c r="K38" s="18" t="n">
        <v>0.5</v>
      </c>
      <c r="L38" s="17" t="inlineStr">
        <is>
          <t>B151</t>
        </is>
      </c>
      <c r="M38" s="18" t="n">
        <v>2022</v>
      </c>
      <c r="N38" s="17" t="inlineStr">
        <is>
          <t>10.09</t>
        </is>
      </c>
      <c r="O38" s="18" t="n">
        <v>65</v>
      </c>
      <c r="P38" s="17" t="inlineStr"/>
      <c r="Q38" s="17" t="n">
        <v>0</v>
      </c>
      <c r="R38" s="17" t="n">
        <v>35</v>
      </c>
      <c r="S38" s="17" t="n">
        <v>0.175</v>
      </c>
      <c r="T38" s="17" t="n">
        <v>0.325</v>
      </c>
      <c r="U38" s="17" t="n">
        <v>0</v>
      </c>
    </row>
    <row r="39">
      <c r="A39" s="17" t="inlineStr">
        <is>
          <t xml:space="preserve">U020 </t>
        </is>
      </c>
      <c r="B39" s="17" t="inlineStr">
        <is>
          <t xml:space="preserve">I.U. DEL AGUA Y DE LAS CIENCIAS AMBIENTALES (10.05) </t>
        </is>
      </c>
      <c r="C39" s="17" t="inlineStr">
        <is>
          <t xml:space="preserve">DOCTORADO EN AGUA Y DESARROLLO SOSTENIBLE </t>
        </is>
      </c>
      <c r="D39" s="17" t="inlineStr">
        <is>
          <t>Martínez Moya, Sergio</t>
        </is>
      </c>
      <c r="E39" s="17" t="inlineStr">
        <is>
          <t xml:space="preserve">TRATAMIENTO DE AGUA POR ELECTROMAGNETISMO: INFLUENCIA EN LA PRECIPITACIÓN DE CARBONATO CÁLCICO Y EFECTOS EN OTRAS APLICACIONES </t>
        </is>
      </c>
      <c r="F39" s="17" t="inlineStr">
        <is>
          <t xml:space="preserve">03/04/2023 </t>
        </is>
      </c>
      <c r="G39" s="17" t="inlineStr">
        <is>
          <t xml:space="preserve">21455103J </t>
        </is>
      </c>
      <c r="H39" s="17" t="inlineStr">
        <is>
          <t xml:space="preserve">Codirector de tesis </t>
        </is>
      </c>
      <c r="I39" s="17" t="inlineStr">
        <is>
          <t xml:space="preserve">B151 </t>
        </is>
      </c>
      <c r="J39" s="17" t="inlineStr">
        <is>
          <t xml:space="preserve">INGENIERÍA QUÍMICA </t>
        </is>
      </c>
      <c r="K39" s="18" t="n">
        <v>0.5</v>
      </c>
      <c r="L39" s="17" t="inlineStr">
        <is>
          <t>B151</t>
        </is>
      </c>
      <c r="M39" s="18" t="n">
        <v>2022</v>
      </c>
      <c r="N39" s="17" t="inlineStr">
        <is>
          <t>10.09</t>
        </is>
      </c>
      <c r="O39" s="18" t="n">
        <v>40</v>
      </c>
      <c r="P39" s="17" t="inlineStr">
        <is>
          <t>10.05</t>
        </is>
      </c>
      <c r="Q39" s="17" t="n">
        <v>20</v>
      </c>
      <c r="R39" s="17" t="n">
        <v>40</v>
      </c>
      <c r="S39" s="17" t="n">
        <v>0.2</v>
      </c>
      <c r="T39" s="17" t="n">
        <v>0.2</v>
      </c>
      <c r="U39" s="17" t="n">
        <v>0.1</v>
      </c>
    </row>
    <row r="40">
      <c r="A40" s="17" t="inlineStr">
        <is>
          <t>B151</t>
        </is>
      </c>
      <c r="B40" s="17" t="inlineStr">
        <is>
          <t>INGENIERÍA QUÍMICA</t>
        </is>
      </c>
      <c r="C40" s="17" t="inlineStr">
        <is>
          <t>DOCTORADO EN INGENIERÍA QUÍMICA</t>
        </is>
      </c>
      <c r="D40" s="17" t="inlineStr">
        <is>
          <t>Núñez Ramos, Samuel Santiago</t>
        </is>
      </c>
      <c r="E40" s="17" t="inlineStr">
        <is>
          <t>CONTAMINANTES PELIGROSOS EN PLÁSTICOS RECICLADOS Y TRATAMIENTOS PARA SU MITIGACIÓN</t>
        </is>
      </c>
      <c r="F40" s="17" t="inlineStr">
        <is>
          <t>21/03/2024</t>
        </is>
      </c>
      <c r="G40" s="17" t="inlineStr">
        <is>
          <t>22006135B</t>
        </is>
      </c>
      <c r="H40" s="17" t="inlineStr">
        <is>
          <t>Codirector de tesis</t>
        </is>
      </c>
      <c r="I40" s="17" t="inlineStr">
        <is>
          <t>B151</t>
        </is>
      </c>
      <c r="J40" s="17" t="inlineStr">
        <is>
          <t>INGENIERÍA QUÍMICA</t>
        </is>
      </c>
      <c r="K40" s="18" t="n">
        <v>0.5</v>
      </c>
      <c r="L40" s="17" t="inlineStr">
        <is>
          <t>B151</t>
        </is>
      </c>
      <c r="M40" s="18" t="n">
        <v>2023</v>
      </c>
      <c r="N40" s="17" t="inlineStr">
        <is>
          <t>10.09</t>
        </is>
      </c>
      <c r="O40" s="18" t="inlineStr">
        <is>
          <t>65</t>
        </is>
      </c>
      <c r="P40" s="17" t="inlineStr"/>
      <c r="Q40" s="17" t="inlineStr"/>
      <c r="R40" s="17" t="n">
        <v>35</v>
      </c>
      <c r="S40" s="17" t="n">
        <v>0.175</v>
      </c>
      <c r="T40" s="17" t="n">
        <v>0.325</v>
      </c>
      <c r="U40" s="17" t="n">
        <v>0</v>
      </c>
      <c r="V40" s="5" t="inlineStr">
        <is>
          <t>S</t>
        </is>
      </c>
    </row>
    <row r="41">
      <c r="A41" s="17" t="inlineStr">
        <is>
          <t>U020</t>
        </is>
      </c>
      <c r="B41" s="17" t="inlineStr">
        <is>
          <t>I.U. DEL AGUA Y DE LAS CIENCIAS AMBIENTALES (10.05)</t>
        </is>
      </c>
      <c r="C41" s="17" t="inlineStr">
        <is>
          <t>DOCTORADO EN AGUA Y DESARROLLO SOSTENIBLE</t>
        </is>
      </c>
      <c r="D41" s="17" t="inlineStr">
        <is>
          <t>Navarro Barrio, Rubén</t>
        </is>
      </c>
      <c r="E41" s="17" t="inlineStr">
        <is>
          <t>Evaluación de los consumos energéticos y costes asociados de las medidas de protección ambiental de las desaladoras de la Mancomunidad de los Canales del Taibilla</t>
        </is>
      </c>
      <c r="F41" s="17" t="inlineStr">
        <is>
          <t>28/11/2023</t>
        </is>
      </c>
      <c r="G41" s="17" t="inlineStr">
        <is>
          <t>21444613B</t>
        </is>
      </c>
      <c r="H41" s="17" t="inlineStr">
        <is>
          <t>Director de tesis</t>
        </is>
      </c>
      <c r="I41" s="17" t="inlineStr">
        <is>
          <t>B151</t>
        </is>
      </c>
      <c r="J41" s="17" t="inlineStr">
        <is>
          <t>INGENIERÍA QUÍMICA</t>
        </is>
      </c>
      <c r="K41" s="18" t="n">
        <v>1</v>
      </c>
      <c r="L41" s="17" t="inlineStr">
        <is>
          <t>B151</t>
        </is>
      </c>
      <c r="M41" s="18" t="n">
        <v>2023</v>
      </c>
      <c r="N41" s="17" t="inlineStr">
        <is>
          <t>10.09</t>
        </is>
      </c>
      <c r="O41" s="18" t="inlineStr">
        <is>
          <t>40</t>
        </is>
      </c>
      <c r="P41" s="17" t="inlineStr">
        <is>
          <t>10.05</t>
        </is>
      </c>
      <c r="Q41" s="17" t="inlineStr">
        <is>
          <t>20</t>
        </is>
      </c>
      <c r="R41" s="17" t="n">
        <v>40</v>
      </c>
      <c r="S41" s="17" t="n">
        <v>0.4</v>
      </c>
      <c r="T41" s="17" t="n">
        <v>0.4</v>
      </c>
      <c r="U41" s="17" t="n">
        <v>0.2</v>
      </c>
      <c r="V41" s="5" t="inlineStr">
        <is>
          <t>S</t>
        </is>
      </c>
    </row>
    <row r="42">
      <c r="A42" s="17" t="inlineStr">
        <is>
          <t>U020</t>
        </is>
      </c>
      <c r="B42" s="17" t="inlineStr">
        <is>
          <t>I.U. DEL AGUA Y DE LAS CIENCIAS AMBIENTALES (10.05)</t>
        </is>
      </c>
      <c r="C42" s="17" t="inlineStr">
        <is>
          <t>DOCTORADO EN AGUA Y DESARROLLO SOSTENIBLE</t>
        </is>
      </c>
      <c r="D42" s="17" t="inlineStr">
        <is>
          <t>Peña Paz, Tania María</t>
        </is>
      </c>
      <c r="E42" s="17" t="inlineStr">
        <is>
          <t>Modelo conceptual hidrogeológico y análisis hidroquímico para la gestión de recursos</t>
        </is>
      </c>
      <c r="F42" s="17" t="inlineStr">
        <is>
          <t>13/02/2024</t>
        </is>
      </c>
      <c r="G42" s="17" t="inlineStr">
        <is>
          <t>21455103J</t>
        </is>
      </c>
      <c r="H42" s="17" t="inlineStr">
        <is>
          <t>Codirector de tesis</t>
        </is>
      </c>
      <c r="I42" s="17" t="inlineStr">
        <is>
          <t>B151</t>
        </is>
      </c>
      <c r="J42" s="17" t="inlineStr">
        <is>
          <t>INGENIERÍA QUÍMICA</t>
        </is>
      </c>
      <c r="K42" s="18" t="n">
        <v>0.5</v>
      </c>
      <c r="L42" s="17" t="inlineStr">
        <is>
          <t>B151</t>
        </is>
      </c>
      <c r="M42" s="18" t="n">
        <v>2023</v>
      </c>
      <c r="N42" s="17" t="inlineStr">
        <is>
          <t>10.09</t>
        </is>
      </c>
      <c r="O42" s="18" t="inlineStr">
        <is>
          <t>40</t>
        </is>
      </c>
      <c r="P42" s="17" t="inlineStr">
        <is>
          <t>10.05</t>
        </is>
      </c>
      <c r="Q42" s="17" t="inlineStr">
        <is>
          <t>20</t>
        </is>
      </c>
      <c r="R42" s="17" t="n">
        <v>40</v>
      </c>
      <c r="S42" s="17" t="n">
        <v>0.2</v>
      </c>
      <c r="T42" s="17" t="n">
        <v>0.2</v>
      </c>
      <c r="U42" s="17" t="n">
        <v>0.1</v>
      </c>
      <c r="V42" s="5" t="inlineStr">
        <is>
          <t>S</t>
        </is>
      </c>
    </row>
    <row r="43">
      <c r="A43" s="17" t="inlineStr">
        <is>
          <t>U052</t>
        </is>
      </c>
      <c r="B43" s="17" t="inlineStr">
        <is>
          <t>I.U. DE MATERIALES (10.14)</t>
        </is>
      </c>
      <c r="C43" s="17" t="inlineStr">
        <is>
          <t>DOCTORADO EN CIENCIA DE MATERIALES</t>
        </is>
      </c>
      <c r="D43" s="17" t="inlineStr">
        <is>
          <t>Mekki , Imene</t>
        </is>
      </c>
      <c r="E43" s="17" t="inlineStr">
        <is>
          <t>Study of the uncatalyzed and catalyzed soot combustion in the exhaust of last generation   combustion engines. Kinetic analysis and optimization of the catalytic formulations</t>
        </is>
      </c>
      <c r="F43" s="17" t="inlineStr">
        <is>
          <t>25/07/2024</t>
        </is>
      </c>
      <c r="G43" s="17" t="inlineStr">
        <is>
          <t>21477495A</t>
        </is>
      </c>
      <c r="H43" s="17" t="inlineStr">
        <is>
          <t>Codirector de tesis</t>
        </is>
      </c>
      <c r="I43" s="17" t="inlineStr">
        <is>
          <t>B151</t>
        </is>
      </c>
      <c r="J43" s="17" t="inlineStr">
        <is>
          <t>INGENIERÍA QUÍMICA</t>
        </is>
      </c>
      <c r="K43" s="18" t="n">
        <v>0.5</v>
      </c>
      <c r="L43" s="17" t="inlineStr">
        <is>
          <t>B151</t>
        </is>
      </c>
      <c r="M43" s="18" t="n">
        <v>2023</v>
      </c>
      <c r="N43" s="17" t="inlineStr">
        <is>
          <t>10.09</t>
        </is>
      </c>
      <c r="O43" s="18" t="inlineStr">
        <is>
          <t>65</t>
        </is>
      </c>
      <c r="P43" s="17" t="inlineStr"/>
      <c r="Q43" s="17" t="inlineStr"/>
      <c r="R43" s="17" t="n">
        <v>35</v>
      </c>
      <c r="S43" s="17" t="n">
        <v>0.175</v>
      </c>
      <c r="T43" s="17" t="n">
        <v>0.325</v>
      </c>
      <c r="U43" s="17" t="n">
        <v>0</v>
      </c>
      <c r="V43" s="5" t="inlineStr">
        <is>
          <t>S</t>
        </is>
      </c>
    </row>
    <row r="44">
      <c r="A44" s="17" t="inlineStr">
        <is>
          <t>B151</t>
        </is>
      </c>
      <c r="B44" s="17" t="inlineStr">
        <is>
          <t>Ingeniería Química</t>
        </is>
      </c>
      <c r="C44" s="17" t="inlineStr">
        <is>
          <t>DOCTORADO EN INGENIERÍA QUÍMICA</t>
        </is>
      </c>
      <c r="D44" s="17" t="inlineStr">
        <is>
          <t>Rosero Espín, Marco Vinicio</t>
        </is>
      </c>
      <c r="E44" s="17" t="inlineStr">
        <is>
          <t>ESTUDIO DE CARBONIZACIÓN DE MATERIALES LIGNOCELULÓSICOS NATIVOS DEL ECUADOR MEDIANTE PIRÓLISIS PARA LA OBTENCIÓN DE CARBÓN ACTIVADO PARA USO EN ELECTRODOS DE CAPACITORES</t>
        </is>
      </c>
      <c r="F44" s="17" t="inlineStr">
        <is>
          <t>03/04/2025</t>
        </is>
      </c>
      <c r="G44" s="17" t="inlineStr">
        <is>
          <t>21401194Q</t>
        </is>
      </c>
      <c r="H44" s="17" t="inlineStr">
        <is>
          <t>Codirector de tesis</t>
        </is>
      </c>
      <c r="I44" s="17" t="inlineStr">
        <is>
          <t>B151</t>
        </is>
      </c>
      <c r="J44" s="17" t="inlineStr">
        <is>
          <t>Ingeniería Química</t>
        </is>
      </c>
      <c r="K44" s="18" t="n">
        <v>0.3333333333333333</v>
      </c>
      <c r="L44" s="17" t="inlineStr">
        <is>
          <t>B151</t>
        </is>
      </c>
      <c r="M44" s="18" t="n">
        <v>2024</v>
      </c>
      <c r="N44" s="17" t="inlineStr">
        <is>
          <t>10.09</t>
        </is>
      </c>
      <c r="O44" s="18" t="inlineStr">
        <is>
          <t>65</t>
        </is>
      </c>
      <c r="P44" s="17" t="inlineStr"/>
      <c r="Q44" s="17" t="inlineStr"/>
      <c r="R44" s="17" t="n">
        <v>35</v>
      </c>
      <c r="S44" s="17" t="n">
        <v>0.1166666666666667</v>
      </c>
      <c r="T44" s="17" t="n">
        <v>0.2166666666666666</v>
      </c>
      <c r="U44" s="17" t="n">
        <v>0</v>
      </c>
    </row>
    <row r="45">
      <c r="A45" s="17" t="inlineStr">
        <is>
          <t>B151</t>
        </is>
      </c>
      <c r="B45" s="17" t="inlineStr">
        <is>
          <t>Ingeniería Química</t>
        </is>
      </c>
      <c r="C45" s="17" t="inlineStr">
        <is>
          <t>DOCTORADO EN INGENIERÍA QUÍMICA</t>
        </is>
      </c>
      <c r="D45" s="17" t="inlineStr">
        <is>
          <t>Rosero Espín, Marco Vinicio</t>
        </is>
      </c>
      <c r="E45" s="17" t="inlineStr">
        <is>
          <t>ESTUDIO DE CARBONIZACIÓN DE MATERIALES LIGNOCELULÓSICOS NATIVOS DEL ECUADOR MEDIANTE PIRÓLISIS PARA LA OBTENCIÓN DE CARBÓN ACTIVADO PARA USO EN ELECTRODOS DE CAPACITORES</t>
        </is>
      </c>
      <c r="F45" s="17" t="inlineStr">
        <is>
          <t>03/04/2025</t>
        </is>
      </c>
      <c r="G45" s="17" t="inlineStr">
        <is>
          <t>21470517V</t>
        </is>
      </c>
      <c r="H45" s="17" t="inlineStr">
        <is>
          <t>Codirector de tesis</t>
        </is>
      </c>
      <c r="I45" s="17" t="inlineStr">
        <is>
          <t>B151</t>
        </is>
      </c>
      <c r="J45" s="17" t="inlineStr">
        <is>
          <t>Ingeniería Química</t>
        </is>
      </c>
      <c r="K45" s="18" t="n">
        <v>0.3333333333333333</v>
      </c>
      <c r="L45" s="17" t="inlineStr">
        <is>
          <t>B151</t>
        </is>
      </c>
      <c r="M45" s="18" t="n">
        <v>2024</v>
      </c>
      <c r="N45" s="17" t="inlineStr">
        <is>
          <t>10.09</t>
        </is>
      </c>
      <c r="O45" s="18" t="inlineStr">
        <is>
          <t>65</t>
        </is>
      </c>
      <c r="P45" s="17" t="inlineStr"/>
      <c r="Q45" s="17" t="inlineStr"/>
      <c r="R45" s="17" t="n">
        <v>35</v>
      </c>
      <c r="S45" s="17" t="n">
        <v>0.1166666666666667</v>
      </c>
      <c r="T45" s="17" t="n">
        <v>0.2166666666666666</v>
      </c>
      <c r="U45" s="17" t="n">
        <v>0</v>
      </c>
    </row>
    <row r="46">
      <c r="A46" s="17" t="inlineStr">
        <is>
          <t>B151</t>
        </is>
      </c>
      <c r="B46" s="17" t="inlineStr">
        <is>
          <t>Ingeniería Química</t>
        </is>
      </c>
      <c r="C46" s="17" t="inlineStr">
        <is>
          <t>DOCTORADO EN INGENIERÍA QUÍMICA</t>
        </is>
      </c>
      <c r="D46" s="17" t="inlineStr">
        <is>
          <t>Berkane , Imene</t>
        </is>
      </c>
      <c r="E46" s="17" t="inlineStr">
        <is>
          <t>Technologies for plastic recycling</t>
        </is>
      </c>
      <c r="F46" s="17" t="inlineStr">
        <is>
          <t>23/01/2025</t>
        </is>
      </c>
      <c r="G46" s="17" t="inlineStr">
        <is>
          <t>48352073R</t>
        </is>
      </c>
      <c r="H46" s="17" t="inlineStr">
        <is>
          <t>Codirector de tesis</t>
        </is>
      </c>
      <c r="I46" s="17" t="inlineStr">
        <is>
          <t>B151</t>
        </is>
      </c>
      <c r="J46" s="17" t="inlineStr">
        <is>
          <t>Ingeniería Química</t>
        </is>
      </c>
      <c r="K46" s="18" t="n">
        <v>0.5</v>
      </c>
      <c r="L46" s="17" t="inlineStr">
        <is>
          <t>B151</t>
        </is>
      </c>
      <c r="M46" s="18" t="n">
        <v>2024</v>
      </c>
      <c r="N46" s="17" t="inlineStr">
        <is>
          <t>10.09</t>
        </is>
      </c>
      <c r="O46" s="18" t="inlineStr">
        <is>
          <t>65</t>
        </is>
      </c>
      <c r="P46" s="17" t="inlineStr"/>
      <c r="Q46" s="17" t="inlineStr"/>
      <c r="R46" s="17" t="n">
        <v>35</v>
      </c>
      <c r="S46" s="17" t="n">
        <v>0.175</v>
      </c>
      <c r="T46" s="17" t="n">
        <v>0.325</v>
      </c>
      <c r="U46" s="17" t="n">
        <v>0</v>
      </c>
    </row>
    <row r="47">
      <c r="A47" s="17" t="inlineStr">
        <is>
          <t>B151</t>
        </is>
      </c>
      <c r="B47" s="17" t="inlineStr">
        <is>
          <t>Ingeniería Química</t>
        </is>
      </c>
      <c r="C47" s="17" t="inlineStr">
        <is>
          <t>DOCTORADO EN INGENIERÍA QUÍMICA</t>
        </is>
      </c>
      <c r="D47" s="17" t="inlineStr">
        <is>
          <t>Berkane , Imene</t>
        </is>
      </c>
      <c r="E47" s="17" t="inlineStr">
        <is>
          <t>Technologies for plastic recycling</t>
        </is>
      </c>
      <c r="F47" s="17" t="inlineStr">
        <is>
          <t>23/01/2025</t>
        </is>
      </c>
      <c r="G47" s="17" t="inlineStr">
        <is>
          <t>73768475T</t>
        </is>
      </c>
      <c r="H47" s="17" t="inlineStr">
        <is>
          <t>Codirector de tesis</t>
        </is>
      </c>
      <c r="I47" s="17" t="inlineStr">
        <is>
          <t>B151</t>
        </is>
      </c>
      <c r="J47" s="17" t="inlineStr">
        <is>
          <t>Ingeniería Química</t>
        </is>
      </c>
      <c r="K47" s="18" t="n">
        <v>0.5</v>
      </c>
      <c r="L47" s="17" t="inlineStr">
        <is>
          <t>B151</t>
        </is>
      </c>
      <c r="M47" s="18" t="n">
        <v>2024</v>
      </c>
      <c r="N47" s="17" t="inlineStr">
        <is>
          <t>10.09</t>
        </is>
      </c>
      <c r="O47" s="18" t="inlineStr">
        <is>
          <t>55</t>
        </is>
      </c>
      <c r="P47" s="17" t="inlineStr">
        <is>
          <t>10.05</t>
        </is>
      </c>
      <c r="Q47" s="17" t="inlineStr">
        <is>
          <t>10</t>
        </is>
      </c>
      <c r="R47" s="17" t="n">
        <v>35</v>
      </c>
      <c r="S47" s="17" t="n">
        <v>0.175</v>
      </c>
      <c r="T47" s="17" t="n">
        <v>0.275</v>
      </c>
      <c r="U47" s="17" t="n">
        <v>0.05</v>
      </c>
    </row>
    <row r="48">
      <c r="A48" s="17" t="inlineStr">
        <is>
          <t>U020</t>
        </is>
      </c>
      <c r="B48" s="17" t="inlineStr">
        <is>
          <t>Instituto Universitario Agua y Ciencias Ambientales (10.05)</t>
        </is>
      </c>
      <c r="C48" s="17" t="inlineStr">
        <is>
          <t>DOCTORADO EN AGUA Y DESARROLLO SOSTENIBLE</t>
        </is>
      </c>
      <c r="D48" s="17" t="inlineStr">
        <is>
          <t>Córdova de Horta, Daniela</t>
        </is>
      </c>
      <c r="E48" s="17" t="inlineStr">
        <is>
          <t>Simulación dinámica de inundaciones compuestas. Caso de estudio: Malecón de la Habana, Cuba.</t>
        </is>
      </c>
      <c r="F48" s="17" t="inlineStr">
        <is>
          <t>26/09/2025</t>
        </is>
      </c>
      <c r="G48" s="17" t="inlineStr">
        <is>
          <t>73768475T</t>
        </is>
      </c>
      <c r="H48" s="17" t="inlineStr">
        <is>
          <t>Codirector de tesis</t>
        </is>
      </c>
      <c r="I48" s="17" t="inlineStr">
        <is>
          <t>B151</t>
        </is>
      </c>
      <c r="J48" s="17" t="inlineStr">
        <is>
          <t>Ingeniería Química</t>
        </is>
      </c>
      <c r="K48" s="18" t="n">
        <v>0.3333333333333333</v>
      </c>
      <c r="L48" s="17" t="inlineStr">
        <is>
          <t>B151</t>
        </is>
      </c>
      <c r="M48" s="18" t="n">
        <v>2024</v>
      </c>
      <c r="N48" s="17" t="inlineStr">
        <is>
          <t>10.09</t>
        </is>
      </c>
      <c r="O48" s="18" t="inlineStr">
        <is>
          <t>55</t>
        </is>
      </c>
      <c r="P48" s="17" t="inlineStr">
        <is>
          <t>10.05</t>
        </is>
      </c>
      <c r="Q48" s="17" t="inlineStr">
        <is>
          <t>10</t>
        </is>
      </c>
      <c r="R48" s="17" t="n">
        <v>35</v>
      </c>
      <c r="S48" s="17" t="n">
        <v>0.1166666666666667</v>
      </c>
      <c r="T48" s="17" t="n">
        <v>0.1833333333333333</v>
      </c>
      <c r="U48" s="17" t="n">
        <v>0.03333333333333333</v>
      </c>
    </row>
    <row r="49">
      <c r="A49" s="17" t="inlineStr">
        <is>
          <t>U040</t>
        </is>
      </c>
      <c r="B49" s="17" t="inlineStr">
        <is>
          <t>I.U de Ingeniería de los Procesos Químicos(10.09)</t>
        </is>
      </c>
      <c r="C49" s="17" t="inlineStr">
        <is>
          <t>DOCTORADO EN INGENIERÍA QUÍMICA</t>
        </is>
      </c>
      <c r="D49" s="17" t="inlineStr">
        <is>
          <t>GARCIA CORRECHER, RUBEN</t>
        </is>
      </c>
      <c r="E49" s="17" t="inlineStr">
        <is>
          <t>Carbon-Encapsulated Iron Nanoparticles from Biomass: Synthesis and Applications</t>
        </is>
      </c>
      <c r="F49" s="17" t="inlineStr">
        <is>
          <t>28/02/2025</t>
        </is>
      </c>
      <c r="G49" s="17" t="inlineStr">
        <is>
          <t>48352073R</t>
        </is>
      </c>
      <c r="H49" s="17" t="inlineStr">
        <is>
          <t>Codirector de tesis</t>
        </is>
      </c>
      <c r="I49" s="17" t="inlineStr">
        <is>
          <t>B151</t>
        </is>
      </c>
      <c r="J49" s="17" t="inlineStr">
        <is>
          <t>Ingeniería Química</t>
        </is>
      </c>
      <c r="K49" s="18" t="n">
        <v>0.5</v>
      </c>
      <c r="L49" s="17" t="inlineStr">
        <is>
          <t>B151</t>
        </is>
      </c>
      <c r="M49" s="18" t="n">
        <v>2024</v>
      </c>
      <c r="N49" s="17" t="inlineStr">
        <is>
          <t>10.09</t>
        </is>
      </c>
      <c r="O49" s="18" t="inlineStr">
        <is>
          <t>65</t>
        </is>
      </c>
      <c r="P49" s="17" t="inlineStr"/>
      <c r="Q49" s="17" t="inlineStr"/>
      <c r="R49" s="17" t="n">
        <v>35</v>
      </c>
      <c r="S49" s="17" t="n">
        <v>0.175</v>
      </c>
      <c r="T49" s="17" t="n">
        <v>0.325</v>
      </c>
      <c r="U49" s="17" t="n">
        <v>0</v>
      </c>
    </row>
    <row r="50">
      <c r="A50" s="17" t="inlineStr">
        <is>
          <t>U040</t>
        </is>
      </c>
      <c r="B50" s="17" t="inlineStr">
        <is>
          <t>I.U de Ingeniería de los Procesos Químicos(10.09)</t>
        </is>
      </c>
      <c r="C50" s="17" t="inlineStr">
        <is>
          <t>DOCTORADO EN INGENIERÍA QUÍMICA</t>
        </is>
      </c>
      <c r="D50" s="17" t="inlineStr">
        <is>
          <t>GARCIA CORRECHER, RUBEN</t>
        </is>
      </c>
      <c r="E50" s="17" t="inlineStr">
        <is>
          <t>Carbon-Encapsulated Iron Nanoparticles from Biomass: Synthesis and Applications</t>
        </is>
      </c>
      <c r="F50" s="17" t="inlineStr">
        <is>
          <t>28/02/2025</t>
        </is>
      </c>
      <c r="G50" s="17" t="inlineStr">
        <is>
          <t>73768475T</t>
        </is>
      </c>
      <c r="H50" s="17" t="inlineStr">
        <is>
          <t>Codirector de tesis</t>
        </is>
      </c>
      <c r="I50" s="17" t="inlineStr">
        <is>
          <t>B151</t>
        </is>
      </c>
      <c r="J50" s="17" t="inlineStr">
        <is>
          <t>Ingeniería Química</t>
        </is>
      </c>
      <c r="K50" s="18" t="n">
        <v>0.5</v>
      </c>
      <c r="L50" s="17" t="inlineStr">
        <is>
          <t>B151</t>
        </is>
      </c>
      <c r="M50" s="18" t="n">
        <v>2024</v>
      </c>
      <c r="N50" s="17" t="inlineStr">
        <is>
          <t>10.09</t>
        </is>
      </c>
      <c r="O50" s="18" t="inlineStr">
        <is>
          <t>55</t>
        </is>
      </c>
      <c r="P50" s="17" t="inlineStr">
        <is>
          <t>10.05</t>
        </is>
      </c>
      <c r="Q50" s="17" t="inlineStr">
        <is>
          <t>10</t>
        </is>
      </c>
      <c r="R50" s="17" t="n">
        <v>35</v>
      </c>
      <c r="S50" s="17" t="n">
        <v>0.175</v>
      </c>
      <c r="T50" s="17" t="n">
        <v>0.275</v>
      </c>
      <c r="U50" s="17" t="n">
        <v>0.05</v>
      </c>
    </row>
    <row r="51">
      <c r="A51" s="17" t="inlineStr">
        <is>
          <t>B151</t>
        </is>
      </c>
      <c r="B51" s="17" t="inlineStr">
        <is>
          <t>Ingeniería Química</t>
        </is>
      </c>
      <c r="C51" s="17" t="inlineStr">
        <is>
          <t>DOCTORADO EN INGENIERÍA QUÍMICA</t>
        </is>
      </c>
      <c r="D51" s="17" t="inlineStr">
        <is>
          <t>Tobarra Moroño, Daniel</t>
        </is>
      </c>
      <c r="E51" s="17" t="inlineStr">
        <is>
          <t>CONTRIBUCION Y EVOLUCION DE LAS FUENTES DE MATERIAL PARTICULADO (PM10) EN EL PUERTO DE ALICANTE DURANTE EL PERIDO 2017-2023</t>
        </is>
      </c>
      <c r="F51" s="17" t="inlineStr">
        <is>
          <t>15/07/2025</t>
        </is>
      </c>
      <c r="G51" s="17" t="inlineStr">
        <is>
          <t>21444613B</t>
        </is>
      </c>
      <c r="H51" s="17" t="inlineStr">
        <is>
          <t>Codirector de tesis</t>
        </is>
      </c>
      <c r="I51" s="17" t="inlineStr">
        <is>
          <t>B151</t>
        </is>
      </c>
      <c r="J51" s="17" t="inlineStr">
        <is>
          <t>Ingeniería Química</t>
        </is>
      </c>
      <c r="K51" s="18" t="n">
        <v>0.5</v>
      </c>
      <c r="L51" s="17" t="inlineStr">
        <is>
          <t>B151</t>
        </is>
      </c>
      <c r="M51" s="18" t="n">
        <v>2024</v>
      </c>
      <c r="N51" s="17" t="inlineStr">
        <is>
          <t>10.05</t>
        </is>
      </c>
      <c r="O51" s="18" t="inlineStr">
        <is>
          <t>20</t>
        </is>
      </c>
      <c r="P51" s="17" t="inlineStr">
        <is>
          <t>10.09</t>
        </is>
      </c>
      <c r="Q51" s="17" t="inlineStr">
        <is>
          <t>40</t>
        </is>
      </c>
      <c r="R51" s="17" t="n">
        <v>40</v>
      </c>
      <c r="S51" s="17" t="n">
        <v>0.2</v>
      </c>
      <c r="T51" s="17" t="n">
        <v>0.1</v>
      </c>
      <c r="U51" s="17" t="n">
        <v>0.2</v>
      </c>
    </row>
    <row r="52">
      <c r="A52" s="25" t="n"/>
      <c r="B52" s="25" t="n"/>
      <c r="C52" s="25" t="n"/>
      <c r="D52" s="25" t="n"/>
      <c r="E52" s="25" t="n"/>
      <c r="F52" s="25" t="n"/>
      <c r="G52" s="25" t="n"/>
      <c r="H52" s="25" t="n"/>
      <c r="I52" s="25" t="n"/>
      <c r="J52" s="25" t="n"/>
      <c r="K52" s="25" t="n"/>
      <c r="L52" s="26" t="n"/>
      <c r="M52" s="25" t="n"/>
      <c r="N52" s="26" t="n"/>
      <c r="O52" s="25" t="n"/>
      <c r="P52" s="26" t="n"/>
      <c r="Q52" s="25" t="n"/>
      <c r="R52" s="25" t="n"/>
      <c r="S52" s="25" t="n"/>
      <c r="T52" s="25" t="n"/>
      <c r="U52" s="27">
        <f>SUM(U2:U11,T12:T50,U51)</f>
        <v/>
      </c>
    </row>
  </sheetData>
  <autoFilter ref="A1:V1"/>
  <printOptions horizontalCentered="1"/>
  <pageMargins left="0.1968503937007874" right="0.1968503937007874" top="0.3937007874015748" bottom="0.3937007874015748" header="0.7874015748031497" footer="0"/>
  <pageSetup orientation="landscape" paperSize="9" scale="92" fitToHeight="22" fitToWidth="2"/>
</worksheet>
</file>

<file path=xl/worksheets/sheet2.xml><?xml version="1.0" encoding="utf-8"?>
<worksheet xmlns="http://schemas.openxmlformats.org/spreadsheetml/2006/main">
  <sheetPr>
    <outlinePr summaryBelow="1" summaryRight="1"/>
    <pageSetUpPr fitToPage="1"/>
  </sheetPr>
  <dimension ref="A1:T26"/>
  <sheetViews>
    <sheetView zoomScaleNormal="100" workbookViewId="0">
      <selection activeCell="Q26" sqref="Q26:R26"/>
    </sheetView>
  </sheetViews>
  <sheetFormatPr baseColWidth="10" defaultColWidth="11.42578125" defaultRowHeight="12.75"/>
  <cols>
    <col width="10.5703125" bestFit="1" customWidth="1" style="10" min="1" max="1"/>
    <col width="48.28515625" bestFit="1" customWidth="1" style="10" min="2" max="2"/>
    <col width="14.5703125" bestFit="1" customWidth="1" style="10" min="3" max="3"/>
    <col width="3.28515625" bestFit="1" customWidth="1" style="10" min="4" max="9"/>
    <col width="13.140625" bestFit="1" customWidth="1" style="10" min="10" max="10"/>
    <col width="5.28515625" bestFit="1" customWidth="1" style="10" min="11" max="11"/>
    <col width="5.7109375" bestFit="1" customWidth="1" style="10" min="12" max="12"/>
    <col width="5.7109375" bestFit="1" customWidth="1" style="11" min="13" max="14"/>
    <col width="5.7109375" bestFit="1" customWidth="1" style="10" min="15" max="15"/>
    <col width="5.7109375" bestFit="1" customWidth="1" style="11" min="16" max="16"/>
    <col width="5.7109375" bestFit="1" customWidth="1" style="10" min="17" max="19"/>
    <col width="11.42578125" customWidth="1" style="10" min="20" max="16384"/>
  </cols>
  <sheetData>
    <row r="1" ht="65.09999999999999" customFormat="1" customHeight="1" s="9">
      <c r="A1" s="12" t="inlineStr">
        <is>
          <t>NIF</t>
        </is>
      </c>
      <c r="B1" s="12" t="inlineStr">
        <is>
          <t>NOMBRE_COMPLETO</t>
        </is>
      </c>
      <c r="C1" s="12" t="inlineStr">
        <is>
          <t>TIPO_SEXENIO</t>
        </is>
      </c>
      <c r="D1" s="13" t="inlineStr">
        <is>
          <t>2020</t>
        </is>
      </c>
      <c r="E1" s="13" t="inlineStr">
        <is>
          <t>2021</t>
        </is>
      </c>
      <c r="F1" s="13" t="inlineStr">
        <is>
          <t>2022</t>
        </is>
      </c>
      <c r="G1" s="13" t="inlineStr">
        <is>
          <t>2023</t>
        </is>
      </c>
      <c r="H1" s="13" t="inlineStr">
        <is>
          <t>2024</t>
        </is>
      </c>
      <c r="I1" s="13" t="inlineStr">
        <is>
          <t>2025</t>
        </is>
      </c>
      <c r="J1" s="12" t="inlineStr">
        <is>
          <t>Total general</t>
        </is>
      </c>
      <c r="K1" s="14" t="inlineStr">
        <is>
          <t>COD DEP</t>
        </is>
      </c>
      <c r="L1" s="7" t="inlineStr">
        <is>
          <t>INS
1</t>
        </is>
      </c>
      <c r="M1" s="7" t="inlineStr">
        <is>
          <t>DED
INS 1</t>
        </is>
      </c>
      <c r="N1" s="7" t="inlineStr">
        <is>
          <t>INS
2</t>
        </is>
      </c>
      <c r="O1" s="7" t="inlineStr">
        <is>
          <t>DED
INS 2</t>
        </is>
      </c>
      <c r="P1" s="8" t="inlineStr">
        <is>
          <t>DED
DEP</t>
        </is>
      </c>
      <c r="Q1" s="8" t="inlineStr">
        <is>
          <t>SEX
INS 1</t>
        </is>
      </c>
      <c r="R1" s="8" t="inlineStr">
        <is>
          <t>SEX
INS 2</t>
        </is>
      </c>
      <c r="S1" s="8" t="inlineStr">
        <is>
          <t>SEX
DEP</t>
        </is>
      </c>
      <c r="T1" s="10" t="n"/>
    </row>
    <row r="2" ht="15" customHeight="1">
      <c r="A2" s="15" t="inlineStr">
        <is>
          <t>21399719J</t>
        </is>
      </c>
      <c r="B2" s="15" t="inlineStr">
        <is>
          <t>Gomis Yagües, Vicente R.</t>
        </is>
      </c>
      <c r="C2" s="15" t="inlineStr">
        <is>
          <t>FUNCIONARIO</t>
        </is>
      </c>
      <c r="D2" s="15" t="n"/>
      <c r="E2" s="15" t="n"/>
      <c r="F2" s="15" t="n">
        <v>1</v>
      </c>
      <c r="G2" s="15" t="n"/>
      <c r="H2" s="15" t="n"/>
      <c r="I2" s="15" t="n"/>
      <c r="J2" s="15" t="n">
        <v>1</v>
      </c>
      <c r="K2" s="15" t="inlineStr">
        <is>
          <t>B151</t>
        </is>
      </c>
      <c r="L2" s="16" t="inlineStr">
        <is>
          <t>10.09</t>
        </is>
      </c>
      <c r="M2" s="16" t="inlineStr">
        <is>
          <t>65</t>
        </is>
      </c>
      <c r="N2" s="16" t="inlineStr">
        <is>
          <t>10.05</t>
        </is>
      </c>
      <c r="O2" s="16" t="inlineStr">
        <is>
          <t>10</t>
        </is>
      </c>
      <c r="P2" s="44" t="n">
        <v>25</v>
      </c>
      <c r="Q2" s="44" t="n">
        <v>0.65</v>
      </c>
      <c r="R2" s="44" t="n">
        <v>0.1</v>
      </c>
      <c r="S2" s="44" t="n">
        <v>0.25</v>
      </c>
    </row>
    <row r="3" ht="15" customHeight="1">
      <c r="A3" s="15" t="inlineStr">
        <is>
          <t>21420512Z</t>
        </is>
      </c>
      <c r="B3" s="15" t="inlineStr">
        <is>
          <t>Gómez Siurana, María de los Desamparados</t>
        </is>
      </c>
      <c r="C3" s="15" t="inlineStr">
        <is>
          <t>FUNCIONARIO</t>
        </is>
      </c>
      <c r="D3" s="15" t="n"/>
      <c r="E3" s="15" t="n"/>
      <c r="F3" s="15" t="n"/>
      <c r="G3" s="15" t="n"/>
      <c r="H3" s="15" t="n">
        <v>1</v>
      </c>
      <c r="I3" s="15" t="n"/>
      <c r="J3" s="15" t="n">
        <v>1</v>
      </c>
      <c r="K3" s="15" t="inlineStr">
        <is>
          <t>B151</t>
        </is>
      </c>
      <c r="L3" s="16" t="inlineStr">
        <is>
          <t>10.09</t>
        </is>
      </c>
      <c r="M3" s="16" t="inlineStr">
        <is>
          <t>65</t>
        </is>
      </c>
      <c r="N3" s="16" t="inlineStr"/>
      <c r="O3" s="16" t="inlineStr"/>
      <c r="P3" s="44" t="n">
        <v>35</v>
      </c>
      <c r="Q3" s="44" t="n">
        <v>0.65</v>
      </c>
      <c r="R3" s="44" t="n">
        <v>0</v>
      </c>
      <c r="S3" s="44" t="n">
        <v>0.35</v>
      </c>
    </row>
    <row r="4" ht="15" customHeight="1">
      <c r="A4" s="15" t="inlineStr">
        <is>
          <t>21462400L</t>
        </is>
      </c>
      <c r="B4" s="15" t="inlineStr">
        <is>
          <t>Martín Gullón, Ignacio</t>
        </is>
      </c>
      <c r="C4" s="15" t="inlineStr">
        <is>
          <t>FUNCIONARIO</t>
        </is>
      </c>
      <c r="D4" s="15" t="n"/>
      <c r="E4" s="15" t="n"/>
      <c r="F4" s="15" t="n">
        <v>1</v>
      </c>
      <c r="G4" s="15" t="n"/>
      <c r="H4" s="15" t="n"/>
      <c r="I4" s="15" t="n"/>
      <c r="J4" s="15" t="n">
        <v>1</v>
      </c>
      <c r="K4" s="15" t="inlineStr">
        <is>
          <t>B151</t>
        </is>
      </c>
      <c r="L4" s="16" t="inlineStr">
        <is>
          <t>10.09</t>
        </is>
      </c>
      <c r="M4" s="16" t="inlineStr">
        <is>
          <t>65</t>
        </is>
      </c>
      <c r="N4" s="16" t="inlineStr"/>
      <c r="O4" s="16" t="inlineStr"/>
      <c r="P4" s="44" t="n">
        <v>35</v>
      </c>
      <c r="Q4" s="44" t="n">
        <v>0.65</v>
      </c>
      <c r="R4" s="44" t="n">
        <v>0</v>
      </c>
      <c r="S4" s="44" t="n">
        <v>0.35</v>
      </c>
    </row>
    <row r="5" ht="15" customHeight="1">
      <c r="A5" s="15" t="inlineStr">
        <is>
          <t>21470517V</t>
        </is>
      </c>
      <c r="B5" s="15" t="inlineStr">
        <is>
          <t>García Cortés, Ángela Nuria</t>
        </is>
      </c>
      <c r="C5" s="15" t="n">
        <v>6</v>
      </c>
      <c r="D5" s="15" t="n"/>
      <c r="E5" s="15" t="n"/>
      <c r="F5" s="15" t="n"/>
      <c r="G5" s="15" t="n"/>
      <c r="H5" s="15" t="n"/>
      <c r="I5" s="15" t="n">
        <v>1</v>
      </c>
      <c r="J5" s="15" t="n">
        <v>1</v>
      </c>
      <c r="K5" s="15" t="inlineStr">
        <is>
          <t>B151</t>
        </is>
      </c>
      <c r="L5" s="16" t="inlineStr">
        <is>
          <t>10.09</t>
        </is>
      </c>
      <c r="M5" s="16" t="inlineStr">
        <is>
          <t>65</t>
        </is>
      </c>
      <c r="N5" s="16" t="inlineStr"/>
      <c r="O5" s="16" t="inlineStr"/>
      <c r="P5" s="44" t="n">
        <v>35</v>
      </c>
      <c r="Q5" s="44" t="n">
        <v>0.65</v>
      </c>
      <c r="R5" s="44" t="n">
        <v>0</v>
      </c>
      <c r="S5" s="44" t="n">
        <v>0.35</v>
      </c>
    </row>
    <row r="6" ht="15" customHeight="1">
      <c r="A6" s="15" t="inlineStr">
        <is>
          <t>21477495A</t>
        </is>
      </c>
      <c r="B6" s="15" t="inlineStr">
        <is>
          <t>Caballero Suárez, José Antonio</t>
        </is>
      </c>
      <c r="C6" s="15" t="inlineStr">
        <is>
          <t>FUNCIONARIO</t>
        </is>
      </c>
      <c r="D6" s="15" t="n"/>
      <c r="E6" s="15" t="n"/>
      <c r="F6" s="15" t="n"/>
      <c r="G6" s="15" t="n">
        <v>1</v>
      </c>
      <c r="H6" s="15" t="n"/>
      <c r="I6" s="15" t="n"/>
      <c r="J6" s="15" t="n">
        <v>1</v>
      </c>
      <c r="K6" s="15" t="inlineStr">
        <is>
          <t>B151</t>
        </is>
      </c>
      <c r="L6" s="16" t="inlineStr">
        <is>
          <t>10.09</t>
        </is>
      </c>
      <c r="M6" s="16" t="inlineStr">
        <is>
          <t>65</t>
        </is>
      </c>
      <c r="N6" s="16" t="inlineStr"/>
      <c r="O6" s="16" t="inlineStr"/>
      <c r="P6" s="44" t="n">
        <v>35</v>
      </c>
      <c r="Q6" s="44" t="n">
        <v>0.65</v>
      </c>
      <c r="R6" s="44" t="n">
        <v>0</v>
      </c>
      <c r="S6" s="44" t="n">
        <v>0.35</v>
      </c>
    </row>
    <row r="7" ht="15" customHeight="1">
      <c r="A7" s="15" t="inlineStr">
        <is>
          <t>21482281M</t>
        </is>
      </c>
      <c r="B7" s="15" t="inlineStr">
        <is>
          <t>Fernández Torres, María José</t>
        </is>
      </c>
      <c r="C7" s="15" t="inlineStr">
        <is>
          <t>FUNCIONARIO</t>
        </is>
      </c>
      <c r="D7" s="15" t="n"/>
      <c r="E7" s="15" t="n"/>
      <c r="F7" s="15" t="n"/>
      <c r="G7" s="15" t="n"/>
      <c r="H7" s="15" t="n">
        <v>1</v>
      </c>
      <c r="I7" s="15" t="n"/>
      <c r="J7" s="15" t="n">
        <v>1</v>
      </c>
      <c r="K7" s="15" t="inlineStr">
        <is>
          <t>B151</t>
        </is>
      </c>
      <c r="L7" s="16" t="inlineStr">
        <is>
          <t>10.09</t>
        </is>
      </c>
      <c r="M7" s="16" t="inlineStr">
        <is>
          <t>65</t>
        </is>
      </c>
      <c r="N7" s="16" t="inlineStr"/>
      <c r="O7" s="16" t="inlineStr"/>
      <c r="P7" s="44" t="n">
        <v>35</v>
      </c>
      <c r="Q7" s="44" t="n">
        <v>0.65</v>
      </c>
      <c r="R7" s="44" t="n">
        <v>0</v>
      </c>
      <c r="S7" s="44" t="n">
        <v>0.35</v>
      </c>
    </row>
    <row r="8" ht="15" customHeight="1">
      <c r="A8" s="15" t="inlineStr">
        <is>
          <t>21488087S</t>
        </is>
      </c>
      <c r="B8" s="15" t="inlineStr">
        <is>
          <t>Labarta Reyes, Juan Antonio</t>
        </is>
      </c>
      <c r="C8" s="15" t="inlineStr">
        <is>
          <t>FUNCIONARIO</t>
        </is>
      </c>
      <c r="D8" s="15" t="n">
        <v>1</v>
      </c>
      <c r="E8" s="15" t="n"/>
      <c r="F8" s="15" t="n"/>
      <c r="G8" s="15" t="n"/>
      <c r="H8" s="15" t="n"/>
      <c r="I8" s="15" t="n"/>
      <c r="J8" s="15" t="n">
        <v>1</v>
      </c>
      <c r="K8" s="15" t="inlineStr">
        <is>
          <t>B151</t>
        </is>
      </c>
      <c r="L8" s="16" t="inlineStr">
        <is>
          <t>10.09</t>
        </is>
      </c>
      <c r="M8" s="16" t="inlineStr">
        <is>
          <t>65</t>
        </is>
      </c>
      <c r="N8" s="16" t="inlineStr"/>
      <c r="O8" s="16" t="inlineStr"/>
      <c r="P8" s="44" t="n">
        <v>35</v>
      </c>
      <c r="Q8" s="44" t="n">
        <v>0.65</v>
      </c>
      <c r="R8" s="44" t="n">
        <v>0</v>
      </c>
      <c r="S8" s="44" t="n">
        <v>0.35</v>
      </c>
    </row>
    <row r="9" ht="15" customHeight="1">
      <c r="A9" s="15" t="inlineStr">
        <is>
          <t>21489023P</t>
        </is>
      </c>
      <c r="B9" s="15" t="inlineStr">
        <is>
          <t>Olaya López, María del Mar</t>
        </is>
      </c>
      <c r="C9" s="15" t="inlineStr">
        <is>
          <t>FUNCIONARIO</t>
        </is>
      </c>
      <c r="D9" s="15" t="n"/>
      <c r="E9" s="15" t="n"/>
      <c r="F9" s="15" t="n"/>
      <c r="G9" s="15" t="n">
        <v>1</v>
      </c>
      <c r="H9" s="15" t="n"/>
      <c r="I9" s="15" t="n"/>
      <c r="J9" s="15" t="n">
        <v>1</v>
      </c>
      <c r="K9" s="15" t="inlineStr">
        <is>
          <t>B151</t>
        </is>
      </c>
      <c r="L9" s="16" t="inlineStr">
        <is>
          <t>10.09</t>
        </is>
      </c>
      <c r="M9" s="16" t="inlineStr">
        <is>
          <t>65</t>
        </is>
      </c>
      <c r="N9" s="16" t="inlineStr"/>
      <c r="O9" s="16" t="inlineStr"/>
      <c r="P9" s="44" t="n">
        <v>35</v>
      </c>
      <c r="Q9" s="44" t="n">
        <v>0.65</v>
      </c>
      <c r="R9" s="44" t="n">
        <v>0</v>
      </c>
      <c r="S9" s="44" t="n">
        <v>0.35</v>
      </c>
    </row>
    <row r="10" ht="15" customHeight="1">
      <c r="A10" s="15" t="inlineStr">
        <is>
          <t>21494722A</t>
        </is>
      </c>
      <c r="B10" s="15" t="inlineStr">
        <is>
          <t>García Quesada, Juan Carlos</t>
        </is>
      </c>
      <c r="C10" s="15" t="inlineStr">
        <is>
          <t>FUNCIONARIO</t>
        </is>
      </c>
      <c r="D10" s="15" t="n"/>
      <c r="E10" s="15" t="n"/>
      <c r="F10" s="15" t="n"/>
      <c r="G10" s="15" t="n"/>
      <c r="H10" s="15" t="n">
        <v>1</v>
      </c>
      <c r="I10" s="15" t="n"/>
      <c r="J10" s="15" t="n">
        <v>1</v>
      </c>
      <c r="K10" s="15" t="inlineStr">
        <is>
          <t>B151</t>
        </is>
      </c>
      <c r="L10" s="16" t="inlineStr">
        <is>
          <t>10.09</t>
        </is>
      </c>
      <c r="M10" s="16" t="inlineStr">
        <is>
          <t>65</t>
        </is>
      </c>
      <c r="N10" s="16" t="inlineStr"/>
      <c r="O10" s="16" t="inlineStr"/>
      <c r="P10" s="44" t="n">
        <v>35</v>
      </c>
      <c r="Q10" s="44" t="n">
        <v>0.65</v>
      </c>
      <c r="R10" s="44" t="n">
        <v>0</v>
      </c>
      <c r="S10" s="44" t="n">
        <v>0.35</v>
      </c>
    </row>
    <row r="11" ht="15" customHeight="1">
      <c r="A11" s="15" t="inlineStr">
        <is>
          <t>21496269D</t>
        </is>
      </c>
      <c r="B11" s="15" t="inlineStr">
        <is>
          <t>Saquete Ferrándiz, María Dolores</t>
        </is>
      </c>
      <c r="C11" s="15" t="inlineStr">
        <is>
          <t>FUNCIONARIO</t>
        </is>
      </c>
      <c r="D11" s="15" t="n"/>
      <c r="E11" s="15" t="n">
        <v>1</v>
      </c>
      <c r="F11" s="15" t="n"/>
      <c r="G11" s="15" t="n"/>
      <c r="H11" s="15" t="n"/>
      <c r="I11" s="15" t="n"/>
      <c r="J11" s="15" t="n">
        <v>1</v>
      </c>
      <c r="K11" s="15" t="inlineStr">
        <is>
          <t>B151</t>
        </is>
      </c>
      <c r="L11" s="16" t="inlineStr">
        <is>
          <t>10.09</t>
        </is>
      </c>
      <c r="M11" s="16" t="inlineStr">
        <is>
          <t>65</t>
        </is>
      </c>
      <c r="N11" s="16" t="inlineStr">
        <is>
          <t>10.05</t>
        </is>
      </c>
      <c r="O11" s="16" t="inlineStr">
        <is>
          <t>10</t>
        </is>
      </c>
      <c r="P11" s="44" t="n">
        <v>25</v>
      </c>
      <c r="Q11" s="44" t="n">
        <v>0.65</v>
      </c>
      <c r="R11" s="44" t="n">
        <v>0.1</v>
      </c>
      <c r="S11" s="44" t="n">
        <v>0.25</v>
      </c>
    </row>
    <row r="12" ht="15" customHeight="1">
      <c r="A12" s="15" t="inlineStr">
        <is>
          <t>21510779Y</t>
        </is>
      </c>
      <c r="B12" s="15" t="inlineStr">
        <is>
          <t>Salcedo Díaz, Raquel</t>
        </is>
      </c>
      <c r="C12" s="15" t="inlineStr">
        <is>
          <t>FUNCIONARIO</t>
        </is>
      </c>
      <c r="D12" s="15" t="n"/>
      <c r="E12" s="15" t="n">
        <v>1</v>
      </c>
      <c r="F12" s="15" t="n"/>
      <c r="G12" s="15" t="n"/>
      <c r="H12" s="15" t="n"/>
      <c r="I12" s="15" t="n"/>
      <c r="J12" s="15" t="n">
        <v>1</v>
      </c>
      <c r="K12" s="15" t="inlineStr">
        <is>
          <t>B151</t>
        </is>
      </c>
      <c r="L12" s="16" t="inlineStr">
        <is>
          <t>10.09</t>
        </is>
      </c>
      <c r="M12" s="16" t="inlineStr">
        <is>
          <t>65</t>
        </is>
      </c>
      <c r="N12" s="16" t="inlineStr"/>
      <c r="O12" s="16" t="inlineStr"/>
      <c r="P12" s="44" t="n">
        <v>35</v>
      </c>
      <c r="Q12" s="44" t="n">
        <v>0.65</v>
      </c>
      <c r="R12" s="44" t="n">
        <v>0</v>
      </c>
      <c r="S12" s="44" t="n">
        <v>0.35</v>
      </c>
    </row>
    <row r="13" ht="15" customHeight="1">
      <c r="A13" s="15" t="inlineStr">
        <is>
          <t>21511293Z</t>
        </is>
      </c>
      <c r="B13" s="15" t="inlineStr">
        <is>
          <t>Ruiz Femenia, José Rubén</t>
        </is>
      </c>
      <c r="C13" s="28" t="inlineStr">
        <is>
          <t>FUNCIONARIO</t>
        </is>
      </c>
      <c r="D13" s="15" t="n">
        <v>1</v>
      </c>
      <c r="E13" s="15" t="n"/>
      <c r="F13" s="15" t="n"/>
      <c r="G13" s="15" t="n"/>
      <c r="H13" s="15" t="n"/>
      <c r="I13" s="15" t="n"/>
      <c r="J13" s="15" t="n">
        <v>1</v>
      </c>
      <c r="K13" s="15" t="inlineStr">
        <is>
          <t>B151</t>
        </is>
      </c>
      <c r="L13" s="16" t="inlineStr">
        <is>
          <t>10.09</t>
        </is>
      </c>
      <c r="M13" s="16" t="inlineStr">
        <is>
          <t>65</t>
        </is>
      </c>
      <c r="N13" s="16" t="inlineStr"/>
      <c r="O13" s="16" t="inlineStr"/>
      <c r="P13" s="44" t="n">
        <v>35</v>
      </c>
      <c r="Q13" s="44" t="n">
        <v>0.65</v>
      </c>
      <c r="R13" s="44" t="n">
        <v>0</v>
      </c>
      <c r="S13" s="44" t="n">
        <v>0.35</v>
      </c>
    </row>
    <row r="14" ht="15" customHeight="1">
      <c r="A14" s="15" t="inlineStr">
        <is>
          <t>21513988H</t>
        </is>
      </c>
      <c r="B14" s="15" t="inlineStr">
        <is>
          <t>Molto Berenguer, Julia</t>
        </is>
      </c>
      <c r="C14" s="15" t="inlineStr">
        <is>
          <t>FUNCIONARIO</t>
        </is>
      </c>
      <c r="D14" s="15" t="n"/>
      <c r="E14" s="15" t="n"/>
      <c r="F14" s="15" t="n"/>
      <c r="G14" s="15" t="n">
        <v>1</v>
      </c>
      <c r="H14" s="15" t="n"/>
      <c r="I14" s="15" t="n"/>
      <c r="J14" s="15" t="n">
        <v>1</v>
      </c>
      <c r="K14" s="15" t="inlineStr">
        <is>
          <t>B151</t>
        </is>
      </c>
      <c r="L14" s="16" t="inlineStr">
        <is>
          <t>10.09</t>
        </is>
      </c>
      <c r="M14" s="16" t="inlineStr">
        <is>
          <t>65</t>
        </is>
      </c>
      <c r="N14" s="16" t="inlineStr">
        <is>
          <t>10.05</t>
        </is>
      </c>
      <c r="O14" s="16" t="inlineStr">
        <is>
          <t>10</t>
        </is>
      </c>
      <c r="P14" s="44" t="n">
        <v>25</v>
      </c>
      <c r="Q14" s="44" t="n">
        <v>0.65</v>
      </c>
      <c r="R14" s="44" t="n">
        <v>0.1</v>
      </c>
      <c r="S14" s="44" t="n">
        <v>0.25</v>
      </c>
    </row>
    <row r="15" ht="15" customHeight="1">
      <c r="A15" s="15" t="inlineStr">
        <is>
          <t>22003811X</t>
        </is>
      </c>
      <c r="B15" s="15" t="inlineStr">
        <is>
          <t>Beltrán Rico, María Isabel</t>
        </is>
      </c>
      <c r="C15" s="15" t="inlineStr">
        <is>
          <t>FUNCIONARIO</t>
        </is>
      </c>
      <c r="D15" s="15" t="n"/>
      <c r="E15" s="15" t="n"/>
      <c r="F15" s="15" t="n"/>
      <c r="G15" s="15" t="n"/>
      <c r="H15" s="15" t="n">
        <v>1</v>
      </c>
      <c r="I15" s="15" t="n"/>
      <c r="J15" s="15" t="n">
        <v>1</v>
      </c>
      <c r="K15" s="15" t="inlineStr">
        <is>
          <t>B151</t>
        </is>
      </c>
      <c r="L15" s="16" t="inlineStr">
        <is>
          <t>10.09</t>
        </is>
      </c>
      <c r="M15" s="16" t="inlineStr">
        <is>
          <t>65</t>
        </is>
      </c>
      <c r="N15" s="16" t="inlineStr"/>
      <c r="O15" s="16" t="inlineStr"/>
      <c r="P15" s="44" t="n">
        <v>35</v>
      </c>
      <c r="Q15" s="44" t="n">
        <v>0.65</v>
      </c>
      <c r="R15" s="44" t="n">
        <v>0</v>
      </c>
      <c r="S15" s="44" t="n">
        <v>0.35</v>
      </c>
    </row>
    <row r="16" ht="15" customHeight="1">
      <c r="A16" s="15" t="inlineStr">
        <is>
          <t>22006135B</t>
        </is>
      </c>
      <c r="B16" s="15" t="inlineStr">
        <is>
          <t>Conesa Ferrer, Juan Antonio</t>
        </is>
      </c>
      <c r="C16" s="15" t="inlineStr">
        <is>
          <t>FUNCIONARIO</t>
        </is>
      </c>
      <c r="D16" s="15" t="n"/>
      <c r="E16" s="15" t="n"/>
      <c r="F16" s="15" t="n"/>
      <c r="G16" s="15" t="n">
        <v>1</v>
      </c>
      <c r="H16" s="15" t="n"/>
      <c r="I16" s="15" t="n"/>
      <c r="J16" s="15" t="n">
        <v>1</v>
      </c>
      <c r="K16" s="15" t="inlineStr">
        <is>
          <t>B151</t>
        </is>
      </c>
      <c r="L16" s="16" t="inlineStr">
        <is>
          <t>10.09</t>
        </is>
      </c>
      <c r="M16" s="16" t="inlineStr">
        <is>
          <t>65</t>
        </is>
      </c>
      <c r="N16" s="16" t="inlineStr"/>
      <c r="O16" s="16" t="inlineStr"/>
      <c r="P16" s="44" t="n">
        <v>35</v>
      </c>
      <c r="Q16" s="44" t="n">
        <v>0.65</v>
      </c>
      <c r="R16" s="44" t="n">
        <v>0</v>
      </c>
      <c r="S16" s="44" t="n">
        <v>0.35</v>
      </c>
    </row>
    <row r="17" ht="15" customHeight="1">
      <c r="A17" s="15" t="inlineStr">
        <is>
          <t>33499533X</t>
        </is>
      </c>
      <c r="B17" s="15" t="inlineStr">
        <is>
          <t>Javaloyes Antón, Juan</t>
        </is>
      </c>
      <c r="C17" s="15" t="inlineStr">
        <is>
          <t>NO FUNCIONARIO</t>
        </is>
      </c>
      <c r="D17" s="15" t="n"/>
      <c r="E17" s="15" t="n"/>
      <c r="F17" s="15" t="n"/>
      <c r="G17" s="15" t="n"/>
      <c r="H17" s="15" t="n"/>
      <c r="I17" s="15" t="n">
        <v>1</v>
      </c>
      <c r="J17" s="15" t="n">
        <v>1</v>
      </c>
      <c r="K17" s="15" t="inlineStr">
        <is>
          <t>B149</t>
        </is>
      </c>
      <c r="L17" s="16" t="inlineStr">
        <is>
          <t>10.09</t>
        </is>
      </c>
      <c r="M17" s="16" t="inlineStr">
        <is>
          <t>40</t>
        </is>
      </c>
      <c r="N17" s="16" t="inlineStr"/>
      <c r="O17" s="16" t="inlineStr"/>
      <c r="P17" s="44" t="n">
        <v>60</v>
      </c>
      <c r="Q17" s="44" t="n">
        <v>0.4</v>
      </c>
      <c r="R17" s="44" t="n">
        <v>0</v>
      </c>
      <c r="S17" s="44" t="n">
        <v>0.6</v>
      </c>
    </row>
    <row r="18" ht="15" customHeight="1">
      <c r="A18" s="15" t="inlineStr">
        <is>
          <t>48317347M</t>
        </is>
      </c>
      <c r="B18" s="15" t="inlineStr">
        <is>
          <t>Gómez-Rico Núñez de Arenas, María Francisca</t>
        </is>
      </c>
      <c r="C18" s="15" t="inlineStr">
        <is>
          <t>FUNCIONARIO</t>
        </is>
      </c>
      <c r="D18" s="15" t="n">
        <v>1</v>
      </c>
      <c r="E18" s="15" t="n"/>
      <c r="F18" s="15" t="n"/>
      <c r="G18" s="15" t="n"/>
      <c r="H18" s="15" t="n"/>
      <c r="I18" s="15" t="n"/>
      <c r="J18" s="15" t="n">
        <v>1</v>
      </c>
      <c r="K18" s="15" t="inlineStr">
        <is>
          <t>B151</t>
        </is>
      </c>
      <c r="L18" s="16" t="inlineStr">
        <is>
          <t>10.09</t>
        </is>
      </c>
      <c r="M18" s="16" t="inlineStr">
        <is>
          <t>65</t>
        </is>
      </c>
      <c r="N18" s="16" t="inlineStr">
        <is>
          <t>10.05</t>
        </is>
      </c>
      <c r="O18" s="16" t="inlineStr">
        <is>
          <t>10</t>
        </is>
      </c>
      <c r="P18" s="44" t="n">
        <v>25</v>
      </c>
      <c r="Q18" s="44" t="n">
        <v>0.65</v>
      </c>
      <c r="R18" s="44" t="n">
        <v>0.1</v>
      </c>
      <c r="S18" s="44" t="n">
        <v>0.25</v>
      </c>
    </row>
    <row r="19" ht="15" customHeight="1">
      <c r="A19" s="15" t="inlineStr">
        <is>
          <t>48344784A</t>
        </is>
      </c>
      <c r="B19" s="15" t="inlineStr">
        <is>
          <t>Font Escamilla, Alicia</t>
        </is>
      </c>
      <c r="C19" s="15" t="inlineStr">
        <is>
          <t>FUNCIONARIO</t>
        </is>
      </c>
      <c r="D19" s="15" t="n"/>
      <c r="E19" s="15" t="n"/>
      <c r="F19" s="15" t="n">
        <v>1</v>
      </c>
      <c r="G19" s="15" t="n"/>
      <c r="H19" s="15" t="n"/>
      <c r="I19" s="15" t="n"/>
      <c r="J19" s="15" t="n">
        <v>1</v>
      </c>
      <c r="K19" s="15" t="inlineStr">
        <is>
          <t>B151</t>
        </is>
      </c>
      <c r="L19" s="16" t="inlineStr">
        <is>
          <t>10.09</t>
        </is>
      </c>
      <c r="M19" s="16" t="inlineStr">
        <is>
          <t>65</t>
        </is>
      </c>
      <c r="N19" s="16" t="inlineStr"/>
      <c r="O19" s="16" t="inlineStr"/>
      <c r="P19" s="44" t="n">
        <v>35</v>
      </c>
      <c r="Q19" s="44" t="n">
        <v>0.65</v>
      </c>
      <c r="R19" s="44" t="n">
        <v>0</v>
      </c>
      <c r="S19" s="44" t="n">
        <v>0.35</v>
      </c>
    </row>
    <row r="20" ht="15" customHeight="1">
      <c r="A20" s="15" t="inlineStr">
        <is>
          <t>48352073R</t>
        </is>
      </c>
      <c r="B20" s="15" t="inlineStr">
        <is>
          <t>Aracil Sáez, Ignacio</t>
        </is>
      </c>
      <c r="C20" s="15" t="inlineStr">
        <is>
          <t>FUNCIONARIO</t>
        </is>
      </c>
      <c r="D20" s="15" t="n"/>
      <c r="E20" s="15" t="n">
        <v>1</v>
      </c>
      <c r="F20" s="15" t="n"/>
      <c r="G20" s="15" t="n"/>
      <c r="H20" s="15" t="n"/>
      <c r="I20" s="15" t="n"/>
      <c r="J20" s="15" t="n">
        <v>1</v>
      </c>
      <c r="K20" s="15" t="inlineStr">
        <is>
          <t>B151</t>
        </is>
      </c>
      <c r="L20" s="16" t="inlineStr">
        <is>
          <t>10.09</t>
        </is>
      </c>
      <c r="M20" s="16" t="inlineStr">
        <is>
          <t>65</t>
        </is>
      </c>
      <c r="N20" s="16" t="inlineStr"/>
      <c r="O20" s="16" t="inlineStr"/>
      <c r="P20" s="44" t="n">
        <v>35</v>
      </c>
      <c r="Q20" s="44" t="n">
        <v>0.65</v>
      </c>
      <c r="R20" s="44" t="n">
        <v>0</v>
      </c>
      <c r="S20" s="44" t="n">
        <v>0.35</v>
      </c>
    </row>
    <row r="21" ht="15" customHeight="1">
      <c r="A21" s="15" t="inlineStr">
        <is>
          <t>73768475T</t>
        </is>
      </c>
      <c r="B21" s="15" t="inlineStr">
        <is>
          <t>Fullana Font, Andrés</t>
        </is>
      </c>
      <c r="C21" s="15" t="inlineStr">
        <is>
          <t>FUNCIONARIO</t>
        </is>
      </c>
      <c r="D21" s="15" t="n"/>
      <c r="E21" s="15" t="n"/>
      <c r="F21" s="15" t="n">
        <v>1</v>
      </c>
      <c r="G21" s="15" t="n"/>
      <c r="H21" s="15" t="n"/>
      <c r="I21" s="15" t="n"/>
      <c r="J21" s="15" t="n">
        <v>1</v>
      </c>
      <c r="K21" s="15" t="inlineStr">
        <is>
          <t>B151</t>
        </is>
      </c>
      <c r="L21" s="16" t="inlineStr">
        <is>
          <t>10.09</t>
        </is>
      </c>
      <c r="M21" s="16" t="inlineStr">
        <is>
          <t>55</t>
        </is>
      </c>
      <c r="N21" s="16" t="inlineStr">
        <is>
          <t>10.05</t>
        </is>
      </c>
      <c r="O21" s="16" t="inlineStr">
        <is>
          <t>10</t>
        </is>
      </c>
      <c r="P21" s="44" t="n">
        <v>35</v>
      </c>
      <c r="Q21" s="44" t="n">
        <v>0.55</v>
      </c>
      <c r="R21" s="44" t="n">
        <v>0.1</v>
      </c>
      <c r="S21" s="44" t="n">
        <v>0.35</v>
      </c>
    </row>
    <row r="22" ht="15" customHeight="1">
      <c r="A22" s="15" t="inlineStr">
        <is>
          <t>21444613B</t>
        </is>
      </c>
      <c r="B22" s="15" t="inlineStr">
        <is>
          <t>Carratalá Giménez, Adoración Asunción</t>
        </is>
      </c>
      <c r="C22" s="15" t="inlineStr">
        <is>
          <t>FUNCIONARIO</t>
        </is>
      </c>
      <c r="D22" s="15" t="n">
        <v>1</v>
      </c>
      <c r="E22" s="15" t="n"/>
      <c r="F22" s="15" t="n"/>
      <c r="G22" s="15" t="n"/>
      <c r="H22" s="15" t="n"/>
      <c r="I22" s="15" t="n"/>
      <c r="J22" s="15" t="n">
        <v>1</v>
      </c>
      <c r="K22" s="15" t="inlineStr">
        <is>
          <t>B151</t>
        </is>
      </c>
      <c r="L22" s="16" t="inlineStr">
        <is>
          <t>10.05</t>
        </is>
      </c>
      <c r="M22" s="16" t="inlineStr">
        <is>
          <t>20</t>
        </is>
      </c>
      <c r="N22" s="16" t="inlineStr">
        <is>
          <t>10.09</t>
        </is>
      </c>
      <c r="O22" s="16" t="inlineStr">
        <is>
          <t>40</t>
        </is>
      </c>
      <c r="P22" s="44" t="n">
        <v>40</v>
      </c>
      <c r="Q22" s="44" t="n">
        <v>0.2</v>
      </c>
      <c r="R22" s="44" t="n">
        <v>0.4</v>
      </c>
      <c r="S22" s="44" t="n">
        <v>0.4</v>
      </c>
    </row>
    <row r="23" ht="15" customHeight="1">
      <c r="A23" s="15" t="inlineStr">
        <is>
          <t>21455103J</t>
        </is>
      </c>
      <c r="B23" s="15" t="inlineStr">
        <is>
          <t>Boluda Botella, Nuria</t>
        </is>
      </c>
      <c r="C23" s="15" t="inlineStr">
        <is>
          <t>FUNCIONARIO</t>
        </is>
      </c>
      <c r="D23" s="15" t="n"/>
      <c r="E23" s="15" t="n"/>
      <c r="F23" s="15" t="n">
        <v>1</v>
      </c>
      <c r="G23" s="15" t="n"/>
      <c r="H23" s="15" t="n"/>
      <c r="I23" s="15" t="n"/>
      <c r="J23" s="15" t="n">
        <v>1</v>
      </c>
      <c r="K23" s="15" t="inlineStr">
        <is>
          <t>B151</t>
        </is>
      </c>
      <c r="L23" s="16" t="inlineStr">
        <is>
          <t>10.05</t>
        </is>
      </c>
      <c r="M23" s="16" t="inlineStr">
        <is>
          <t>20</t>
        </is>
      </c>
      <c r="N23" s="16" t="inlineStr">
        <is>
          <t>10.09</t>
        </is>
      </c>
      <c r="O23" s="16" t="inlineStr">
        <is>
          <t>40</t>
        </is>
      </c>
      <c r="P23" s="44" t="n">
        <v>40</v>
      </c>
      <c r="Q23" s="44" t="n">
        <v>0.2</v>
      </c>
      <c r="R23" s="44" t="n">
        <v>0.4</v>
      </c>
      <c r="S23" s="44" t="n">
        <v>0.4</v>
      </c>
    </row>
    <row r="24" ht="15" customHeight="1">
      <c r="A24" s="15" t="inlineStr">
        <is>
          <t>21474957H</t>
        </is>
      </c>
      <c r="B24" s="15" t="inlineStr">
        <is>
          <t>Asensi Steegmann, Juan Carlos</t>
        </is>
      </c>
      <c r="C24" s="15" t="inlineStr">
        <is>
          <t>FUNCIONARIO</t>
        </is>
      </c>
      <c r="D24" s="15" t="n"/>
      <c r="E24" s="15" t="n"/>
      <c r="F24" s="15" t="n"/>
      <c r="G24" s="15" t="n">
        <v>1</v>
      </c>
      <c r="H24" s="15" t="n"/>
      <c r="I24" s="15" t="n"/>
      <c r="J24" s="15" t="n">
        <v>1</v>
      </c>
      <c r="K24" s="15" t="inlineStr">
        <is>
          <t>B151</t>
        </is>
      </c>
      <c r="L24" s="16" t="inlineStr">
        <is>
          <t>10.05</t>
        </is>
      </c>
      <c r="M24" s="16" t="inlineStr">
        <is>
          <t>10</t>
        </is>
      </c>
      <c r="N24" s="16" t="inlineStr">
        <is>
          <t>10.09</t>
        </is>
      </c>
      <c r="O24" s="16" t="inlineStr">
        <is>
          <t>40</t>
        </is>
      </c>
      <c r="P24" s="44" t="n">
        <v>50</v>
      </c>
      <c r="Q24" s="44" t="n">
        <v>0.1</v>
      </c>
      <c r="R24" s="44" t="n">
        <v>0.4</v>
      </c>
      <c r="S24" s="44" t="n">
        <v>0.5</v>
      </c>
    </row>
    <row r="25" ht="15" customHeight="1">
      <c r="A25" s="15" t="inlineStr">
        <is>
          <t>48356166T</t>
        </is>
      </c>
      <c r="B25" s="15" t="inlineStr">
        <is>
          <t>Ortuño García, Nuria</t>
        </is>
      </c>
      <c r="C25" s="15" t="inlineStr">
        <is>
          <t>FUNCIONARIO</t>
        </is>
      </c>
      <c r="D25" s="15" t="n"/>
      <c r="E25" s="15" t="n"/>
      <c r="F25" s="15" t="n"/>
      <c r="G25" s="15" t="n"/>
      <c r="H25" s="15" t="n">
        <v>2</v>
      </c>
      <c r="I25" s="15" t="n"/>
      <c r="J25" s="15" t="n">
        <v>2</v>
      </c>
      <c r="K25" s="15" t="inlineStr">
        <is>
          <t>B151</t>
        </is>
      </c>
      <c r="L25" s="16" t="inlineStr">
        <is>
          <t>10.05</t>
        </is>
      </c>
      <c r="M25" s="16" t="inlineStr">
        <is>
          <t>10</t>
        </is>
      </c>
      <c r="N25" s="16" t="inlineStr">
        <is>
          <t>10.09</t>
        </is>
      </c>
      <c r="O25" s="16" t="inlineStr">
        <is>
          <t>65</t>
        </is>
      </c>
      <c r="P25" s="44" t="n">
        <v>25</v>
      </c>
      <c r="Q25" s="44" t="n">
        <v>0.2</v>
      </c>
      <c r="R25" s="44" t="n">
        <v>1.3</v>
      </c>
      <c r="S25" s="44" t="n">
        <v>0.5</v>
      </c>
    </row>
    <row r="26" ht="15" customHeight="1">
      <c r="A26" s="29" t="n"/>
      <c r="B26" s="29" t="n"/>
      <c r="C26" s="30" t="n"/>
      <c r="D26" s="29" t="n"/>
      <c r="E26" s="29" t="n"/>
      <c r="F26" s="29" t="n"/>
      <c r="G26" s="29" t="n"/>
      <c r="H26" s="29" t="n"/>
      <c r="I26" s="29" t="n"/>
      <c r="J26" s="29" t="n"/>
      <c r="K26" s="29" t="n"/>
      <c r="L26" s="29" t="n"/>
      <c r="M26" s="29" t="n"/>
      <c r="N26" s="29" t="n"/>
      <c r="O26" s="29" t="n"/>
      <c r="P26" s="29" t="n"/>
      <c r="Q26" s="56">
        <f>SUM(R22:R25,Q2:Q21)</f>
        <v/>
      </c>
      <c r="R26" s="57" t="n"/>
      <c r="S26" s="29" t="n"/>
    </row>
  </sheetData>
  <mergeCells count="1">
    <mergeCell ref="Q26:R26"/>
  </mergeCells>
  <pageMargins left="0.3937007874015748" right="0.3937007874015748" top="0.3937007874015748" bottom="0.3937007874015748" header="0.3149606299212598" footer="0.3149606299212598"/>
  <pageSetup orientation="landscape" paperSize="9" scale="92" fitToHeight="25"/>
</worksheet>
</file>

<file path=xl/worksheets/sheet3.xml><?xml version="1.0" encoding="utf-8"?>
<worksheet xmlns="http://schemas.openxmlformats.org/spreadsheetml/2006/main">
  <sheetPr>
    <outlinePr summaryBelow="1" summaryRight="1"/>
    <pageSetUpPr/>
  </sheetPr>
  <dimension ref="A1:C63"/>
  <sheetViews>
    <sheetView topLeftCell="A44" workbookViewId="0">
      <selection activeCell="C63" sqref="C63"/>
    </sheetView>
  </sheetViews>
  <sheetFormatPr baseColWidth="10" defaultRowHeight="15"/>
  <cols>
    <col width="17" customWidth="1" min="1" max="1"/>
    <col width="105" customWidth="1" min="2" max="2"/>
    <col width="16" customWidth="1" min="3" max="3"/>
  </cols>
  <sheetData>
    <row r="1">
      <c r="A1" s="32" t="inlineStr">
        <is>
          <t>Cód. org. aplic.</t>
        </is>
      </c>
      <c r="B1" s="32" t="inlineStr">
        <is>
          <t>Descripción justificante</t>
        </is>
      </c>
      <c r="C1" s="32" t="inlineStr">
        <is>
          <t>Imp.cob.aplic.</t>
        </is>
      </c>
    </row>
    <row r="2">
      <c r="A2" s="20" t="inlineStr">
        <is>
          <t>40.90.6C.00.49</t>
        </is>
      </c>
      <c r="B2" s="20" t="inlineStr">
        <is>
          <t>Realización por parte del investigador Pedro Varó Galvañ de la actividad "CONTROL DEL BIOFILTRO UBICADO EN LAS INSTALACIONES DEL CENTRO DE TRATAMIENTO DE RESIDUOS DE UTE ALICANTE EN PARTIDA DE FONTCALENT" corespondiente a los informes de los meses de marzo, abril y mayo de 2023. Referencias: UTEALICANTE2-22TD-0044, UTEALICANTE2-22TD-0045 y UTEALICANTE2-22TD-0046.</t>
        </is>
      </c>
      <c r="C2" s="58" t="n">
        <v>1080.29</v>
      </c>
    </row>
    <row r="3">
      <c r="A3" s="22" t="inlineStr">
        <is>
          <t>40.90.6C.00.49</t>
        </is>
      </c>
      <c r="B3" s="22" t="inlineStr">
        <is>
          <t>Realización por parte del investigador Pedro Varó Galvañ de la actividad "CONTROL DEL BIOFILTRO UBICADO EN LAS INSTALACIONES DEL CENTRO DE TRATAMIENTO DE RESIDUOS DE UTE ALICANTE EN PARTIDA DE FONTCALENT" corespondiente a los informes de los meses de diciembre de 2022 y enero y febrero de 2023. Referencias: UTEALICANTE2-22TD-0041, UTEALICANTE2-22TD-0042 y UTEALICANTE2-22TD-0043.</t>
        </is>
      </c>
      <c r="C3" s="59" t="n">
        <v>1080.29</v>
      </c>
    </row>
    <row r="4">
      <c r="A4" s="20" t="inlineStr">
        <is>
          <t>40.90.6C.00.49</t>
        </is>
      </c>
      <c r="B4" s="20" t="inlineStr">
        <is>
          <t>Realización por parte del investigador Pedro Varó Galvañ de la actividad "CONTROL DEL BIOFILTRO UBICADO EN LAS INSTALACIONES DEL CENTRO DE TRATAMIENTO DE RESIDUOS DE UTE ALICANTE EN PARTIDA DE FONTCALENT" corespondiente a los informes de los meses de junio, julio y agosto de 2023. Referencias: UTEALICANTE2-22TD-0047, UTEALICANTE2-22TD-0048 y UTEALICANTE2-22TD-0049.</t>
        </is>
      </c>
      <c r="C4" s="58" t="n">
        <v>1080.29</v>
      </c>
    </row>
    <row r="5">
      <c r="A5" s="22" t="inlineStr">
        <is>
          <t>40.90.6C.00.51</t>
        </is>
      </c>
      <c r="B5" s="22" t="inlineStr">
        <is>
          <t xml:space="preserve">Pago mínimo regalías 2022 por transferencia de tecnología  </t>
        </is>
      </c>
      <c r="C5" s="59" t="n">
        <v>1800</v>
      </c>
    </row>
    <row r="6">
      <c r="A6" s="20" t="inlineStr">
        <is>
          <t>40.90.6C.00.93</t>
        </is>
      </c>
      <c r="B6" s="20" t="inlineStr">
        <is>
          <t>Realización, por parte de la investigadora Adoración Carratalá, del contrato "Estimación de  fuentes que contribuyen a los niveles de PM10 en el entorno del Puerto de Alicante y  evolución 2020-2023",  (ref.: PUERTOALICANTE1-20Y). DÉCIMA FACTURA, correspondiente a agosto, septiembre y octubre de 2022</t>
        </is>
      </c>
      <c r="C6" s="58" t="n">
        <v>4500</v>
      </c>
    </row>
    <row r="7">
      <c r="A7" s="22" t="inlineStr">
        <is>
          <t>40.90.6C.00.93</t>
        </is>
      </c>
      <c r="B7" s="22" t="inlineStr">
        <is>
          <t>Realización, por parte de la investigadora Adoración Carratalá, del contrato "Estimación de fuentes que contribuyen a los niveles de PM10 en el entorno del Puerto de Alicante y evolución 2020-2023", (Ref.: PUERTOALICANTE1-20Y). DUODÉCIMA FACTURA, correspondiente a febrero, marzo y abril de 2023</t>
        </is>
      </c>
      <c r="C7" s="59" t="n">
        <v>4500</v>
      </c>
    </row>
    <row r="8">
      <c r="A8" s="20" t="inlineStr">
        <is>
          <t>40.90.6C.00.93</t>
        </is>
      </c>
      <c r="B8" s="20" t="inlineStr">
        <is>
          <t>Realización, por parte de la investigadora Adoración Carratalá, del contrato "Estimación de  fuentes que contribuyen a los niveles de PM10 en el entorno del Puerto de Alicante y  evolución 2020-2023",  (ref.: PUERTOALICANTE1-20Y). UNDÉCIMA FACTURA, correspondiente a noviembre y diciembre de 2022 y enero de 2023</t>
        </is>
      </c>
      <c r="C8" s="58" t="n">
        <v>4500</v>
      </c>
    </row>
    <row r="9">
      <c r="A9" s="22" t="inlineStr">
        <is>
          <t>40.90.6C.01.00</t>
        </is>
      </c>
      <c r="B9" s="22" t="inlineStr">
        <is>
          <t>Realización, por parte del investigador Ignacio Martín Gullón, de la segunda adenda al contrato "Asesoramiento y asistencia científico-técnica en desarrollo de nuevos materiales basados en almidón termoplástico con una alta intensificación". Tercer pago del proyecto, según establece la II adenda al contrato.</t>
        </is>
      </c>
      <c r="C9" s="59" t="n">
        <v>3850</v>
      </c>
    </row>
    <row r="10">
      <c r="A10" s="20" t="inlineStr">
        <is>
          <t>40.90.6C.01.00</t>
        </is>
      </c>
      <c r="B10" s="20" t="inlineStr">
        <is>
          <t>Realización, por parte del investigador Ignacio Martín Gullón, de la segunda adenda al contrato "Asesoramiento y asistencia científico-técnica en desarrollo de nuevos materiales basados en almidón termoplástico con una alta intensificación". Segundo pago del proyecto, según establece la II adenda al contrato.</t>
        </is>
      </c>
      <c r="C10" s="58" t="n">
        <v>3850</v>
      </c>
    </row>
    <row r="11">
      <c r="A11" s="22" t="inlineStr">
        <is>
          <t>40.90.6C.01.01</t>
        </is>
      </c>
      <c r="B11" s="22" t="inlineStr">
        <is>
          <t>Cuarto pago correspondiente al contrato: SUBCONTRATACIÓN UNIVERSIDAD DE ALICANTE EN EL PROYECTO "DESORECH - DISEÑO Y DESARROLLO DE UN SISTEMA DE DESODORIZACIÓN DE LOS RESIDUOS DE ENVASES RÍGIDOS PLÁSTICOS MEDIANTE VAPOR DE AGUA" - NORDVERT1-21T.  (OT 4067)</t>
        </is>
      </c>
      <c r="C11" s="59" t="n">
        <v>10560</v>
      </c>
    </row>
    <row r="12">
      <c r="A12" s="20" t="inlineStr">
        <is>
          <t>40.90.6C.01.04</t>
        </is>
      </c>
      <c r="B12" s="20" t="inlineStr">
        <is>
          <t>Realización, por parte del investigador Pedro Varó Galvañ, de la actividad "BIODIGESTIÓN DE RESIDUOS DE ORIGEN URBANO A ESCALA INDUSTRIAL. SEGUIMIENTO DE LAS ETAPAS DE INICIO DEL PROCESO, ESTABILIZACION, PRODUCCIÓN Y CONTROL DE CALIDAD DEL BIOGAS Y DEL DIGESTO", correspondiente a los siguientes informes: - Marzo 2023 - Abril 2023</t>
        </is>
      </c>
      <c r="C12" s="58" t="n">
        <v>3523.52</v>
      </c>
    </row>
    <row r="13">
      <c r="A13" s="22" t="inlineStr">
        <is>
          <t>40.90.6C.01.04</t>
        </is>
      </c>
      <c r="B13" s="22" t="inlineStr">
        <is>
          <t>Realización, por parte del investigador Pedro Varó Galvañ, de la actividad "BIODIGESTIÓN DE RESIDUOS DE ORIGEN URBANO A ESCALA INDUSTRIAL. SEGUIMIENTO DE LAS ETAPAS DE INICIO DEL PROCESO, ESTABILIZACION, PRODUCCIÓN Y CONTROL DE CALIDAD DEL BIOGAS Y DEL DIGESTO",  (REFERENCIA UTEALICANTE1-22TD) correspondiente a los siguientes informes: - Enero 2023 - Febrero 2023</t>
        </is>
      </c>
      <c r="C13" s="59" t="n">
        <v>3523.52</v>
      </c>
    </row>
    <row r="14">
      <c r="A14" s="20" t="inlineStr">
        <is>
          <t>40.90.6C.01.04</t>
        </is>
      </c>
      <c r="B14" s="20" t="inlineStr">
        <is>
          <t>Realización, por parte del investigador Pedro Varó Galvañ, de la actividad "BIODIGESTIÓN DE RESIDUOS DE ORIGEN URBANO A ESCALA INDUSTRIAL. SEGUIMIENTO DE LAS ETAPAS DE INICIO DEL PROCESO, ESTABILIZACION, PRODUCCIÓN Y CONTROL DE CALIDAD DEL BIOGAS Y DEL DIGESTO",  (REFERENCIA UTEALICANTE1-22TD) correspondiente a los siguientes informes: - Mayo 2023</t>
        </is>
      </c>
      <c r="C14" s="58" t="n">
        <v>1761.76</v>
      </c>
    </row>
    <row r="15">
      <c r="A15" s="22" t="inlineStr">
        <is>
          <t>40.90.6C.01.04</t>
        </is>
      </c>
      <c r="B15" s="22" t="inlineStr">
        <is>
          <t>Realización, por parte del investigador Pedro Varó Galvañ, de la actividad "BIODIGESTIÓN DE RESIDUOS DE ORIGEN URBANO A ESCALA INDUSTRIAL. SEGUIMIENTO DE LAS ETAPAS DE INICIO DEL PROCESO, ESTABILIZACION, PRODUCCIÓN Y CONTROL DE CALIDAD DEL BIOGAS Y DEL DIGESTO",  (REFERENCIA UTEALICANTE1-22TD) correspondiente a los siguientes informes: - Noviembre 2022 - Diciembre 2022</t>
        </is>
      </c>
      <c r="C15" s="59" t="n">
        <v>3523.52</v>
      </c>
    </row>
    <row r="16">
      <c r="A16" s="20" t="inlineStr">
        <is>
          <t>40.90.6C.01.04</t>
        </is>
      </c>
      <c r="B16" s="20" t="inlineStr">
        <is>
          <t>Realización, por parte del investigador Pedro Varó Galvañ, de la actividad "BIODIGESTIÓN DE RESIDUOS DE ORIGEN URBANO A ESCALA INDUSTRIAL. SEGUIMIENTO DE LAS ETAPAS DE INICIO DEL PROCESO, ESTABILIZACION, PRODUCCIÓN Y CONTROL DE CALIDAD DEL BIOGAS Y DEL DIGESTO",  (REFERENCIA UTEALICANTE1-22TD) correspondiente al siguiente informe: - Julio-Agosto 2023</t>
        </is>
      </c>
      <c r="C16" s="58" t="n">
        <v>1761.76</v>
      </c>
    </row>
    <row r="17">
      <c r="A17" s="22" t="inlineStr">
        <is>
          <t>40.90.6C.01.10</t>
        </is>
      </c>
      <c r="B17" s="22" t="inlineStr">
        <is>
          <t xml:space="preserve">Tercera aportación correspondiente al 40% de la anualidad 2023 del proyecto "Sostenibilidad, Agua y Agricultura en el siglo XXI-SOS-AGUA-XXI" dirigido por Antonio Marcilla Gomis </t>
        </is>
      </c>
      <c r="C17" s="59" t="n">
        <v>26400</v>
      </c>
    </row>
    <row r="18">
      <c r="A18" s="20" t="inlineStr">
        <is>
          <t>40.90.6C.01.10</t>
        </is>
      </c>
      <c r="B18" s="20" t="inlineStr">
        <is>
          <t>Segunda aportación correspondiente al 40% de la anualidad 2023 del proyecto "Sostenibilidad, Agua y Agricultura en el siglo XXI-SOS-AGUA-XXI" dirigido por Antonio Marcilla Gomis</t>
        </is>
      </c>
      <c r="C18" s="58" t="n">
        <v>26400</v>
      </c>
    </row>
    <row r="19">
      <c r="A19" s="22" t="inlineStr">
        <is>
          <t>40.90.6C.01.10</t>
        </is>
      </c>
      <c r="B19" s="22" t="inlineStr">
        <is>
          <t>Primera aportación correspondiente al 20% de la anualidad 2023 del proyecto "Sostenibilidad, Agua y Agricultura en el siglo XXI-SOS-AGUA-XXI" dirigido por Antonio Marcilla Gomis</t>
        </is>
      </c>
      <c r="C19" s="59" t="n">
        <v>13200</v>
      </c>
    </row>
    <row r="20">
      <c r="A20" s="20" t="inlineStr">
        <is>
          <t>40.90.6C.01.10</t>
        </is>
      </c>
      <c r="B20" s="20" t="inlineStr">
        <is>
          <t>Tercera aportación correspondiente al 40% de la anualidad 2022 del proyecto "Sostenibilidad, Agua y Agricultura en el siglo XXI-SOS-AGUA-XXI", dirigido por Antonio Marcilla Gomis</t>
        </is>
      </c>
      <c r="C20" s="58" t="n">
        <v>37664</v>
      </c>
    </row>
    <row r="21">
      <c r="A21" s="22" t="inlineStr">
        <is>
          <t>40.90.6C.01.11</t>
        </is>
      </c>
      <c r="B21" s="22" t="inlineStr">
        <is>
          <t>Tercera aportación correspondiente al 40% de la anualidad 2023 del proyecto "Sostenibilidad, agua y agricultura en el siglo XXI", SOS-AGUA-XXI, dirigido por Antonio Marcilla Gomis. Actividad 2: Investigación experimental a escala laboratorio de soluciones tecnológicas.</t>
        </is>
      </c>
      <c r="C21" s="59" t="n">
        <v>6864</v>
      </c>
    </row>
    <row r="22">
      <c r="A22" s="20" t="inlineStr">
        <is>
          <t>40.90.6C.01.11</t>
        </is>
      </c>
      <c r="B22" s="20" t="inlineStr">
        <is>
          <t>Primera aportación correspondiente al 20% de la anualidad 2023 del proyecto "Sostenibilidad, agua y agricultura en el siglo XXI", SOS-AGUA-XXI, dirigido por Antonio Marcilla Gomis. Actividad 2: Investigación experimental a escala laboratorio de soluciones tecnológicas.</t>
        </is>
      </c>
      <c r="C22" s="58" t="n">
        <v>3432</v>
      </c>
    </row>
    <row r="23">
      <c r="A23" s="22" t="inlineStr">
        <is>
          <t>40.90.6C.01.11</t>
        </is>
      </c>
      <c r="B23" s="22" t="inlineStr">
        <is>
          <t>Segunda aportación correspondiente al 40% de la anualidad 2023 del proyecto "Sostenibilidad, agua y agricultura en el siglo XXI", SOS-AGUA-XXI, dirigido por Antonio Marcilla Gomis. Actividad 2: Investigación experimental a escala laboratorio de soluciones tecnológicas</t>
        </is>
      </c>
      <c r="C23" s="59" t="n">
        <v>6864</v>
      </c>
    </row>
    <row r="24">
      <c r="A24" s="20" t="inlineStr">
        <is>
          <t>40.90.6C.01.17</t>
        </is>
      </c>
      <c r="B24" s="20" t="inlineStr">
        <is>
          <t>Cuarto pago correspondiente al contrato "Estudio del proceso de cristalización de salmueras marinas para obtención de compuestos magnésicos. PROYECTO HIDROIGNI"</t>
        </is>
      </c>
      <c r="C24" s="58" t="n">
        <v>5280</v>
      </c>
    </row>
    <row r="25">
      <c r="A25" s="22" t="inlineStr">
        <is>
          <t>40.90.6C.01.17</t>
        </is>
      </c>
      <c r="B25" s="22" t="inlineStr">
        <is>
          <t>Tercer pago correspondiente al contrato "Estudio del proceso de cristalización de salmueras marinas para obtención de compuestos magnésicos. PROYECTO HIDROIGNI"</t>
        </is>
      </c>
      <c r="C25" s="59" t="n">
        <v>5280</v>
      </c>
    </row>
    <row r="26">
      <c r="A26" s="20" t="inlineStr">
        <is>
          <t>40.90.6C.01.25</t>
        </is>
      </c>
      <c r="B26" s="20" t="inlineStr">
        <is>
          <t>ESTUDIO PRELIMINAR DE VIABILIDAD DE CULTIVO DE MICROALGAS PARA LA DESNITRIFICACIÓN DE AGUAS SUBTERRÁNEAS DEL ACUÍFERO CUATERNARIO DEL CAMPO DE CARTAGENA PROCEDENTES DEL BOMBEO DE LOS SÓTANOS DEL AYUNTAMIENTO DE LOS ALCÁZARES</t>
        </is>
      </c>
      <c r="C26" s="58" t="n">
        <v>8712</v>
      </c>
    </row>
    <row r="27">
      <c r="A27" s="22" t="inlineStr">
        <is>
          <t>40.90.6C.01.26</t>
        </is>
      </c>
      <c r="B27" s="22" t="inlineStr">
        <is>
          <t>Tareas de apoyo técnico en la ejecución del proyecto "Reciclaje mecánico de envases PET/PE procedente de láminas y bandejas para aplicaciones de alto valor añadido" subvencionado con la ayuda NEOTEC 2021</t>
        </is>
      </c>
      <c r="C27" s="59" t="n">
        <v>3520</v>
      </c>
    </row>
    <row r="28">
      <c r="A28" s="20" t="inlineStr">
        <is>
          <t>40.90.6C.01.27</t>
        </is>
      </c>
      <c r="B28" s="20" t="inlineStr">
        <is>
          <t>ANÁLISIS POR MICROFLUORESCENCIA DE RAYOS X DE UNA PLACA DE YESO EN LA ZONA DE CONTACTO ENTRE LA LÁMINA EXTERIOR Y EL ALMA DE LA PLACA</t>
        </is>
      </c>
      <c r="C28" s="58" t="n">
        <v>132</v>
      </c>
    </row>
    <row r="29">
      <c r="A29" s="22" t="inlineStr">
        <is>
          <t>40.90.6C.01.28</t>
        </is>
      </c>
      <c r="B29" s="22" t="inlineStr">
        <is>
          <t>Realizar tareas de apoyo en el estudio del efecto de las microperforaciones en el proceso de deslaminado y destintado. Así como en el estudio del uso de surfactantes y optimización de las condiciones de operación. Proyecto AVI 2022 "NUEVO PROCESO DE RECICLAJE PARA CONVERTIR LOS RESIDUOS DE ENVASES FLEXIBLES MULTICAPA EN RECURSOS"</t>
        </is>
      </c>
      <c r="C29" s="59" t="n">
        <v>5280</v>
      </c>
    </row>
    <row r="30">
      <c r="A30" s="20" t="inlineStr">
        <is>
          <t>40.90.6C.01.29</t>
        </is>
      </c>
      <c r="B30" s="20" t="inlineStr">
        <is>
          <t>ANÁLISIS POR FLUORESCENCIA DE RAYOS X Y DETERMINACIÓN DE LA PÉRDIDA DE PESO AL FUEGO DE 3 MUESTRAS DE MATERIAL CALIZO, REFERENCIAS LÍJAR, MACAEL Y MURCIA R.  ANÁLISIS POR FLUORESCENCIA DE RAYOS X Y DETERMINACIÓN DE LA PÉRDIDA DE PESO AL FUEGO DE 2 MUESTRAS DE DIATOMEAS, REFERENCIAS ALBACETE R Y ALBACETE P.  TOTAL 5 ANÁLISIS</t>
        </is>
      </c>
      <c r="C30" s="58" t="n">
        <v>550</v>
      </c>
    </row>
    <row r="31">
      <c r="A31" s="22" t="inlineStr">
        <is>
          <t>40.90.6C.01.30</t>
        </is>
      </c>
      <c r="B31" s="22" t="inlineStr">
        <is>
          <t>Asesoramiento y asistencia científico-técnica para la introducción de partículas magnéticas en adhesivos textiles, con el fin de inducir el calentamiento de los mismos por inducción magnética, en el marco del proyecto WASTE2CHEMVALUES: "Desarrollo y estudio de viabilidad de la obtención de productos químicos y vectores de almacenamiento de energía a partir de residuos"</t>
        </is>
      </c>
      <c r="C31" s="59" t="n">
        <v>10797.6</v>
      </c>
    </row>
    <row r="32">
      <c r="A32" s="20" t="inlineStr">
        <is>
          <t>40.90.6C.01.31</t>
        </is>
      </c>
      <c r="B32" s="20" t="inlineStr">
        <is>
          <t>PRIMERA APORTACIÓN POR LOS SERVICIOS REALIZADOS EN EL PROYECTO "INVESTIGACIÓN Y DESARROLLO DE UN NUEVO MATERIAL COMPUESTO DE ALTA RESISTENCIA AL FUEGO Y LIGEREZA PARA SU APLICACIÓN EN EL SECTOR FERROCARRIL"</t>
        </is>
      </c>
      <c r="C32" s="58" t="n">
        <v>7072.56</v>
      </c>
    </row>
    <row r="33">
      <c r="A33" s="22" t="inlineStr">
        <is>
          <t>40.90.6C.01.32</t>
        </is>
      </c>
      <c r="B33" s="22" t="inlineStr">
        <is>
          <t>Preparación y suministro de dispersiones de adhesivo de PU con conductividad térmica mediante la utilización de nanopartículas de carbono y alúmina. Encargo asociado al contrato de asesoramiento y asistencia científico-técnica para la realización del proyecto:</t>
        </is>
      </c>
      <c r="C33" s="59" t="n">
        <v>2939.2</v>
      </c>
    </row>
    <row r="34">
      <c r="A34" s="20" t="inlineStr">
        <is>
          <t>40.90.6C.01.33</t>
        </is>
      </c>
      <c r="B34" s="20" t="inlineStr">
        <is>
          <t>SUBEXPEDIENTE 2023/1572/PIDI/01 SUPERVISIÓN DEL PROYECTO 2023/1572/PIDI/01 DESARROLLO DE UN INNOVADOR SISTEMA DE RECUPERACIÓN DE DISOLVENTES (SORECOVERY) PERTENECIENTE A LA EMPRESA ENVIROXI 2.0, S.L.</t>
        </is>
      </c>
      <c r="C34" s="58" t="n">
        <v>132</v>
      </c>
    </row>
    <row r="35">
      <c r="A35" s="22" t="inlineStr">
        <is>
          <t>40.90.6C.01.34</t>
        </is>
      </c>
      <c r="B35" s="22" t="inlineStr">
        <is>
          <t>ANÁLISIS DE 7 MUESTRAS POR FLUORESCENCIA DE RAYOS X DE ÁRIDO CALIZO</t>
        </is>
      </c>
      <c r="C35" s="59" t="n">
        <v>739.2</v>
      </c>
    </row>
    <row r="36">
      <c r="A36" s="20" t="inlineStr">
        <is>
          <t>40.90.6C.01.35</t>
        </is>
      </c>
      <c r="B36" s="20" t="inlineStr">
        <is>
          <t>PRIMER PAGO CORRESPONDIENTE AL 50% DEL CONTRATO RELATIVO AL PROYECTO DE INVESTIGACIÓN Y DESARROLLO PARA LA CARACTERIZACIÓN DE FORMULACIONES EXPERIMENTALES DE ALMIDÓN TERMOPLÁSTICO Y PRUEBAS DE FILM-SOPLADO</t>
        </is>
      </c>
      <c r="C36" s="58" t="n">
        <v>6160</v>
      </c>
    </row>
    <row r="37">
      <c r="A37" s="22" t="inlineStr">
        <is>
          <t>40.90.6C.01.36</t>
        </is>
      </c>
      <c r="B37" s="22" t="inlineStr">
        <is>
          <t>ANALISIS DE 4 MUESTRAS POR FLUORESCENCIA DE RAYOS X DE ARIDO CALIZO</t>
        </is>
      </c>
      <c r="C37" s="59" t="n">
        <v>422.4</v>
      </c>
    </row>
    <row r="38">
      <c r="A38" s="20" t="inlineStr">
        <is>
          <t>40.90.6C.01.37</t>
        </is>
      </c>
      <c r="B38" s="20" t="inlineStr">
        <is>
          <t xml:space="preserve">Tareas de apoyo técnico en la ejecución del proyecto "Reciclaje mecánico de envases PET/PE procedente de láminas y bandejas para aplicaciones de alto valor añadido" subvencionado con la ayuda NEOTEC 2021. Las tareas que se llevan a cabo durante el segundo año del proyecto son: - Análisis de la calidad del plástico obtenido después del proceso de reciclaje. - Análisis de la calidad del agua del reactor de deslaminado. - Apoyo en el diseño del tratamiento del agua - Análisis del ciclo de vida del proceso de deslaminado con SimaPro </t>
        </is>
      </c>
      <c r="C38" s="58" t="n">
        <v>8800</v>
      </c>
    </row>
    <row r="39">
      <c r="A39" s="22" t="inlineStr">
        <is>
          <t>40.90.6C.01.38</t>
        </is>
      </c>
      <c r="B39" s="22" t="inlineStr">
        <is>
          <t>EVALUACIÓN DEL PROYECTO 2023/1961/PIDI/01 "DISEÑO Y DESARROLLO DE UN NUEVO SISTEMA DE MEZCLADO Y ENFRIAMIENTO PARA HARINAS TOTALMENTE HIGIÉNICO PULIMIXBIN" PERTENECIENTE A LA EMPRESA VAC 500 S.L. OP/23013155</t>
        </is>
      </c>
      <c r="C39" s="59" t="n">
        <v>352</v>
      </c>
    </row>
    <row r="40">
      <c r="A40" s="20" t="inlineStr">
        <is>
          <t>40.90.6C.01.39</t>
        </is>
      </c>
      <c r="B40" s="20" t="inlineStr">
        <is>
          <t>ANÁLISIS POR FLUORESCENCIA DE RAYOS X DE ÁRIDO CALIZO (UN TOTAL DE 2 MUESTRAS)</t>
        </is>
      </c>
      <c r="C40" s="58" t="n">
        <v>211.2</v>
      </c>
    </row>
    <row r="41">
      <c r="A41" s="22" t="inlineStr">
        <is>
          <t>40.90.6C.01.40</t>
        </is>
      </c>
      <c r="B41" s="22" t="inlineStr">
        <is>
          <t>ANÁLISIS POR FLUORESCENCIA DE RAYOS X DE ÁRIDO CALIZO (UN TOTAL DE 7 MUESTRAS) ANÁLISIS POR FLUORESCENCIA DE RAYOS X DE ÁRIDO (UN TOTAL DE 1 MUESTRA)</t>
        </is>
      </c>
      <c r="C41" s="59" t="n">
        <v>844.8</v>
      </c>
    </row>
    <row r="42">
      <c r="A42" s="20" t="inlineStr">
        <is>
          <t>40.90.6C.01.41</t>
        </is>
      </c>
      <c r="B42" s="20" t="inlineStr">
        <is>
          <t>- Análisis químico (difracción rayos x) de 3 muesras de diatomita / kieselgur - Densidad aparente - Absorción agua - Absorción aceite - Porosidad total</t>
        </is>
      </c>
      <c r="C42" s="58" t="n">
        <v>1584</v>
      </c>
    </row>
    <row r="43">
      <c r="A43" s="22" t="inlineStr">
        <is>
          <t>40.90.6C.01.42</t>
        </is>
      </c>
      <c r="B43" s="22" t="inlineStr">
        <is>
          <t xml:space="preserve">ANALISIS POR FLUORESCENCIA DE RAYOS X DE ARIDO CALIZO ABANILLA (UN TOTAL DE 1 MUESTRA) </t>
        </is>
      </c>
      <c r="C43" s="59" t="n">
        <v>105.6</v>
      </c>
    </row>
    <row r="44">
      <c r="A44" s="20" t="inlineStr">
        <is>
          <t>40.90.6H.00.05</t>
        </is>
      </c>
      <c r="B44" s="20" t="inlineStr">
        <is>
          <t>Devolución de ingreso_carta de pago_Reintegro por baja de la referencia: PTA2019-017641-I, anualidad: 2022</t>
        </is>
      </c>
      <c r="C44" s="58" t="n">
        <v>-1380.82</v>
      </c>
    </row>
    <row r="45">
      <c r="A45" s="22" t="inlineStr">
        <is>
          <t>40.90.6H.00.05</t>
        </is>
      </c>
      <c r="B45" s="22" t="inlineStr">
        <is>
          <t xml:space="preserve">AYUDA PTA2019-017641-I (Anulación por Renuncia) </t>
        </is>
      </c>
      <c r="C45" s="59" t="n">
        <v>-14000</v>
      </c>
    </row>
    <row r="46">
      <c r="A46" s="20" t="inlineStr">
        <is>
          <t>40.90.6H.00.06</t>
        </is>
      </c>
      <c r="B46" s="20" t="inlineStr">
        <is>
          <t>APOTIP/2021/003/018/019/020/027/029/046</t>
        </is>
      </c>
      <c r="C46" s="58" t="n">
        <v>9000</v>
      </c>
    </row>
    <row r="47">
      <c r="A47" s="22" t="inlineStr">
        <is>
          <t>40.90.6H.00.07</t>
        </is>
      </c>
      <c r="B47" s="22" t="inlineStr">
        <is>
          <t>APOTIP/2021/003/018/019/020/027/029/046</t>
        </is>
      </c>
      <c r="C47" s="59" t="n">
        <v>9000</v>
      </c>
    </row>
    <row r="48">
      <c r="A48" s="20" t="inlineStr">
        <is>
          <t>40.90.6H.00.08</t>
        </is>
      </c>
      <c r="B48" s="20" t="inlineStr">
        <is>
          <t>APOTIP/2021/003/018/019/020/027/029/046</t>
        </is>
      </c>
      <c r="C48" s="58" t="n">
        <v>9000</v>
      </c>
    </row>
    <row r="49">
      <c r="A49" s="22" t="inlineStr">
        <is>
          <t>40.90.6P.00.21</t>
        </is>
      </c>
      <c r="B49" s="22" t="inlineStr">
        <is>
          <t xml:space="preserve">PROMETEO/2020/093 </t>
        </is>
      </c>
      <c r="C49" s="59" t="n">
        <v>51951.56</v>
      </c>
    </row>
    <row r="50">
      <c r="A50" s="20" t="inlineStr">
        <is>
          <t>40.90.6P.00.21</t>
        </is>
      </c>
      <c r="B50" s="20" t="inlineStr">
        <is>
          <t>DEVOLUCIÓN DE INGRESOS_MODELO 047_Nº DE LIQUIDACIÓN:46/2023/RAS/10414/1 Nº DE JUSTIFICANTE:047/1/002412503_Nº DE REFERENCIA:047/1/002412503</t>
        </is>
      </c>
      <c r="C50" s="58" t="n">
        <v>-1465.7</v>
      </c>
    </row>
    <row r="51">
      <c r="A51" s="22" t="inlineStr">
        <is>
          <t>40.90.6P.00.22</t>
        </is>
      </c>
      <c r="B51" s="22" t="inlineStr">
        <is>
          <t>PROMETEO/2020/063-064-089-092</t>
        </is>
      </c>
      <c r="C51" s="59" t="n">
        <v>44456.19</v>
      </c>
    </row>
    <row r="52">
      <c r="A52" s="20" t="inlineStr">
        <is>
          <t>40.90.6P.00.22</t>
        </is>
      </c>
      <c r="B52" s="20" t="inlineStr">
        <is>
          <t>DEVOLUCIÓN DE INGRESOS_MODELO 047_Nº DE LIQUIDACIÓN:46/2023/RAS/10414/1 Nº DE JUSTIFICANTE:047/1/002412503_Nº DE REFERENCIA:047/1/002412503</t>
        </is>
      </c>
      <c r="C52" s="58" t="n">
        <v>-910.17</v>
      </c>
    </row>
    <row r="53">
      <c r="A53" s="22" t="inlineStr">
        <is>
          <t>40.90.6P.00.26</t>
        </is>
      </c>
      <c r="B53" s="22" t="inlineStr">
        <is>
          <t xml:space="preserve">PID2020-118574GB-I00/118816GB-I00/119124RB-I00/119144RB-I00/119320GB-I00/119383GB-I00/119734RB-I00/119878GB-I00/119959GB-I00/120213RB-I00 </t>
        </is>
      </c>
      <c r="C53" s="59" t="n">
        <v>31969.1</v>
      </c>
    </row>
    <row r="54">
      <c r="A54" s="20" t="inlineStr">
        <is>
          <t>40.90.6P.00.30</t>
        </is>
      </c>
      <c r="B54" s="20" t="inlineStr">
        <is>
          <t>CIPROM/2021/001/006/017/021/022/027/057/060/062/068/070/074</t>
        </is>
      </c>
      <c r="C54" s="58" t="n">
        <v>115790.75</v>
      </c>
    </row>
    <row r="55">
      <c r="A55" s="22" t="inlineStr">
        <is>
          <t>40.90.6P.00.31</t>
        </is>
      </c>
      <c r="B55" s="22" t="inlineStr">
        <is>
          <t xml:space="preserve">CIAPOT/2021/11-16-23-29 </t>
        </is>
      </c>
      <c r="C55" s="59" t="n">
        <v>18000</v>
      </c>
    </row>
    <row r="56">
      <c r="A56" s="20" t="inlineStr">
        <is>
          <t>40.90.6P.00.32</t>
        </is>
      </c>
      <c r="B56" s="20" t="inlineStr">
        <is>
          <t xml:space="preserve">ANULACION CIAPOT/2021/ CORRESPONDIENTE A LA ORGÁNICA 41.90.6P.00.32 </t>
        </is>
      </c>
      <c r="C56" s="58" t="n">
        <v>-13400</v>
      </c>
    </row>
    <row r="57">
      <c r="A57" s="22" t="inlineStr">
        <is>
          <t>40.90.6P.00.32</t>
        </is>
      </c>
      <c r="B57" s="22" t="inlineStr">
        <is>
          <t xml:space="preserve">CIAPOT/2021/11-16-23-29 </t>
        </is>
      </c>
      <c r="C57" s="59" t="n">
        <v>13400</v>
      </c>
    </row>
    <row r="58">
      <c r="A58" s="20" t="inlineStr">
        <is>
          <t>40.90.6P.00.33</t>
        </is>
      </c>
      <c r="B58" s="20" t="inlineStr">
        <is>
          <t xml:space="preserve">CIAICO/2021/019/074/124/158/167/173/221/279/305/328/335/339/345/348 </t>
        </is>
      </c>
      <c r="C58" s="58" t="n">
        <v>30000</v>
      </c>
    </row>
    <row r="59">
      <c r="A59" s="22" t="inlineStr">
        <is>
          <t>40.90.6P.00.36</t>
        </is>
      </c>
      <c r="B59" s="22" t="inlineStr">
        <is>
          <t>ayudas CIGE/2022/4-6-8-10-15-16-21-30-36-45-46-51-52- 54-55-105-170-179</t>
        </is>
      </c>
      <c r="C59" s="59" t="n">
        <v>10000</v>
      </c>
    </row>
    <row r="60">
      <c r="A60" s="20" t="inlineStr">
        <is>
          <t>40.90.6P.00.37</t>
        </is>
      </c>
      <c r="B60" s="20" t="inlineStr">
        <is>
          <t>ayuda INNVA1/2023/11</t>
        </is>
      </c>
      <c r="C60" s="58" t="n">
        <v>42305.58</v>
      </c>
    </row>
    <row r="61">
      <c r="A61" s="33" t="inlineStr">
        <is>
          <t>40.90.6P.00.38</t>
        </is>
      </c>
      <c r="B61" s="33" t="inlineStr">
        <is>
          <t xml:space="preserve">ayudas PID2022 142159OB--137566OB-I00--139552OB-C22--142960OB-C21--137302NB-C33--139820NB-I00--138111NB-I00--141543OB-I00--138491OB-C32--137364OB-I00--138329NB-I00--142830NB-I00--138453OB-I00 PID2022-138696OB-C22 PID2022-138853NB-I00 PID2022-142712NB-I00 </t>
        </is>
      </c>
      <c r="C61" s="60" t="n">
        <v>187440</v>
      </c>
    </row>
    <row r="62">
      <c r="A62" s="31" t="inlineStr">
        <is>
          <t>Total</t>
        </is>
      </c>
      <c r="B62" s="31" t="n"/>
      <c r="C62" s="61">
        <f>SUBTOTAL(109,Tabla2[Imp.cob.aplic.])</f>
        <v/>
      </c>
    </row>
    <row r="63">
      <c r="C63" s="62"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60"/>
  <sheetViews>
    <sheetView topLeftCell="A42" workbookViewId="0">
      <selection activeCell="C73" sqref="C73"/>
    </sheetView>
  </sheetViews>
  <sheetFormatPr baseColWidth="10" defaultRowHeight="15"/>
  <cols>
    <col width="17.42578125" customWidth="1" min="1" max="1"/>
    <col width="62.28515625" customWidth="1" min="2" max="2"/>
    <col width="19.140625" customWidth="1" min="3" max="3"/>
  </cols>
  <sheetData>
    <row r="1">
      <c r="A1" s="38" t="inlineStr">
        <is>
          <t>Org. aplic.</t>
        </is>
      </c>
      <c r="B1" s="38" t="inlineStr">
        <is>
          <t>Descripción justificante</t>
        </is>
      </c>
      <c r="C1" s="63" t="inlineStr">
        <is>
          <t>Imp. aplic.</t>
        </is>
      </c>
    </row>
    <row r="2">
      <c r="A2" s="36" t="inlineStr">
        <is>
          <t>40.90.6C.00.51</t>
        </is>
      </c>
      <c r="B2" s="36" t="inlineStr">
        <is>
          <t>Pago mínimo regalías 2023 por transferencia de tecnología   -  Ref. contrato licencia: SPACEFARMERS(EBT)1-18O</t>
        </is>
      </c>
      <c r="C2" s="58" t="n">
        <v>1800</v>
      </c>
    </row>
    <row r="3">
      <c r="A3" s="37" t="inlineStr">
        <is>
          <t>40.90.6C.00.97</t>
        </is>
      </c>
      <c r="B3" s="37" t="inlineStr">
        <is>
          <t xml:space="preserve">Pago regalías 2023 por transferencia de tecnología  - Ref. contrato EBT FYCH(EBT)1-20O ( Regalías 25.000 - 3.750 Reducción egresados) </t>
        </is>
      </c>
      <c r="C3" s="59" t="n">
        <v>12750</v>
      </c>
    </row>
    <row r="4">
      <c r="A4" s="36" t="inlineStr">
        <is>
          <t>40.90.6C.00.97</t>
        </is>
      </c>
      <c r="B4" s="36" t="inlineStr">
        <is>
          <t xml:space="preserve">Pago 9 mensualidades de regalías 2024 por transferencia de tecnología  - Ref. contrato EBT FYCH(EBT)1-20O (Regalías 9 mensualidades 26.250  -  3.937,50 (15%) Reducción egresados) </t>
        </is>
      </c>
      <c r="C4" s="58" t="n">
        <v>13387.5</v>
      </c>
    </row>
    <row r="5">
      <c r="A5" s="37" t="inlineStr">
        <is>
          <t>40.90.6C.00.97</t>
        </is>
      </c>
      <c r="B5" s="37" t="inlineStr">
        <is>
          <t>Pago 3 mensualidades de regalías 2024 por transferencia de tecnología  - Ref. contrato EBT FYCH(EBT)1-20O Regalías 3 mensualidades 8.750,00  -  1.312,50  (15%) Reducción egresados</t>
        </is>
      </c>
      <c r="C5" s="59" t="n">
        <v>4462.5</v>
      </c>
    </row>
    <row r="6">
      <c r="A6" s="36" t="inlineStr">
        <is>
          <t>40.90.6C.01.04</t>
        </is>
      </c>
      <c r="B6" s="36" t="inlineStr">
        <is>
          <t>Realización, por parte del investigador Pedro Varó Galvañ, de la actividad "BIODIGESTIÓN DE RESIDUOS DE ORIGEN URBANO A ESCALA INDUSTRIAL. SEGUIMIENTO DE LAS ETAPAS DE INICIO DEL PROCESO, ESTABILIZACION, PRODUCCIÓN Y CONTROL DE CALIDAD DEL BIOGAS Y DEL DIGESTO", (REFERENCIA UTEALICANTE1-23TD) correspondiente a los siguientes informes: Enero 24: UTEALICANTE1-23TD-Informe_Inicial Febrero 24: UTEALICANTE1-23T-CSR-001 Marzo 24: UTEALICANTE1-23T-CSR-002</t>
        </is>
      </c>
      <c r="C6" s="58" t="n">
        <v>5285.28</v>
      </c>
    </row>
    <row r="7">
      <c r="A7" s="37" t="inlineStr">
        <is>
          <t>40.90.6C.01.10</t>
        </is>
      </c>
      <c r="B7" s="37" t="inlineStr">
        <is>
          <t xml:space="preserve">Primera aportación correspondiente al 20% de la anualidad 2024 del proyecto "Sostenibilidad, Agua y Agricultura en el siglo XXI-SOS-AGUA-XXI" dirigido por Antonio Marcilla Gomis </t>
        </is>
      </c>
      <c r="C7" s="59" t="n">
        <v>7040</v>
      </c>
    </row>
    <row r="8">
      <c r="A8" s="36" t="inlineStr">
        <is>
          <t>40.90.6C.01.10</t>
        </is>
      </c>
      <c r="B8" s="36" t="inlineStr">
        <is>
          <t>Segunda aportación correspondiente al 40% de la anualidad 2024 del proyecto "Sostenibilidad, Agua y Agricultura en el siglo XXI-SOS-AGUA-XXI" dirigido por Antonio Marcilla Gomis</t>
        </is>
      </c>
      <c r="C8" s="58" t="n">
        <v>14080</v>
      </c>
    </row>
    <row r="9">
      <c r="A9" s="37" t="inlineStr">
        <is>
          <t>40.90.6C.01.10</t>
        </is>
      </c>
      <c r="B9" s="37" t="inlineStr">
        <is>
          <t xml:space="preserve">Tercera aportación correspondiente al 40% de la anualidad 2024 del proyecto "Sostenibilidad, Agua y Agricultura en el siglo XXI-SOS-AGUA-XXI" dirigido por Antonio Marcilla Gomis. </t>
        </is>
      </c>
      <c r="C9" s="59" t="n">
        <v>14080</v>
      </c>
    </row>
    <row r="10">
      <c r="A10" s="36" t="inlineStr">
        <is>
          <t>40.90.6C.01.11</t>
        </is>
      </c>
      <c r="B10" s="36" t="inlineStr">
        <is>
          <t>Primera aportación correspondiente al 20% de la anualidad 2024 del proyecto "Sostenibilidad, agua y agricultura en el siglo XXI", SOS-AGUA-XXI, dirigido por Antonio Marcilla Gomis. Actividad 2: Investigación experimental a escala laboratorio de soluciones tecnológicas</t>
        </is>
      </c>
      <c r="C10" s="58" t="n">
        <v>3432</v>
      </c>
    </row>
    <row r="11">
      <c r="A11" s="37" t="inlineStr">
        <is>
          <t>40.90.6C.01.11</t>
        </is>
      </c>
      <c r="B11" s="37" t="inlineStr">
        <is>
          <t>Segunda aportación correspondiente al 40% de la anualidad 2024 del proyecto "Sostenibilidad, agua y agricultura en el siglo XXI", SOS-AGUA-XXI, dirigido por Antonio Marcilla Gomis. Actividad 2: Investigación experimental a escala laboratorio de soluciones tecnológicas.</t>
        </is>
      </c>
      <c r="C11" s="59" t="n">
        <v>6864</v>
      </c>
    </row>
    <row r="12">
      <c r="A12" s="36" t="inlineStr">
        <is>
          <t>40.90.6C.01.11</t>
        </is>
      </c>
      <c r="B12" s="36" t="inlineStr">
        <is>
          <t>Tercera aportación correspondiente al 40% de la anualidad 2024 del proyecto "Sostenibilidad, agua y agricultura en el siglo XXI", SOS-AGUA-XXI, dirigido por Antonio Marcilla Gomis. Ref. proyecto: REGENERA1-22Y</t>
        </is>
      </c>
      <c r="C12" s="58" t="n">
        <v>6864</v>
      </c>
    </row>
    <row r="13">
      <c r="A13" s="37" t="inlineStr">
        <is>
          <t>40.90.6C.01.31</t>
        </is>
      </c>
      <c r="B13" s="37" t="inlineStr">
        <is>
          <t>SEGUNDA APORTACIÓN POR LOS SERVICIOS REALIZADOS EN EL PROYECTO "INVESTIGACIÓN Y DESARROLLO DE UN NUEVO MATERIAL COMPUESTO DE ALTA RESISTENCIA AL FUEGO Y LIGEREZA PARA SU APLICACIÓN EN EL SECTOR FERROCARRIL"</t>
        </is>
      </c>
      <c r="C13" s="59" t="n">
        <v>7729.04</v>
      </c>
    </row>
    <row r="14">
      <c r="A14" s="36" t="inlineStr">
        <is>
          <t>40.90.6C.01.35</t>
        </is>
      </c>
      <c r="B14" s="36" t="inlineStr">
        <is>
          <t xml:space="preserve">SEGUNDO PAGO CORRESPONDIENTE AL 25% DEL CONTRATO RELATIVO AL PROYECTO DE INVESTIGACIÓN Y DESARROLLO PARA LA CARACTERIZACIÓN DE FORMULACIONES EXPERIMENTALES DE ALMIDÓN TERMOPLÁSTICO Y PRUEBAS DE FILM-SOPLADO </t>
        </is>
      </c>
      <c r="C14" s="58" t="n">
        <v>3080</v>
      </c>
    </row>
    <row r="15">
      <c r="A15" s="37" t="inlineStr">
        <is>
          <t>40.90.6C.01.35</t>
        </is>
      </c>
      <c r="B15" s="37" t="inlineStr">
        <is>
          <t xml:space="preserve">TERCER PAGO CORRESPONDIENTE AL 25% DEL CONTRATO RELATIVO AL PROYECTO DE INVESTIGACIÓN Y DESARROLLO PARA LA CARACTERIZACIÓN DE FORMULACIONES EXPERIMENTALES DE ALMIDÓN TERMOPLÁSTICO Y PRUEBAS DE FILM-SOPLADO. </t>
        </is>
      </c>
      <c r="C15" s="59" t="n">
        <v>3080</v>
      </c>
    </row>
    <row r="16">
      <c r="A16" s="36" t="inlineStr">
        <is>
          <t>40.90.6C.01.43</t>
        </is>
      </c>
      <c r="B16" s="36" t="inlineStr">
        <is>
          <t>Realización por parte del investigador Pedro Varó Galvañ de la actividad "Monitorización y propuestas de mejora para la gestión del biofiltro de la planta de UTE Alicante en el Centro de Tratamiento de Residuos de Alicante" correspondiente a los informes números 50 y 51 del mes de enero de 2024. Referencias UTEALICANTE2-23TD-50 y UTEALICANTE2-23TD-51</t>
        </is>
      </c>
      <c r="C16" s="58" t="n">
        <v>720.1900000000001</v>
      </c>
    </row>
    <row r="17">
      <c r="A17" s="37" t="inlineStr">
        <is>
          <t>40.90.6C.01.43</t>
        </is>
      </c>
      <c r="B17" s="37" t="inlineStr">
        <is>
          <t>Realización por parte del investigador Pedro Varó Galvañ de la actividad "Monitorización y propuestas de mejora para la gestión del biofiltro de la planta de UTE Alicante en el Centro de Tratamiento de Residuos de Alicante" correspondiente a los informes del mes de marzo 2024 (Completa los servicios del primer trimestre 2024)</t>
        </is>
      </c>
      <c r="C17" s="59" t="n">
        <v>360.1</v>
      </c>
    </row>
    <row r="18">
      <c r="A18" s="36" t="inlineStr">
        <is>
          <t>40.90.6C.01.43</t>
        </is>
      </c>
      <c r="B18" s="36" t="inlineStr">
        <is>
          <t>Realización por parte del investigador Pedro Varó Galvañ de la actividad "Monitorización y propuestas de mejora para la gestión del biofiltro de la planta de UTE Alicante en el Centro de Tratamiento de Residuos de Alicante" correspondiente a los informes de los meses de abril, mayo, junio de 2024. UTEALICANTE2-23T-0057, UTEALICANTE2-23T-0058, UTEALICANTE2-23T-0059</t>
        </is>
      </c>
      <c r="C18" s="58" t="n">
        <v>1080.29</v>
      </c>
    </row>
    <row r="19">
      <c r="A19" s="37" t="inlineStr">
        <is>
          <t>40.90.6C.01.43</t>
        </is>
      </c>
      <c r="B19" s="37" t="inlineStr">
        <is>
          <t>Realización por parte del investigador Pedro Varó Galvañ de la actividad "Monitorización y propuestas de mejora para la gestión del biofiltro de la planta de UTE Alicante en el Centro de Tratamiento de Residuos de Alicante" correspondiente a los informes de los meses de julio, agosto, septiembre de 2024. UTEALICANTE2-23T-0060, UTEALICANTE2-23T-0061, UTEALICANTE2-23T-0062</t>
        </is>
      </c>
      <c r="C19" s="59" t="n">
        <v>1080.29</v>
      </c>
    </row>
    <row r="20">
      <c r="A20" s="36" t="inlineStr">
        <is>
          <t>40.90.6C.01.43</t>
        </is>
      </c>
      <c r="B20" s="36" t="inlineStr">
        <is>
          <t>Realización por parte del investigador Pedro Varó Galvañ de la actividad "Monitorización y propuestas de mejora para la gestión del biofiltro de la planta de UTE Alicante en el Centro de Tratamiento de Residuos de Alicante" correspondiente a los informes de los meses de octubre, noviembre, diciembre de 2024. UTEALICANTE2-23T-0063, UTEALICANTE2-23T-0064, UTEALICANTE2-23T-0065</t>
        </is>
      </c>
      <c r="C20" s="58" t="n">
        <v>1080.29</v>
      </c>
    </row>
    <row r="21">
      <c r="A21" s="37" t="inlineStr">
        <is>
          <t>40.90.6C.01.44</t>
        </is>
      </c>
      <c r="B21" s="37" t="inlineStr">
        <is>
          <t>ANÁLISIS DE 1 MUESTRA DE ÁRIDO CALIZO TERMINAL POR FLUORESCENCIA DE RAYOS X Y ANÁLISIS DE 1 MUESTRA DE ÁRIDO C.LILLO POR FLUORESCENCIA DE RAYOS X</t>
        </is>
      </c>
      <c r="C21" s="59" t="n">
        <v>211.2</v>
      </c>
    </row>
    <row r="22">
      <c r="A22" s="36" t="inlineStr">
        <is>
          <t>40.90.6C.01.45</t>
        </is>
      </c>
      <c r="B22" s="36" t="inlineStr">
        <is>
          <t>ANÁLISIS DE 1 MUESTRA DE ÁRIDO DOLOMÍTICO CARTAGENA Y 1 MUESTRA DE ÁRIDO CALIZO TERMINAL POR FLUORESCENCIA DE RAYOS X</t>
        </is>
      </c>
      <c r="C22" s="58" t="n">
        <v>211.2</v>
      </c>
    </row>
    <row r="23">
      <c r="A23" s="37" t="inlineStr">
        <is>
          <t>40.90.6C.01.46</t>
        </is>
      </c>
      <c r="B23" s="37" t="inlineStr">
        <is>
          <t>ANALISIS POR FLUORESCENCIA DE RAYOS X DE - 1 MUESTRA DE ARIDO CALIZO ABANILLA-BLANCO 0 - 1 MUESTRA DE ARIDO CALIZO ABANILLA-BLANCO 2 - 1 MUESTRA DE ARIDO CALIZO ABANILLA-BLANCO 4 - 1 MUESTRA DE ARIDO CALIZO BLANCO</t>
        </is>
      </c>
      <c r="C23" s="59" t="n">
        <v>422.4</v>
      </c>
    </row>
    <row r="24">
      <c r="A24" s="36" t="inlineStr">
        <is>
          <t>40.90.6C.01.47</t>
        </is>
      </c>
      <c r="B24" s="36" t="inlineStr">
        <is>
          <t>Estudio de caracterización de los frentes de cantera y los materiales finales de producción en cantera. Determinación de pérdidas por ignición + Fluorescencia de Rayos X + análisis de resultados. Ref. proyecto EIFFAGE3-24T</t>
        </is>
      </c>
      <c r="C24" s="58" t="n">
        <v>968</v>
      </c>
    </row>
    <row r="25">
      <c r="A25" s="37" t="inlineStr">
        <is>
          <t>40.90.6C.01.47</t>
        </is>
      </c>
      <c r="B25" s="37" t="inlineStr">
        <is>
          <t>Estudio de caracterización de los frentes de cantera y los materiales finales de producción en cantera. Determinación de pérdidas por ignición + Fluorescencia de Rayos X + análisis de resultados. Ref. proyecto EIFFAGE3-24T</t>
        </is>
      </c>
      <c r="C25" s="59" t="n">
        <v>1645.6</v>
      </c>
    </row>
    <row r="26">
      <c r="A26" s="36" t="inlineStr">
        <is>
          <t>40.90.6C.01.48</t>
        </is>
      </c>
      <c r="B26" s="36" t="inlineStr">
        <is>
          <t>ANÁLISIS POR FLUORESCENCIA DE RAYOS X Y DETERMINACIÓN DE PÉRDIDA AL FUEGO DE 6 MUESTRAS DE PYL Y 1 MUESTRA DE MINERAL DE YESO</t>
        </is>
      </c>
      <c r="C26" s="58" t="n">
        <v>739.2</v>
      </c>
    </row>
    <row r="27">
      <c r="A27" s="37" t="inlineStr">
        <is>
          <t>40.90.6C.01.49</t>
        </is>
      </c>
      <c r="B27" s="37" t="inlineStr">
        <is>
          <t>ANÁLISIS POR FLUORESCENCIA DE RAYOS X Y DETERMINACIÓN DE PÉRDIDA AL FUEGO DE 3 MUESTRAS DE YESO MINERAL. FOTOGRAFÍAS SEM DE DOS PYL DE 2 MUESTRAS</t>
        </is>
      </c>
      <c r="C27" s="59" t="n">
        <v>422.4</v>
      </c>
    </row>
    <row r="28">
      <c r="A28" s="36" t="inlineStr">
        <is>
          <t>40.90.6C.01.50</t>
        </is>
      </c>
      <c r="B28" s="36" t="inlineStr">
        <is>
          <t>ANÁLISIS POR FLUORESCENCIA DE RAYOS X Y DETERMINACIÓN DE PÉRDIDA AL FUEGO DE 7 MUESTRAS DE PYL Y 2 MUESTRAS DE YESO SEMIHIDRATO. FOTOGRAFÍAS MEB DE 7 MUESTRAS DE PYL</t>
        </is>
      </c>
      <c r="C28" s="58" t="n">
        <v>1320</v>
      </c>
    </row>
    <row r="29">
      <c r="A29" s="37" t="inlineStr">
        <is>
          <t>40.90.6C.01.51</t>
        </is>
      </c>
      <c r="B29" s="37" t="inlineStr">
        <is>
          <t>Análisis por fluorescencia de rayos X y determinación de pérdida al fuego de 3 muestras de yeso mineral.</t>
        </is>
      </c>
      <c r="C29" s="59" t="n">
        <v>316.8</v>
      </c>
    </row>
    <row r="30">
      <c r="A30" s="36" t="inlineStr">
        <is>
          <t>40.90.6C.01.52</t>
        </is>
      </c>
      <c r="B30" s="36" t="inlineStr">
        <is>
          <t>REALIZACIÓN POR PARTE DEL EXPERTO TÉCNICO DE LA EVALUACIÓN DEL PROYECTO ZL-2024/0000426 PROYECTO Nº 941.968</t>
        </is>
      </c>
      <c r="C30" s="58" t="n">
        <v>193.6</v>
      </c>
    </row>
    <row r="31">
      <c r="A31" s="37" t="inlineStr">
        <is>
          <t>40.90.6C.01.52</t>
        </is>
      </c>
      <c r="B31" s="37" t="inlineStr">
        <is>
          <t>REALIZACIÓN POR PARTE DEL EXPERTO TÉCNICO DE LA EVALUACIÓN DEL PROYECTO ZL-2024/0000458 PROYECTO Nº 942.013</t>
        </is>
      </c>
      <c r="C31" s="59" t="n">
        <v>193.6</v>
      </c>
    </row>
    <row r="32">
      <c r="A32" s="36" t="inlineStr">
        <is>
          <t>40.90.6C.01.52</t>
        </is>
      </c>
      <c r="B32" s="36" t="inlineStr">
        <is>
          <t>REALIZACIÓN POR PARTE DEL EXPERTO TÉCNICO DE LA EVALUACIÓN DEL PROYECTO 941.977</t>
        </is>
      </c>
      <c r="C32" s="58" t="n">
        <v>193.6</v>
      </c>
    </row>
    <row r="33">
      <c r="A33" s="37" t="inlineStr">
        <is>
          <t>40.90.6C.01.52</t>
        </is>
      </c>
      <c r="B33" s="37" t="inlineStr">
        <is>
          <t>REALIZACIÓN POR PARTE DEL EXPERTO TÉCNICO DE LA EVALUACIÓN DEL PROYECTO 942.164</t>
        </is>
      </c>
      <c r="C33" s="59" t="n">
        <v>132</v>
      </c>
    </row>
    <row r="34">
      <c r="A34" s="36" t="inlineStr">
        <is>
          <t>40.90.6C.01.54</t>
        </is>
      </c>
      <c r="B34" s="36" t="inlineStr">
        <is>
          <t>ESTUDIO DEL EFECTO DEL TRATAMIENTO ELECTROMAGNÉTICO PARA EVITAR INCRUSTACIONES EN AGUAS DE ABASTECIMIENTO A PEQUEÑOS MUNICIPIOS</t>
        </is>
      </c>
      <c r="C34" s="58" t="n">
        <v>15400</v>
      </c>
    </row>
    <row r="35">
      <c r="A35" s="37" t="inlineStr">
        <is>
          <t>40.90.6C.01.55</t>
        </is>
      </c>
      <c r="B35" s="37" t="inlineStr">
        <is>
          <t>USO DE NANOPARTICULAS DE METALES PARA TRATAMIENTO DE OLORES DE BALSAS DE RESIDUOS DE LA INDUSTRIA AGRO GANADERA. Primer pago.</t>
        </is>
      </c>
      <c r="C35" s="59" t="n">
        <v>9500</v>
      </c>
    </row>
    <row r="36">
      <c r="A36" s="36" t="inlineStr">
        <is>
          <t>40.90.6C.01.56</t>
        </is>
      </c>
      <c r="B36" s="36" t="inlineStr">
        <is>
          <t>ADHESIVOS REVERSIBLES PARA LA UNIÓN Y EL DESENSAMBLADO DE PRODUCTOS DE CONSUMO COMPLEJOS-FORMULACIÓN DE ADHESIVOS HOT MELT CONDUCTORES Y/O MAGNÉTICOS. Primer pago. Ref.proyecto AITEX8-24I Nº de Pedido: PC.24-4393 Proyecto: HEATEX</t>
        </is>
      </c>
      <c r="C36" s="58" t="n">
        <v>9108</v>
      </c>
    </row>
    <row r="37">
      <c r="A37" s="37" t="inlineStr">
        <is>
          <t>40.90.6C.01.57</t>
        </is>
      </c>
      <c r="B37" s="37" t="inlineStr">
        <is>
          <t xml:space="preserve">ANÁLISIS POR FLUORESCENCIA DE RAYOS X Y DETERMINACIÓN DE PÉRDIDA AL FUEGO DE 7 MUESTRAS DE YESO MINERAL. </t>
        </is>
      </c>
      <c r="C37" s="59" t="n">
        <v>739.2</v>
      </c>
    </row>
    <row r="38">
      <c r="A38" s="36" t="inlineStr">
        <is>
          <t>40.90.6C.01.58</t>
        </is>
      </c>
      <c r="B38" s="36" t="inlineStr">
        <is>
          <t xml:space="preserve">ANÁLISIS DE 2 MUESTRAS DE MINERAL DE YESO PRO FLUORESCENCIA DE RAYOS X. </t>
        </is>
      </c>
      <c r="C38" s="58" t="n">
        <v>211.2</v>
      </c>
    </row>
    <row r="39">
      <c r="A39" s="37" t="inlineStr">
        <is>
          <t>40.90.6C.01.59</t>
        </is>
      </c>
      <c r="B39" s="37" t="inlineStr">
        <is>
          <t xml:space="preserve">NUEVO PROCESO DE RECICLAJE PARA CONVERTIR LOS RESIDUOS DE ENVASES FLEXIBLES MULTICAPA EN RECURSOS. </t>
        </is>
      </c>
      <c r="C39" s="59" t="n">
        <v>7040</v>
      </c>
    </row>
    <row r="40">
      <c r="A40" s="36" t="inlineStr">
        <is>
          <t>40.90.6C.01.60</t>
        </is>
      </c>
      <c r="B40" s="36" t="inlineStr">
        <is>
          <t xml:space="preserve">ANÁLISIS POR FLUORESCENCIA DE RAYOS X Y DETERMINACIÓN DE PÉRDIDA AL FUEGO DE 2 MUESTRAS DE YESO MINERAL . </t>
        </is>
      </c>
      <c r="C40" s="58" t="n">
        <v>211.2</v>
      </c>
    </row>
    <row r="41">
      <c r="A41" s="37" t="inlineStr">
        <is>
          <t>40.90.6C.01.61</t>
        </is>
      </c>
      <c r="B41" s="37" t="inlineStr">
        <is>
          <t>ANÁLISIS POR FLUORESCENCIA DE RAYOS X Y DETERMINACIÓN DE LA PÉRDIDA DE PESO AL FUEGO DE 2 MUESTRAS DE MATERIAL CALIZO, REFERENCIAS: TRANCO Y CHERCOS. Ref. Proyecto: TRITURADOSMACAEL1-24TPA</t>
        </is>
      </c>
      <c r="C41" s="59" t="n">
        <v>220</v>
      </c>
    </row>
    <row r="42">
      <c r="A42" s="36" t="inlineStr">
        <is>
          <t>40.90.6C.01.62</t>
        </is>
      </c>
      <c r="B42" s="36" t="inlineStr">
        <is>
          <t>ANÁLISIS DE 2 MUESTRAS DE MATERIAL CALIZO POR FLUORESCECIA DE RAYOS X Y DETERMINACIÓN DE LA PERDIDA DE PESO AL FUEGO. MÉTODO: "PERLADO CON TETRABORATO DE LITIO" REFERENCIAS: TRANCO Y CHERCOS. Ref. proyecto: TRITURADOSMACAEL2-24TPA</t>
        </is>
      </c>
      <c r="C42" s="58" t="n">
        <v>220</v>
      </c>
    </row>
    <row r="43">
      <c r="A43" s="37" t="inlineStr">
        <is>
          <t>40.90.6C.01.63</t>
        </is>
      </c>
      <c r="B43" s="37" t="inlineStr">
        <is>
          <t xml:space="preserve">ANÁLISIS POR FLUORESCENCIA DE RAYOS X Y DETERMINACIÓN DE PÉRDIDA AL FUEGO DE 6 MUESTRAS DE YESO MINERAL. </t>
        </is>
      </c>
      <c r="C43" s="59" t="n">
        <v>633.6</v>
      </c>
    </row>
    <row r="44">
      <c r="A44" s="36" t="inlineStr">
        <is>
          <t>40.90.6C.01.64</t>
        </is>
      </c>
      <c r="B44" s="36" t="inlineStr">
        <is>
          <t>ANÁLISIS Y CARACTERIZACIÓN DE COMPONENTES PARA LA MEJORA DE LA DIGESTIÓN ANAEROBIA. Investigador responsable Dr. Andrés Fullana Font. Ref. proyecto: CALPECH1-24I</t>
        </is>
      </c>
      <c r="C44" s="58" t="n">
        <v>9680</v>
      </c>
    </row>
    <row r="45">
      <c r="A45" s="37" t="inlineStr">
        <is>
          <t>40.90.6P.00.21</t>
        </is>
      </c>
      <c r="B45" s="37" t="inlineStr">
        <is>
          <t>DEVOLOUCIÓN DE INGRESOS_MODELO 047_Nº DE LIQUIDACIÓN 46/2024/RAS/10180/1_Nº DE JUSTIFICANTE: 047/1/002507580_Nº DE REFERENCIA: 047/1/002507580</t>
        </is>
      </c>
      <c r="C45" s="59" t="n">
        <v>-2427.35</v>
      </c>
    </row>
    <row r="46">
      <c r="A46" s="36" t="inlineStr">
        <is>
          <t>40.90.6P.00.22</t>
        </is>
      </c>
      <c r="B46" s="36" t="inlineStr">
        <is>
          <t>DEVOLOUCIÓN DE INGRESOS_MODELO 047_Nº DE LIQUIDACIÓN 46/2024/RAS/10180/1_Nº DE JUSTIFICANTE: 047/1/002507580_Nº DE REFERENCIA: 047/1/002507580</t>
        </is>
      </c>
      <c r="C46" s="58" t="n">
        <v>-3913.58</v>
      </c>
    </row>
    <row r="47">
      <c r="A47" s="37" t="inlineStr">
        <is>
          <t>40.90.6P.00.30</t>
        </is>
      </c>
      <c r="B47" s="37" t="inlineStr">
        <is>
          <t>AYUDA CIPROM/2021/001, CIPROM/2021/006, CIPROM/2021/017, CIPROM/2021/021, CIPROM/2021/022, CIPROM/2021/027, CIPROM/2021/057, CIPROM/2021/060, CIPROM/2021/062, CIPROM/2021/068, CIPROM/2021/070, CIPROM/2021/074</t>
        </is>
      </c>
      <c r="C47" s="59" t="n">
        <v>115790.75</v>
      </c>
    </row>
    <row r="48">
      <c r="A48" s="36" t="inlineStr">
        <is>
          <t>40.90.6P.00.31</t>
        </is>
      </c>
      <c r="B48" s="36" t="inlineStr">
        <is>
          <t xml:space="preserve">AYUDAS CIAPOT/2021/16, CIAPOT/2021/23 </t>
        </is>
      </c>
      <c r="C48" s="58" t="n">
        <v>12000</v>
      </c>
    </row>
    <row r="49">
      <c r="A49" s="37" t="inlineStr">
        <is>
          <t>40.90.6P.00.33</t>
        </is>
      </c>
      <c r="B49" s="37" t="inlineStr">
        <is>
          <t xml:space="preserve">CIAICO/2021/019/074/124/158/167/173/279/305/328/335/345/348/339 </t>
        </is>
      </c>
      <c r="C49" s="59" t="n">
        <v>30000</v>
      </c>
    </row>
    <row r="50">
      <c r="A50" s="36" t="inlineStr">
        <is>
          <t>40.90.6P.00.33</t>
        </is>
      </c>
      <c r="B50" s="36" t="inlineStr">
        <is>
          <t>DEVOLUCIÓN DE INGRESOS_MODELO 047_Nº DE LIQUIDACIÓN: 46/2024/RAS/10135/1_ Nº DE JUSTIFICANTE: 047/1/002493531/ Nº DE REFERENCIA: 047/1/002493531</t>
        </is>
      </c>
      <c r="C50" s="58" t="n">
        <v>-10487.02</v>
      </c>
    </row>
    <row r="51">
      <c r="A51" s="37" t="inlineStr">
        <is>
          <t>40.90.6P.00.34</t>
        </is>
      </c>
      <c r="B51" s="37" t="inlineStr">
        <is>
          <t>PID2021-124139NB-C21 -124237NB-I00 -124721NB-I00 -124741NB-I00 -124860NB-I00 -125175OB-I00 -125279OB-I00 -125387NB-I00 -125517OB-I00 -125883NB-C21-126056OA-I00 -126114NB-C41 -126155OB-I00</t>
        </is>
      </c>
      <c r="C51" s="59" t="n">
        <v>11200</v>
      </c>
    </row>
    <row r="52">
      <c r="A52" s="36" t="inlineStr">
        <is>
          <t>40.90.6P.00.35</t>
        </is>
      </c>
      <c r="B52" s="36" t="inlineStr">
        <is>
          <t>PID2021-126485OB-I00-126858NB-I00-126990NB-I00-127332NB-I00-127426OB-C22-127566NB-I00-127967NB-I00-127999NB-I00-128381NB-I00-128761OB-C21-128766OB-I00-128805NA-I00-128876OB-I00</t>
        </is>
      </c>
      <c r="C52" s="58" t="n">
        <v>9950</v>
      </c>
    </row>
    <row r="53">
      <c r="A53" s="37" t="inlineStr">
        <is>
          <t>40.90.6P.00.36</t>
        </is>
      </c>
      <c r="B53" s="37" t="inlineStr">
        <is>
          <t>ayudas CIGE/2022/4, CIGE/2022/6, CIGE/2022/8, CIGE/2022/15, CIGE/2022/16, CIGE/2022/21, CIGE/2022/30, CIGE/2022/45, CIGE/2022/46, CIGE/2022/51, CIGE/2022/52, CIGE/2022/54, CIGE/2022/55, CIGE/2022/105, CIGE/2022/170, CIGE/2022/179</t>
        </is>
      </c>
      <c r="C53" s="59" t="n">
        <v>10000</v>
      </c>
    </row>
    <row r="54">
      <c r="A54" s="36" t="inlineStr">
        <is>
          <t>40.90.6P.00.36</t>
        </is>
      </c>
      <c r="B54" s="36" t="inlineStr">
        <is>
          <t>DEVOLUCIÓN DE INGRESOS_ MODELO 047_ Nº DE LIQUIDACIÓN: 46/2024/RAS/10325/1 Nº DE JUSTIFICANTE: 047/1/002551836_Nº DE REFERENCIA: 047/1/002551836</t>
        </is>
      </c>
      <c r="C54" s="58" t="n">
        <v>-5873.84</v>
      </c>
    </row>
    <row r="55">
      <c r="A55" s="37" t="inlineStr">
        <is>
          <t>40.90.6P.00.37</t>
        </is>
      </c>
      <c r="B55" s="37" t="inlineStr">
        <is>
          <t>INNVA1/2023/11</t>
        </is>
      </c>
      <c r="C55" s="59" t="n">
        <v>138951.46</v>
      </c>
    </row>
    <row r="56">
      <c r="A56" s="36" t="inlineStr">
        <is>
          <t>40.90.6P.00.37</t>
        </is>
      </c>
      <c r="B56" s="36" t="inlineStr">
        <is>
          <t>Minoración ayuda INNVA1/2023/11</t>
        </is>
      </c>
      <c r="C56" s="58" t="n">
        <v>-4073.26</v>
      </c>
    </row>
    <row r="57">
      <c r="A57" s="37" t="inlineStr">
        <is>
          <t>40.90.6P.00.38</t>
        </is>
      </c>
      <c r="B57" s="37" t="inlineStr">
        <is>
          <t>PID2022-138111NB-I00-141543OB-I00-137350NB-I00-138491OB-C32-137364OB-I00-138329NB-I00-142830NB-I00-138453OB-I00-138696OB-C22-138853NB-I00-142712NB-I00</t>
        </is>
      </c>
      <c r="C57" s="59" t="n">
        <v>28050</v>
      </c>
    </row>
    <row r="58">
      <c r="A58" s="36" t="inlineStr">
        <is>
          <t>40.90.6P.00.40</t>
        </is>
      </c>
      <c r="B58" s="36" t="inlineStr">
        <is>
          <t xml:space="preserve">ayudas CIPROM/2023/2, CIPROM/2023/3, CIPROM/2023/6, CIPROM/2023/11, CIPROM/2023/35 </t>
        </is>
      </c>
      <c r="C58" s="58" t="n">
        <v>39432.85</v>
      </c>
    </row>
    <row r="59">
      <c r="A59" s="41" t="inlineStr">
        <is>
          <t>40.90.6P.00.41</t>
        </is>
      </c>
      <c r="B59" s="41" t="inlineStr">
        <is>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is>
      </c>
      <c r="C59" s="60" t="n">
        <v>98540</v>
      </c>
    </row>
    <row r="60">
      <c r="A60" s="41" t="inlineStr">
        <is>
          <t>Total</t>
        </is>
      </c>
      <c r="B60" s="41" t="n"/>
      <c r="C60" s="61">
        <f>SUBTOTAL(109,Tabla3[Imp. aplic.])</f>
        <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38"/>
  <sheetViews>
    <sheetView topLeftCell="A16" workbookViewId="0">
      <selection activeCell="C39" sqref="C39"/>
    </sheetView>
  </sheetViews>
  <sheetFormatPr baseColWidth="10" defaultRowHeight="15"/>
  <cols>
    <col width="16.85546875" customWidth="1" min="1" max="1"/>
    <col width="44.140625" customWidth="1" min="2" max="2"/>
    <col width="27.7109375" customWidth="1" min="3" max="3"/>
  </cols>
  <sheetData>
    <row r="1">
      <c r="A1" s="45" t="inlineStr">
        <is>
          <t>Org. aplic.</t>
        </is>
      </c>
      <c r="B1" s="46" t="inlineStr">
        <is>
          <t>Descripción justificante</t>
        </is>
      </c>
      <c r="C1" s="46" t="inlineStr">
        <is>
          <t>Imp. aplic.</t>
        </is>
      </c>
    </row>
    <row r="2">
      <c r="A2" s="47" t="inlineStr">
        <is>
          <t>40.90.6C.00.96</t>
        </is>
      </c>
      <c r="B2" s="48" t="inlineStr">
        <is>
          <t>Pago de regalías por transferencia de tecnología 2024  (Regalías 3.674,37 - Reducción egresados 674,37 = 3.000€)  -  Ref. contrato  de licencia: SOLUBLION(EBT)1-20O</t>
        </is>
      </c>
      <c r="C2" s="64" t="n">
        <v>1800</v>
      </c>
    </row>
    <row r="3">
      <c r="A3" s="50" t="inlineStr">
        <is>
          <t>40.90.6C.00.97</t>
        </is>
      </c>
      <c r="B3" s="51" t="inlineStr">
        <is>
          <t>Pago de regalías 2025 por transferencia de tecnología -  Ref. contrato de licencia: FYCH(EBT)1-20O (Regalías 60.000 - 9.000  Reducción 15% egresados UA)</t>
        </is>
      </c>
      <c r="C3" s="65" t="n">
        <v>30600</v>
      </c>
    </row>
    <row r="4">
      <c r="A4" s="47" t="inlineStr">
        <is>
          <t>40.90.6C.01.04</t>
        </is>
      </c>
      <c r="B4" s="48" t="inlineStr">
        <is>
          <t>Realización, por parte del investigador Pedro Varó Galvañ, de la actividad "BIODIGESTIÓN DE RESIDUOS DE ORIGEN URBANO A ESCALA INDUSTRIAL. SEGUIMIENTO DE LAS ETAPAS DE INICIO DEL PROCESO, ESTABILIZACIÓN, PRODUCCIÓN Y CONTROL DE CALIDAD DEL BIOGAS Y DEL DIGESTO", (REFERENCIA UTEALICANTE1-23TD) correspondiente al  informe de diciembre de 2024.</t>
        </is>
      </c>
      <c r="C4" s="64" t="n">
        <v>1761.76</v>
      </c>
    </row>
    <row r="5">
      <c r="A5" s="50" t="inlineStr">
        <is>
          <t>40.90.6C.01.04</t>
        </is>
      </c>
      <c r="B5" s="51" t="inlineStr">
        <is>
          <t>Realización, por parte del investigador Pedro Varó Galvañ, de la actividad "BIODIGESTIÓN DE RESIDUOS DE ORIGEN URBANO A ESCALA INDUSTRIAL. SEGUIMIENTO DE LAS ETAPAS DE INICIO DEL PROCESO, ESTABILIZACIÓN, PRODUCCIÓN Y CONTROL DE CALIDAD DEL BIOGAS Y DEL DIGESTO", (REFERENCIA UTEALICANTE1-23TD) correspondiente a los informes de abril, mayo y junio de 2025.</t>
        </is>
      </c>
      <c r="C5" s="65" t="n">
        <v>5285.28</v>
      </c>
    </row>
    <row r="6">
      <c r="A6" s="47" t="inlineStr">
        <is>
          <t>40.90.6C.01.04</t>
        </is>
      </c>
      <c r="B6" s="48" t="inlineStr">
        <is>
          <t>Realización, por parte del investigador Pedro Varó Galvañ, de la actividad "BIODIGESTIÓN DE RESIDUOS DE ORIGEN URBANO A ESCALA INDUSTRIAL. SEGUIMIENTO DE LAS ETAPAS DE INICIO DEL PROCESO, ESTABILIZACIÓN, PRODUCCIÓN Y CONTROL DE CALIDAD DEL BIOGAS Y DEL DIGESTO", (REFERENCIA UTEALICANTE1-23TD) correspondiente a los informes de julio y agosto de 2025.</t>
        </is>
      </c>
      <c r="C6" s="64" t="n">
        <v>3523.52</v>
      </c>
    </row>
    <row r="7">
      <c r="A7" s="50" t="inlineStr">
        <is>
          <t>40.90.6C.01.43</t>
        </is>
      </c>
      <c r="B7" s="51" t="inlineStr">
        <is>
          <t>Realización por parte del investigador Pedro Varó Galvañ de la actividad "Monitorización y propuestas de mejora para la gestión del biofiltro de la planta de UTE Alicante en el Centro de Tratamiento de Residuos de Alicante". Ref. proyecto: UTEALICANTE2-23T</t>
        </is>
      </c>
      <c r="C7" s="65" t="n">
        <v>1080.29</v>
      </c>
    </row>
    <row r="8">
      <c r="A8" s="47" t="inlineStr">
        <is>
          <t>40.90.6C.01.43</t>
        </is>
      </c>
      <c r="B8" s="48" t="inlineStr">
        <is>
          <t>Realización por parte del investigador Pedro Varó Galvañ de la actividad "Monitorización y propuestas de mejora para la gestión del biofiltro de la planta de UTE Alicante en el Centro de Tratamiento de Residuos de Alicante" correspondiente a los informes de los meses de abril, mayo y junio de 2025. Ref. proyecto: UTEALICANTE2-23T</t>
        </is>
      </c>
      <c r="C8" s="64" t="n">
        <v>1080.29</v>
      </c>
    </row>
    <row r="9">
      <c r="A9" s="50" t="inlineStr">
        <is>
          <t>40.90.6C.01.47</t>
        </is>
      </c>
      <c r="B9" s="51" t="inlineStr">
        <is>
          <t>Estudio de caracterización de los frentes de cantera y los materiales finales de producción en cantera. Determinación de pérdidas por ignición + Fluorescencia de Rayos X + análisis de resultados. Ref. proyecto EIFFAGE3-24T</t>
        </is>
      </c>
      <c r="C9" s="65" t="n">
        <v>1936</v>
      </c>
    </row>
    <row r="10">
      <c r="A10" s="47" t="inlineStr">
        <is>
          <t>40.90.6C.01.52</t>
        </is>
      </c>
      <c r="B10" s="48" t="inlineStr">
        <is>
          <t>REALIZACIÓN POR PARTE DEL EXPERTO TÉCNICO DE LA EVALUACIÓN DEL PROYECTO 951.302. Ref. proyecto: EQA7-25TPA</t>
        </is>
      </c>
      <c r="C10" s="64" t="n">
        <v>193.6</v>
      </c>
    </row>
    <row r="11">
      <c r="A11" s="50" t="inlineStr">
        <is>
          <t>40.90.6C.01.52</t>
        </is>
      </c>
      <c r="B11" s="51" t="inlineStr">
        <is>
          <t>REALIZACIÓN POR PARTE DEL EXPERTO TÉCNICO DE LA EVALUACIÓN DEL PROYECTO 951.356. Ref. proyecto: EQA8-25TPA</t>
        </is>
      </c>
      <c r="C11" s="65" t="n">
        <v>193.6</v>
      </c>
    </row>
    <row r="12">
      <c r="A12" s="47" t="inlineStr">
        <is>
          <t>40.90.6C.01.54</t>
        </is>
      </c>
      <c r="B12" s="48" t="inlineStr">
        <is>
          <t>ESTUDIO DEL EFECTO DEL TRATAMIENTO ELECTROMAGNÉTICO PARA EVITAR INCRUSTACIONES EN AGUAS DE ABASTECIMIENTO A PEQUEÑOS MUNICIPIOS. Segundo pago. Ref. proyecto: PROAGUAS1-24I</t>
        </is>
      </c>
      <c r="C12" s="64" t="n">
        <v>15400</v>
      </c>
    </row>
    <row r="13">
      <c r="A13" s="50" t="inlineStr">
        <is>
          <t>40.90.6C.01.56</t>
        </is>
      </c>
      <c r="B13" s="51" t="inlineStr">
        <is>
          <t>ADHESIVOS REVERSIBLES PARA LA UNIÓN Y EL DESENSAMBLADO DE PRODUCTOS DE CONSUMO COMPLEJOS-FORMULACIÓN DE ADHESIVOS HOT MELT CONDUCTORES Y/O MAGNÉTICOS. Segundo pago. Ref.proyecto AITEX8-24I Nº de Pedido: PC.25-0542 Proyecto: HEATEX</t>
        </is>
      </c>
      <c r="C13" s="65" t="n">
        <v>4554</v>
      </c>
    </row>
    <row r="14">
      <c r="A14" s="47" t="inlineStr">
        <is>
          <t>40.90.6C.01.56</t>
        </is>
      </c>
      <c r="B14" s="48" t="inlineStr">
        <is>
          <t>ADHESIVOS REVERSIBLES PARA LA UNIÓN Y EL DESENSAMBLADO DE PRODUCTOS DE CONSUMO COMPLEJOS-FORMULACIÓN DE ADHESIVOS HOT MELT CONDUCTORES Y/O MAGNÉTICOS. Tercer pago. Ref.proyecto AITEX8-24I Nº de Pedido: PC.25-0542 Proyecto: HEATEX</t>
        </is>
      </c>
      <c r="C14" s="64" t="n">
        <v>4554</v>
      </c>
    </row>
    <row r="15">
      <c r="A15" s="50" t="inlineStr">
        <is>
          <t>40.90.6C.01.65</t>
        </is>
      </c>
      <c r="B15" s="51" t="inlineStr">
        <is>
          <t>OPTIMIZACIÓN DE PROCESOS DE HIDRÓLISIS PARA LA OBTENCIÓN DE HIDROLIZADOS DE GLUTEN DE MAÍZ CON ALTO POTENCIAL BIOESTIMULANTE. Ref. proyecto: ATLANTICAAGRICOLA1-24TPA</t>
        </is>
      </c>
      <c r="C15" s="65" t="n">
        <v>10560</v>
      </c>
    </row>
    <row r="16">
      <c r="A16" s="47" t="inlineStr">
        <is>
          <t>40.90.6C.01.66</t>
        </is>
      </c>
      <c r="B16" s="48" t="inlineStr">
        <is>
          <t xml:space="preserve">ANÁLISIS POR FLUORESCENCIA DE RAYOS X Y DETERMINACIÓN DE PÉRDIDA AL FUEGO DE 4 MUESTRAS DE YESO MINERAL. </t>
        </is>
      </c>
      <c r="C16" s="64" t="n">
        <v>422.4</v>
      </c>
    </row>
    <row r="17">
      <c r="A17" s="50" t="inlineStr">
        <is>
          <t>40.90.6C.01.67</t>
        </is>
      </c>
      <c r="B17" s="51" t="inlineStr">
        <is>
          <t>ANÁLISIS POR FLUORESCENCIA DE RAYOS X Y DETERMINACIÓN DE LA PERDIDA DE PESO AL FUEGO DE 2 MUESTRAS DE MATERIAL CALIZO. Ref. proyecto: TRITURADOSMACAEL1-25TPA</t>
        </is>
      </c>
      <c r="C17" s="65" t="n">
        <v>220</v>
      </c>
    </row>
    <row r="18">
      <c r="A18" s="47" t="inlineStr">
        <is>
          <t>40.90.6C.01.68</t>
        </is>
      </c>
      <c r="B18" s="48" t="inlineStr">
        <is>
          <t xml:space="preserve">ANÁLISIS POR FLUORESCENCIA DE RAYOS X Y DETERMINACIÓN DE PERDIDA AL FUEGO DE 7 MUESTRAS DE YESO MINERAL. Ref. proyecto: YESOSTORRIQUE4-25TPA </t>
        </is>
      </c>
      <c r="C18" s="64" t="n">
        <v>739.2</v>
      </c>
    </row>
    <row r="19">
      <c r="A19" s="50" t="inlineStr">
        <is>
          <t>40.90.6C.01.69</t>
        </is>
      </c>
      <c r="B19" s="51" t="inlineStr">
        <is>
          <t xml:space="preserve">ANÁLISIS POR FLUORESCENCIA DE RAYOS X Y DETERMINACIÓN DE PÉRDIDA AL FUEGO DE 3 MUESTRAS DE YESO MINERAL Y 3 MUESTRAS DE SEMIHIDRATO. TOTAL 6 MUESTRAS. </t>
        </is>
      </c>
      <c r="C19" s="65" t="n">
        <v>633.6</v>
      </c>
    </row>
    <row r="20">
      <c r="A20" s="47" t="inlineStr">
        <is>
          <t>40.90.6C.01.70</t>
        </is>
      </c>
      <c r="B20" s="48" t="inlineStr">
        <is>
          <t xml:space="preserve">ANÁLISIS POR FLUORESCENCIA DE RAYOS X Y DETERMINACIÓN DE PERDIDA AL FUEGO DE 2 MUESTRAS DE YESO MINERAL. Ref. proyecto: YESOSTORRIQUE7-25TPA </t>
        </is>
      </c>
      <c r="C20" s="64" t="n">
        <v>211.2</v>
      </c>
    </row>
    <row r="21">
      <c r="A21" s="50" t="inlineStr">
        <is>
          <t>40.90.6C.01.71</t>
        </is>
      </c>
      <c r="B21" s="51" t="inlineStr">
        <is>
          <t>ESTUDIO DE VIABILIDAD DE LA OBTENCIÓN DE HIDRÓXIDO DE MAGNESIO A PARTIR DE AGUAS MARINAS: CARACTERIZACIÓN DE PROTOTIPOS. Ref. proyecto: BRASDELPORT1-25TPA</t>
        </is>
      </c>
      <c r="C21" s="65" t="n">
        <v>8193.68</v>
      </c>
    </row>
    <row r="22">
      <c r="A22" s="47" t="inlineStr">
        <is>
          <t>40.90.6C.01.72</t>
        </is>
      </c>
      <c r="B22" s="48" t="inlineStr">
        <is>
          <t>ANÁLISIS POR FLUORESCENCIA DE RAYOS X Y DETERMINACIÓN DE PÉRDIDA AL FUEGO DE 2 MUESTRAS DE YESO MINERAL. Ref. proyecto: YESOSTORRIQUE8-25TPA</t>
        </is>
      </c>
      <c r="C22" s="64" t="n">
        <v>211.2</v>
      </c>
    </row>
    <row r="23">
      <c r="A23" s="50" t="inlineStr">
        <is>
          <t>40.90.6C.01.73</t>
        </is>
      </c>
      <c r="B23" s="51" t="inlineStr">
        <is>
          <t xml:space="preserve">ANÁLISIS POR FLUORESCENCIA DE RAYOS X Y DETERMINACIÓN DE LA PERDIDA DE PESO AL FUEGO DE 2 MUESTRAS DE MATERIAL CALIZO, REFERENCIAS: LORCA. Ref. proyecto:  TRITURADOSMACAEL2-25TPA </t>
        </is>
      </c>
      <c r="C23" s="65" t="n">
        <v>110</v>
      </c>
    </row>
    <row r="24">
      <c r="A24" s="47" t="inlineStr">
        <is>
          <t>40.90.6C.01.75</t>
        </is>
      </c>
      <c r="B24" s="48" t="inlineStr">
        <is>
          <t xml:space="preserve">ANÁLISIS EN EQUIPO EGA (EVOLVED GAS ANALYSIS), POR TRIPLICADO, DE LOS VOLÁTILES GENERADOS A 800ºC EN ATMÓSFERA INERTE DE 2 MUESTRAS EN CONDICIONES DE PIRÓLISIS FLASH. Ref: MIQUELYCOSTAS1-25TPA. Solicitante del análisis: Elisabetta Aracri-R&amp;D Department/Product Compliance </t>
        </is>
      </c>
      <c r="C24" s="64" t="n">
        <v>880</v>
      </c>
    </row>
    <row r="25">
      <c r="A25" s="50" t="inlineStr">
        <is>
          <t>40.90.6C.01.76</t>
        </is>
      </c>
      <c r="B25" s="51" t="inlineStr">
        <is>
          <t>ANÁLISIS POR FLUORESCENCIA DE RAYOS X Y DETERMINACIÓN DE PÉRDIDA AL FUEGO DE 6 MUESTRAS DE YESO MINERAL Y 1 MUESTRA DE SH INTERPLAC. Ref: YESOSTORRIQUE11-25TPA</t>
        </is>
      </c>
      <c r="C25" s="65" t="n">
        <v>739.2</v>
      </c>
    </row>
    <row r="26">
      <c r="A26" s="47" t="inlineStr">
        <is>
          <t>40.90.6P.00.30</t>
        </is>
      </c>
      <c r="B26" s="48" t="inlineStr">
        <is>
          <t xml:space="preserve">CIPROM/2021/001/006/017/021/022/027/057/060/062/068/070/074 </t>
        </is>
      </c>
      <c r="C26" s="64" t="n">
        <v>111717.15</v>
      </c>
    </row>
    <row r="27">
      <c r="A27" s="50" t="inlineStr">
        <is>
          <t>40.90.6P.00.36</t>
        </is>
      </c>
      <c r="B27" s="51" t="inlineStr">
        <is>
          <t>DEVOLUCIÓN DE INGRESOS_MODELO 047_CIGE 2022</t>
        </is>
      </c>
      <c r="C27" s="65" t="n">
        <v>-1694.54</v>
      </c>
    </row>
    <row r="28">
      <c r="A28" s="47" t="inlineStr">
        <is>
          <t>40.90.6P.00.37</t>
        </is>
      </c>
      <c r="B28" s="48" t="inlineStr">
        <is>
          <t xml:space="preserve">Ayudas INNVA1/2023/11 </t>
        </is>
      </c>
      <c r="C28" s="64" t="n">
        <v>207472.56</v>
      </c>
    </row>
    <row r="29">
      <c r="A29" s="50" t="inlineStr">
        <is>
          <t>40.90.6P.00.37</t>
        </is>
      </c>
      <c r="B29" s="51" t="inlineStr">
        <is>
          <t>Minoración INNVA1/2023/11</t>
        </is>
      </c>
      <c r="C29" s="65" t="n">
        <v>-6234.59</v>
      </c>
    </row>
    <row r="30">
      <c r="A30" s="47" t="inlineStr">
        <is>
          <t>40.90.6P.00.38</t>
        </is>
      </c>
      <c r="B30" s="48"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30" s="64" t="n">
        <v>19360</v>
      </c>
    </row>
    <row r="31">
      <c r="A31" s="50" t="inlineStr">
        <is>
          <t>40.90.6P.00.40</t>
        </is>
      </c>
      <c r="B31" s="51" t="inlineStr">
        <is>
          <t>CIPROM/2023/2/3/6/11/35</t>
        </is>
      </c>
      <c r="C31" s="65" t="n">
        <v>117812.7</v>
      </c>
    </row>
    <row r="32">
      <c r="A32" s="47" t="inlineStr">
        <is>
          <t>40.90.6P.00.41</t>
        </is>
      </c>
      <c r="B32" s="48" t="inlineStr">
        <is>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is>
      </c>
      <c r="C32" s="64" t="n">
        <v>17160</v>
      </c>
    </row>
    <row r="33" ht="15.75" customHeight="1" thickBot="1">
      <c r="A33" s="50" t="inlineStr">
        <is>
          <t>40.90.6P.00.42</t>
        </is>
      </c>
      <c r="B33" s="51"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33" s="65" t="n">
        <v>72203</v>
      </c>
    </row>
    <row r="34" ht="15.75" customHeight="1" thickTop="1">
      <c r="A34" s="53" t="inlineStr">
        <is>
          <t>Total</t>
        </is>
      </c>
      <c r="B34" s="54" t="n"/>
      <c r="C34" s="66" t="n">
        <v>632679.1</v>
      </c>
    </row>
    <row r="38">
      <c r="B38" s="42" t="inlineStr">
        <is>
          <t>Total ingresos investigación 2023-25</t>
        </is>
      </c>
      <c r="C38" s="67">
        <f>C34+Tabla2[[#Totals],[Imp.cob.aplic.]]+Tabla3[[#Totals],[Imp. aplic.]]</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dprha@ua.es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2026-05-28T21:59:19Z</dcterms:modified>
  <cp:lastModifiedBy>mayte.pujalte</cp:lastModifiedBy>
  <cp:lastPrinted>2019-07-03T07:26:29Z</cp:lastPrinted>
</cp:coreProperties>
</file>