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797" firstSheet="6" activeTab="10" autoFilterDateGrouping="1"/>
  </bookViews>
  <sheets>
    <sheet name="Cr.23" sheetId="1" state="visible" r:id="rId1"/>
    <sheet name="Cr.24" sheetId="2" state="visible" r:id="rId2"/>
    <sheet name="Cr.25" sheetId="3" state="visible" r:id="rId3"/>
    <sheet name="Tesis" sheetId="4" state="visible" r:id="rId4"/>
    <sheet name="Sexenios" sheetId="5" state="visible" r:id="rId5"/>
    <sheet name="Ingresos investigación 2023" sheetId="6" state="visible" r:id="rId6"/>
    <sheet name="Ingresos investigación 2024" sheetId="7" state="visible" r:id="rId7"/>
    <sheet name="Ingresos investigación 2025" sheetId="8" state="visible" r:id="rId8"/>
    <sheet name="Ingresos formación 2023" sheetId="9" state="visible" r:id="rId9"/>
    <sheet name="Ingresos formación 2024" sheetId="10" state="visible" r:id="rId10"/>
    <sheet name="Ingresos formación 2025" sheetId="11" state="visible" r:id="rId11"/>
    <sheet name="Correo" sheetId="12" state="veryHidden" r:id="rId12"/>
  </sheets>
  <definedNames>
    <definedName name="_xlnm._FilterDatabase" localSheetId="3" hidden="1">'Tesis'!$A$1:$U$1</definedName>
    <definedName name="_xlnm.Print_Titles" localSheetId="3">'Tesis'!$1:$1,'Tesis'!$D:$D</definedName>
    <definedName name="_xlnm.Print_Titles" localSheetId="4">'Sexenios'!$1:$1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21">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Calibri"/>
      <family val="2"/>
      <color theme="1"/>
      <sz val="11"/>
      <scheme val="minor"/>
    </font>
    <font>
      <name val="Arial"/>
      <family val="2"/>
      <color rgb="FF000000"/>
      <sz val="8"/>
    </font>
    <font>
      <name val="Arial"/>
      <family val="2"/>
      <b val="1"/>
      <color rgb="FFFFFFFF"/>
      <sz val="8"/>
    </font>
    <font>
      <name val="Arial"/>
      <family val="2"/>
      <b val="1"/>
      <color rgb="FF000000"/>
      <sz val="8"/>
    </font>
    <font>
      <name val="Calibri"/>
      <family val="2"/>
      <b val="1"/>
      <color theme="0"/>
      <sz val="11"/>
      <scheme val="minor"/>
    </font>
    <font>
      <name val="Calibri"/>
      <family val="2"/>
      <b val="1"/>
      <color theme="1"/>
      <sz val="11"/>
      <scheme val="minor"/>
    </font>
    <font>
      <name val="Arial"/>
      <family val="2"/>
      <b val="1"/>
      <color theme="0"/>
      <sz val="10"/>
    </font>
    <font>
      <name val="Arial"/>
      <family val="2"/>
      <b val="1"/>
      <color theme="1"/>
      <sz val="10"/>
    </font>
    <font>
      <name val="Arial"/>
      <family val="2"/>
      <b val="1"/>
      <color theme="0"/>
      <sz val="10"/>
    </font>
    <font>
      <name val="Arial"/>
      <family val="2"/>
      <color theme="1"/>
      <sz val="10"/>
    </font>
    <font>
      <name val="Arial"/>
      <family val="2"/>
      <b val="1"/>
      <color theme="1"/>
      <sz val="10"/>
    </font>
  </fonts>
  <fills count="17">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rgb="FFB2B2B2"/>
        <bgColor indexed="64"/>
      </patternFill>
    </fill>
    <fill>
      <patternFill patternType="solid">
        <fgColor rgb="FFE5E5E5"/>
        <bgColor indexed="64"/>
      </patternFill>
    </fill>
    <fill>
      <patternFill patternType="solid">
        <fgColor rgb="FFCCCCCC"/>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rgb="FF878787"/>
      </left>
      <right/>
      <top style="medium">
        <color rgb="FF878787"/>
      </top>
      <bottom style="medium">
        <color rgb="FF878787"/>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rgb="FF878787"/>
      </left>
      <right style="medium">
        <color rgb="FF878787"/>
      </right>
      <top style="medium">
        <color rgb="FF878787"/>
      </top>
      <bottom/>
      <diagonal/>
    </border>
    <border>
      <left/>
      <right/>
      <top style="medium">
        <color rgb="FF878787"/>
      </top>
      <bottom style="medium">
        <color rgb="FF878787"/>
      </bottom>
      <diagonal/>
    </border>
    <border>
      <left style="medium">
        <color rgb="FF878787"/>
      </left>
      <right style="medium">
        <color rgb="FF878787"/>
      </right>
      <top/>
      <bottom/>
      <diagonal/>
    </border>
    <border>
      <left style="medium">
        <color rgb="FF878787"/>
      </left>
      <right style="medium">
        <color rgb="FF878787"/>
      </right>
      <top/>
      <bottom style="medium">
        <color rgb="FF878787"/>
      </bottom>
      <diagonal/>
    </border>
    <border>
      <left style="medium">
        <color rgb="FF878787"/>
      </left>
      <right/>
      <top style="medium">
        <color rgb="FF878787"/>
      </top>
      <bottom/>
      <diagonal/>
    </border>
    <border>
      <left/>
      <right style="medium">
        <color rgb="FF878787"/>
      </right>
      <top style="medium">
        <color rgb="FF878787"/>
      </top>
      <bottom/>
      <diagonal/>
    </border>
    <border>
      <left style="thin">
        <color rgb="FF878787"/>
      </left>
      <right style="medium">
        <color rgb="FF878787"/>
      </right>
      <top style="medium">
        <color rgb="FF878787"/>
      </top>
      <bottom style="thin">
        <color rgb="FF878787"/>
      </bottom>
      <diagonal/>
    </border>
    <border>
      <left style="medium">
        <color rgb="FF878787"/>
      </left>
      <right/>
      <top/>
      <bottom style="medium">
        <color rgb="FF878787"/>
      </bottom>
      <diagonal/>
    </border>
    <border>
      <left/>
      <right style="medium">
        <color rgb="FF878787"/>
      </right>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12">
    <xf numFmtId="0" fontId="10" fillId="0" borderId="0"/>
    <xf numFmtId="0" fontId="2" fillId="0" borderId="0"/>
    <xf numFmtId="0" fontId="5" fillId="0" borderId="0"/>
    <xf numFmtId="0" fontId="5" fillId="0" borderId="0"/>
    <xf numFmtId="0" fontId="6" fillId="0" borderId="0"/>
    <xf numFmtId="0" fontId="1" fillId="0" borderId="0"/>
    <xf numFmtId="0" fontId="10" fillId="0" borderId="0"/>
    <xf numFmtId="0" fontId="10" fillId="0" borderId="0"/>
    <xf numFmtId="0" fontId="10" fillId="0" borderId="0"/>
    <xf numFmtId="167" fontId="10" fillId="0" borderId="0"/>
    <xf numFmtId="0" fontId="10" fillId="0" borderId="0"/>
    <xf numFmtId="167" fontId="10" fillId="0" borderId="0"/>
  </cellStyleXfs>
  <cellXfs count="140">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2" fillId="4" borderId="1" pivotButton="0" quotePrefix="0" xfId="1"/>
    <xf numFmtId="0" fontId="2" fillId="4" borderId="1" applyAlignment="1" pivotButton="0" quotePrefix="0" xfId="1">
      <alignment horizontal="right"/>
    </xf>
    <xf numFmtId="0" fontId="2" fillId="4" borderId="5" pivotButton="0" quotePrefix="0" xfId="1"/>
    <xf numFmtId="0" fontId="2" fillId="4" borderId="5" applyAlignment="1" pivotButton="0" quotePrefix="0" xfId="1">
      <alignment horizontal="right"/>
    </xf>
    <xf numFmtId="1" fontId="2" fillId="4" borderId="5" pivotButton="0" quotePrefix="0" xfId="1"/>
    <xf numFmtId="164" fontId="2" fillId="4" borderId="5" pivotButton="0" quotePrefix="0" xfId="1"/>
    <xf numFmtId="0" fontId="2" fillId="0" borderId="1" pivotButton="0" quotePrefix="0" xfId="1"/>
    <xf numFmtId="0" fontId="2" fillId="4" borderId="6" pivotButton="0" quotePrefix="0" xfId="1"/>
    <xf numFmtId="0" fontId="11" fillId="6" borderId="1" applyAlignment="1" pivotButton="0" quotePrefix="0" xfId="0">
      <alignment horizontal="left" vertical="center"/>
    </xf>
    <xf numFmtId="0" fontId="11" fillId="6" borderId="3" applyAlignment="1" pivotButton="0" quotePrefix="0" xfId="0">
      <alignment horizontal="left" vertical="center"/>
    </xf>
    <xf numFmtId="0" fontId="11" fillId="6" borderId="4" applyAlignment="1" pivotButton="0" quotePrefix="0" xfId="0">
      <alignment horizontal="left" vertical="center"/>
    </xf>
    <xf numFmtId="0" fontId="11" fillId="6" borderId="2" applyAlignment="1" pivotButton="0" quotePrefix="0" xfId="0">
      <alignment horizontal="left" vertical="center"/>
    </xf>
    <xf numFmtId="0" fontId="10" fillId="0" borderId="0" pivotButton="0" quotePrefix="0" xfId="7"/>
    <xf numFmtId="0" fontId="11" fillId="6" borderId="7" applyAlignment="1" pivotButton="0" quotePrefix="0" xfId="7">
      <alignment horizontal="left" vertical="center"/>
    </xf>
    <xf numFmtId="0" fontId="11" fillId="6" borderId="4" applyAlignment="1" pivotButton="0" quotePrefix="0" xfId="7">
      <alignment horizontal="left" vertical="center"/>
    </xf>
    <xf numFmtId="0" fontId="11" fillId="6" borderId="2" applyAlignment="1" pivotButton="0" quotePrefix="0" xfId="7">
      <alignment horizontal="left" vertical="center"/>
    </xf>
    <xf numFmtId="0" fontId="11" fillId="6" borderId="3" applyAlignment="1" pivotButton="0" quotePrefix="0" xfId="7">
      <alignment horizontal="left" vertical="center"/>
    </xf>
    <xf numFmtId="0" fontId="11" fillId="6" borderId="4" applyAlignment="1" pivotButton="0" quotePrefix="0" xfId="7">
      <alignment horizontal="right"/>
    </xf>
    <xf numFmtId="4" fontId="11" fillId="6" borderId="4" applyAlignment="1" pivotButton="0" quotePrefix="0" xfId="7">
      <alignment horizontal="right"/>
    </xf>
    <xf numFmtId="4" fontId="13" fillId="8" borderId="4" applyAlignment="1" pivotButton="0" quotePrefix="0" xfId="7">
      <alignment horizontal="right" vertical="center"/>
    </xf>
    <xf numFmtId="0" fontId="11" fillId="6" borderId="9" applyAlignment="1" pivotButton="0" quotePrefix="0" xfId="7">
      <alignment horizontal="left" vertical="center"/>
    </xf>
    <xf numFmtId="0" fontId="13" fillId="8" borderId="4" applyAlignment="1" pivotButton="0" quotePrefix="0" xfId="7">
      <alignment horizontal="right" vertical="center"/>
    </xf>
    <xf numFmtId="0" fontId="11" fillId="6" borderId="10" applyAlignment="1" pivotButton="0" quotePrefix="0" xfId="7">
      <alignment horizontal="left" vertical="center"/>
    </xf>
    <xf numFmtId="0" fontId="12" fillId="7" borderId="2" applyAlignment="1" pivotButton="0" quotePrefix="0" xfId="7">
      <alignment horizontal="left" vertical="center"/>
    </xf>
    <xf numFmtId="0" fontId="12" fillId="7" borderId="8" applyAlignment="1" pivotButton="0" quotePrefix="0" xfId="7">
      <alignment horizontal="left" vertical="center"/>
    </xf>
    <xf numFmtId="0" fontId="12" fillId="7" borderId="3" applyAlignment="1" pivotButton="0" quotePrefix="0" xfId="7">
      <alignment horizontal="left" vertical="center"/>
    </xf>
    <xf numFmtId="165" fontId="2" fillId="4" borderId="5" pivotButton="0" quotePrefix="0" xfId="1"/>
    <xf numFmtId="2" fontId="2" fillId="4" borderId="1" pivotButton="0" quotePrefix="0" xfId="1"/>
    <xf numFmtId="0" fontId="0" fillId="0" borderId="1" applyAlignment="1" pivotButton="0" quotePrefix="0" xfId="0">
      <alignment horizontal="left"/>
    </xf>
    <xf numFmtId="0" fontId="9" fillId="11" borderId="16" pivotButton="0" quotePrefix="0" xfId="0"/>
    <xf numFmtId="0" fontId="9" fillId="0" borderId="16" pivotButton="0" quotePrefix="0" xfId="0"/>
    <xf numFmtId="0" fontId="2" fillId="0" borderId="1" pivotButton="0" quotePrefix="0" xfId="0"/>
    <xf numFmtId="0" fontId="6" fillId="0" borderId="1" pivotButton="0" quotePrefix="0" xfId="0"/>
    <xf numFmtId="0" fontId="6" fillId="0" borderId="1" applyAlignment="1" pivotButton="0" quotePrefix="0" xfId="0">
      <alignment horizontal="left"/>
    </xf>
    <xf numFmtId="0" fontId="13" fillId="9" borderId="11" pivotButton="0" quotePrefix="0" xfId="10"/>
    <xf numFmtId="0" fontId="13" fillId="9" borderId="12" pivotButton="0" quotePrefix="0" xfId="10"/>
    <xf numFmtId="0" fontId="11" fillId="9" borderId="13" applyAlignment="1" pivotButton="0" quotePrefix="0" xfId="10">
      <alignment horizontal="right" vertical="top"/>
    </xf>
    <xf numFmtId="0" fontId="13" fillId="9" borderId="2" applyAlignment="1" pivotButton="0" quotePrefix="0" xfId="10">
      <alignment horizontal="center"/>
    </xf>
    <xf numFmtId="0" fontId="13" fillId="9" borderId="8" applyAlignment="1" pivotButton="0" quotePrefix="0" xfId="10">
      <alignment horizontal="center"/>
    </xf>
    <xf numFmtId="0" fontId="13" fillId="9" borderId="3" applyAlignment="1" pivotButton="0" quotePrefix="0" xfId="10">
      <alignment horizontal="center"/>
    </xf>
    <xf numFmtId="0" fontId="13" fillId="9" borderId="14" pivotButton="0" quotePrefix="0" xfId="10"/>
    <xf numFmtId="0" fontId="13" fillId="9" borderId="15" pivotButton="0" quotePrefix="0" xfId="10"/>
    <xf numFmtId="0" fontId="13" fillId="9" borderId="4" applyAlignment="1" pivotButton="0" quotePrefix="0" xfId="10">
      <alignment horizontal="center"/>
    </xf>
    <xf numFmtId="166" fontId="6" fillId="11" borderId="16" pivotButton="0" quotePrefix="0" xfId="9"/>
    <xf numFmtId="166" fontId="6" fillId="0" borderId="16" pivotButton="0" quotePrefix="0" xfId="9"/>
    <xf numFmtId="166" fontId="0" fillId="0" borderId="0" pivotButton="0" quotePrefix="0" xfId="0"/>
    <xf numFmtId="0" fontId="2" fillId="12" borderId="0" pivotButton="0" quotePrefix="0" xfId="1"/>
    <xf numFmtId="0" fontId="2" fillId="12" borderId="0" applyAlignment="1" pivotButton="0" quotePrefix="0" xfId="1">
      <alignment horizontal="right"/>
    </xf>
    <xf numFmtId="0" fontId="6" fillId="0" borderId="1" applyAlignment="1" pivotButton="0" quotePrefix="0" xfId="0">
      <alignment horizontal="center"/>
    </xf>
    <xf numFmtId="0" fontId="0" fillId="12" borderId="0" pivotButton="0" quotePrefix="0" xfId="0"/>
    <xf numFmtId="0" fontId="0" fillId="12" borderId="0" applyAlignment="1" pivotButton="0" quotePrefix="0" xfId="0">
      <alignment horizontal="left"/>
    </xf>
    <xf numFmtId="0" fontId="15" fillId="12" borderId="0" pivotButton="0" quotePrefix="0" xfId="0"/>
    <xf numFmtId="164" fontId="3" fillId="12" borderId="0" pivotButton="0" quotePrefix="0" xfId="1"/>
    <xf numFmtId="0" fontId="0" fillId="0" borderId="18" pivotButton="0" quotePrefix="0" xfId="0"/>
    <xf numFmtId="0" fontId="16" fillId="10" borderId="17" pivotButton="0" quotePrefix="0" xfId="0"/>
    <xf numFmtId="0" fontId="9" fillId="11" borderId="18" pivotButton="0" quotePrefix="0" xfId="0"/>
    <xf numFmtId="166" fontId="6" fillId="11" borderId="18" pivotButton="0" quotePrefix="0" xfId="9"/>
    <xf numFmtId="0" fontId="9" fillId="13" borderId="18" pivotButton="0" quotePrefix="0" xfId="0"/>
    <xf numFmtId="166" fontId="6" fillId="13" borderId="18" pivotButton="0" quotePrefix="0" xfId="0"/>
    <xf numFmtId="0" fontId="0" fillId="14" borderId="0" pivotButton="0" quotePrefix="0" xfId="0"/>
    <xf numFmtId="0" fontId="0" fillId="11" borderId="16" pivotButton="0" quotePrefix="0" xfId="0"/>
    <xf numFmtId="166" fontId="0" fillId="11" borderId="16" pivotButton="0" quotePrefix="0" xfId="9"/>
    <xf numFmtId="0" fontId="0" fillId="0" borderId="16" pivotButton="0" quotePrefix="0" xfId="0"/>
    <xf numFmtId="166" fontId="0" fillId="0" borderId="16" pivotButton="0" quotePrefix="0" xfId="9"/>
    <xf numFmtId="0" fontId="14" fillId="10" borderId="17" pivotButton="0" quotePrefix="0" xfId="0"/>
    <xf numFmtId="166" fontId="14" fillId="10" borderId="17" pivotButton="0" quotePrefix="0" xfId="9"/>
    <xf numFmtId="0" fontId="0" fillId="11" borderId="18" pivotButton="0" quotePrefix="0" xfId="0"/>
    <xf numFmtId="166" fontId="0" fillId="11" borderId="18" pivotButton="0" quotePrefix="0" xfId="9"/>
    <xf numFmtId="0" fontId="0" fillId="13" borderId="18" pivotButton="0" quotePrefix="0" xfId="0"/>
    <xf numFmtId="166" fontId="10" fillId="13" borderId="18" pivotButton="0" quotePrefix="0" xfId="0"/>
    <xf numFmtId="166" fontId="0" fillId="0" borderId="18" pivotButton="0" quotePrefix="0" xfId="0"/>
    <xf numFmtId="166" fontId="6" fillId="13" borderId="18" pivotButton="0" quotePrefix="0" xfId="9"/>
    <xf numFmtId="0" fontId="15" fillId="0" borderId="1" pivotButton="0" quotePrefix="0" xfId="0"/>
    <xf numFmtId="167" fontId="15" fillId="0" borderId="1" pivotButton="0" quotePrefix="0" xfId="9"/>
    <xf numFmtId="166" fontId="15" fillId="0" borderId="1" pivotButton="0" quotePrefix="0" xfId="0"/>
    <xf numFmtId="0" fontId="18" fillId="15" borderId="19" pivotButton="0" quotePrefix="0" xfId="0"/>
    <xf numFmtId="0" fontId="18" fillId="15" borderId="20" pivotButton="0" quotePrefix="0" xfId="0"/>
    <xf numFmtId="0" fontId="19" fillId="16" borderId="19" pivotButton="0" quotePrefix="0" xfId="0"/>
    <xf numFmtId="0" fontId="19" fillId="16" borderId="20" pivotButton="0" quotePrefix="0" xfId="0"/>
    <xf numFmtId="167" fontId="19" fillId="16" borderId="20" pivotButton="0" quotePrefix="0" xfId="9"/>
    <xf numFmtId="0" fontId="19" fillId="0" borderId="19" pivotButton="0" quotePrefix="0" xfId="0"/>
    <xf numFmtId="0" fontId="19" fillId="0" borderId="20" pivotButton="0" quotePrefix="0" xfId="0"/>
    <xf numFmtId="167" fontId="19" fillId="0" borderId="20" pivotButton="0" quotePrefix="0" xfId="9"/>
    <xf numFmtId="0" fontId="20" fillId="0" borderId="21" pivotButton="0" quotePrefix="0" xfId="0"/>
    <xf numFmtId="0" fontId="20" fillId="0" borderId="22" pivotButton="0" quotePrefix="0" xfId="0"/>
    <xf numFmtId="167" fontId="20" fillId="0" borderId="22" pivotButton="0" quotePrefix="0" xfId="9"/>
    <xf numFmtId="0" fontId="16" fillId="15" borderId="19" pivotButton="0" quotePrefix="0" xfId="0"/>
    <xf numFmtId="0" fontId="16" fillId="15" borderId="20" pivotButton="0" quotePrefix="0" xfId="0"/>
    <xf numFmtId="167" fontId="16" fillId="15" borderId="20" pivotButton="0" quotePrefix="0" xfId="9"/>
    <xf numFmtId="0" fontId="9" fillId="16" borderId="19" pivotButton="0" quotePrefix="0" xfId="0"/>
    <xf numFmtId="0" fontId="9" fillId="16" borderId="20" pivotButton="0" quotePrefix="0" xfId="0"/>
    <xf numFmtId="167" fontId="9" fillId="16" borderId="20" pivotButton="0" quotePrefix="0" xfId="9"/>
    <xf numFmtId="0" fontId="9" fillId="0" borderId="19" pivotButton="0" quotePrefix="0" xfId="0"/>
    <xf numFmtId="0" fontId="9" fillId="0" borderId="20" pivotButton="0" quotePrefix="0" xfId="0"/>
    <xf numFmtId="167" fontId="9" fillId="0" borderId="20" pivotButton="0" quotePrefix="0" xfId="9"/>
    <xf numFmtId="0" fontId="17" fillId="0" borderId="21" pivotButton="0" quotePrefix="0" xfId="0"/>
    <xf numFmtId="0" fontId="17" fillId="0" borderId="22" pivotButton="0" quotePrefix="0" xfId="0"/>
    <xf numFmtId="167" fontId="17" fillId="0" borderId="22" pivotButton="0" quotePrefix="0" xfId="0"/>
    <xf numFmtId="165" fontId="2" fillId="4" borderId="5" pivotButton="0" quotePrefix="0" xfId="1"/>
    <xf numFmtId="164" fontId="2" fillId="4" borderId="5" pivotButton="0" quotePrefix="0" xfId="1"/>
    <xf numFmtId="164" fontId="3" fillId="12" borderId="0" pivotButton="0" quotePrefix="0" xfId="1"/>
    <xf numFmtId="166" fontId="6" fillId="11" borderId="16" pivotButton="0" quotePrefix="0" xfId="9"/>
    <xf numFmtId="166" fontId="6" fillId="0" borderId="16" pivotButton="0" quotePrefix="0" xfId="9"/>
    <xf numFmtId="166" fontId="6" fillId="11" borderId="18" pivotButton="0" quotePrefix="0" xfId="9"/>
    <xf numFmtId="166" fontId="6" fillId="13" borderId="18" pivotButton="0" quotePrefix="0" xfId="0"/>
    <xf numFmtId="166" fontId="0" fillId="0" borderId="0" pivotButton="0" quotePrefix="0" xfId="0"/>
    <xf numFmtId="166" fontId="14" fillId="10" borderId="17" pivotButton="0" quotePrefix="0" xfId="9"/>
    <xf numFmtId="166" fontId="0" fillId="11" borderId="16" pivotButton="0" quotePrefix="0" xfId="9"/>
    <xf numFmtId="166" fontId="0" fillId="0" borderId="16" pivotButton="0" quotePrefix="0" xfId="9"/>
    <xf numFmtId="166" fontId="0" fillId="11" borderId="18" pivotButton="0" quotePrefix="0" xfId="9"/>
    <xf numFmtId="166" fontId="10" fillId="13" borderId="18" pivotButton="0" quotePrefix="0" xfId="0"/>
    <xf numFmtId="167" fontId="19" fillId="16" borderId="20" pivotButton="0" quotePrefix="0" xfId="9"/>
    <xf numFmtId="167" fontId="19" fillId="0" borderId="20" pivotButton="0" quotePrefix="0" xfId="9"/>
    <xf numFmtId="167" fontId="20" fillId="0" borderId="22" pivotButton="0" quotePrefix="0" xfId="9"/>
    <xf numFmtId="166" fontId="15" fillId="0" borderId="1" pivotButton="0" quotePrefix="0" xfId="0"/>
    <xf numFmtId="166" fontId="6" fillId="13" borderId="18" pivotButton="0" quotePrefix="0" xfId="9"/>
    <xf numFmtId="166" fontId="0" fillId="0" borderId="18" pivotButton="0" quotePrefix="0" xfId="0"/>
    <xf numFmtId="167" fontId="16" fillId="15" borderId="20" pivotButton="0" quotePrefix="0" xfId="9"/>
    <xf numFmtId="167" fontId="9" fillId="16" borderId="20" pivotButton="0" quotePrefix="0" xfId="9"/>
    <xf numFmtId="167" fontId="9" fillId="0" borderId="20" pivotButton="0" quotePrefix="0" xfId="9"/>
    <xf numFmtId="167" fontId="17" fillId="0" borderId="22" pivotButton="0" quotePrefix="0" xfId="0"/>
    <xf numFmtId="167" fontId="15" fillId="0" borderId="1" pivotButton="0" quotePrefix="0" xfId="9"/>
  </cellXfs>
  <cellStyles count="12">
    <cellStyle name="Normal" xfId="0" builtinId="0"/>
    <cellStyle name="Normal_Ind.2010" xfId="1"/>
    <cellStyle name="Normal_Becas 14_9_2005" xfId="2"/>
    <cellStyle name="Normal_PDI por Centro" xfId="3"/>
    <cellStyle name="Normal 2" xfId="4"/>
    <cellStyle name="Normal 3" xfId="5"/>
    <cellStyle name="Normal 17" xfId="6"/>
    <cellStyle name="Normal 19" xfId="7"/>
    <cellStyle name="Normal 20" xfId="8"/>
    <cellStyle name="Millares" xfId="9" builtinId="3"/>
    <cellStyle name="Normal 25" xfId="10"/>
    <cellStyle name="Millares 2" xfId="11"/>
  </cellStyles>
  <dxfs count="35">
    <dxf>
      <numFmt numFmtId="35" formatCode="_-* #,##0.00_-;\-* #,##0.00_-;_-* &quot;-&quot;??_-;_-@_-"/>
      <border outline="0">
        <left/>
        <right/>
        <top style="thin">
          <color theme="9" tint="0.3999755851924192"/>
        </top>
        <bottom/>
      </border>
    </dxf>
    <dxf>
      <border outline="0">
        <left/>
        <right/>
        <top style="thin">
          <color theme="9" tint="0.3999755851924192"/>
        </top>
        <bottom/>
      </border>
    </dxf>
    <dxf>
      <border outline="0">
        <left/>
        <right/>
        <top style="thin">
          <color theme="9" tint="0.3999755851924192"/>
        </top>
        <bottom/>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numFmt numFmtId="35" formatCode="_-* #,##0.00_-;\-* #,##0.00_-;_-* &quot;-&quot;??_-;_-@_-"/>
      <border outline="0">
        <left/>
        <right/>
        <top style="thin">
          <color theme="9" tint="0.3999755851924192"/>
        </top>
        <bottom/>
      </border>
    </dxf>
    <dxf>
      <border outline="0">
        <left/>
        <right/>
        <top style="thin">
          <color theme="9" tint="0.3999755851924192"/>
        </top>
        <bottom/>
      </border>
    </dxf>
    <dxf>
      <border outline="0">
        <left/>
        <right/>
        <top style="thin">
          <color theme="9" tint="0.3999755851924192"/>
        </top>
        <bottom/>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strike val="0"/>
        <outline val="0"/>
        <shadow val="0"/>
        <condense val="0"/>
        <color auto="1"/>
        <extend val="0"/>
        <sz val="10"/>
        <vertAlign val="baseline"/>
      </font>
      <fill>
        <patternFill patternType="solid">
          <fgColor theme="9" tint="0.7999816888943144"/>
          <bgColor theme="0"/>
        </patternFill>
      </fill>
    </dxf>
    <dxf>
      <font>
        <name val="Arial"/>
        <family val="2"/>
        <strike val="0"/>
        <outline val="0"/>
        <shadow val="0"/>
        <condense val="0"/>
        <color auto="1"/>
        <extend val="0"/>
        <sz val="10"/>
        <vertAlign val="baseline"/>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Tabla2" displayName="Tabla2" ref="A1:C66" headerRowCount="1" totalsRowCount="1" headerRowDxfId="34" totalsRowDxfId="31" headerRowBorderDxfId="33" tableBorderDxfId="32" totalsRowBorderDxfId="30">
  <autoFilter ref="A1:C65"/>
  <tableColumns count="3">
    <tableColumn id="1" name="Cód. org. aplic." totalsRowLabel="Total" dataDxfId="29" totalsRowDxfId="28"/>
    <tableColumn id="2" name="Descripción justificante" dataDxfId="27" totalsRowDxfId="26"/>
    <tableColumn id="3" name="Imp.cob.aplic." totalsRowFunction="sum" dataDxfId="25" totalsRowDxfId="24" dataCellStyle="Millares" totalsRowCellStyle="Millares"/>
  </tableColumns>
  <tableStyleInfo name="TableStyleLight14" showFirstColumn="0" showLastColumn="0" showRowStripes="1" showColumnStripes="0"/>
</table>
</file>

<file path=xl/tables/table2.xml><?xml version="1.0" encoding="utf-8"?>
<table xmlns="http://schemas.openxmlformats.org/spreadsheetml/2006/main" id="2" name="Tabla3" displayName="Tabla3" ref="A1:C67" headerRowCount="1" totalsRowCount="1" totalsRowDxfId="21" headerRowBorderDxfId="23" tableBorderDxfId="22" totalsRowBorderDxfId="20">
  <autoFilter ref="A1:C66"/>
  <tableColumns count="3">
    <tableColumn id="1" name="Org. aplic." totalsRowLabel="Total" dataDxfId="19" totalsRowDxfId="18"/>
    <tableColumn id="2" name="Descripción justificante" dataDxfId="17" totalsRowDxfId="16"/>
    <tableColumn id="3" name="Imp. aplic." totalsRowFunction="sum" dataDxfId="15" totalsRowDxfId="14"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5" displayName="Tabla5" ref="A1:C12" headerRowCount="1" totalsRowCount="1" headerRowDxfId="13" headerRowBorderDxfId="12" tableBorderDxfId="11" totalsRowBorderDxfId="10">
  <autoFilter ref="A1:C11"/>
  <tableColumns count="3">
    <tableColumn id="1" name="Cód. org. aplic." totalsRowLabel="Total" totalsRowDxfId="9"/>
    <tableColumn id="2" name="Descripción justificante" totalsRowDxfId="8"/>
    <tableColumn id="3" name="Imp.cob.aplic." totalsRowFunction="sum" totalsRowDxfId="7"/>
  </tableColumns>
  <tableStyleInfo name="TableStyleMedium2" showFirstColumn="0" showLastColumn="0" showRowStripes="1" showColumnStripes="0"/>
</table>
</file>

<file path=xl/tables/table4.xml><?xml version="1.0" encoding="utf-8"?>
<table xmlns="http://schemas.openxmlformats.org/spreadsheetml/2006/main" id="4" name="Tabla57" displayName="Tabla57" ref="A1:C8" headerRowCount="1" totalsRowCount="1" headerRowDxfId="6" headerRowBorderDxfId="5" tableBorderDxfId="4" totalsRowBorderDxfId="3">
  <autoFilter ref="A1:C7"/>
  <tableColumns count="3">
    <tableColumn id="1" name="Cód. org. aplic." totalsRowLabel="Total" totalsRowDxfId="2"/>
    <tableColumn id="2" name="Descripción justificante" totalsRowDxfId="1"/>
    <tableColumn id="3" name="Imp.cob.aplic." totalsRowFunction="sum" totalsRow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Relationships xmlns="http://schemas.openxmlformats.org/package/2006/relationships"><Relationship Type="http://schemas.openxmlformats.org/officeDocument/2006/relationships/table" Target="/xl/tables/table1.xml" Id="rId1" /></Relationships>
</file>

<file path=xl/worksheets/_rels/sheet7.xml.rels><Relationships xmlns="http://schemas.openxmlformats.org/package/2006/relationships"><Relationship Type="http://schemas.openxmlformats.org/officeDocument/2006/relationships/table" Target="/xl/tables/table2.xml" Id="rId1" /></Relationships>
</file>

<file path=xl/worksheets/_rels/sheet9.xml.rels><Relationships xmlns="http://schemas.openxmlformats.org/package/2006/relationships"><Relationship Type="http://schemas.openxmlformats.org/officeDocument/2006/relationships/table" Target="/xl/tables/table3.xml" Id="rId1" /></Relationships>
</file>

<file path=xl/worksheets/_rels/sheet10.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K9"/>
  <sheetViews>
    <sheetView showGridLines="0" topLeftCell="C1" workbookViewId="0">
      <selection activeCell="E23" sqref="E23"/>
    </sheetView>
  </sheetViews>
  <sheetFormatPr baseColWidth="10" defaultColWidth="11.44140625" defaultRowHeight="14.4"/>
  <cols>
    <col width="5.6640625" customWidth="1" style="30" min="1" max="1"/>
    <col width="52.5546875" customWidth="1" style="30" min="2" max="2"/>
    <col width="5.6640625" customWidth="1" style="30" min="3" max="3"/>
    <col width="26.44140625" customWidth="1" style="30" min="4" max="4"/>
    <col width="34.109375" customWidth="1" style="30" min="5" max="5"/>
    <col width="11.44140625" customWidth="1" style="30" min="6" max="6"/>
    <col width="26.33203125" customWidth="1" style="30" min="7" max="7"/>
    <col width="11.88671875" customWidth="1" style="30" min="8" max="8"/>
    <col width="11.44140625" customWidth="1" style="30" min="9" max="9"/>
    <col width="20.33203125" bestFit="1" customWidth="1" style="30" min="10" max="10"/>
    <col width="11.44140625" customWidth="1" style="30" min="11" max="16384"/>
  </cols>
  <sheetData>
    <row r="1" ht="15" customHeight="1" thickBot="1">
      <c r="A1" s="52" t="inlineStr">
        <is>
          <t xml:space="preserve">Departamento </t>
        </is>
      </c>
      <c r="B1" s="53" t="n"/>
      <c r="C1" s="52" t="inlineStr">
        <is>
          <t xml:space="preserve">Área </t>
        </is>
      </c>
      <c r="D1" s="53" t="n"/>
      <c r="E1" s="54" t="n"/>
      <c r="F1" s="55" t="inlineStr">
        <is>
          <t xml:space="preserve">Créditos dedicación Dept. por nº de alumnos en cada asig. </t>
        </is>
      </c>
      <c r="G1" s="56" t="n"/>
      <c r="H1" s="57" t="n"/>
      <c r="I1" s="55" t="inlineStr">
        <is>
          <t xml:space="preserve">Créditos dedicación Dept. por nº de alumnos por 1ª VEZ en cada asig. </t>
        </is>
      </c>
      <c r="J1" s="56" t="n"/>
      <c r="K1" s="57" t="n"/>
    </row>
    <row r="2" ht="15" customHeight="1" thickBot="1">
      <c r="A2" s="58" t="n"/>
      <c r="B2" s="59" t="n"/>
      <c r="C2" s="58" t="n"/>
      <c r="D2" s="59" t="n"/>
      <c r="E2" s="54" t="inlineStr">
        <is>
          <t xml:space="preserve">Tipo Titulacion Asig </t>
        </is>
      </c>
      <c r="F2" s="60" t="inlineStr">
        <is>
          <t xml:space="preserve">Grado </t>
        </is>
      </c>
      <c r="G2" s="60" t="inlineStr">
        <is>
          <t xml:space="preserve">Máster Universitario Oficial </t>
        </is>
      </c>
      <c r="H2" s="60" t="inlineStr">
        <is>
          <t xml:space="preserve">Total </t>
        </is>
      </c>
      <c r="I2" s="60" t="inlineStr">
        <is>
          <t xml:space="preserve">Grado </t>
        </is>
      </c>
      <c r="J2" s="60" t="inlineStr">
        <is>
          <t xml:space="preserve">Máster Universitario Oficial </t>
        </is>
      </c>
      <c r="K2" s="60" t="inlineStr">
        <is>
          <t xml:space="preserve">Total </t>
        </is>
      </c>
    </row>
    <row r="3" ht="15" customHeight="1" thickBot="1">
      <c r="A3" s="31" t="inlineStr">
        <is>
          <t>B185</t>
        </is>
      </c>
      <c r="B3" s="31" t="inlineStr">
        <is>
          <t xml:space="preserve">INGENIERÍA CIVIL </t>
        </is>
      </c>
      <c r="C3" s="41" t="inlineStr">
        <is>
          <t>Total</t>
        </is>
      </c>
      <c r="D3" s="42" t="n"/>
      <c r="E3" s="43" t="n"/>
      <c r="F3" s="37" t="n">
        <v>14262.2</v>
      </c>
      <c r="G3" s="37" t="n">
        <v>2179.075</v>
      </c>
      <c r="H3" s="37" t="n">
        <v>16441.275</v>
      </c>
      <c r="I3" s="37" t="n">
        <v>10752.3</v>
      </c>
      <c r="J3" s="37" t="n">
        <v>1773.025</v>
      </c>
      <c r="K3" s="37" t="n">
        <v>12525.325</v>
      </c>
    </row>
    <row r="4" ht="15" customHeight="1" thickBot="1">
      <c r="A4" s="38" t="inlineStr"/>
      <c r="B4" s="38" t="n"/>
      <c r="C4" s="32" t="inlineStr">
        <is>
          <t>510</t>
        </is>
      </c>
      <c r="D4" s="33" t="inlineStr">
        <is>
          <t xml:space="preserve">INGENIERIA DE LA CONSTRUCCION </t>
        </is>
      </c>
      <c r="E4" s="34" t="n"/>
      <c r="F4" s="36" t="n">
        <v>4437.775</v>
      </c>
      <c r="G4" s="35" t="n">
        <v>617.8</v>
      </c>
      <c r="H4" s="37" t="n">
        <v>5055.575</v>
      </c>
      <c r="I4" s="36" t="n">
        <v>3537.625</v>
      </c>
      <c r="J4" s="35" t="n">
        <v>541.725</v>
      </c>
      <c r="K4" s="37" t="n">
        <v>4079.35</v>
      </c>
    </row>
    <row r="5" ht="15" customHeight="1" thickBot="1">
      <c r="A5" s="38" t="inlineStr"/>
      <c r="B5" s="38" t="n"/>
      <c r="C5" s="32" t="inlineStr">
        <is>
          <t>525</t>
        </is>
      </c>
      <c r="D5" s="33" t="inlineStr">
        <is>
          <t xml:space="preserve">INGENIERIA DEL TERRENO </t>
        </is>
      </c>
      <c r="E5" s="34" t="n"/>
      <c r="F5" s="36" t="n">
        <v>1498.4</v>
      </c>
      <c r="G5" s="35" t="n">
        <v>342.875</v>
      </c>
      <c r="H5" s="37" t="n">
        <v>1841.275</v>
      </c>
      <c r="I5" s="36" t="n">
        <v>1006</v>
      </c>
      <c r="J5" s="35" t="n">
        <v>275.525</v>
      </c>
      <c r="K5" s="37" t="n">
        <v>1281.525</v>
      </c>
    </row>
    <row r="6" ht="15" customHeight="1" thickBot="1">
      <c r="A6" s="38" t="inlineStr"/>
      <c r="B6" s="38" t="n"/>
      <c r="C6" s="32" t="inlineStr">
        <is>
          <t>530</t>
        </is>
      </c>
      <c r="D6" s="33" t="inlineStr">
        <is>
          <t xml:space="preserve">INGENIERIA E INFRAESTRUCTURA DE LOS TRANSPORTES </t>
        </is>
      </c>
      <c r="E6" s="34" t="n"/>
      <c r="F6" s="35" t="n">
        <v>879.25</v>
      </c>
      <c r="G6" s="35" t="n">
        <v>257.775</v>
      </c>
      <c r="H6" s="37" t="n">
        <v>1137.025</v>
      </c>
      <c r="I6" s="35" t="n">
        <v>831.875</v>
      </c>
      <c r="J6" s="35" t="n">
        <v>234.625</v>
      </c>
      <c r="K6" s="37" t="n">
        <v>1066.5</v>
      </c>
    </row>
    <row r="7" ht="15" customHeight="1" thickBot="1">
      <c r="A7" s="38" t="inlineStr"/>
      <c r="B7" s="38" t="n"/>
      <c r="C7" s="32" t="inlineStr">
        <is>
          <t>535</t>
        </is>
      </c>
      <c r="D7" s="33" t="inlineStr">
        <is>
          <t xml:space="preserve">INGENIERIA ELECTRICA </t>
        </is>
      </c>
      <c r="E7" s="34" t="n"/>
      <c r="F7" s="35" t="n">
        <v>673.2</v>
      </c>
      <c r="G7" s="35" t="n"/>
      <c r="H7" s="39" t="n">
        <v>673.2</v>
      </c>
      <c r="I7" s="35" t="n">
        <v>604.8</v>
      </c>
      <c r="J7" s="35" t="n"/>
      <c r="K7" s="39" t="n">
        <v>604.8</v>
      </c>
    </row>
    <row r="8" ht="15" customHeight="1" thickBot="1">
      <c r="A8" s="38" t="inlineStr"/>
      <c r="B8" s="38" t="n"/>
      <c r="C8" s="32" t="inlineStr">
        <is>
          <t>540</t>
        </is>
      </c>
      <c r="D8" s="33" t="inlineStr">
        <is>
          <t xml:space="preserve">INGENIERIA HIDRAULICA </t>
        </is>
      </c>
      <c r="E8" s="34" t="n"/>
      <c r="F8" s="36" t="n">
        <v>1104.65</v>
      </c>
      <c r="G8" s="35" t="n">
        <v>387.125</v>
      </c>
      <c r="H8" s="37" t="n">
        <v>1491.775</v>
      </c>
      <c r="I8" s="36" t="n">
        <v>904.125</v>
      </c>
      <c r="J8" s="35" t="n">
        <v>322.975</v>
      </c>
      <c r="K8" s="37" t="n">
        <v>1227.1</v>
      </c>
    </row>
    <row r="9" ht="15" customHeight="1" thickBot="1">
      <c r="A9" s="40" t="inlineStr"/>
      <c r="B9" s="40" t="n"/>
      <c r="C9" s="32" t="inlineStr">
        <is>
          <t>605</t>
        </is>
      </c>
      <c r="D9" s="33" t="inlineStr">
        <is>
          <t xml:space="preserve">MECANICA DE MEDIOS CONTINUOS Y TEORIA DE ESTRUCTURAS </t>
        </is>
      </c>
      <c r="E9" s="34" t="n"/>
      <c r="F9" s="36" t="n">
        <v>5668.925</v>
      </c>
      <c r="G9" s="35" t="n">
        <v>573.5</v>
      </c>
      <c r="H9" s="37" t="n">
        <v>6242.425</v>
      </c>
      <c r="I9" s="36" t="n">
        <v>3867.875</v>
      </c>
      <c r="J9" s="35" t="n">
        <v>398.175</v>
      </c>
      <c r="K9" s="37" t="n">
        <v>4266.05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showGridLines="0" topLeftCell="C1" workbookViewId="0">
      <selection activeCell="G23" sqref="G23"/>
    </sheetView>
  </sheetViews>
  <sheetFormatPr baseColWidth="10" defaultColWidth="11.44140625" defaultRowHeight="14.4"/>
  <cols>
    <col width="5.6640625" customWidth="1" style="30" min="1" max="1"/>
    <col width="52.5546875" customWidth="1" style="30" min="2" max="2"/>
    <col width="5.6640625" customWidth="1" style="30" min="3" max="3"/>
    <col width="26.44140625" customWidth="1" style="30" min="4" max="4"/>
    <col width="34.109375" customWidth="1" style="30" min="5" max="5"/>
    <col width="11.44140625" customWidth="1" style="30" min="6" max="6"/>
    <col width="26.33203125" customWidth="1" style="30" min="7" max="7"/>
    <col width="11.88671875" customWidth="1" style="30" min="8" max="8"/>
    <col width="11.44140625" customWidth="1" style="30" min="9" max="9"/>
    <col width="20.33203125" bestFit="1" customWidth="1" style="30" min="10" max="10"/>
    <col width="11.44140625" customWidth="1" style="30" min="11" max="16384"/>
  </cols>
  <sheetData>
    <row r="1" ht="15" customHeight="1" thickBot="1">
      <c r="A1" s="52" t="inlineStr">
        <is>
          <t xml:space="preserve">Departamento </t>
        </is>
      </c>
      <c r="B1" s="53" t="n"/>
      <c r="C1" s="52" t="inlineStr">
        <is>
          <t xml:space="preserve">Área </t>
        </is>
      </c>
      <c r="D1" s="53" t="n"/>
      <c r="E1" s="54" t="n"/>
      <c r="F1" s="55" t="inlineStr">
        <is>
          <t xml:space="preserve">Créditos dedicación Dept. por nº de alumnos en cada asig. </t>
        </is>
      </c>
      <c r="G1" s="56" t="n"/>
      <c r="H1" s="57" t="n"/>
      <c r="I1" s="55" t="inlineStr">
        <is>
          <t xml:space="preserve">Créditos dedicación Dept. por nº de alumnos por 1ª VEZ en cada asig. </t>
        </is>
      </c>
      <c r="J1" s="56" t="n"/>
      <c r="K1" s="57" t="n"/>
    </row>
    <row r="2" ht="15" customHeight="1" thickBot="1">
      <c r="A2" s="58" t="n"/>
      <c r="B2" s="59" t="n"/>
      <c r="C2" s="58" t="n"/>
      <c r="D2" s="59" t="n"/>
      <c r="E2" s="54" t="inlineStr">
        <is>
          <t xml:space="preserve">Tipo Titulacion Asig </t>
        </is>
      </c>
      <c r="F2" s="60" t="inlineStr">
        <is>
          <t xml:space="preserve">Grado </t>
        </is>
      </c>
      <c r="G2" s="60" t="inlineStr">
        <is>
          <t xml:space="preserve">Máster Universitario Oficial </t>
        </is>
      </c>
      <c r="H2" s="60" t="inlineStr">
        <is>
          <t xml:space="preserve">Total </t>
        </is>
      </c>
      <c r="I2" s="60" t="inlineStr">
        <is>
          <t xml:space="preserve">Grado </t>
        </is>
      </c>
      <c r="J2" s="60" t="inlineStr">
        <is>
          <t xml:space="preserve">Máster Universitario Oficial </t>
        </is>
      </c>
      <c r="K2" s="60" t="inlineStr">
        <is>
          <t xml:space="preserve">Total </t>
        </is>
      </c>
    </row>
    <row r="3" ht="15" customHeight="1" thickBot="1">
      <c r="A3" s="31" t="inlineStr">
        <is>
          <t>B185</t>
        </is>
      </c>
      <c r="B3" s="31" t="inlineStr">
        <is>
          <t xml:space="preserve">INGENIERÍA CIVIL </t>
        </is>
      </c>
      <c r="C3" s="41" t="inlineStr">
        <is>
          <t>Total</t>
        </is>
      </c>
      <c r="D3" s="42" t="n"/>
      <c r="E3" s="43" t="n"/>
      <c r="F3" s="37" t="n">
        <v>16264.675</v>
      </c>
      <c r="G3" s="37" t="n">
        <v>2309.575</v>
      </c>
      <c r="H3" s="37" t="n">
        <v>18574.25</v>
      </c>
      <c r="I3" s="37" t="n">
        <v>12315.6</v>
      </c>
      <c r="J3" s="37" t="n">
        <v>1983.05</v>
      </c>
      <c r="K3" s="37" t="n">
        <v>14298.65</v>
      </c>
    </row>
    <row r="4" ht="15" customHeight="1" thickBot="1">
      <c r="A4" s="38" t="inlineStr"/>
      <c r="B4" s="38" t="n"/>
      <c r="C4" s="32" t="inlineStr">
        <is>
          <t>510</t>
        </is>
      </c>
      <c r="D4" s="33" t="inlineStr">
        <is>
          <t xml:space="preserve">INGENIERIA DE LA CONSTRUCCION </t>
        </is>
      </c>
      <c r="E4" s="34" t="n"/>
      <c r="F4" s="36" t="n">
        <v>5115.8</v>
      </c>
      <c r="G4" s="35" t="n">
        <v>582.85</v>
      </c>
      <c r="H4" s="37" t="n">
        <v>5698.65</v>
      </c>
      <c r="I4" s="36" t="n">
        <v>4116.5</v>
      </c>
      <c r="J4" s="35" t="n">
        <v>533.375</v>
      </c>
      <c r="K4" s="37" t="n">
        <v>4649.875</v>
      </c>
    </row>
    <row r="5" ht="15" customHeight="1" thickBot="1">
      <c r="A5" s="38" t="inlineStr"/>
      <c r="B5" s="38" t="n"/>
      <c r="C5" s="32" t="inlineStr">
        <is>
          <t>525</t>
        </is>
      </c>
      <c r="D5" s="33" t="inlineStr">
        <is>
          <t xml:space="preserve">INGENIERIA DEL TERRENO </t>
        </is>
      </c>
      <c r="E5" s="34" t="n"/>
      <c r="F5" s="36" t="n">
        <v>1795.5</v>
      </c>
      <c r="G5" s="35" t="n">
        <v>433.55</v>
      </c>
      <c r="H5" s="37" t="n">
        <v>2229.05</v>
      </c>
      <c r="I5" s="36" t="n">
        <v>1186.5</v>
      </c>
      <c r="J5" s="35" t="n">
        <v>356.275</v>
      </c>
      <c r="K5" s="37" t="n">
        <v>1542.775</v>
      </c>
    </row>
    <row r="6" ht="15" customHeight="1" thickBot="1">
      <c r="A6" s="38" t="inlineStr"/>
      <c r="B6" s="38" t="n"/>
      <c r="C6" s="32" t="inlineStr">
        <is>
          <t>530</t>
        </is>
      </c>
      <c r="D6" s="33" t="inlineStr">
        <is>
          <t xml:space="preserve">INGENIERIA E INFRAESTRUCTURA DE LOS TRANSPORTES </t>
        </is>
      </c>
      <c r="E6" s="34" t="n"/>
      <c r="F6" s="35" t="n">
        <v>1053.7</v>
      </c>
      <c r="G6" s="35" t="n">
        <v>295.425</v>
      </c>
      <c r="H6" s="37" t="n">
        <v>1349.125</v>
      </c>
      <c r="I6" s="35" t="n">
        <v>1000.8</v>
      </c>
      <c r="J6" s="35" t="n">
        <v>267.5</v>
      </c>
      <c r="K6" s="37" t="n">
        <v>1268.3</v>
      </c>
    </row>
    <row r="7" ht="15" customHeight="1" thickBot="1">
      <c r="A7" s="38" t="inlineStr"/>
      <c r="B7" s="38" t="n"/>
      <c r="C7" s="32" t="inlineStr">
        <is>
          <t>535</t>
        </is>
      </c>
      <c r="D7" s="33" t="inlineStr">
        <is>
          <t xml:space="preserve">INGENIERIA ELECTRICA </t>
        </is>
      </c>
      <c r="E7" s="34" t="n"/>
      <c r="F7" s="35" t="n">
        <v>707.4</v>
      </c>
      <c r="G7" s="35" t="n"/>
      <c r="H7" s="39" t="n">
        <v>707.4</v>
      </c>
      <c r="I7" s="35" t="n">
        <v>564.9</v>
      </c>
      <c r="J7" s="35" t="n"/>
      <c r="K7" s="39" t="n">
        <v>564.9</v>
      </c>
    </row>
    <row r="8" ht="15" customHeight="1" thickBot="1">
      <c r="A8" s="38" t="inlineStr"/>
      <c r="B8" s="38" t="n"/>
      <c r="C8" s="32" t="inlineStr">
        <is>
          <t>540</t>
        </is>
      </c>
      <c r="D8" s="33" t="inlineStr">
        <is>
          <t xml:space="preserve">INGENIERIA HIDRAULICA </t>
        </is>
      </c>
      <c r="E8" s="34" t="n"/>
      <c r="F8" s="36" t="n">
        <v>1232.1</v>
      </c>
      <c r="G8" s="35" t="n">
        <v>305.625</v>
      </c>
      <c r="H8" s="37" t="n">
        <v>1537.725</v>
      </c>
      <c r="I8" s="36" t="n">
        <v>999.6</v>
      </c>
      <c r="J8" s="35" t="n">
        <v>269.05</v>
      </c>
      <c r="K8" s="37" t="n">
        <v>1268.65</v>
      </c>
    </row>
    <row r="9" ht="15" customHeight="1" thickBot="1">
      <c r="A9" s="40" t="inlineStr"/>
      <c r="B9" s="40" t="n"/>
      <c r="C9" s="32" t="inlineStr">
        <is>
          <t>605</t>
        </is>
      </c>
      <c r="D9" s="33" t="inlineStr">
        <is>
          <t xml:space="preserve">MECANICA DE MEDIOS CONTINUOS Y TEORIA DE ESTRUCTURAS </t>
        </is>
      </c>
      <c r="E9" s="34" t="n"/>
      <c r="F9" s="36" t="n">
        <v>6360.175</v>
      </c>
      <c r="G9" s="35" t="n">
        <v>692.125</v>
      </c>
      <c r="H9" s="37" t="n">
        <v>7052.3</v>
      </c>
      <c r="I9" s="36" t="n">
        <v>4447.3</v>
      </c>
      <c r="J9" s="35" t="n">
        <v>556.85</v>
      </c>
      <c r="K9" s="37" t="n">
        <v>5004.15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zoomScale="94" zoomScaleNormal="94" workbookViewId="0">
      <selection activeCell="G19" sqref="G19"/>
    </sheetView>
  </sheetViews>
  <sheetFormatPr baseColWidth="10" defaultColWidth="11.44140625" defaultRowHeight="14.4"/>
  <cols>
    <col width="5.6640625" customWidth="1" style="30" min="1" max="1"/>
    <col width="52.5546875" customWidth="1" style="30" min="2" max="2"/>
    <col width="5.6640625" customWidth="1" style="30" min="3" max="3"/>
    <col width="26.44140625" customWidth="1" style="30" min="4" max="4"/>
    <col width="34.109375" customWidth="1" style="30" min="5" max="5"/>
    <col width="11.44140625" customWidth="1" style="30" min="6" max="6"/>
    <col width="26.33203125" customWidth="1" style="30" min="7" max="7"/>
    <col width="11.88671875" customWidth="1" style="30" min="8" max="8"/>
    <col width="11.44140625" customWidth="1" style="30" min="9" max="9"/>
    <col width="20.33203125" bestFit="1" customWidth="1" style="30" min="10" max="10"/>
    <col width="11.44140625" customWidth="1" style="30" min="11" max="16384"/>
  </cols>
  <sheetData>
    <row r="1" ht="15" customHeight="1" thickBot="1">
      <c r="A1" s="52" t="inlineStr">
        <is>
          <t xml:space="preserve">Departamento </t>
        </is>
      </c>
      <c r="B1" s="53" t="n"/>
      <c r="C1" s="52" t="inlineStr">
        <is>
          <t xml:space="preserve">Área </t>
        </is>
      </c>
      <c r="D1" s="53" t="n"/>
      <c r="E1" s="54" t="n"/>
      <c r="F1" s="55" t="inlineStr">
        <is>
          <t xml:space="preserve">Créditos dedicación Dept. por nº de alumnos en cada asig. </t>
        </is>
      </c>
      <c r="G1" s="56" t="n"/>
      <c r="H1" s="57" t="n"/>
      <c r="I1" s="55" t="inlineStr">
        <is>
          <t xml:space="preserve">Créditos dedicación Dept. por nº de alumnos por 1ª VEZ en cada asig. </t>
        </is>
      </c>
      <c r="J1" s="56" t="n"/>
      <c r="K1" s="57" t="n"/>
    </row>
    <row r="2" ht="15" customHeight="1" thickBot="1">
      <c r="A2" s="58" t="n"/>
      <c r="B2" s="59" t="n"/>
      <c r="C2" s="58" t="n"/>
      <c r="D2" s="59" t="n"/>
      <c r="E2" s="54" t="inlineStr">
        <is>
          <t xml:space="preserve">Tipo Titulacion Asig </t>
        </is>
      </c>
      <c r="F2" s="60" t="inlineStr">
        <is>
          <t xml:space="preserve">Grado </t>
        </is>
      </c>
      <c r="G2" s="60" t="inlineStr">
        <is>
          <t xml:space="preserve">Máster Universitario Oficial </t>
        </is>
      </c>
      <c r="H2" s="60" t="inlineStr">
        <is>
          <t xml:space="preserve">Total </t>
        </is>
      </c>
      <c r="I2" s="60" t="inlineStr">
        <is>
          <t xml:space="preserve">Grado </t>
        </is>
      </c>
      <c r="J2" s="60" t="inlineStr">
        <is>
          <t xml:space="preserve">Máster Universitario Oficial </t>
        </is>
      </c>
      <c r="K2" s="60" t="inlineStr">
        <is>
          <t xml:space="preserve">Total </t>
        </is>
      </c>
    </row>
    <row r="3" ht="15" customHeight="1" thickBot="1">
      <c r="A3" s="31" t="inlineStr">
        <is>
          <t>B185</t>
        </is>
      </c>
      <c r="B3" s="31" t="inlineStr">
        <is>
          <t xml:space="preserve">INGENIERÍA CIVIL </t>
        </is>
      </c>
      <c r="C3" s="41" t="inlineStr">
        <is>
          <t>Total</t>
        </is>
      </c>
      <c r="D3" s="42" t="n"/>
      <c r="E3" s="43" t="n"/>
      <c r="F3" s="37" t="n">
        <v>18755.625</v>
      </c>
      <c r="G3" s="37" t="n">
        <v>2184.7</v>
      </c>
      <c r="H3" s="37" t="n">
        <v>20940.325</v>
      </c>
      <c r="I3" s="37" t="n">
        <v>14413.9</v>
      </c>
      <c r="J3" s="37" t="n">
        <v>1818.25</v>
      </c>
      <c r="K3" s="37" t="n">
        <v>16232.15</v>
      </c>
    </row>
    <row r="4" ht="15" customHeight="1" thickBot="1">
      <c r="A4" s="38" t="inlineStr"/>
      <c r="B4" s="38" t="n"/>
      <c r="C4" s="32" t="inlineStr">
        <is>
          <t>510</t>
        </is>
      </c>
      <c r="D4" s="33" t="inlineStr">
        <is>
          <t xml:space="preserve">INGENIERIA DE LA CONSTRUCCION </t>
        </is>
      </c>
      <c r="E4" s="34" t="n"/>
      <c r="F4" s="36" t="n">
        <v>5405.125</v>
      </c>
      <c r="G4" s="35" t="n">
        <v>603.125</v>
      </c>
      <c r="H4" s="37" t="n">
        <v>6008.25</v>
      </c>
      <c r="I4" s="36" t="n">
        <v>4436.825</v>
      </c>
      <c r="J4" s="35" t="n">
        <v>515.375</v>
      </c>
      <c r="K4" s="37" t="n">
        <v>4952.2</v>
      </c>
    </row>
    <row r="5" ht="15" customHeight="1" thickBot="1">
      <c r="A5" s="38" t="inlineStr"/>
      <c r="B5" s="38" t="n"/>
      <c r="C5" s="32" t="inlineStr">
        <is>
          <t>525</t>
        </is>
      </c>
      <c r="D5" s="33" t="inlineStr">
        <is>
          <t xml:space="preserve">INGENIERIA DEL TERRENO </t>
        </is>
      </c>
      <c r="E5" s="34" t="n"/>
      <c r="F5" s="36" t="n">
        <v>1898.5</v>
      </c>
      <c r="G5" s="35" t="n">
        <v>382.9</v>
      </c>
      <c r="H5" s="37" t="n">
        <v>2281.4</v>
      </c>
      <c r="I5" s="36" t="n">
        <v>1223</v>
      </c>
      <c r="J5" s="35" t="n">
        <v>344.525</v>
      </c>
      <c r="K5" s="37" t="n">
        <v>1567.525</v>
      </c>
    </row>
    <row r="6" ht="15" customHeight="1" thickBot="1">
      <c r="A6" s="38" t="inlineStr"/>
      <c r="B6" s="38" t="n"/>
      <c r="C6" s="32" t="inlineStr">
        <is>
          <t>530</t>
        </is>
      </c>
      <c r="D6" s="33" t="inlineStr">
        <is>
          <t xml:space="preserve">INGENIERIA E INFRAESTRUCTURA DE LOS TRANSPORTES </t>
        </is>
      </c>
      <c r="E6" s="34" t="n"/>
      <c r="F6" s="35" t="n">
        <v>1440.525</v>
      </c>
      <c r="G6" s="35" t="n">
        <v>251.875</v>
      </c>
      <c r="H6" s="37" t="n">
        <v>1692.4</v>
      </c>
      <c r="I6" s="35" t="n">
        <v>1391.525</v>
      </c>
      <c r="J6" s="35" t="n">
        <v>201.7</v>
      </c>
      <c r="K6" s="37" t="n">
        <v>1593.225</v>
      </c>
    </row>
    <row r="7" ht="15" customHeight="1" thickBot="1">
      <c r="A7" s="38" t="inlineStr"/>
      <c r="B7" s="38" t="n"/>
      <c r="C7" s="32" t="inlineStr">
        <is>
          <t>535</t>
        </is>
      </c>
      <c r="D7" s="33" t="inlineStr">
        <is>
          <t xml:space="preserve">INGENIERIA ELECTRICA </t>
        </is>
      </c>
      <c r="E7" s="34" t="n"/>
      <c r="F7" s="35" t="n">
        <v>1088.8</v>
      </c>
      <c r="G7" s="35" t="n"/>
      <c r="H7" s="39" t="n">
        <v>1088.8</v>
      </c>
      <c r="I7" s="35" t="n">
        <v>976.7</v>
      </c>
      <c r="J7" s="35" t="n"/>
      <c r="K7" s="39" t="n">
        <v>976.7</v>
      </c>
    </row>
    <row r="8" ht="15" customHeight="1" thickBot="1">
      <c r="A8" s="38" t="inlineStr"/>
      <c r="B8" s="38" t="n"/>
      <c r="C8" s="32" t="inlineStr">
        <is>
          <t>540</t>
        </is>
      </c>
      <c r="D8" s="33" t="inlineStr">
        <is>
          <t xml:space="preserve">INGENIERIA HIDRAULICA </t>
        </is>
      </c>
      <c r="E8" s="34" t="n"/>
      <c r="F8" s="36" t="n">
        <v>1527.325</v>
      </c>
      <c r="G8" s="35" t="n">
        <v>329.075</v>
      </c>
      <c r="H8" s="37" t="n">
        <v>1856.4</v>
      </c>
      <c r="I8" s="36" t="n">
        <v>1284.425</v>
      </c>
      <c r="J8" s="35" t="n">
        <v>293.55</v>
      </c>
      <c r="K8" s="37" t="n">
        <v>1577.975</v>
      </c>
    </row>
    <row r="9" ht="15" customHeight="1" thickBot="1">
      <c r="A9" s="40" t="inlineStr"/>
      <c r="B9" s="40" t="n"/>
      <c r="C9" s="32" t="inlineStr">
        <is>
          <t>605</t>
        </is>
      </c>
      <c r="D9" s="33" t="inlineStr">
        <is>
          <t xml:space="preserve">MECANICA DE MEDIOS CONTINUOS Y TEORIA DE ESTRUCTURAS </t>
        </is>
      </c>
      <c r="E9" s="34" t="n"/>
      <c r="F9" s="36" t="n">
        <v>7395.35</v>
      </c>
      <c r="G9" s="35" t="n">
        <v>617.725</v>
      </c>
      <c r="H9" s="37" t="n">
        <v>8013.075</v>
      </c>
      <c r="I9" s="36" t="n">
        <v>5101.425</v>
      </c>
      <c r="J9" s="35" t="n">
        <v>463.1</v>
      </c>
      <c r="K9" s="37" t="n">
        <v>5564.525</v>
      </c>
    </row>
  </sheetData>
  <pageMargins left="0.7" right="0.7" top="0.75" bottom="0.75" header="0.3" footer="0.3"/>
</worksheet>
</file>

<file path=xl/worksheets/sheet4.xml><?xml version="1.0" encoding="utf-8"?>
<worksheet xmlns="http://schemas.openxmlformats.org/spreadsheetml/2006/main">
  <sheetPr>
    <outlinePr summaryBelow="1" summaryRight="1"/>
    <pageSetUpPr fitToPage="1"/>
  </sheetPr>
  <dimension ref="A1:V64"/>
  <sheetViews>
    <sheetView showGridLines="0" zoomScale="120" zoomScaleNormal="120" workbookViewId="0">
      <pane xSplit="1" ySplit="1" topLeftCell="B34" activePane="bottomRight" state="frozen"/>
      <selection pane="topRight" activeCell="B1" sqref="B1"/>
      <selection pane="bottomLeft" activeCell="A2" sqref="A2"/>
      <selection pane="bottomRight" activeCell="S64" sqref="S64"/>
    </sheetView>
  </sheetViews>
  <sheetFormatPr baseColWidth="10" defaultColWidth="10.33203125" defaultRowHeight="10.2"/>
  <cols>
    <col width="5" customWidth="1" style="6" min="1" max="1"/>
    <col width="29.6640625" customWidth="1" style="6" min="2" max="4"/>
    <col width="40.6640625" customWidth="1" style="6" min="5" max="5"/>
    <col width="9.109375" customWidth="1" style="6" min="6" max="6"/>
    <col width="9.6640625" customWidth="1" style="6" min="7" max="7"/>
    <col width="14.44140625" customWidth="1" style="6" min="8" max="8"/>
    <col width="5.88671875" customWidth="1" style="6" min="9" max="9"/>
    <col width="25.6640625" customWidth="1" style="6" min="10" max="10"/>
    <col width="5.109375" customWidth="1" style="6" min="11" max="12"/>
    <col width="4.44140625" customWidth="1" style="6" min="13" max="13"/>
    <col width="4.88671875" customWidth="1" style="6" min="14" max="14"/>
    <col width="4.88671875" customWidth="1" style="7" min="15" max="15"/>
    <col width="4.88671875" customWidth="1" style="6" min="16" max="16"/>
    <col width="3.5546875" customWidth="1" style="7" min="17" max="17"/>
    <col width="3.5546875" customWidth="1" style="6" min="18" max="18"/>
    <col width="5.109375" customWidth="1" style="6" min="19" max="21"/>
    <col width="10.33203125" customWidth="1" style="6" min="22" max="16384"/>
  </cols>
  <sheetData>
    <row r="1" ht="40.8"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20" t="inlineStr">
        <is>
          <t xml:space="preserve">B185 </t>
        </is>
      </c>
      <c r="B2" s="20" t="inlineStr">
        <is>
          <t xml:space="preserve">INGENIERÍA CIVIL </t>
        </is>
      </c>
      <c r="C2" s="20" t="inlineStr">
        <is>
          <t xml:space="preserve">DOCTORADO EN INGENIERÍA DE MATERIALES, ESTRUCTURAS Y TERRENO: CONSTR. SOST. </t>
        </is>
      </c>
      <c r="D2" s="20" t="inlineStr">
        <is>
          <t xml:space="preserve">Bru Orts, David </t>
        </is>
      </c>
      <c r="E2" s="20" t="inlineStr">
        <is>
          <t xml:space="preserve">EVALUACIÓN DEL DAÑO EN ESTRUCTURAS ESBELTAS Y METODOLOGÍA DE REFUERZO CON MATERIALES COMPUESTOS FRENTE A ACCIONES DINÁMICAS </t>
        </is>
      </c>
      <c r="F2" s="20" t="inlineStr">
        <is>
          <t xml:space="preserve">07/09/2020 </t>
        </is>
      </c>
      <c r="G2" s="20" t="inlineStr">
        <is>
          <t xml:space="preserve">79102157M </t>
        </is>
      </c>
      <c r="H2" s="20" t="inlineStr">
        <is>
          <t xml:space="preserve">Codirector de tesis </t>
        </is>
      </c>
      <c r="I2" s="20" t="inlineStr">
        <is>
          <t xml:space="preserve">B185 </t>
        </is>
      </c>
      <c r="J2" s="20" t="inlineStr">
        <is>
          <t xml:space="preserve">INGENIERÍA CIVIL </t>
        </is>
      </c>
      <c r="K2" s="116" t="n">
        <v>0.5</v>
      </c>
      <c r="L2" s="20" t="inlineStr">
        <is>
          <t>B185</t>
        </is>
      </c>
      <c r="M2" s="20" t="n">
        <v>2019</v>
      </c>
      <c r="N2" s="20" t="inlineStr"/>
      <c r="O2" s="21" t="inlineStr"/>
      <c r="P2" s="20" t="inlineStr"/>
      <c r="Q2" s="21" t="inlineStr"/>
      <c r="R2" s="22" t="n">
        <v>100</v>
      </c>
      <c r="S2" s="117" t="n">
        <v>0.5</v>
      </c>
      <c r="T2" s="117" t="n">
        <v>0</v>
      </c>
      <c r="U2" s="117" t="n">
        <v>0</v>
      </c>
    </row>
    <row r="3">
      <c r="A3" s="20" t="inlineStr">
        <is>
          <t xml:space="preserve">B185 </t>
        </is>
      </c>
      <c r="B3" s="20" t="inlineStr">
        <is>
          <t xml:space="preserve">INGENIERÍA CIVIL </t>
        </is>
      </c>
      <c r="C3" s="20" t="inlineStr">
        <is>
          <t xml:space="preserve">DOCTORADO EN INGENIERÍA DE MATERIALES, ESTRUCTURAS Y TERRENO: CONSTR. SOST. </t>
        </is>
      </c>
      <c r="D3" s="20" t="inlineStr">
        <is>
          <t xml:space="preserve">Bru Orts, David </t>
        </is>
      </c>
      <c r="E3" s="20" t="inlineStr">
        <is>
          <t xml:space="preserve">EVALUACIÓN DEL DAÑO EN ESTRUCTURAS ESBELTAS Y METODOLOGÍA DE REFUERZO CON MATERIALES COMPUESTOS FRENTE A ACCIONES DINÁMICAS </t>
        </is>
      </c>
      <c r="F3" s="20" t="inlineStr">
        <is>
          <t xml:space="preserve">07/09/2020 </t>
        </is>
      </c>
      <c r="G3" s="20" t="inlineStr">
        <is>
          <t xml:space="preserve">48362656G </t>
        </is>
      </c>
      <c r="H3" s="20" t="inlineStr">
        <is>
          <t xml:space="preserve">Codirector de tesis </t>
        </is>
      </c>
      <c r="I3" s="20" t="inlineStr">
        <is>
          <t xml:space="preserve">B185 </t>
        </is>
      </c>
      <c r="J3" s="20" t="inlineStr">
        <is>
          <t xml:space="preserve">INGENIERÍA CIVIL </t>
        </is>
      </c>
      <c r="K3" s="116" t="n">
        <v>0.5</v>
      </c>
      <c r="L3" s="20" t="inlineStr">
        <is>
          <t>B185</t>
        </is>
      </c>
      <c r="M3" s="20" t="n">
        <v>2019</v>
      </c>
      <c r="N3" s="20" t="inlineStr"/>
      <c r="O3" s="21" t="inlineStr"/>
      <c r="P3" s="20" t="inlineStr"/>
      <c r="Q3" s="21" t="inlineStr"/>
      <c r="R3" s="22" t="n">
        <v>100</v>
      </c>
      <c r="S3" s="117" t="n">
        <v>0.5</v>
      </c>
      <c r="T3" s="117" t="n">
        <v>0</v>
      </c>
      <c r="U3" s="117" t="n">
        <v>0</v>
      </c>
    </row>
    <row r="4">
      <c r="A4" s="20" t="inlineStr">
        <is>
          <t xml:space="preserve">B185 </t>
        </is>
      </c>
      <c r="B4" s="20" t="inlineStr">
        <is>
          <t xml:space="preserve">INGENIERÍA CIVIL </t>
        </is>
      </c>
      <c r="C4" s="20" t="inlineStr">
        <is>
          <t xml:space="preserve">DOCTORADO EN INGENIERÍA DE MATERIALES, ESTRUCTURAS Y TERRENO: CONSTR. SOST. </t>
        </is>
      </c>
      <c r="D4" s="20" t="inlineStr">
        <is>
          <t xml:space="preserve">Sarro Trigueros, Roberto </t>
        </is>
      </c>
      <c r="E4" s="20" t="inlineStr">
        <is>
          <t xml:space="preserve">SIMULACIÓN DE DESPRENDIMIENTOS ROCOSOS PARA LA GESTIÓN DE EMERGENCIAS E INFRAESTRUCTURAS </t>
        </is>
      </c>
      <c r="F4" s="20" t="inlineStr">
        <is>
          <t xml:space="preserve">16/12/2019 </t>
        </is>
      </c>
      <c r="G4" s="20" t="inlineStr">
        <is>
          <t xml:space="preserve">- </t>
        </is>
      </c>
      <c r="H4" s="20" t="inlineStr">
        <is>
          <t xml:space="preserve">Codirector de tesis </t>
        </is>
      </c>
      <c r="I4" s="20" t="inlineStr">
        <is>
          <t xml:space="preserve">B185 </t>
        </is>
      </c>
      <c r="J4" s="20" t="inlineStr">
        <is>
          <t xml:space="preserve">INGENIERÍA CIVIL </t>
        </is>
      </c>
      <c r="K4" s="116" t="n">
        <v>1</v>
      </c>
      <c r="L4" s="20" t="inlineStr">
        <is>
          <t>B185</t>
        </is>
      </c>
      <c r="M4" s="20" t="n">
        <v>2019</v>
      </c>
      <c r="N4" s="20" t="inlineStr"/>
      <c r="O4" s="21" t="inlineStr"/>
      <c r="P4" s="20" t="inlineStr"/>
      <c r="Q4" s="21" t="inlineStr"/>
      <c r="R4" s="22" t="n">
        <v>100</v>
      </c>
      <c r="S4" s="117" t="n">
        <v>1</v>
      </c>
      <c r="T4" s="117" t="n">
        <v>0</v>
      </c>
      <c r="U4" s="117" t="n">
        <v>0</v>
      </c>
    </row>
    <row r="5">
      <c r="A5" s="20" t="inlineStr">
        <is>
          <t xml:space="preserve">B185 </t>
        </is>
      </c>
      <c r="B5" s="20" t="inlineStr">
        <is>
          <t xml:space="preserve">INGENIERÍA CIVIL </t>
        </is>
      </c>
      <c r="C5" s="20" t="inlineStr">
        <is>
          <t xml:space="preserve">DOCTORADO EN INGENIERÍA DE MATERIALES, ESTRUCTURAS Y TERRENO: CONSTR. SOST. </t>
        </is>
      </c>
      <c r="D5" s="20" t="inlineStr">
        <is>
          <t xml:space="preserve">Luengo Frades, Jorge </t>
        </is>
      </c>
      <c r="E5" s="20" t="inlineStr">
        <is>
          <t xml:space="preserve">INCERTIDUMBRES EN LA CIMENTACIÓN Y CORONACIÓN EN PARQUES EÓLICOS OFFSHORE. CRITERIOS DE PREDIMENSIONAMIENTO </t>
        </is>
      </c>
      <c r="F5" s="20" t="inlineStr">
        <is>
          <t xml:space="preserve">13/12/2019 </t>
        </is>
      </c>
      <c r="G5" s="20" t="inlineStr">
        <is>
          <t xml:space="preserve">05398325H </t>
        </is>
      </c>
      <c r="H5" s="20" t="inlineStr">
        <is>
          <t xml:space="preserve">Codirector de tesis </t>
        </is>
      </c>
      <c r="I5" s="20" t="inlineStr">
        <is>
          <t xml:space="preserve">B185 </t>
        </is>
      </c>
      <c r="J5" s="20" t="inlineStr">
        <is>
          <t xml:space="preserve">INGENIERÍA CIVIL </t>
        </is>
      </c>
      <c r="K5" s="116" t="n">
        <v>0.5</v>
      </c>
      <c r="L5" s="20" t="inlineStr">
        <is>
          <t>B185</t>
        </is>
      </c>
      <c r="M5" s="20" t="n">
        <v>2019</v>
      </c>
      <c r="N5" s="20" t="inlineStr"/>
      <c r="O5" s="21" t="inlineStr"/>
      <c r="P5" s="20" t="inlineStr"/>
      <c r="Q5" s="21" t="inlineStr"/>
      <c r="R5" s="22" t="n">
        <v>100</v>
      </c>
      <c r="S5" s="117" t="n">
        <v>0.5</v>
      </c>
      <c r="T5" s="117" t="n">
        <v>0</v>
      </c>
      <c r="U5" s="117" t="n">
        <v>0</v>
      </c>
    </row>
    <row r="6">
      <c r="A6" s="20" t="inlineStr">
        <is>
          <t xml:space="preserve">B185 </t>
        </is>
      </c>
      <c r="B6" s="20" t="inlineStr">
        <is>
          <t xml:space="preserve">INGENIERÍA CIVIL </t>
        </is>
      </c>
      <c r="C6" s="20" t="inlineStr">
        <is>
          <t xml:space="preserve">DOCTORADO EN INGENIERÍA DE MATERIALES, ESTRUCTURAS Y TERRENO: CONSTR. SOST. </t>
        </is>
      </c>
      <c r="D6" s="20" t="inlineStr">
        <is>
          <t xml:space="preserve">Luengo Frades, Jorge </t>
        </is>
      </c>
      <c r="E6" s="20" t="inlineStr">
        <is>
          <t xml:space="preserve">INCERTIDUMBRES EN LA CIMENTACIÓN Y CORONACIÓN EN PARQUES EÓLICOS OFFSHORE. CRITERIOS DE PREDIMENSIONAMIENTO </t>
        </is>
      </c>
      <c r="F6" s="20" t="inlineStr">
        <is>
          <t xml:space="preserve">13/12/2019 </t>
        </is>
      </c>
      <c r="G6" s="20" t="inlineStr">
        <is>
          <t xml:space="preserve">- </t>
        </is>
      </c>
      <c r="H6" s="20" t="inlineStr">
        <is>
          <t xml:space="preserve">Codirector de tesis </t>
        </is>
      </c>
      <c r="I6" s="20" t="inlineStr">
        <is>
          <t xml:space="preserve">B185 </t>
        </is>
      </c>
      <c r="J6" s="20" t="inlineStr">
        <is>
          <t xml:space="preserve">INGENIERÍA CIVIL </t>
        </is>
      </c>
      <c r="K6" s="116" t="n">
        <v>0.5</v>
      </c>
      <c r="L6" s="20" t="inlineStr">
        <is>
          <t>B185</t>
        </is>
      </c>
      <c r="M6" s="20" t="n">
        <v>2019</v>
      </c>
      <c r="N6" s="20" t="inlineStr"/>
      <c r="O6" s="21" t="inlineStr"/>
      <c r="P6" s="20" t="inlineStr"/>
      <c r="Q6" s="21" t="inlineStr"/>
      <c r="R6" s="22" t="n">
        <v>100</v>
      </c>
      <c r="S6" s="117" t="n">
        <v>0.5</v>
      </c>
      <c r="T6" s="117" t="n">
        <v>0</v>
      </c>
      <c r="U6" s="117" t="n">
        <v>0</v>
      </c>
    </row>
    <row r="7" ht="10.8" customHeight="1" thickBot="1">
      <c r="A7" s="18" t="inlineStr">
        <is>
          <t xml:space="preserve">U020 </t>
        </is>
      </c>
      <c r="B7" s="18" t="inlineStr">
        <is>
          <t xml:space="preserve">ADM. I.U. DEL AGUA Y DE LAS CIENCIAS AMBIENTALES </t>
        </is>
      </c>
      <c r="C7" s="18" t="inlineStr">
        <is>
          <t xml:space="preserve">DOCTORADO EN AGUA Y DESARROLLO SOSTENIBLE </t>
        </is>
      </c>
      <c r="D7" s="18" t="inlineStr">
        <is>
          <t xml:space="preserve">Pérez de la Cruz, Francisco Javier </t>
        </is>
      </c>
      <c r="E7" s="18" t="inlineStr">
        <is>
          <t xml:space="preserve">DEFINICIÓN Y CARACTERIZACIÓN DE UNA METODOLOGÍA PARA EL ESTUDIO DE SISTEMAS HIDRÁULICOS ANTIGUOS. APLICACIÓN AL ABASTECIMIENTO DE AGUA A CARTAGENA POR "THE CARTHAGENA MINING &amp; WATER COMPANY" </t>
        </is>
      </c>
      <c r="F7" s="18" t="inlineStr">
        <is>
          <t xml:space="preserve">17/12/2020 </t>
        </is>
      </c>
      <c r="G7" s="18" t="inlineStr">
        <is>
          <t xml:space="preserve">21388652D </t>
        </is>
      </c>
      <c r="H7" s="18" t="inlineStr">
        <is>
          <t xml:space="preserve">Codirector de tesis </t>
        </is>
      </c>
      <c r="I7" s="18" t="inlineStr">
        <is>
          <t xml:space="preserve">B185 </t>
        </is>
      </c>
      <c r="J7" s="18" t="inlineStr">
        <is>
          <t xml:space="preserve">INGENIERÍA CIVIL </t>
        </is>
      </c>
      <c r="K7" s="24" t="n">
        <v>0.5</v>
      </c>
      <c r="L7" s="24" t="inlineStr">
        <is>
          <t>B185</t>
        </is>
      </c>
      <c r="M7" s="25" t="n">
        <v>2019</v>
      </c>
      <c r="N7" s="18" t="inlineStr">
        <is>
          <t>10.05</t>
        </is>
      </c>
      <c r="O7" s="19" t="n">
        <v>80</v>
      </c>
      <c r="P7" s="18" t="inlineStr"/>
      <c r="Q7" s="19" t="n">
        <v>0</v>
      </c>
      <c r="R7" s="18" t="n">
        <v>20</v>
      </c>
      <c r="S7" s="18" t="n">
        <v>0.1</v>
      </c>
      <c r="T7" s="18" t="n">
        <v>0.4</v>
      </c>
      <c r="U7" s="18" t="n">
        <v>0</v>
      </c>
    </row>
    <row r="8" ht="10.8" customHeight="1" thickBot="1">
      <c r="A8" s="26" t="inlineStr">
        <is>
          <t xml:space="preserve">B185 </t>
        </is>
      </c>
      <c r="B8" s="26" t="inlineStr">
        <is>
          <t xml:space="preserve">INGENIERÍA CIVIL </t>
        </is>
      </c>
      <c r="C8" s="26" t="inlineStr">
        <is>
          <t xml:space="preserve">DOCTORADO EN INGENIERÍA DE MATERIALES, ESTRUCTURAS Y TERRENO: CONSTR. SOST. </t>
        </is>
      </c>
      <c r="D8" s="26" t="inlineStr">
        <is>
          <t xml:space="preserve">Martínez Serrano, Ana María </t>
        </is>
      </c>
      <c r="E8" s="26" t="inlineStr">
        <is>
          <t xml:space="preserve">Multifuncionalidad de hormigones con adicción de arcillas </t>
        </is>
      </c>
      <c r="F8" s="26" t="inlineStr">
        <is>
          <t xml:space="preserve">30/09/2021 </t>
        </is>
      </c>
      <c r="G8" s="27" t="inlineStr">
        <is>
          <t xml:space="preserve">- </t>
        </is>
      </c>
      <c r="H8" s="28" t="inlineStr">
        <is>
          <t xml:space="preserve">Codirector de tesis </t>
        </is>
      </c>
      <c r="I8" s="28" t="inlineStr">
        <is>
          <t xml:space="preserve">B185 </t>
        </is>
      </c>
      <c r="J8" s="29" t="inlineStr">
        <is>
          <t xml:space="preserve">INGENIERÍA CIVIL </t>
        </is>
      </c>
      <c r="K8" s="24" t="n">
        <v>1</v>
      </c>
      <c r="L8" s="24" t="inlineStr">
        <is>
          <t>B185</t>
        </is>
      </c>
      <c r="M8" s="18" t="n">
        <v>2020</v>
      </c>
      <c r="N8" s="18" t="inlineStr"/>
      <c r="O8" s="19" t="inlineStr"/>
      <c r="P8" s="18" t="inlineStr"/>
      <c r="Q8" s="19" t="inlineStr"/>
      <c r="R8" s="18" t="n">
        <v>100</v>
      </c>
      <c r="S8" s="18" t="n">
        <v>1</v>
      </c>
      <c r="T8" s="18" t="n">
        <v>0</v>
      </c>
      <c r="U8" s="18" t="n">
        <v>0</v>
      </c>
    </row>
    <row r="9" ht="10.8" customHeight="1" thickBot="1">
      <c r="A9" s="26" t="inlineStr">
        <is>
          <t xml:space="preserve">B185 </t>
        </is>
      </c>
      <c r="B9" s="26" t="inlineStr">
        <is>
          <t xml:space="preserve">INGENIERÍA CIVIL </t>
        </is>
      </c>
      <c r="C9" s="26" t="inlineStr">
        <is>
          <t xml:space="preserve">DOCTORADO EN INGENIERÍA DE MATERIALES, ESTRUCTURAS Y TERRENO: CONSTR. SOST. </t>
        </is>
      </c>
      <c r="D9" s="26" t="inlineStr">
        <is>
          <t xml:space="preserve">Lillo Polo, Carlos </t>
        </is>
      </c>
      <c r="E9" s="26" t="inlineStr">
        <is>
          <t xml:space="preserve">APLICACIÓN DE LA ANHIDRITA NATURAL EN LA FABRICACIÓN DE MORTEROS SOSTENIBLES </t>
        </is>
      </c>
      <c r="F9" s="26" t="inlineStr">
        <is>
          <t xml:space="preserve">26/02/2021 </t>
        </is>
      </c>
      <c r="G9" s="27" t="inlineStr">
        <is>
          <t xml:space="preserve">52767340G </t>
        </is>
      </c>
      <c r="H9" s="28" t="inlineStr">
        <is>
          <t xml:space="preserve">Codirector de tesis </t>
        </is>
      </c>
      <c r="I9" s="28" t="inlineStr">
        <is>
          <t xml:space="preserve">B185 </t>
        </is>
      </c>
      <c r="J9" s="29" t="inlineStr">
        <is>
          <t xml:space="preserve">INGENIERÍA CIVIL </t>
        </is>
      </c>
      <c r="K9" s="24" t="n">
        <v>0.5</v>
      </c>
      <c r="L9" s="24" t="inlineStr">
        <is>
          <t>B185</t>
        </is>
      </c>
      <c r="M9" s="18" t="n">
        <v>2020</v>
      </c>
      <c r="N9" s="18" t="inlineStr"/>
      <c r="O9" s="19" t="inlineStr"/>
      <c r="P9" s="18" t="inlineStr"/>
      <c r="Q9" s="19" t="inlineStr"/>
      <c r="R9" s="18" t="n">
        <v>100</v>
      </c>
      <c r="S9" s="18" t="n">
        <v>0.5</v>
      </c>
      <c r="T9" s="18" t="n">
        <v>0</v>
      </c>
      <c r="U9" s="18" t="n">
        <v>0</v>
      </c>
    </row>
    <row r="10" ht="10.8" customHeight="1" thickBot="1">
      <c r="A10" s="26" t="inlineStr">
        <is>
          <t xml:space="preserve">B185 </t>
        </is>
      </c>
      <c r="B10" s="26" t="inlineStr">
        <is>
          <t xml:space="preserve">INGENIERÍA CIVIL </t>
        </is>
      </c>
      <c r="C10" s="26" t="inlineStr">
        <is>
          <t xml:space="preserve">DOCTORADO EN INGENIERÍA DE MATERIALES, ESTRUCTURAS Y TERRENO: CONSTR. SOST. </t>
        </is>
      </c>
      <c r="D10" s="26" t="inlineStr">
        <is>
          <t xml:space="preserve">Cerezuela Motos, Antonio </t>
        </is>
      </c>
      <c r="E10" s="26" t="inlineStr">
        <is>
          <t xml:space="preserve">Correlatos entre sostenibilidad, estándares de vida y arquitectura </t>
        </is>
      </c>
      <c r="F10" s="26" t="inlineStr">
        <is>
          <t xml:space="preserve">20/09/2021 </t>
        </is>
      </c>
      <c r="G10" s="27" t="inlineStr">
        <is>
          <t xml:space="preserve">- </t>
        </is>
      </c>
      <c r="H10" s="28" t="inlineStr">
        <is>
          <t xml:space="preserve">Codirector de tesis </t>
        </is>
      </c>
      <c r="I10" s="28" t="inlineStr">
        <is>
          <t xml:space="preserve">B185 </t>
        </is>
      </c>
      <c r="J10" s="29" t="inlineStr">
        <is>
          <t xml:space="preserve">INGENIERÍA CIVIL </t>
        </is>
      </c>
      <c r="K10" s="24" t="n">
        <v>0.5</v>
      </c>
      <c r="L10" s="24" t="inlineStr">
        <is>
          <t>B185</t>
        </is>
      </c>
      <c r="M10" s="18" t="n">
        <v>2020</v>
      </c>
      <c r="N10" s="18" t="inlineStr"/>
      <c r="O10" s="19" t="inlineStr"/>
      <c r="P10" s="18" t="inlineStr"/>
      <c r="Q10" s="19" t="inlineStr"/>
      <c r="R10" s="18" t="n">
        <v>100</v>
      </c>
      <c r="S10" s="18" t="n">
        <v>0.5</v>
      </c>
      <c r="T10" s="18" t="n">
        <v>0</v>
      </c>
      <c r="U10" s="18" t="n">
        <v>0</v>
      </c>
    </row>
    <row r="11" ht="10.8" customHeight="1" thickBot="1">
      <c r="A11" s="26" t="inlineStr">
        <is>
          <t xml:space="preserve">B185 </t>
        </is>
      </c>
      <c r="B11" s="26" t="inlineStr">
        <is>
          <t xml:space="preserve">INGENIERÍA CIVIL </t>
        </is>
      </c>
      <c r="C11" s="26" t="inlineStr">
        <is>
          <t xml:space="preserve">DOCTORADO EN INGENIERÍA DE MATERIALES, ESTRUCTURAS Y TERRENO: CONSTR. SOST. </t>
        </is>
      </c>
      <c r="D11" s="26" t="inlineStr">
        <is>
          <t xml:space="preserve">Rabat Blázquez, Álvaro </t>
        </is>
      </c>
      <c r="E11" s="26" t="inlineStr">
        <is>
          <t xml:space="preserve">Influence of degree of saturation and water distribution on mechanical properties of weak sedimentary rocks / Influencia del grado de saturación y la distribución del agua intersticial en las propiedades mecánicas de las rocas sedimentarias débiles. </t>
        </is>
      </c>
      <c r="F11" s="26" t="inlineStr">
        <is>
          <t xml:space="preserve">10/06/2021 </t>
        </is>
      </c>
      <c r="G11" s="27" t="inlineStr">
        <is>
          <t xml:space="preserve">48316585W </t>
        </is>
      </c>
      <c r="H11" s="28" t="inlineStr">
        <is>
          <t xml:space="preserve">Codirector de tesis </t>
        </is>
      </c>
      <c r="I11" s="28" t="inlineStr">
        <is>
          <t xml:space="preserve">B185 </t>
        </is>
      </c>
      <c r="J11" s="29" t="inlineStr">
        <is>
          <t xml:space="preserve">INGENIERÍA CIVIL </t>
        </is>
      </c>
      <c r="K11" s="24" t="n">
        <v>0.5</v>
      </c>
      <c r="L11" s="24" t="inlineStr">
        <is>
          <t>B185</t>
        </is>
      </c>
      <c r="M11" s="18" t="n">
        <v>2020</v>
      </c>
      <c r="N11" s="18" t="inlineStr"/>
      <c r="O11" s="19" t="inlineStr"/>
      <c r="P11" s="18" t="inlineStr"/>
      <c r="Q11" s="19" t="inlineStr"/>
      <c r="R11" s="18" t="n">
        <v>100</v>
      </c>
      <c r="S11" s="45" t="n">
        <v>0.5</v>
      </c>
      <c r="T11" s="18" t="n">
        <v>0</v>
      </c>
      <c r="U11" s="18" t="n">
        <v>0</v>
      </c>
    </row>
    <row r="12" ht="10.8" customHeight="1" thickBot="1">
      <c r="A12" s="26" t="inlineStr">
        <is>
          <t xml:space="preserve">B185 </t>
        </is>
      </c>
      <c r="B12" s="26" t="inlineStr">
        <is>
          <t xml:space="preserve">INGENIERÍA CIVIL </t>
        </is>
      </c>
      <c r="C12" s="26" t="inlineStr">
        <is>
          <t xml:space="preserve">DOCTORADO EN INGENIERÍA DE MATERIALES, ESTRUCTURAS Y TERRENO: CONSTR. SOST. </t>
        </is>
      </c>
      <c r="D12" s="26" t="inlineStr">
        <is>
          <t xml:space="preserve">Rabat Blázquez, Álvaro </t>
        </is>
      </c>
      <c r="E12" s="26" t="inlineStr">
        <is>
          <t xml:space="preserve">Influence of degree of saturation and water distribution on mechanical properties of weak sedimentary rocks / Influencia del grado de saturación y la distribución del agua intersticial en las propiedades mecánicas de las rocas sedimentarias débiles. </t>
        </is>
      </c>
      <c r="F12" s="26" t="inlineStr">
        <is>
          <t xml:space="preserve">10/06/2021 </t>
        </is>
      </c>
      <c r="G12" s="27" t="inlineStr">
        <is>
          <t xml:space="preserve">25122538Y </t>
        </is>
      </c>
      <c r="H12" s="28" t="inlineStr">
        <is>
          <t xml:space="preserve">Codirector de tesis </t>
        </is>
      </c>
      <c r="I12" s="28" t="inlineStr">
        <is>
          <t xml:space="preserve">B185 </t>
        </is>
      </c>
      <c r="J12" s="29" t="inlineStr">
        <is>
          <t xml:space="preserve">INGENIERÍA CIVIL </t>
        </is>
      </c>
      <c r="K12" s="24" t="n">
        <v>0.5</v>
      </c>
      <c r="L12" s="24" t="inlineStr">
        <is>
          <t>B185</t>
        </is>
      </c>
      <c r="M12" s="18" t="n">
        <v>2020</v>
      </c>
      <c r="N12" s="18" t="inlineStr"/>
      <c r="O12" s="19" t="inlineStr"/>
      <c r="P12" s="18" t="inlineStr"/>
      <c r="Q12" s="19" t="inlineStr"/>
      <c r="R12" s="18" t="n">
        <v>100</v>
      </c>
      <c r="S12" s="45" t="n">
        <v>0.5</v>
      </c>
      <c r="T12" s="18" t="n">
        <v>0</v>
      </c>
      <c r="U12" s="18" t="n">
        <v>0</v>
      </c>
    </row>
    <row r="13" ht="10.8" customHeight="1" thickBot="1">
      <c r="A13" s="26" t="inlineStr">
        <is>
          <t xml:space="preserve">B185 </t>
        </is>
      </c>
      <c r="B13" s="26" t="inlineStr">
        <is>
          <t xml:space="preserve">INGENIERÍA CIVIL </t>
        </is>
      </c>
      <c r="C13" s="26" t="inlineStr">
        <is>
          <t xml:space="preserve">DOCTORADO EN INGENIERÍA DE MATERIALES, ESTRUCTURAS Y TERRENO: CONSTR. SOST. </t>
        </is>
      </c>
      <c r="D13" s="26" t="inlineStr">
        <is>
          <t xml:space="preserve">Dazzini Langdon, Mónica Mabel </t>
        </is>
      </c>
      <c r="E13" s="26" t="inlineStr">
        <is>
          <t xml:space="preserve">PAISAJES IN-HABITADOS: LA MEMORIA DEL RÍO </t>
        </is>
      </c>
      <c r="F13" s="26" t="inlineStr">
        <is>
          <t xml:space="preserve">21/06/2021 </t>
        </is>
      </c>
      <c r="G13" s="27" t="inlineStr">
        <is>
          <t xml:space="preserve">- </t>
        </is>
      </c>
      <c r="H13" s="28" t="inlineStr">
        <is>
          <t xml:space="preserve">Codirector de tesis </t>
        </is>
      </c>
      <c r="I13" s="28" t="inlineStr">
        <is>
          <t xml:space="preserve">B185 </t>
        </is>
      </c>
      <c r="J13" s="29" t="inlineStr">
        <is>
          <t xml:space="preserve">INGENIERÍA CIVIL </t>
        </is>
      </c>
      <c r="K13" s="24" t="n">
        <v>0.5</v>
      </c>
      <c r="L13" s="24" t="inlineStr">
        <is>
          <t>B185</t>
        </is>
      </c>
      <c r="M13" s="18" t="n">
        <v>2020</v>
      </c>
      <c r="N13" s="18" t="inlineStr"/>
      <c r="O13" s="19" t="inlineStr"/>
      <c r="P13" s="18" t="inlineStr"/>
      <c r="Q13" s="19" t="inlineStr"/>
      <c r="R13" s="18" t="n">
        <v>100</v>
      </c>
      <c r="S13" s="18" t="n">
        <v>0.5</v>
      </c>
      <c r="T13" s="18" t="n">
        <v>0</v>
      </c>
      <c r="U13" s="18" t="n">
        <v>0</v>
      </c>
    </row>
    <row r="14" ht="10.8" customHeight="1" thickBot="1">
      <c r="A14" s="26" t="inlineStr">
        <is>
          <t xml:space="preserve">U020 </t>
        </is>
      </c>
      <c r="B14" s="26" t="inlineStr">
        <is>
          <t xml:space="preserve">ADM. I.U. DEL AGUA Y DE LAS CIENCIAS AMBIENTALES </t>
        </is>
      </c>
      <c r="C14" s="26" t="inlineStr">
        <is>
          <t xml:space="preserve">DOCTORADO EN AGUA Y DESARROLLO SOSTENIBLE </t>
        </is>
      </c>
      <c r="D14" s="26" t="inlineStr">
        <is>
          <t xml:space="preserve">MORA CABRERA, KAREN VIVIANA </t>
        </is>
      </c>
      <c r="E14" s="26" t="inlineStr">
        <is>
          <t xml:space="preserve">Tratamiento de aguas residuales mediante UASB + eMBR para eliminación de productos farmacéuticos en aguas residuales urbanas </t>
        </is>
      </c>
      <c r="F14" s="26" t="inlineStr">
        <is>
          <t xml:space="preserve">15/09/2021 </t>
        </is>
      </c>
      <c r="G14" s="27" t="inlineStr">
        <is>
          <t xml:space="preserve">21388652D </t>
        </is>
      </c>
      <c r="H14" s="28" t="inlineStr">
        <is>
          <t xml:space="preserve">Codirector de tesis </t>
        </is>
      </c>
      <c r="I14" s="28" t="inlineStr">
        <is>
          <t xml:space="preserve">B185 </t>
        </is>
      </c>
      <c r="J14" s="29" t="inlineStr">
        <is>
          <t xml:space="preserve">INGENIERÍA CIVIL </t>
        </is>
      </c>
      <c r="K14" s="24" t="n">
        <v>0.5</v>
      </c>
      <c r="L14" s="24" t="inlineStr">
        <is>
          <t>B185</t>
        </is>
      </c>
      <c r="M14" s="18" t="n">
        <v>2020</v>
      </c>
      <c r="N14" s="18" t="inlineStr">
        <is>
          <t>10.05</t>
        </is>
      </c>
      <c r="O14" s="19" t="n">
        <v>80</v>
      </c>
      <c r="P14" s="18" t="inlineStr"/>
      <c r="Q14" s="19" t="n">
        <v>0</v>
      </c>
      <c r="R14" s="18" t="n">
        <v>20</v>
      </c>
      <c r="S14" s="18" t="n">
        <v>0.1</v>
      </c>
      <c r="T14" s="18" t="n">
        <v>0.4</v>
      </c>
      <c r="U14" s="18" t="n">
        <v>0</v>
      </c>
    </row>
    <row r="15" ht="10.8" customHeight="1" thickBot="1">
      <c r="A15" s="26" t="inlineStr">
        <is>
          <t xml:space="preserve">U020 </t>
        </is>
      </c>
      <c r="B15" s="26" t="inlineStr">
        <is>
          <t xml:space="preserve">ADM. I.U. DEL AGUA Y DE LAS CIENCIAS AMBIENTALES </t>
        </is>
      </c>
      <c r="C15" s="26" t="inlineStr">
        <is>
          <t xml:space="preserve">DOCTORADO EN AGUA Y DESARROLLO SOSTENIBLE </t>
        </is>
      </c>
      <c r="D15" s="26" t="inlineStr">
        <is>
          <t xml:space="preserve">Jódar Abellán, Antonio </t>
        </is>
      </c>
      <c r="E15" s="26" t="inlineStr">
        <is>
          <t xml:space="preserve">Hydrological impacts of global change. Adaptation alternatives in complex water systems with water resources scarcity and severe natural risks (southeast of Spain) </t>
        </is>
      </c>
      <c r="F15" s="26" t="inlineStr">
        <is>
          <t xml:space="preserve">09/07/2021 </t>
        </is>
      </c>
      <c r="G15" s="27" t="inlineStr">
        <is>
          <t xml:space="preserve">74002594W </t>
        </is>
      </c>
      <c r="H15" s="28" t="inlineStr">
        <is>
          <t xml:space="preserve">Codirector de tesis </t>
        </is>
      </c>
      <c r="I15" s="28" t="inlineStr">
        <is>
          <t xml:space="preserve">B185 </t>
        </is>
      </c>
      <c r="J15" s="29" t="inlineStr">
        <is>
          <t xml:space="preserve">INGENIERÍA CIVIL </t>
        </is>
      </c>
      <c r="K15" s="24" t="n">
        <v>0.3333333333333333</v>
      </c>
      <c r="L15" s="24" t="inlineStr">
        <is>
          <t>B185</t>
        </is>
      </c>
      <c r="M15" s="18" t="n">
        <v>2020</v>
      </c>
      <c r="N15" s="18" t="inlineStr">
        <is>
          <t>10.05</t>
        </is>
      </c>
      <c r="O15" s="19" t="n">
        <v>10</v>
      </c>
      <c r="P15" s="18" t="inlineStr"/>
      <c r="Q15" s="19" t="n">
        <v>0</v>
      </c>
      <c r="R15" s="18" t="n">
        <v>90</v>
      </c>
      <c r="S15" s="18" t="n">
        <v>0.3</v>
      </c>
      <c r="T15" s="18" t="n">
        <v>0.03333333333333333</v>
      </c>
      <c r="U15" s="18" t="n">
        <v>0</v>
      </c>
    </row>
    <row r="16">
      <c r="A16" s="18" t="inlineStr">
        <is>
          <t xml:space="preserve">B185 </t>
        </is>
      </c>
      <c r="B16" s="18" t="inlineStr">
        <is>
          <t xml:space="preserve">INGENIERÍA CIVIL </t>
        </is>
      </c>
      <c r="C16" s="18" t="inlineStr">
        <is>
          <t xml:space="preserve">DOCTORADO EN INGENIERÍA DE MATERIALES, ESTRUCTURAS Y TERRENO: CONSTR. SOST. </t>
        </is>
      </c>
      <c r="D16" s="18" t="inlineStr">
        <is>
          <t xml:space="preserve">Ibáñez Gosálvez, Javier </t>
        </is>
      </c>
      <c r="E16" s="18" t="inlineStr">
        <is>
          <t xml:space="preserve">Influencia de la exposición a ambientes reales en la microestructura y propiedades de morteros sostenibles elaborados con cementos binarios y ternarios </t>
        </is>
      </c>
      <c r="F16" s="18" t="inlineStr">
        <is>
          <t xml:space="preserve">08/02/2022 </t>
        </is>
      </c>
      <c r="G16" s="18" t="inlineStr">
        <is>
          <t xml:space="preserve">48325212G </t>
        </is>
      </c>
      <c r="H16" s="18" t="inlineStr">
        <is>
          <t xml:space="preserve">Codirector de tesis </t>
        </is>
      </c>
      <c r="I16" s="18" t="inlineStr">
        <is>
          <t xml:space="preserve">B185 </t>
        </is>
      </c>
      <c r="J16" s="18" t="inlineStr">
        <is>
          <t xml:space="preserve">INGENIERÍA CIVIL </t>
        </is>
      </c>
      <c r="K16" s="24" t="n">
        <v>0.5</v>
      </c>
      <c r="L16" s="24" t="inlineStr">
        <is>
          <t>B185</t>
        </is>
      </c>
      <c r="M16" s="18" t="n">
        <v>2021</v>
      </c>
      <c r="N16" s="18" t="inlineStr"/>
      <c r="O16" s="19" t="inlineStr"/>
      <c r="P16" s="18" t="inlineStr"/>
      <c r="Q16" s="19" t="inlineStr"/>
      <c r="R16" s="18" t="n">
        <v>100</v>
      </c>
      <c r="S16" s="18" t="n">
        <v>0.5</v>
      </c>
      <c r="T16" s="18" t="n">
        <v>0</v>
      </c>
      <c r="U16" s="18" t="n">
        <v>0</v>
      </c>
    </row>
    <row r="17">
      <c r="A17" s="18" t="inlineStr">
        <is>
          <t xml:space="preserve">B185 </t>
        </is>
      </c>
      <c r="B17" s="18" t="inlineStr">
        <is>
          <t xml:space="preserve">INGENIERÍA CIVIL </t>
        </is>
      </c>
      <c r="C17" s="18" t="inlineStr">
        <is>
          <t xml:space="preserve">DOCTORADO EN INGENIERÍA DE MATERIALES, ESTRUCTURAS Y TERRENO: CONSTR. SOST. </t>
        </is>
      </c>
      <c r="D17" s="18" t="inlineStr">
        <is>
          <t xml:space="preserve">Ibáñez Gosálvez, Javier </t>
        </is>
      </c>
      <c r="E17" s="18" t="inlineStr">
        <is>
          <t xml:space="preserve">Influencia de la exposición a ambientes reales en la microestructura y propiedades de morteros sostenibles elaborados con cementos binarios y ternarios </t>
        </is>
      </c>
      <c r="F17" s="18" t="inlineStr">
        <is>
          <t xml:space="preserve">08/02/2022 </t>
        </is>
      </c>
      <c r="G17" s="18" t="inlineStr">
        <is>
          <t xml:space="preserve">24365518P </t>
        </is>
      </c>
      <c r="H17" s="18" t="inlineStr">
        <is>
          <t xml:space="preserve">Codirector de tesis </t>
        </is>
      </c>
      <c r="I17" s="18" t="inlineStr">
        <is>
          <t xml:space="preserve">B185 </t>
        </is>
      </c>
      <c r="J17" s="18" t="inlineStr">
        <is>
          <t xml:space="preserve">INGENIERÍA CIVIL </t>
        </is>
      </c>
      <c r="K17" s="24" t="n">
        <v>0.5</v>
      </c>
      <c r="L17" s="24" t="inlineStr">
        <is>
          <t>B185</t>
        </is>
      </c>
      <c r="M17" s="18" t="n">
        <v>2021</v>
      </c>
      <c r="N17" s="18" t="inlineStr"/>
      <c r="O17" s="19" t="inlineStr"/>
      <c r="P17" s="18" t="inlineStr"/>
      <c r="Q17" s="19" t="inlineStr"/>
      <c r="R17" s="18" t="n">
        <v>100</v>
      </c>
      <c r="S17" s="18" t="n">
        <v>0.5</v>
      </c>
      <c r="T17" s="18" t="n">
        <v>0</v>
      </c>
      <c r="U17" s="18" t="n">
        <v>0</v>
      </c>
    </row>
    <row r="18">
      <c r="A18" s="18" t="inlineStr">
        <is>
          <t xml:space="preserve">B185 </t>
        </is>
      </c>
      <c r="B18" s="18" t="inlineStr">
        <is>
          <t xml:space="preserve">INGENIERÍA CIVIL </t>
        </is>
      </c>
      <c r="C18" s="18" t="inlineStr">
        <is>
          <t xml:space="preserve">DOCTORADO EN INGENIERÍA DE MATERIALES, ESTRUCTURAS Y TERRENO: CONSTR. SOST. </t>
        </is>
      </c>
      <c r="D18" s="18" t="inlineStr">
        <is>
          <t xml:space="preserve">Gisbert Alemany, Ester </t>
        </is>
      </c>
      <c r="E18" s="18" t="inlineStr">
        <is>
          <t xml:space="preserve">To do a landscape variations on the Costa Blanca </t>
        </is>
      </c>
      <c r="F18" s="18" t="inlineStr">
        <is>
          <t xml:space="preserve">18/07/2022 </t>
        </is>
      </c>
      <c r="G18" s="18" t="inlineStr">
        <is>
          <t xml:space="preserve">- </t>
        </is>
      </c>
      <c r="H18" s="18" t="inlineStr">
        <is>
          <t xml:space="preserve">Codirector de tesis </t>
        </is>
      </c>
      <c r="I18" s="18" t="inlineStr">
        <is>
          <t xml:space="preserve">B185 </t>
        </is>
      </c>
      <c r="J18" s="18" t="inlineStr">
        <is>
          <t xml:space="preserve">INGENIERÍA CIVIL </t>
        </is>
      </c>
      <c r="K18" s="24" t="n">
        <v>0.5</v>
      </c>
      <c r="L18" s="24" t="inlineStr">
        <is>
          <t>B185</t>
        </is>
      </c>
      <c r="M18" s="18" t="n">
        <v>2021</v>
      </c>
      <c r="N18" s="18" t="inlineStr"/>
      <c r="O18" s="19" t="inlineStr"/>
      <c r="P18" s="18" t="inlineStr"/>
      <c r="Q18" s="19" t="inlineStr"/>
      <c r="R18" s="18" t="n">
        <v>100</v>
      </c>
      <c r="S18" s="18" t="n">
        <v>0.5</v>
      </c>
      <c r="T18" s="18" t="n">
        <v>0</v>
      </c>
      <c r="U18" s="18" t="n">
        <v>0</v>
      </c>
    </row>
    <row r="19">
      <c r="A19" s="18" t="inlineStr">
        <is>
          <t xml:space="preserve">B185 </t>
        </is>
      </c>
      <c r="B19" s="18" t="inlineStr">
        <is>
          <t xml:space="preserve">INGENIERÍA CIVIL </t>
        </is>
      </c>
      <c r="C19" s="18" t="inlineStr">
        <is>
          <t xml:space="preserve">DOCTORADO EN INGENIERÍA DE MATERIALES, ESTRUCTURAS Y TERRENO: CONSTR. SOST. </t>
        </is>
      </c>
      <c r="D19" s="18" t="inlineStr">
        <is>
          <t xml:space="preserve">del Moral Delgado, Beatriz </t>
        </is>
      </c>
      <c r="E19" s="18" t="inlineStr">
        <is>
          <t xml:space="preserve">Aplicación práctica de un material cementicio conductor como sensor de deformaciones, mediante la adición híbrida de nanotubos de carbono y polvo de grafito, en elementos a escala real </t>
        </is>
      </c>
      <c r="F19" s="18" t="inlineStr">
        <is>
          <t xml:space="preserve">31/03/2022 </t>
        </is>
      </c>
      <c r="G19" s="18" t="inlineStr">
        <is>
          <t xml:space="preserve">48362656G </t>
        </is>
      </c>
      <c r="H19" s="18" t="inlineStr">
        <is>
          <t xml:space="preserve">Codirector de tesis </t>
        </is>
      </c>
      <c r="I19" s="18" t="inlineStr">
        <is>
          <t xml:space="preserve">B185 </t>
        </is>
      </c>
      <c r="J19" s="18" t="inlineStr">
        <is>
          <t xml:space="preserve">INGENIERÍA CIVIL </t>
        </is>
      </c>
      <c r="K19" s="24" t="n">
        <v>0.5</v>
      </c>
      <c r="L19" s="24" t="inlineStr">
        <is>
          <t>B185</t>
        </is>
      </c>
      <c r="M19" s="18" t="n">
        <v>2021</v>
      </c>
      <c r="N19" s="18" t="inlineStr"/>
      <c r="O19" s="19" t="inlineStr"/>
      <c r="P19" s="18" t="inlineStr"/>
      <c r="Q19" s="19" t="inlineStr"/>
      <c r="R19" s="18" t="n">
        <v>100</v>
      </c>
      <c r="S19" s="18" t="n">
        <v>0.5</v>
      </c>
      <c r="T19" s="18" t="n">
        <v>0</v>
      </c>
      <c r="U19" s="18" t="n">
        <v>0</v>
      </c>
    </row>
    <row r="20">
      <c r="A20" s="18" t="inlineStr">
        <is>
          <t xml:space="preserve">B185 </t>
        </is>
      </c>
      <c r="B20" s="18" t="inlineStr">
        <is>
          <t xml:space="preserve">INGENIERÍA CIVIL </t>
        </is>
      </c>
      <c r="C20" s="18" t="inlineStr">
        <is>
          <t xml:space="preserve">DOCTORADO EN INGENIERÍA DE MATERIALES, ESTRUCTURAS Y TERRENO: CONSTR. SOST. </t>
        </is>
      </c>
      <c r="D20" s="18" t="inlineStr">
        <is>
          <t xml:space="preserve">del Moral Delgado, Beatriz </t>
        </is>
      </c>
      <c r="E20" s="18" t="inlineStr">
        <is>
          <t xml:space="preserve">Aplicación práctica de un material cementicio conductor como sensor de deformaciones, mediante la adición híbrida de nanotubos de carbono y polvo de grafito, en elementos a escala real </t>
        </is>
      </c>
      <c r="F20" s="18" t="inlineStr">
        <is>
          <t xml:space="preserve">31/03/2022 </t>
        </is>
      </c>
      <c r="G20" s="18" t="inlineStr">
        <is>
          <t xml:space="preserve">21418318M </t>
        </is>
      </c>
      <c r="H20" s="18" t="inlineStr">
        <is>
          <t xml:space="preserve">Codirector de tesis </t>
        </is>
      </c>
      <c r="I20" s="18" t="inlineStr">
        <is>
          <t xml:space="preserve">B185 </t>
        </is>
      </c>
      <c r="J20" s="18" t="inlineStr">
        <is>
          <t xml:space="preserve">INGENIERÍA CIVIL </t>
        </is>
      </c>
      <c r="K20" s="24" t="n">
        <v>0.5</v>
      </c>
      <c r="L20" s="24" t="inlineStr">
        <is>
          <t>B185</t>
        </is>
      </c>
      <c r="M20" s="18" t="n">
        <v>2021</v>
      </c>
      <c r="N20" s="18" t="inlineStr"/>
      <c r="O20" s="19" t="inlineStr"/>
      <c r="P20" s="18" t="inlineStr"/>
      <c r="Q20" s="19" t="inlineStr"/>
      <c r="R20" s="18" t="n">
        <v>100</v>
      </c>
      <c r="S20" s="18" t="n">
        <v>0.5</v>
      </c>
      <c r="T20" s="18" t="n">
        <v>0</v>
      </c>
      <c r="U20" s="18" t="n">
        <v>0</v>
      </c>
    </row>
    <row r="21">
      <c r="A21" s="18" t="inlineStr">
        <is>
          <t xml:space="preserve">B185 </t>
        </is>
      </c>
      <c r="B21" s="18" t="inlineStr">
        <is>
          <t xml:space="preserve">INGENIERÍA CIVIL </t>
        </is>
      </c>
      <c r="C21" s="18" t="inlineStr">
        <is>
          <t xml:space="preserve">DOCTORADO EN INGENIERÍA DE MATERIALES, ESTRUCTURAS Y TERRENO: CONSTR. SOST. </t>
        </is>
      </c>
      <c r="D21" s="18" t="inlineStr">
        <is>
          <t xml:space="preserve">Miró Oca, Marina </t>
        </is>
      </c>
      <c r="E21" s="18" t="inlineStr">
        <is>
          <t xml:space="preserve">APLICACIÓN DE TÉCNICAS ULTRASÓNICAS NO LINEALES A LA DETECCIÓN DE LA FISURACIÓN POR CORROSIÓN DEL ACERO EN HORMIGÓN </t>
        </is>
      </c>
      <c r="F21" s="18" t="inlineStr">
        <is>
          <t xml:space="preserve">20/12/2021 </t>
        </is>
      </c>
      <c r="G21" s="18" t="inlineStr">
        <is>
          <t xml:space="preserve">21400492G </t>
        </is>
      </c>
      <c r="H21" s="18" t="inlineStr">
        <is>
          <t xml:space="preserve">Codirector de tesis </t>
        </is>
      </c>
      <c r="I21" s="18" t="inlineStr">
        <is>
          <t xml:space="preserve">B185 </t>
        </is>
      </c>
      <c r="J21" s="18" t="inlineStr">
        <is>
          <t xml:space="preserve">INGENIERÍA CIVIL </t>
        </is>
      </c>
      <c r="K21" s="24" t="n">
        <v>0.5</v>
      </c>
      <c r="L21" s="24" t="inlineStr">
        <is>
          <t>B185</t>
        </is>
      </c>
      <c r="M21" s="18" t="n">
        <v>2021</v>
      </c>
      <c r="N21" s="18" t="inlineStr"/>
      <c r="O21" s="19" t="inlineStr"/>
      <c r="P21" s="18" t="inlineStr"/>
      <c r="Q21" s="19" t="inlineStr"/>
      <c r="R21" s="18" t="n">
        <v>100</v>
      </c>
      <c r="S21" s="18" t="n">
        <v>0.5</v>
      </c>
      <c r="T21" s="18" t="n">
        <v>0</v>
      </c>
      <c r="U21" s="18" t="n">
        <v>0</v>
      </c>
    </row>
    <row r="22">
      <c r="A22" s="18" t="inlineStr">
        <is>
          <t xml:space="preserve">B185 </t>
        </is>
      </c>
      <c r="B22" s="18" t="inlineStr">
        <is>
          <t xml:space="preserve">INGENIERÍA CIVIL </t>
        </is>
      </c>
      <c r="C22" s="18" t="inlineStr">
        <is>
          <t xml:space="preserve">DOCTORADO EN INGENIERÍA DE MATERIALES, ESTRUCTURAS Y TERRENO: CONSTR. SOST. </t>
        </is>
      </c>
      <c r="D22" s="18" t="inlineStr">
        <is>
          <t xml:space="preserve">Tremiño Agullo, Rosa Maria </t>
        </is>
      </c>
      <c r="E22" s="18" t="inlineStr">
        <is>
          <t xml:space="preserve">Efectos muy a largo plazo de las adiciones de polvo de vidrio, polvo de ladrillo y ceniza volcánica en la estructura porosa y durabilidad de morteros de cemento </t>
        </is>
      </c>
      <c r="F22" s="18" t="inlineStr">
        <is>
          <t xml:space="preserve">17/05/2022 </t>
        </is>
      </c>
      <c r="G22" s="18" t="inlineStr">
        <is>
          <t xml:space="preserve">48325212G </t>
        </is>
      </c>
      <c r="H22" s="18" t="inlineStr">
        <is>
          <t xml:space="preserve">Codirector de tesis </t>
        </is>
      </c>
      <c r="I22" s="18" t="inlineStr">
        <is>
          <t xml:space="preserve">B185 </t>
        </is>
      </c>
      <c r="J22" s="18" t="inlineStr">
        <is>
          <t xml:space="preserve">INGENIERÍA CIVIL </t>
        </is>
      </c>
      <c r="K22" s="24" t="n">
        <v>0.5</v>
      </c>
      <c r="L22" s="24" t="inlineStr">
        <is>
          <t>B185</t>
        </is>
      </c>
      <c r="M22" s="18" t="n">
        <v>2021</v>
      </c>
      <c r="N22" s="18" t="inlineStr"/>
      <c r="O22" s="19" t="inlineStr"/>
      <c r="P22" s="18" t="inlineStr"/>
      <c r="Q22" s="19" t="inlineStr"/>
      <c r="R22" s="18" t="n">
        <v>100</v>
      </c>
      <c r="S22" s="18" t="n">
        <v>0.5</v>
      </c>
      <c r="T22" s="18" t="n">
        <v>0</v>
      </c>
      <c r="U22" s="18" t="n">
        <v>0</v>
      </c>
    </row>
    <row r="23">
      <c r="A23" s="18" t="inlineStr">
        <is>
          <t xml:space="preserve">B185 </t>
        </is>
      </c>
      <c r="B23" s="18" t="inlineStr">
        <is>
          <t xml:space="preserve">INGENIERÍA CIVIL </t>
        </is>
      </c>
      <c r="C23" s="18" t="inlineStr">
        <is>
          <t xml:space="preserve">DOCTORADO EN INGENIERÍA DE MATERIALES, ESTRUCTURAS Y TERRENO: CONSTR. SOST. </t>
        </is>
      </c>
      <c r="D23" s="18" t="inlineStr">
        <is>
          <t xml:space="preserve">Tremiño Agullo, Rosa Maria </t>
        </is>
      </c>
      <c r="E23" s="18" t="inlineStr">
        <is>
          <t xml:space="preserve">Efectos muy a largo plazo de las adiciones de polvo de vidrio, polvo de ladrillo y ceniza volcánica en la estructura porosa y durabilidad de morteros de cemento </t>
        </is>
      </c>
      <c r="F23" s="18" t="inlineStr">
        <is>
          <t xml:space="preserve">17/05/2022 </t>
        </is>
      </c>
      <c r="G23" s="18" t="inlineStr">
        <is>
          <t xml:space="preserve">24365518P </t>
        </is>
      </c>
      <c r="H23" s="18" t="inlineStr">
        <is>
          <t xml:space="preserve">Codirector de tesis </t>
        </is>
      </c>
      <c r="I23" s="18" t="inlineStr">
        <is>
          <t xml:space="preserve">B185 </t>
        </is>
      </c>
      <c r="J23" s="18" t="inlineStr">
        <is>
          <t xml:space="preserve">INGENIERÍA CIVIL </t>
        </is>
      </c>
      <c r="K23" s="24" t="n">
        <v>0.5</v>
      </c>
      <c r="L23" s="24" t="inlineStr">
        <is>
          <t>B185</t>
        </is>
      </c>
      <c r="M23" s="18" t="n">
        <v>2021</v>
      </c>
      <c r="N23" s="18" t="inlineStr"/>
      <c r="O23" s="19" t="inlineStr"/>
      <c r="P23" s="18" t="inlineStr"/>
      <c r="Q23" s="19" t="inlineStr"/>
      <c r="R23" s="18" t="n">
        <v>100</v>
      </c>
      <c r="S23" s="18" t="n">
        <v>0.5</v>
      </c>
      <c r="T23" s="18" t="n">
        <v>0</v>
      </c>
      <c r="U23" s="18" t="n">
        <v>0</v>
      </c>
    </row>
    <row r="24">
      <c r="A24" s="18" t="inlineStr">
        <is>
          <t xml:space="preserve">B185 </t>
        </is>
      </c>
      <c r="B24" s="18" t="inlineStr">
        <is>
          <t xml:space="preserve">INGENIERÍA CIVIL </t>
        </is>
      </c>
      <c r="C24" s="18" t="inlineStr">
        <is>
          <t xml:space="preserve">DOCTORADO EN INGENIERÍA DE MATERIALES, ESTRUCTURAS Y TERRENO: CONSTR. SOST. </t>
        </is>
      </c>
      <c r="D24" s="18" t="inlineStr">
        <is>
          <t xml:space="preserve">Farcas , Catalina Mariana </t>
        </is>
      </c>
      <c r="E24" s="18" t="inlineStr">
        <is>
          <t xml:space="preserve">FUNCIONES DE CALEFACCIÓN, PREVENCIÓN Y DESHIELO EN MATERIALES INTELIGENTES COMPUESTOS POR MATRICES CEMENTICIAS Y RESINAS CON NANOADICIONES CARBONOSAS HÍBRIDAS O CON MATERIALES DE DESECHO </t>
        </is>
      </c>
      <c r="F24" s="18" t="inlineStr">
        <is>
          <t xml:space="preserve">19/01/2022 </t>
        </is>
      </c>
      <c r="G24" s="18" t="inlineStr">
        <is>
          <t xml:space="preserve">33479787K </t>
        </is>
      </c>
      <c r="H24" s="18" t="inlineStr">
        <is>
          <t xml:space="preserve">Codirector de tesis </t>
        </is>
      </c>
      <c r="I24" s="18" t="inlineStr">
        <is>
          <t xml:space="preserve">B185 </t>
        </is>
      </c>
      <c r="J24" s="18" t="inlineStr">
        <is>
          <t xml:space="preserve">INGENIERÍA CIVIL </t>
        </is>
      </c>
      <c r="K24" s="24" t="n">
        <v>0.5</v>
      </c>
      <c r="L24" s="24" t="inlineStr">
        <is>
          <t>B185</t>
        </is>
      </c>
      <c r="M24" s="18" t="n">
        <v>2021</v>
      </c>
      <c r="N24" s="18" t="inlineStr"/>
      <c r="O24" s="19" t="inlineStr"/>
      <c r="P24" s="18" t="inlineStr"/>
      <c r="Q24" s="19" t="inlineStr"/>
      <c r="R24" s="18" t="n">
        <v>100</v>
      </c>
      <c r="S24" s="18" t="n">
        <v>0.5</v>
      </c>
      <c r="T24" s="18" t="n">
        <v>0</v>
      </c>
      <c r="U24" s="18" t="n">
        <v>0</v>
      </c>
    </row>
    <row r="25">
      <c r="A25" s="18" t="inlineStr">
        <is>
          <t xml:space="preserve">B185 </t>
        </is>
      </c>
      <c r="B25" s="18" t="inlineStr">
        <is>
          <t xml:space="preserve">INGENIERÍA CIVIL </t>
        </is>
      </c>
      <c r="C25" s="18" t="inlineStr">
        <is>
          <t xml:space="preserve">DOCTORADO EN INGENIERÍA DE MATERIALES, ESTRUCTURAS Y TERRENO: CONSTR. SOST. </t>
        </is>
      </c>
      <c r="D25" s="18" t="inlineStr">
        <is>
          <t xml:space="preserve">Farcas , Catalina Mariana </t>
        </is>
      </c>
      <c r="E25" s="18" t="inlineStr">
        <is>
          <t xml:space="preserve">FUNCIONES DE CALEFACCIÓN, PREVENCIÓN Y DESHIELO EN MATERIALES INTELIGENTES COMPUESTOS POR MATRICES CEMENTICIAS Y RESINAS CON NANOADICIONES CARBONOSAS HÍBRIDAS O CON MATERIALES DE DESECHO </t>
        </is>
      </c>
      <c r="F25" s="18" t="inlineStr">
        <is>
          <t xml:space="preserve">19/01/2022 </t>
        </is>
      </c>
      <c r="G25" s="18" t="inlineStr">
        <is>
          <t xml:space="preserve">21418318M </t>
        </is>
      </c>
      <c r="H25" s="18" t="inlineStr">
        <is>
          <t xml:space="preserve">Codirector de tesis </t>
        </is>
      </c>
      <c r="I25" s="18" t="inlineStr">
        <is>
          <t xml:space="preserve">B185 </t>
        </is>
      </c>
      <c r="J25" s="18" t="inlineStr">
        <is>
          <t xml:space="preserve">INGENIERÍA CIVIL </t>
        </is>
      </c>
      <c r="K25" s="24" t="n">
        <v>0.5</v>
      </c>
      <c r="L25" s="24" t="inlineStr">
        <is>
          <t>B185</t>
        </is>
      </c>
      <c r="M25" s="18" t="n">
        <v>2021</v>
      </c>
      <c r="N25" s="18" t="inlineStr"/>
      <c r="O25" s="19" t="inlineStr"/>
      <c r="P25" s="18" t="inlineStr"/>
      <c r="Q25" s="19" t="inlineStr"/>
      <c r="R25" s="18" t="n">
        <v>100</v>
      </c>
      <c r="S25" s="18" t="n">
        <v>0.5</v>
      </c>
      <c r="T25" s="18" t="n">
        <v>0</v>
      </c>
      <c r="U25" s="18" t="n">
        <v>0</v>
      </c>
    </row>
    <row r="26">
      <c r="A26" s="18" t="inlineStr">
        <is>
          <t xml:space="preserve">U066 </t>
        </is>
      </c>
      <c r="B26" s="18" t="inlineStr">
        <is>
          <t xml:space="preserve">ADM. I.U. FÍSICA APLICADA A LA CIENCIAS Y A LAS TECNOLOGIAS </t>
        </is>
      </c>
      <c r="C26" s="18" t="inlineStr">
        <is>
          <t xml:space="preserve">DOCTORADO EN FÍSICA APLICADA A LAS CIENCIAS Y LAS TECNOLOGÍAS </t>
        </is>
      </c>
      <c r="D26" s="18" t="inlineStr">
        <is>
          <t xml:space="preserve">Tomás López, María Baralida </t>
        </is>
      </c>
      <c r="E26" s="18" t="inlineStr">
        <is>
          <t xml:space="preserve">Estudio e implementación de técnicas subpíxel para medidas no invasivas </t>
        </is>
      </c>
      <c r="F26" s="18" t="inlineStr">
        <is>
          <t xml:space="preserve">10/06/2022 </t>
        </is>
      </c>
      <c r="G26" s="18" t="inlineStr">
        <is>
          <t xml:space="preserve">25414751G </t>
        </is>
      </c>
      <c r="H26" s="18" t="inlineStr">
        <is>
          <t xml:space="preserve">Codirector de tesis </t>
        </is>
      </c>
      <c r="I26" s="18" t="inlineStr">
        <is>
          <t xml:space="preserve">B185 </t>
        </is>
      </c>
      <c r="J26" s="18" t="inlineStr">
        <is>
          <t xml:space="preserve">INGENIERÍA CIVIL </t>
        </is>
      </c>
      <c r="K26" s="24" t="n">
        <v>0.5</v>
      </c>
      <c r="L26" s="24" t="inlineStr">
        <is>
          <t>B185</t>
        </is>
      </c>
      <c r="M26" s="18" t="n">
        <v>2021</v>
      </c>
      <c r="N26" s="18" t="inlineStr">
        <is>
          <t>10.20</t>
        </is>
      </c>
      <c r="O26" s="19" t="n">
        <v>50</v>
      </c>
      <c r="P26" s="18" t="inlineStr"/>
      <c r="Q26" s="19" t="n">
        <v>0</v>
      </c>
      <c r="R26" s="18" t="n">
        <v>50</v>
      </c>
      <c r="S26" s="18" t="n">
        <v>0.25</v>
      </c>
      <c r="T26" s="18" t="n">
        <v>0.25</v>
      </c>
      <c r="U26" s="18" t="n">
        <v>0</v>
      </c>
    </row>
    <row r="27">
      <c r="A27" s="18" t="inlineStr">
        <is>
          <t xml:space="preserve">B185 </t>
        </is>
      </c>
      <c r="B27" s="18" t="inlineStr">
        <is>
          <t xml:space="preserve">INGENIERÍA CIVIL </t>
        </is>
      </c>
      <c r="C27" s="18" t="inlineStr">
        <is>
          <t xml:space="preserve">DOCTORADO EN INGENIERÍA DE MATERIALES, ESTRUCTURAS Y TERRENO: CONSTR. SOST. </t>
        </is>
      </c>
      <c r="D27" s="18" t="inlineStr">
        <is>
          <t xml:space="preserve">Salmeron Martínez, Antonio </t>
        </is>
      </c>
      <c r="E27" s="18" t="inlineStr">
        <is>
          <t xml:space="preserve">Nuevo Sistema de Reparación de Forjados de Viguetas Violín con Corrugado Inoxidable </t>
        </is>
      </c>
      <c r="F27" s="18" t="inlineStr">
        <is>
          <t xml:space="preserve">19/12/2022 </t>
        </is>
      </c>
      <c r="G27" s="18" t="inlineStr">
        <is>
          <t xml:space="preserve">79102157M </t>
        </is>
      </c>
      <c r="H27" s="18" t="inlineStr">
        <is>
          <t xml:space="preserve">Codirector de tesis </t>
        </is>
      </c>
      <c r="I27" s="18" t="inlineStr">
        <is>
          <t xml:space="preserve">B185 </t>
        </is>
      </c>
      <c r="J27" s="18" t="inlineStr">
        <is>
          <t xml:space="preserve">INGENIERÍA CIVIL </t>
        </is>
      </c>
      <c r="K27" s="49" t="n">
        <v>0.5</v>
      </c>
      <c r="L27" s="49" t="inlineStr">
        <is>
          <t>B185</t>
        </is>
      </c>
      <c r="M27" s="18" t="n">
        <v>2022</v>
      </c>
      <c r="N27" s="49" t="inlineStr"/>
      <c r="O27" s="49" t="inlineStr"/>
      <c r="P27" s="49" t="inlineStr"/>
      <c r="Q27" s="49" t="inlineStr"/>
      <c r="R27" s="49" t="n">
        <v>100</v>
      </c>
      <c r="S27" s="49" t="n">
        <v>0.5</v>
      </c>
      <c r="T27" s="49" t="n">
        <v>0</v>
      </c>
      <c r="U27" s="49" t="n">
        <v>0</v>
      </c>
    </row>
    <row r="28">
      <c r="A28" s="18" t="inlineStr">
        <is>
          <t xml:space="preserve">B185 </t>
        </is>
      </c>
      <c r="B28" s="18" t="inlineStr">
        <is>
          <t xml:space="preserve">INGENIERÍA CIVIL </t>
        </is>
      </c>
      <c r="C28" s="18" t="inlineStr">
        <is>
          <t xml:space="preserve">DOCTORADO EN INGENIERÍA DE MATERIALES, ESTRUCTURAS Y TERRENO: CONSTR. SOST. </t>
        </is>
      </c>
      <c r="D28" s="18" t="inlineStr">
        <is>
          <t xml:space="preserve">Salmeron Martínez, Antonio </t>
        </is>
      </c>
      <c r="E28" s="18" t="inlineStr">
        <is>
          <t xml:space="preserve">Nuevo Sistema de Reparación de Forjados de Viguetas Violín con Corrugado Inoxidable </t>
        </is>
      </c>
      <c r="F28" s="18" t="inlineStr">
        <is>
          <t xml:space="preserve">19/12/2022 </t>
        </is>
      </c>
      <c r="G28" s="18" t="inlineStr">
        <is>
          <t xml:space="preserve">21400492G </t>
        </is>
      </c>
      <c r="H28" s="18" t="inlineStr">
        <is>
          <t xml:space="preserve">Codirector de tesis </t>
        </is>
      </c>
      <c r="I28" s="18" t="inlineStr">
        <is>
          <t xml:space="preserve">B185 </t>
        </is>
      </c>
      <c r="J28" s="18" t="inlineStr">
        <is>
          <t xml:space="preserve">INGENIERÍA CIVIL </t>
        </is>
      </c>
      <c r="K28" s="49" t="n">
        <v>0.5</v>
      </c>
      <c r="L28" s="49" t="inlineStr">
        <is>
          <t>B185</t>
        </is>
      </c>
      <c r="M28" s="18" t="n">
        <v>2022</v>
      </c>
      <c r="N28" s="49" t="inlineStr"/>
      <c r="O28" s="49" t="inlineStr"/>
      <c r="P28" s="49" t="inlineStr"/>
      <c r="Q28" s="49" t="inlineStr"/>
      <c r="R28" s="49" t="n">
        <v>100</v>
      </c>
      <c r="S28" s="49" t="n">
        <v>0.5</v>
      </c>
      <c r="T28" s="49" t="n">
        <v>0</v>
      </c>
      <c r="U28" s="49" t="n">
        <v>0</v>
      </c>
    </row>
    <row r="29">
      <c r="A29" s="18" t="inlineStr">
        <is>
          <t xml:space="preserve">B185 </t>
        </is>
      </c>
      <c r="B29" s="18" t="inlineStr">
        <is>
          <t xml:space="preserve">INGENIERÍA CIVIL </t>
        </is>
      </c>
      <c r="C29" s="18" t="inlineStr">
        <is>
          <t xml:space="preserve">DOCTORADO EN INGENIERÍA DE MATERIALES, ESTRUCTURAS Y TERRENO: CONSTR. SOST. </t>
        </is>
      </c>
      <c r="D29" s="18" t="inlineStr">
        <is>
          <t xml:space="preserve">Frances Tortosa, Veronica Irene </t>
        </is>
      </c>
      <c r="E29" s="18" t="inlineStr">
        <is>
          <t xml:space="preserve">Trenza porteña. Práctica, archivo y figuración de habitares insurrectos a través de pócimas y ecologías arquitectónicas recientes de Valparaíso y Sudamérica. </t>
        </is>
      </c>
      <c r="F29" s="18" t="inlineStr">
        <is>
          <t xml:space="preserve">05/09/2023 </t>
        </is>
      </c>
      <c r="G29" s="18" t="inlineStr">
        <is>
          <t xml:space="preserve">- </t>
        </is>
      </c>
      <c r="H29" s="18" t="inlineStr">
        <is>
          <t xml:space="preserve">Codirector de tesis </t>
        </is>
      </c>
      <c r="I29" s="18" t="inlineStr">
        <is>
          <t xml:space="preserve">B185 </t>
        </is>
      </c>
      <c r="J29" s="18" t="inlineStr">
        <is>
          <t xml:space="preserve">INGENIERÍA CIVIL </t>
        </is>
      </c>
      <c r="K29" s="49" t="n">
        <v>0.5</v>
      </c>
      <c r="L29" s="49" t="inlineStr">
        <is>
          <t>B185</t>
        </is>
      </c>
      <c r="M29" s="18" t="n">
        <v>2022</v>
      </c>
      <c r="N29" s="49" t="inlineStr"/>
      <c r="O29" s="49" t="inlineStr"/>
      <c r="P29" s="49" t="inlineStr"/>
      <c r="Q29" s="49" t="inlineStr"/>
      <c r="R29" s="49" t="n">
        <v>100</v>
      </c>
      <c r="S29" s="49" t="n">
        <v>0.5</v>
      </c>
      <c r="T29" s="49" t="n">
        <v>0</v>
      </c>
      <c r="U29" s="49" t="n">
        <v>0</v>
      </c>
    </row>
    <row r="30">
      <c r="A30" s="18" t="inlineStr">
        <is>
          <t xml:space="preserve">B185 </t>
        </is>
      </c>
      <c r="B30" s="18" t="inlineStr">
        <is>
          <t xml:space="preserve">INGENIERÍA CIVIL </t>
        </is>
      </c>
      <c r="C30" s="18" t="inlineStr">
        <is>
          <t xml:space="preserve">DOCTORADO EN INGENIERÍA DE MATERIALES, ESTRUCTURAS Y TERRENO: CONSTR. SOST. </t>
        </is>
      </c>
      <c r="D30" s="18" t="inlineStr">
        <is>
          <t xml:space="preserve">Garrido De La Torre, Maria Elvira </t>
        </is>
      </c>
      <c r="E30" s="18" t="inlineStr">
        <is>
          <t xml:space="preserve">Efectos de la exposición a elevadas temperaturas en las propiedades físicas y el comportamiento mecánico de una caliza cretácica, la Pedra de Borriol. </t>
        </is>
      </c>
      <c r="F30" s="18" t="inlineStr">
        <is>
          <t xml:space="preserve">16/11/2022 </t>
        </is>
      </c>
      <c r="G30" s="18" t="inlineStr">
        <is>
          <t xml:space="preserve">48316585W </t>
        </is>
      </c>
      <c r="H30" s="18" t="inlineStr">
        <is>
          <t xml:space="preserve">Codirector de tesis </t>
        </is>
      </c>
      <c r="I30" s="18" t="inlineStr">
        <is>
          <t xml:space="preserve">B185 </t>
        </is>
      </c>
      <c r="J30" s="18" t="inlineStr">
        <is>
          <t xml:space="preserve">INGENIERÍA CIVIL </t>
        </is>
      </c>
      <c r="K30" s="49" t="n">
        <v>0.5</v>
      </c>
      <c r="L30" s="49" t="inlineStr">
        <is>
          <t>B185</t>
        </is>
      </c>
      <c r="M30" s="18" t="n">
        <v>2022</v>
      </c>
      <c r="N30" s="49" t="inlineStr"/>
      <c r="O30" s="49" t="inlineStr"/>
      <c r="P30" s="49" t="inlineStr"/>
      <c r="Q30" s="49" t="inlineStr"/>
      <c r="R30" s="49" t="n">
        <v>100</v>
      </c>
      <c r="S30" s="49" t="n">
        <v>0.5</v>
      </c>
      <c r="T30" s="49" t="n">
        <v>0</v>
      </c>
      <c r="U30" s="49" t="n">
        <v>0</v>
      </c>
    </row>
    <row r="31">
      <c r="A31" s="18" t="inlineStr">
        <is>
          <t xml:space="preserve">B185 </t>
        </is>
      </c>
      <c r="B31" s="18" t="inlineStr">
        <is>
          <t xml:space="preserve">INGENIERÍA CIVIL </t>
        </is>
      </c>
      <c r="C31" s="18" t="inlineStr">
        <is>
          <t xml:space="preserve">DOCTORADO EN INGENIERÍA DE MATERIALES, ESTRUCTURAS Y TERRENO: CONSTR. SOST. </t>
        </is>
      </c>
      <c r="D31" s="18" t="inlineStr">
        <is>
          <t xml:space="preserve">Garrido De La Torre, Maria Elvira </t>
        </is>
      </c>
      <c r="E31" s="18" t="inlineStr">
        <is>
          <t xml:space="preserve">Efectos de la exposición a elevadas temperaturas en las propiedades físicas y el comportamiento mecánico de una caliza cretácica, la Pedra de Borriol. </t>
        </is>
      </c>
      <c r="F31" s="18" t="inlineStr">
        <is>
          <t xml:space="preserve">16/11/2022 </t>
        </is>
      </c>
      <c r="G31" s="18" t="inlineStr">
        <is>
          <t xml:space="preserve">- </t>
        </is>
      </c>
      <c r="H31" s="18" t="inlineStr">
        <is>
          <t xml:space="preserve">Codirector de tesis </t>
        </is>
      </c>
      <c r="I31" s="18" t="inlineStr">
        <is>
          <t xml:space="preserve">B185 </t>
        </is>
      </c>
      <c r="J31" s="18" t="inlineStr">
        <is>
          <t xml:space="preserve">INGENIERÍA CIVIL </t>
        </is>
      </c>
      <c r="K31" s="49" t="n">
        <v>0.5</v>
      </c>
      <c r="L31" s="49" t="inlineStr">
        <is>
          <t>B185</t>
        </is>
      </c>
      <c r="M31" s="18" t="n">
        <v>2022</v>
      </c>
      <c r="N31" s="49" t="inlineStr"/>
      <c r="O31" s="49" t="inlineStr"/>
      <c r="P31" s="49" t="inlineStr"/>
      <c r="Q31" s="49" t="inlineStr"/>
      <c r="R31" s="49" t="n">
        <v>100</v>
      </c>
      <c r="S31" s="49" t="n">
        <v>0.5</v>
      </c>
      <c r="T31" s="49" t="n">
        <v>0</v>
      </c>
      <c r="U31" s="49" t="n">
        <v>0</v>
      </c>
    </row>
    <row r="32">
      <c r="A32" s="18" t="inlineStr">
        <is>
          <t xml:space="preserve">B185 </t>
        </is>
      </c>
      <c r="B32" s="18" t="inlineStr">
        <is>
          <t xml:space="preserve">INGENIERÍA CIVIL </t>
        </is>
      </c>
      <c r="C32" s="18" t="inlineStr">
        <is>
          <t xml:space="preserve">DOCTORADO EN INGENIERÍA DE MATERIALES, ESTRUCTURAS Y TERRENO: CONSTR. SOST. </t>
        </is>
      </c>
      <c r="D32" s="18" t="inlineStr">
        <is>
          <t xml:space="preserve">Solak , Afonso Miguel </t>
        </is>
      </c>
      <c r="E32" s="18" t="inlineStr">
        <is>
          <t xml:space="preserve">SEGREGACIÓN EN HORMIGONES LIGEROS </t>
        </is>
      </c>
      <c r="F32" s="18" t="inlineStr">
        <is>
          <t xml:space="preserve">14/06/2023 </t>
        </is>
      </c>
      <c r="G32" s="18" t="inlineStr">
        <is>
          <t xml:space="preserve">48349527P </t>
        </is>
      </c>
      <c r="H32" s="18" t="inlineStr">
        <is>
          <t xml:space="preserve">Director de tesis </t>
        </is>
      </c>
      <c r="I32" s="18" t="inlineStr">
        <is>
          <t xml:space="preserve">B185 </t>
        </is>
      </c>
      <c r="J32" s="18" t="inlineStr">
        <is>
          <t xml:space="preserve">INGENIERÍA CIVIL </t>
        </is>
      </c>
      <c r="K32" s="49" t="n">
        <v>1</v>
      </c>
      <c r="L32" s="49" t="inlineStr">
        <is>
          <t>B185</t>
        </is>
      </c>
      <c r="M32" s="18" t="n">
        <v>2022</v>
      </c>
      <c r="N32" s="49" t="inlineStr"/>
      <c r="O32" s="49" t="inlineStr"/>
      <c r="P32" s="49" t="inlineStr"/>
      <c r="Q32" s="49" t="inlineStr"/>
      <c r="R32" s="49" t="n">
        <v>100</v>
      </c>
      <c r="S32" s="49" t="n">
        <v>1</v>
      </c>
      <c r="T32" s="49" t="n">
        <v>0</v>
      </c>
      <c r="U32" s="49" t="n">
        <v>0</v>
      </c>
    </row>
    <row r="33">
      <c r="A33" s="18" t="inlineStr">
        <is>
          <t xml:space="preserve">B185 </t>
        </is>
      </c>
      <c r="B33" s="18" t="inlineStr">
        <is>
          <t xml:space="preserve">INGENIERÍA CIVIL </t>
        </is>
      </c>
      <c r="C33" s="18" t="inlineStr">
        <is>
          <t xml:space="preserve">DOCTORADO EN INGENIERÍA DE MATERIALES, ESTRUCTURAS Y TERRENO: CONSTR. SOST. </t>
        </is>
      </c>
      <c r="D33" s="18" t="inlineStr">
        <is>
          <t xml:space="preserve">Liu , Xiaojie </t>
        </is>
      </c>
      <c r="E33" s="18" t="inlineStr">
        <is>
          <t xml:space="preserve">Research on key technologies for early identification, monitoring and forecasting of wide area landslides with spaceborne radar remote sensing </t>
        </is>
      </c>
      <c r="F33" s="18" t="inlineStr">
        <is>
          <t xml:space="preserve">04/12/2022 </t>
        </is>
      </c>
      <c r="G33" s="18" t="inlineStr">
        <is>
          <t xml:space="preserve">48316585W </t>
        </is>
      </c>
      <c r="H33" s="18" t="inlineStr">
        <is>
          <t xml:space="preserve">Codirector de tesis </t>
        </is>
      </c>
      <c r="I33" s="18" t="inlineStr">
        <is>
          <t xml:space="preserve">B185 </t>
        </is>
      </c>
      <c r="J33" s="18" t="inlineStr">
        <is>
          <t xml:space="preserve">INGENIERÍA CIVIL </t>
        </is>
      </c>
      <c r="K33" s="49" t="n">
        <v>0.5</v>
      </c>
      <c r="L33" s="49" t="inlineStr">
        <is>
          <t>B185</t>
        </is>
      </c>
      <c r="M33" s="18" t="n">
        <v>2022</v>
      </c>
      <c r="N33" s="49" t="inlineStr"/>
      <c r="O33" s="49" t="inlineStr"/>
      <c r="P33" s="49" t="inlineStr"/>
      <c r="Q33" s="49" t="inlineStr"/>
      <c r="R33" s="49" t="n">
        <v>100</v>
      </c>
      <c r="S33" s="49" t="n">
        <v>0.5</v>
      </c>
      <c r="T33" s="49" t="n">
        <v>0</v>
      </c>
      <c r="U33" s="49" t="n">
        <v>0</v>
      </c>
    </row>
    <row r="34">
      <c r="A34" s="18" t="inlineStr">
        <is>
          <t xml:space="preserve">B185 </t>
        </is>
      </c>
      <c r="B34" s="18" t="inlineStr">
        <is>
          <t xml:space="preserve">INGENIERÍA CIVIL </t>
        </is>
      </c>
      <c r="C34" s="18" t="inlineStr">
        <is>
          <t xml:space="preserve">DOCTORADO EN INGENIERÍA DE MATERIALES, ESTRUCTURAS Y TERRENO: CONSTR. SOST. </t>
        </is>
      </c>
      <c r="D34" s="18" t="inlineStr">
        <is>
          <t xml:space="preserve">Liu , Xiaojie </t>
        </is>
      </c>
      <c r="E34" s="18" t="inlineStr">
        <is>
          <t xml:space="preserve">Research on key technologies for early identification, monitoring and forecasting of wide area landslides with spaceborne radar remote sensing </t>
        </is>
      </c>
      <c r="F34" s="18" t="inlineStr">
        <is>
          <t xml:space="preserve">04/12/2022 </t>
        </is>
      </c>
      <c r="G34" s="18" t="inlineStr">
        <is>
          <t xml:space="preserve">- </t>
        </is>
      </c>
      <c r="H34" s="18" t="inlineStr">
        <is>
          <t xml:space="preserve">Codirector de tesis </t>
        </is>
      </c>
      <c r="I34" s="18" t="inlineStr">
        <is>
          <t xml:space="preserve">B185 </t>
        </is>
      </c>
      <c r="J34" s="18" t="inlineStr">
        <is>
          <t xml:space="preserve">INGENIERÍA CIVIL </t>
        </is>
      </c>
      <c r="K34" s="49" t="n">
        <v>0.5</v>
      </c>
      <c r="L34" s="49" t="inlineStr">
        <is>
          <t>B185</t>
        </is>
      </c>
      <c r="M34" s="18" t="n">
        <v>2022</v>
      </c>
      <c r="N34" s="49" t="inlineStr"/>
      <c r="O34" s="49" t="inlineStr"/>
      <c r="P34" s="49" t="inlineStr"/>
      <c r="Q34" s="49" t="inlineStr"/>
      <c r="R34" s="49" t="n">
        <v>100</v>
      </c>
      <c r="S34" s="49" t="n">
        <v>0.5</v>
      </c>
      <c r="T34" s="49" t="n">
        <v>0</v>
      </c>
      <c r="U34" s="49" t="n">
        <v>0</v>
      </c>
    </row>
    <row r="35">
      <c r="A35" s="18" t="inlineStr">
        <is>
          <t xml:space="preserve">U020 </t>
        </is>
      </c>
      <c r="B35" s="18" t="inlineStr">
        <is>
          <t xml:space="preserve">I.U. DEL AGUA Y DE LAS CIENCIAS AMBIENTALES (10.05) </t>
        </is>
      </c>
      <c r="C35" s="18" t="inlineStr">
        <is>
          <t xml:space="preserve">DOCTORADO EN AGUA Y DESARROLLO SOSTENIBLE </t>
        </is>
      </c>
      <c r="D35" s="18" t="inlineStr">
        <is>
          <t xml:space="preserve">Flor García, María </t>
        </is>
      </c>
      <c r="E35" s="18" t="inlineStr">
        <is>
          <t xml:space="preserve">IMPACTO ECONÓMICO, SOCIAL Y MEDIOAMBIENTAL DE LA LIBERALIZACIÓN DEL SECTOR DEL TAXI EN ESPAÑA </t>
        </is>
      </c>
      <c r="F35" s="18" t="inlineStr">
        <is>
          <t xml:space="preserve">21/02/2023 </t>
        </is>
      </c>
      <c r="G35" s="18" t="inlineStr">
        <is>
          <t xml:space="preserve">79108766J </t>
        </is>
      </c>
      <c r="H35" s="18" t="inlineStr">
        <is>
          <t xml:space="preserve">Director de tesis </t>
        </is>
      </c>
      <c r="I35" s="18" t="inlineStr">
        <is>
          <t xml:space="preserve">B185 </t>
        </is>
      </c>
      <c r="J35" s="18" t="inlineStr">
        <is>
          <t xml:space="preserve">INGENIERÍA CIVIL </t>
        </is>
      </c>
      <c r="K35" s="49" t="n">
        <v>1</v>
      </c>
      <c r="L35" s="49" t="inlineStr">
        <is>
          <t>B185</t>
        </is>
      </c>
      <c r="M35" s="18" t="n">
        <v>2022</v>
      </c>
      <c r="N35" s="49" t="inlineStr">
        <is>
          <t>10.17</t>
        </is>
      </c>
      <c r="O35" s="49" t="n">
        <v>20</v>
      </c>
      <c r="P35" s="49" t="inlineStr">
        <is>
          <t>10.05</t>
        </is>
      </c>
      <c r="Q35" s="49" t="n">
        <v>50</v>
      </c>
      <c r="R35" s="49" t="n">
        <v>30</v>
      </c>
      <c r="S35" s="49" t="n">
        <v>0.3</v>
      </c>
      <c r="T35" s="49" t="n">
        <v>0.2</v>
      </c>
      <c r="U35" s="49" t="n">
        <v>0.5</v>
      </c>
    </row>
    <row r="36">
      <c r="A36" s="18" t="inlineStr">
        <is>
          <t xml:space="preserve">U020 </t>
        </is>
      </c>
      <c r="B36" s="18" t="inlineStr">
        <is>
          <t xml:space="preserve">I.U. DEL AGUA Y DE LAS CIENCIAS AMBIENTALES (10.05) </t>
        </is>
      </c>
      <c r="C36" s="18" t="inlineStr">
        <is>
          <t xml:space="preserve">DOCTORADO EN AGUA Y DESARROLLO SOSTENIBLE </t>
        </is>
      </c>
      <c r="D36" s="18" t="inlineStr">
        <is>
          <t xml:space="preserve">Palacios Cabrera, Teresa Alejandra </t>
        </is>
      </c>
      <c r="E36" s="18" t="inlineStr">
        <is>
          <t xml:space="preserve">El abandono de las zonas agrícolas tradicionales y su impacto en la respuesta hidrológica de una cuenca mediterránea bajo condiciones climáticas semiáridas. Caso de estudio de la cuenca vertiente al embalse del río Guadalest, sur este de España. </t>
        </is>
      </c>
      <c r="F36" s="18" t="inlineStr">
        <is>
          <t xml:space="preserve">24/11/2022 </t>
        </is>
      </c>
      <c r="G36" s="18" t="inlineStr">
        <is>
          <t xml:space="preserve">74002594W </t>
        </is>
      </c>
      <c r="H36" s="18" t="inlineStr">
        <is>
          <t xml:space="preserve">Codirector de tesis </t>
        </is>
      </c>
      <c r="I36" s="18" t="inlineStr">
        <is>
          <t xml:space="preserve">B185 </t>
        </is>
      </c>
      <c r="J36" s="18" t="inlineStr">
        <is>
          <t xml:space="preserve">INGENIERÍA CIVIL </t>
        </is>
      </c>
      <c r="K36" s="49" t="n">
        <v>0.5</v>
      </c>
      <c r="L36" s="49" t="inlineStr">
        <is>
          <t>B185</t>
        </is>
      </c>
      <c r="M36" s="18" t="n">
        <v>2022</v>
      </c>
      <c r="N36" s="49" t="inlineStr">
        <is>
          <t>10.05</t>
        </is>
      </c>
      <c r="O36" s="49" t="n">
        <v>10</v>
      </c>
      <c r="P36" s="49" t="inlineStr"/>
      <c r="Q36" s="49" t="n">
        <v>0</v>
      </c>
      <c r="R36" s="49" t="n">
        <v>90</v>
      </c>
      <c r="S36" s="49" t="n">
        <v>0.45</v>
      </c>
      <c r="T36" s="49" t="n">
        <v>0.05</v>
      </c>
      <c r="U36" s="49" t="n">
        <v>0</v>
      </c>
    </row>
    <row r="37">
      <c r="A37" s="49" t="inlineStr">
        <is>
          <t>B185</t>
        </is>
      </c>
      <c r="B37" s="49" t="inlineStr">
        <is>
          <t>INGENIERÍA CIVIL</t>
        </is>
      </c>
      <c r="C37" s="49" t="inlineStr">
        <is>
          <t>DOCTORADO EN INGENIERÍA DE MATERIALES, ESTRUCTURAS Y TERRENO: CONSTR. SOST.</t>
        </is>
      </c>
      <c r="D37" s="49" t="inlineStr">
        <is>
          <t>Navarro Hernández, María Inés</t>
        </is>
      </c>
      <c r="E37" s="49" t="inlineStr">
        <is>
          <t>The Application of Differential Synthetic Aperture Radar Interferometry Dataset for
Validation, Characterization and Flood Risk Analysis in Land Subsidence-Affected Areas</t>
        </is>
      </c>
      <c r="F37" s="49" t="inlineStr">
        <is>
          <t>02/07/2024</t>
        </is>
      </c>
      <c r="G37" s="49" t="inlineStr">
        <is>
          <t>48316585W</t>
        </is>
      </c>
      <c r="H37" s="49" t="inlineStr">
        <is>
          <t>Codirector de tesis</t>
        </is>
      </c>
      <c r="I37" s="49" t="inlineStr">
        <is>
          <t>B185</t>
        </is>
      </c>
      <c r="J37" s="49" t="inlineStr">
        <is>
          <t>INGENIERÍA CIVIL</t>
        </is>
      </c>
      <c r="K37" s="49" t="n">
        <v>0.5</v>
      </c>
      <c r="L37" s="49" t="inlineStr">
        <is>
          <t>B185</t>
        </is>
      </c>
      <c r="M37" s="49" t="n">
        <v>2023</v>
      </c>
      <c r="N37" s="49" t="inlineStr"/>
      <c r="O37" s="49" t="inlineStr"/>
      <c r="P37" s="49" t="inlineStr"/>
      <c r="Q37" s="49" t="inlineStr"/>
      <c r="R37" s="49" t="n">
        <v>100</v>
      </c>
      <c r="S37" s="49" t="n">
        <v>0.5</v>
      </c>
      <c r="T37" s="49" t="n">
        <v>0</v>
      </c>
      <c r="U37" s="49" t="n">
        <v>0</v>
      </c>
      <c r="V37" s="6" t="inlineStr">
        <is>
          <t>S</t>
        </is>
      </c>
    </row>
    <row r="38">
      <c r="A38" s="49" t="inlineStr">
        <is>
          <t>B185</t>
        </is>
      </c>
      <c r="B38" s="49" t="inlineStr">
        <is>
          <t>INGENIERÍA CIVIL</t>
        </is>
      </c>
      <c r="C38" s="49" t="inlineStr">
        <is>
          <t>DOCTORADO EN INGENIERÍA DE MATERIALES, ESTRUCTURAS Y TERRENO: CONSTR. SOST.</t>
        </is>
      </c>
      <c r="D38" s="49" t="inlineStr">
        <is>
          <t>Navarro Hernández, María Inés</t>
        </is>
      </c>
      <c r="E38" s="49" t="inlineStr">
        <is>
          <t>The Application of Differential Synthetic Aperture Radar Interferometry Dataset for
Validation, Characterization and Flood Risk Analysis in Land Subsidence-Affected Areas</t>
        </is>
      </c>
      <c r="F38" s="49" t="inlineStr">
        <is>
          <t>02/07/2024</t>
        </is>
      </c>
      <c r="G38" s="49" t="inlineStr">
        <is>
          <t>74002594W</t>
        </is>
      </c>
      <c r="H38" s="49" t="inlineStr">
        <is>
          <t>Codirector de tesis</t>
        </is>
      </c>
      <c r="I38" s="49" t="inlineStr">
        <is>
          <t>B185</t>
        </is>
      </c>
      <c r="J38" s="49" t="inlineStr">
        <is>
          <t>INGENIERÍA CIVIL</t>
        </is>
      </c>
      <c r="K38" s="49" t="n">
        <v>0.5</v>
      </c>
      <c r="L38" s="49" t="inlineStr">
        <is>
          <t>B185</t>
        </is>
      </c>
      <c r="M38" s="49" t="n">
        <v>2023</v>
      </c>
      <c r="N38" s="49" t="inlineStr">
        <is>
          <t>10.05</t>
        </is>
      </c>
      <c r="O38" s="49" t="inlineStr">
        <is>
          <t>10</t>
        </is>
      </c>
      <c r="P38" s="49" t="inlineStr"/>
      <c r="Q38" s="49" t="inlineStr"/>
      <c r="R38" s="49" t="n">
        <v>90</v>
      </c>
      <c r="S38" s="49" t="n">
        <v>0.45</v>
      </c>
      <c r="T38" s="49" t="n">
        <v>0.05</v>
      </c>
      <c r="U38" s="49" t="n">
        <v>0</v>
      </c>
      <c r="V38" s="6" t="inlineStr">
        <is>
          <t>S</t>
        </is>
      </c>
    </row>
    <row r="39">
      <c r="A39" s="49" t="inlineStr">
        <is>
          <t>B185</t>
        </is>
      </c>
      <c r="B39" s="49" t="inlineStr">
        <is>
          <t>INGENIERÍA CIVIL</t>
        </is>
      </c>
      <c r="C39" s="49" t="inlineStr">
        <is>
          <t>DOCTORADO EN INGENIERÍA DE MATERIALES, ESTRUCTURAS Y TERRENO: CONSTR. SOST.</t>
        </is>
      </c>
      <c r="D39" s="49" t="inlineStr">
        <is>
          <t>Soriano Vicedo, Jorge</t>
        </is>
      </c>
      <c r="E39" s="49" t="inlineStr">
        <is>
          <t>Análisis mecánico y numérico del terreno de cimentación en plataformas eólicas offshore
.</t>
        </is>
      </c>
      <c r="F39" s="49" t="inlineStr">
        <is>
          <t>09/02/2024</t>
        </is>
      </c>
      <c r="G39" s="49" t="inlineStr">
        <is>
          <t>05398325H</t>
        </is>
      </c>
      <c r="H39" s="49" t="inlineStr">
        <is>
          <t>Director de tesis</t>
        </is>
      </c>
      <c r="I39" s="49" t="inlineStr">
        <is>
          <t>B185</t>
        </is>
      </c>
      <c r="J39" s="49" t="inlineStr">
        <is>
          <t>INGENIERÍA CIVIL</t>
        </is>
      </c>
      <c r="K39" s="49" t="n">
        <v>1</v>
      </c>
      <c r="L39" s="49" t="inlineStr">
        <is>
          <t>B185</t>
        </is>
      </c>
      <c r="M39" s="49" t="n">
        <v>2023</v>
      </c>
      <c r="N39" s="49" t="inlineStr"/>
      <c r="O39" s="49" t="inlineStr"/>
      <c r="P39" s="49" t="inlineStr"/>
      <c r="Q39" s="49" t="inlineStr"/>
      <c r="R39" s="49" t="n">
        <v>100</v>
      </c>
      <c r="S39" s="49" t="n">
        <v>1</v>
      </c>
      <c r="T39" s="49" t="n">
        <v>0</v>
      </c>
      <c r="U39" s="49" t="n">
        <v>0</v>
      </c>
      <c r="V39" s="6" t="inlineStr">
        <is>
          <t>S</t>
        </is>
      </c>
    </row>
    <row r="40">
      <c r="A40" s="49" t="inlineStr">
        <is>
          <t>B185</t>
        </is>
      </c>
      <c r="B40" s="49" t="inlineStr">
        <is>
          <t>INGENIERÍA CIVIL</t>
        </is>
      </c>
      <c r="C40" s="49" t="inlineStr">
        <is>
          <t>DOCTORADO EN INGENIERÍA DE MATERIALES, ESTRUCTURAS Y TERRENO: CONSTR. SOST.</t>
        </is>
      </c>
      <c r="D40" s="49" t="inlineStr">
        <is>
          <t>Toledo Sepulcre, Ignacio</t>
        </is>
      </c>
      <c r="E40" s="49" t="inlineStr">
        <is>
          <t>Estudio de los factores causantes de la erosión costera en las playas de Benidorm y Guardamar del Segura.</t>
        </is>
      </c>
      <c r="F40" s="49" t="inlineStr">
        <is>
          <t>29/02/2024</t>
        </is>
      </c>
      <c r="G40" s="49" t="inlineStr">
        <is>
          <t>21448419E</t>
        </is>
      </c>
      <c r="H40" s="49" t="inlineStr">
        <is>
          <t>Codirector de tesis</t>
        </is>
      </c>
      <c r="I40" s="49" t="inlineStr">
        <is>
          <t>B185</t>
        </is>
      </c>
      <c r="J40" s="49" t="inlineStr">
        <is>
          <t>INGENIERÍA CIVIL</t>
        </is>
      </c>
      <c r="K40" s="49" t="n">
        <v>0.5</v>
      </c>
      <c r="L40" s="49" t="inlineStr">
        <is>
          <t>B185</t>
        </is>
      </c>
      <c r="M40" s="49" t="n">
        <v>2023</v>
      </c>
      <c r="N40" s="49" t="inlineStr"/>
      <c r="O40" s="49" t="inlineStr"/>
      <c r="P40" s="49" t="inlineStr"/>
      <c r="Q40" s="49" t="inlineStr"/>
      <c r="R40" s="49" t="n">
        <v>100</v>
      </c>
      <c r="S40" s="49" t="n">
        <v>0.5</v>
      </c>
      <c r="T40" s="49" t="n">
        <v>0</v>
      </c>
      <c r="U40" s="49" t="n">
        <v>0</v>
      </c>
      <c r="V40" s="6" t="inlineStr">
        <is>
          <t>S</t>
        </is>
      </c>
    </row>
    <row r="41">
      <c r="A41" s="49" t="inlineStr">
        <is>
          <t>B185</t>
        </is>
      </c>
      <c r="B41" s="49" t="inlineStr">
        <is>
          <t>INGENIERÍA CIVIL</t>
        </is>
      </c>
      <c r="C41" s="49" t="inlineStr">
        <is>
          <t>DOCTORADO EN INGENIERÍA DE MATERIALES, ESTRUCTURAS Y TERRENO: CONSTR. SOST.</t>
        </is>
      </c>
      <c r="D41" s="49" t="inlineStr">
        <is>
          <t>Toledo Sepulcre, Ignacio</t>
        </is>
      </c>
      <c r="E41" s="49" t="inlineStr">
        <is>
          <t>Estudio de los factores causantes de la erosión costera en las playas de Benidorm y Guardamar del Segura.</t>
        </is>
      </c>
      <c r="F41" s="49" t="inlineStr">
        <is>
          <t>29/02/2024</t>
        </is>
      </c>
      <c r="G41" s="49" t="inlineStr">
        <is>
          <t>23059540Q</t>
        </is>
      </c>
      <c r="H41" s="49" t="inlineStr">
        <is>
          <t>Codirector de tesis</t>
        </is>
      </c>
      <c r="I41" s="49" t="inlineStr">
        <is>
          <t>B185</t>
        </is>
      </c>
      <c r="J41" s="49" t="inlineStr">
        <is>
          <t>INGENIERÍA CIVIL</t>
        </is>
      </c>
      <c r="K41" s="49" t="n">
        <v>0.5</v>
      </c>
      <c r="L41" s="49" t="inlineStr">
        <is>
          <t>B185</t>
        </is>
      </c>
      <c r="M41" s="49" t="n">
        <v>2023</v>
      </c>
      <c r="N41" s="49" t="inlineStr"/>
      <c r="O41" s="49" t="inlineStr"/>
      <c r="P41" s="49" t="inlineStr"/>
      <c r="Q41" s="49" t="inlineStr"/>
      <c r="R41" s="49" t="n">
        <v>100</v>
      </c>
      <c r="S41" s="49" t="n">
        <v>0.5</v>
      </c>
      <c r="T41" s="49" t="n">
        <v>0</v>
      </c>
      <c r="U41" s="49" t="n">
        <v>0</v>
      </c>
      <c r="V41" s="6" t="inlineStr">
        <is>
          <t>S</t>
        </is>
      </c>
    </row>
    <row r="42">
      <c r="A42" s="49" t="inlineStr">
        <is>
          <t>B185</t>
        </is>
      </c>
      <c r="B42" s="49" t="inlineStr">
        <is>
          <t>INGENIERÍA CIVIL</t>
        </is>
      </c>
      <c r="C42" s="49" t="inlineStr">
        <is>
          <t>DOCTORADO EN INGENIERÍA DE MATERIALES, ESTRUCTURAS Y TERRENO: CONSTR. SOST.</t>
        </is>
      </c>
      <c r="D42" s="49" t="inlineStr">
        <is>
          <t>Hu , Liuru</t>
        </is>
      </c>
      <c r="E42" s="49" t="inlineStr">
        <is>
          <t>Analysis and identification of geohazards using multi-source remote sensing data</t>
        </is>
      </c>
      <c r="F42" s="49" t="inlineStr">
        <is>
          <t>12/06/2024</t>
        </is>
      </c>
      <c r="G42" s="49" t="inlineStr">
        <is>
          <t>48316585W</t>
        </is>
      </c>
      <c r="H42" s="49" t="inlineStr">
        <is>
          <t>Codirector de tesis</t>
        </is>
      </c>
      <c r="I42" s="49" t="inlineStr">
        <is>
          <t>B185</t>
        </is>
      </c>
      <c r="J42" s="49" t="inlineStr">
        <is>
          <t>INGENIERÍA CIVIL</t>
        </is>
      </c>
      <c r="K42" s="49" t="n">
        <v>0.5</v>
      </c>
      <c r="L42" s="49" t="inlineStr">
        <is>
          <t>B185</t>
        </is>
      </c>
      <c r="M42" s="49" t="n">
        <v>2023</v>
      </c>
      <c r="N42" s="49" t="inlineStr"/>
      <c r="O42" s="49" t="inlineStr"/>
      <c r="P42" s="49" t="inlineStr"/>
      <c r="Q42" s="49" t="inlineStr"/>
      <c r="R42" s="49" t="n">
        <v>100</v>
      </c>
      <c r="S42" s="49" t="n">
        <v>0.5</v>
      </c>
      <c r="T42" s="49" t="n">
        <v>0</v>
      </c>
      <c r="U42" s="49" t="n">
        <v>0</v>
      </c>
      <c r="V42" s="6" t="inlineStr">
        <is>
          <t>S</t>
        </is>
      </c>
    </row>
    <row r="43">
      <c r="A43" s="49" t="inlineStr">
        <is>
          <t>B185</t>
        </is>
      </c>
      <c r="B43" s="49" t="inlineStr">
        <is>
          <t>INGENIERÍA CIVIL</t>
        </is>
      </c>
      <c r="C43" s="49" t="inlineStr">
        <is>
          <t>DOCTORADO EN INGENIERÍA DE MATERIALES, ESTRUCTURAS Y TERRENO: CONSTR. SOST.</t>
        </is>
      </c>
      <c r="D43" s="49" t="inlineStr">
        <is>
          <t>Hu , Liuru</t>
        </is>
      </c>
      <c r="E43" s="49" t="inlineStr">
        <is>
          <t>Analysis and identification of geohazards using multi-source remote sensing data</t>
        </is>
      </c>
      <c r="F43" s="49" t="inlineStr">
        <is>
          <t>12/06/2024</t>
        </is>
      </c>
      <c r="G43" s="49" t="inlineStr">
        <is>
          <t>'-</t>
        </is>
      </c>
      <c r="H43" s="49" t="inlineStr">
        <is>
          <t>Codirector de tesis</t>
        </is>
      </c>
      <c r="I43" s="49" t="inlineStr">
        <is>
          <t>B185</t>
        </is>
      </c>
      <c r="J43" s="49" t="inlineStr">
        <is>
          <t>INGENIERÍA CIVIL</t>
        </is>
      </c>
      <c r="K43" s="49" t="n">
        <v>0.5</v>
      </c>
      <c r="L43" s="49" t="inlineStr">
        <is>
          <t>B185</t>
        </is>
      </c>
      <c r="M43" s="49" t="n">
        <v>2023</v>
      </c>
      <c r="N43" s="49" t="inlineStr"/>
      <c r="O43" s="49" t="inlineStr"/>
      <c r="P43" s="49" t="inlineStr"/>
      <c r="Q43" s="49" t="inlineStr"/>
      <c r="R43" s="49" t="n">
        <v>100</v>
      </c>
      <c r="S43" s="49" t="n">
        <v>0.5</v>
      </c>
      <c r="T43" s="49" t="n">
        <v>0</v>
      </c>
      <c r="U43" s="49" t="n">
        <v>0</v>
      </c>
      <c r="V43" s="6" t="inlineStr">
        <is>
          <t>S</t>
        </is>
      </c>
    </row>
    <row r="44">
      <c r="A44" s="49" t="inlineStr">
        <is>
          <t>B185</t>
        </is>
      </c>
      <c r="B44" s="49" t="inlineStr">
        <is>
          <t>INGENIERÍA CIVIL</t>
        </is>
      </c>
      <c r="C44" s="49" t="inlineStr">
        <is>
          <t>DOCTORADO EN INGENIERÍA DE MATERIALES, ESTRUCTURAS Y TERRENO: CONSTR. SOST.</t>
        </is>
      </c>
      <c r="D44" s="49" t="inlineStr">
        <is>
          <t>Anastasia , Stefano</t>
        </is>
      </c>
      <c r="E44" s="49" t="inlineStr">
        <is>
          <t>Damage identification of railway bridges through temporal autoregressive modelling
under train load</t>
        </is>
      </c>
      <c r="F44" s="49" t="inlineStr">
        <is>
          <t>18/04/2024</t>
        </is>
      </c>
      <c r="G44" s="49" t="inlineStr">
        <is>
          <t>79102157M</t>
        </is>
      </c>
      <c r="H44" s="49" t="inlineStr">
        <is>
          <t>Codirector de tesis</t>
        </is>
      </c>
      <c r="I44" s="49" t="inlineStr">
        <is>
          <t>B185</t>
        </is>
      </c>
      <c r="J44" s="49" t="inlineStr">
        <is>
          <t>INGENIERÍA CIVIL</t>
        </is>
      </c>
      <c r="K44" s="49" t="n">
        <v>0.5</v>
      </c>
      <c r="L44" s="49" t="inlineStr">
        <is>
          <t>B185</t>
        </is>
      </c>
      <c r="M44" s="49" t="n">
        <v>2023</v>
      </c>
      <c r="N44" s="49" t="inlineStr"/>
      <c r="O44" s="49" t="inlineStr"/>
      <c r="P44" s="49" t="inlineStr"/>
      <c r="Q44" s="49" t="inlineStr"/>
      <c r="R44" s="49" t="n">
        <v>100</v>
      </c>
      <c r="S44" s="49" t="n">
        <v>0.5</v>
      </c>
      <c r="T44" s="49" t="n">
        <v>0</v>
      </c>
      <c r="U44" s="49" t="n">
        <v>0</v>
      </c>
      <c r="V44" s="6" t="inlineStr">
        <is>
          <t>S</t>
        </is>
      </c>
    </row>
    <row r="45">
      <c r="A45" s="49" t="inlineStr">
        <is>
          <t>B185</t>
        </is>
      </c>
      <c r="B45" s="49" t="inlineStr">
        <is>
          <t>INGENIERÍA CIVIL</t>
        </is>
      </c>
      <c r="C45" s="49" t="inlineStr">
        <is>
          <t>DOCTORADO EN INGENIERÍA DE MATERIALES, ESTRUCTURAS Y TERRENO: CONSTR. SOST.</t>
        </is>
      </c>
      <c r="D45" s="49" t="inlineStr">
        <is>
          <t>Anastasia , Stefano</t>
        </is>
      </c>
      <c r="E45" s="49" t="inlineStr">
        <is>
          <t>Damage identification of railway bridges through temporal autoregressive modelling
under train load</t>
        </is>
      </c>
      <c r="F45" s="49" t="inlineStr">
        <is>
          <t>18/04/2024</t>
        </is>
      </c>
      <c r="G45" s="49" t="inlineStr">
        <is>
          <t>'-</t>
        </is>
      </c>
      <c r="H45" s="49" t="inlineStr">
        <is>
          <t>Codirector de tesis</t>
        </is>
      </c>
      <c r="I45" s="49" t="inlineStr">
        <is>
          <t>B185</t>
        </is>
      </c>
      <c r="J45" s="49" t="inlineStr">
        <is>
          <t>INGENIERÍA CIVIL</t>
        </is>
      </c>
      <c r="K45" s="49" t="n">
        <v>0.5</v>
      </c>
      <c r="L45" s="49" t="inlineStr">
        <is>
          <t>B185</t>
        </is>
      </c>
      <c r="M45" s="49" t="n">
        <v>2023</v>
      </c>
      <c r="N45" s="49" t="inlineStr"/>
      <c r="O45" s="49" t="inlineStr"/>
      <c r="P45" s="49" t="inlineStr"/>
      <c r="Q45" s="49" t="inlineStr"/>
      <c r="R45" s="49" t="n">
        <v>100</v>
      </c>
      <c r="S45" s="49" t="n">
        <v>0.5</v>
      </c>
      <c r="T45" s="49" t="n">
        <v>0</v>
      </c>
      <c r="U45" s="49" t="n">
        <v>0</v>
      </c>
      <c r="V45" s="6" t="inlineStr">
        <is>
          <t>S</t>
        </is>
      </c>
    </row>
    <row r="46">
      <c r="A46" s="49" t="inlineStr">
        <is>
          <t>B185</t>
        </is>
      </c>
      <c r="B46" s="49" t="inlineStr">
        <is>
          <t>INGENIERÍA CIVIL</t>
        </is>
      </c>
      <c r="C46" s="49" t="inlineStr">
        <is>
          <t>DOCTORADO EN INGENIERÍA DE MATERIALES, ESTRUCTURAS Y TERRENO: CONSTR. SOST.</t>
        </is>
      </c>
      <c r="D46" s="49" t="inlineStr">
        <is>
          <t>La Scala , Armando</t>
        </is>
      </c>
      <c r="E46" s="49" t="inlineStr">
        <is>
          <t>Theoretical and experimental study of different materials and structures subjected to fire loads.</t>
        </is>
      </c>
      <c r="F46" s="49" t="inlineStr">
        <is>
          <t>15/01/2024</t>
        </is>
      </c>
      <c r="G46" s="49" t="inlineStr">
        <is>
          <t>79102157M</t>
        </is>
      </c>
      <c r="H46" s="49" t="inlineStr">
        <is>
          <t>Codirector de tesis</t>
        </is>
      </c>
      <c r="I46" s="49" t="inlineStr">
        <is>
          <t>B185</t>
        </is>
      </c>
      <c r="J46" s="49" t="inlineStr">
        <is>
          <t>INGENIERÍA CIVIL</t>
        </is>
      </c>
      <c r="K46" s="49" t="n">
        <v>0.5</v>
      </c>
      <c r="L46" s="49" t="inlineStr">
        <is>
          <t>B185</t>
        </is>
      </c>
      <c r="M46" s="49" t="n">
        <v>2023</v>
      </c>
      <c r="N46" s="49" t="inlineStr"/>
      <c r="O46" s="49" t="inlineStr"/>
      <c r="P46" s="49" t="inlineStr"/>
      <c r="Q46" s="49" t="inlineStr"/>
      <c r="R46" s="49" t="n">
        <v>100</v>
      </c>
      <c r="S46" s="49" t="n">
        <v>0.5</v>
      </c>
      <c r="T46" s="49" t="n">
        <v>0</v>
      </c>
      <c r="U46" s="49" t="n">
        <v>0</v>
      </c>
      <c r="V46" s="6" t="inlineStr">
        <is>
          <t>S</t>
        </is>
      </c>
    </row>
    <row r="47">
      <c r="A47" s="49" t="inlineStr">
        <is>
          <t>B185</t>
        </is>
      </c>
      <c r="B47" s="49" t="inlineStr">
        <is>
          <t>INGENIERÍA CIVIL</t>
        </is>
      </c>
      <c r="C47" s="49" t="inlineStr">
        <is>
          <t>DOCTORADO EN INGENIERÍA DE MATERIALES, ESTRUCTURAS Y TERRENO: CONSTR. SOST.</t>
        </is>
      </c>
      <c r="D47" s="49" t="inlineStr">
        <is>
          <t>La Scala , Armando</t>
        </is>
      </c>
      <c r="E47" s="49" t="inlineStr">
        <is>
          <t>Theoretical and experimental study of different materials and structures subjected to fire loads.</t>
        </is>
      </c>
      <c r="F47" s="49" t="inlineStr">
        <is>
          <t>15/01/2024</t>
        </is>
      </c>
      <c r="G47" s="49" t="inlineStr">
        <is>
          <t>'-</t>
        </is>
      </c>
      <c r="H47" s="49" t="inlineStr">
        <is>
          <t>Codirector de tesis</t>
        </is>
      </c>
      <c r="I47" s="49" t="inlineStr">
        <is>
          <t>B185</t>
        </is>
      </c>
      <c r="J47" s="49" t="inlineStr">
        <is>
          <t>INGENIERÍA CIVIL</t>
        </is>
      </c>
      <c r="K47" s="49" t="n">
        <v>0.5</v>
      </c>
      <c r="L47" s="49" t="inlineStr">
        <is>
          <t>B185</t>
        </is>
      </c>
      <c r="M47" s="49" t="n">
        <v>2023</v>
      </c>
      <c r="N47" s="49" t="inlineStr"/>
      <c r="O47" s="49" t="inlineStr"/>
      <c r="P47" s="49" t="inlineStr"/>
      <c r="Q47" s="49" t="inlineStr"/>
      <c r="R47" s="49" t="n">
        <v>100</v>
      </c>
      <c r="S47" s="49" t="n">
        <v>0.5</v>
      </c>
      <c r="T47" s="49" t="n">
        <v>0</v>
      </c>
      <c r="U47" s="49" t="n">
        <v>0</v>
      </c>
      <c r="V47" s="6" t="inlineStr">
        <is>
          <t>S</t>
        </is>
      </c>
    </row>
    <row r="48">
      <c r="A48" s="49" t="inlineStr">
        <is>
          <t>U022</t>
        </is>
      </c>
      <c r="B48" s="49" t="inlineStr">
        <is>
          <t>ADM. FACULTAD DE CIENCIAS</t>
        </is>
      </c>
      <c r="C48" s="49" t="inlineStr">
        <is>
          <t>DOCTORADO EN CIENCIAS EXPERIMENTALES Y BIOSANITARIAS</t>
        </is>
      </c>
      <c r="D48" s="49" t="inlineStr">
        <is>
          <t>Ruiz , María Candela</t>
        </is>
      </c>
      <c r="E48" s="49" t="inlineStr">
        <is>
          <t>Comportamiento espacial y migratorio de aves rapaces (Accipitridae y Falconidae) en el Paleártico Occidental</t>
        </is>
      </c>
      <c r="F48" s="49" t="inlineStr">
        <is>
          <t>05/07/2024</t>
        </is>
      </c>
      <c r="G48" s="49" t="inlineStr">
        <is>
          <t>48561476N</t>
        </is>
      </c>
      <c r="H48" s="49" t="inlineStr">
        <is>
          <t>Codirector de tesis</t>
        </is>
      </c>
      <c r="I48" s="49" t="inlineStr">
        <is>
          <t>B185</t>
        </is>
      </c>
      <c r="J48" s="49" t="inlineStr">
        <is>
          <t>INGENIERÍA CIVIL</t>
        </is>
      </c>
      <c r="K48" s="49" t="n">
        <v>0.5</v>
      </c>
      <c r="L48" s="49" t="inlineStr">
        <is>
          <t>B185</t>
        </is>
      </c>
      <c r="M48" s="49" t="n">
        <v>2023</v>
      </c>
      <c r="N48" s="49" t="inlineStr">
        <is>
          <t>10.05</t>
        </is>
      </c>
      <c r="O48" s="49" t="inlineStr">
        <is>
          <t>20</t>
        </is>
      </c>
      <c r="P48" s="49" t="inlineStr"/>
      <c r="Q48" s="49" t="inlineStr"/>
      <c r="R48" s="49" t="n">
        <v>80</v>
      </c>
      <c r="S48" s="49" t="n">
        <v>0.4</v>
      </c>
      <c r="T48" s="49" t="n">
        <v>0.1</v>
      </c>
      <c r="U48" s="49" t="n">
        <v>0</v>
      </c>
      <c r="V48" s="6" t="inlineStr">
        <is>
          <t>S</t>
        </is>
      </c>
    </row>
    <row r="49">
      <c r="A49" s="49" t="inlineStr">
        <is>
          <t>B185</t>
        </is>
      </c>
      <c r="B49" s="49" t="inlineStr">
        <is>
          <t>Ingeniería Civil</t>
        </is>
      </c>
      <c r="C49" s="49" t="inlineStr">
        <is>
          <t>DOCTORADO EN INGENIERÍA DE MATERIALES, ESTRUCTURAS Y TERRENO: CONSTR. SOST.</t>
        </is>
      </c>
      <c r="D49" s="49" t="inlineStr">
        <is>
          <t>Tamayo Jaramillo, Angel  Efrén</t>
        </is>
      </c>
      <c r="E49" s="49" t="inlineStr">
        <is>
          <t>Caracterización geomecánica de los litotipos andesíticos de Ecuador</t>
        </is>
      </c>
      <c r="F49" s="49" t="inlineStr">
        <is>
          <t>22/05/2025</t>
        </is>
      </c>
      <c r="G49" s="49" t="inlineStr">
        <is>
          <t>48316585W</t>
        </is>
      </c>
      <c r="H49" s="49" t="inlineStr">
        <is>
          <t>Codirector de tesis</t>
        </is>
      </c>
      <c r="I49" s="49" t="inlineStr">
        <is>
          <t>B185</t>
        </is>
      </c>
      <c r="J49" s="49" t="inlineStr">
        <is>
          <t>Ingeniería Civil</t>
        </is>
      </c>
      <c r="K49" s="49" t="n">
        <v>0.5</v>
      </c>
      <c r="L49" s="49" t="inlineStr">
        <is>
          <t>B185</t>
        </is>
      </c>
      <c r="M49" s="49" t="n">
        <v>2024</v>
      </c>
      <c r="N49" s="49" t="inlineStr"/>
      <c r="O49" s="49" t="inlineStr"/>
      <c r="P49" s="49" t="inlineStr"/>
      <c r="Q49" s="49" t="inlineStr"/>
      <c r="R49" s="49" t="n">
        <v>100</v>
      </c>
      <c r="S49" s="49" t="n">
        <v>0.5</v>
      </c>
      <c r="T49" s="49" t="n">
        <v>0</v>
      </c>
      <c r="U49" s="49" t="n">
        <v>0</v>
      </c>
    </row>
    <row r="50">
      <c r="A50" s="49" t="inlineStr">
        <is>
          <t>B185</t>
        </is>
      </c>
      <c r="B50" s="49" t="inlineStr">
        <is>
          <t>Ingeniería Civil</t>
        </is>
      </c>
      <c r="C50" s="49" t="inlineStr">
        <is>
          <t>DOCTORADO EN INGENIERÍA DE MATERIALES, ESTRUCTURAS Y TERRENO: CONSTR. SOST.</t>
        </is>
      </c>
      <c r="D50" s="49" t="inlineStr">
        <is>
          <t>Tamayo Jaramillo, Angel  Efrén</t>
        </is>
      </c>
      <c r="E50" s="49" t="inlineStr">
        <is>
          <t>Caracterización geomecánica de los litotipos andesíticos de Ecuador</t>
        </is>
      </c>
      <c r="F50" s="49" t="inlineStr">
        <is>
          <t>22/05/2025</t>
        </is>
      </c>
      <c r="G50" s="49" t="inlineStr">
        <is>
          <t>25122538Y</t>
        </is>
      </c>
      <c r="H50" s="49" t="inlineStr">
        <is>
          <t>Codirector de tesis</t>
        </is>
      </c>
      <c r="I50" s="49" t="inlineStr">
        <is>
          <t>B185</t>
        </is>
      </c>
      <c r="J50" s="49" t="inlineStr">
        <is>
          <t>Ingeniería Civil</t>
        </is>
      </c>
      <c r="K50" s="49" t="n">
        <v>0.5</v>
      </c>
      <c r="L50" s="49" t="inlineStr">
        <is>
          <t>B185</t>
        </is>
      </c>
      <c r="M50" s="49" t="n">
        <v>2024</v>
      </c>
      <c r="N50" s="49" t="inlineStr"/>
      <c r="O50" s="49" t="inlineStr"/>
      <c r="P50" s="49" t="inlineStr"/>
      <c r="Q50" s="49" t="inlineStr"/>
      <c r="R50" s="49" t="n">
        <v>100</v>
      </c>
      <c r="S50" s="49" t="n">
        <v>0.5</v>
      </c>
      <c r="T50" s="49" t="n">
        <v>0</v>
      </c>
      <c r="U50" s="49" t="n">
        <v>0</v>
      </c>
    </row>
    <row r="51">
      <c r="A51" s="49" t="inlineStr">
        <is>
          <t>B185</t>
        </is>
      </c>
      <c r="B51" s="49" t="inlineStr">
        <is>
          <t>Ingeniería Civil</t>
        </is>
      </c>
      <c r="C51" s="49" t="inlineStr">
        <is>
          <t>DOCTORADO EN INGENIERÍA DE MATERIALES, ESTRUCTURAS Y TERRENO: CONSTR. SOST.</t>
        </is>
      </c>
      <c r="D51" s="49" t="inlineStr">
        <is>
          <t>Ortiz Hernández, Eduardo Humberto</t>
        </is>
      </c>
      <c r="E51" s="49" t="inlineStr">
        <is>
          <t>Comparación de técnicas de medición del potencial de licuefacción cosísmica para el
 terremoto de Pedernales 2016 MW 7.8, aplicada a suelos de las ciudades de Portoviejo y Chone de la provincia de Manabía, Ecuador</t>
        </is>
      </c>
      <c r="F51" s="49" t="inlineStr">
        <is>
          <t>25/02/2025</t>
        </is>
      </c>
      <c r="G51" s="49" t="inlineStr">
        <is>
          <t>44756864Z</t>
        </is>
      </c>
      <c r="H51" s="49" t="inlineStr">
        <is>
          <t>Codirector de tesis</t>
        </is>
      </c>
      <c r="I51" s="49" t="inlineStr">
        <is>
          <t>B185</t>
        </is>
      </c>
      <c r="J51" s="49" t="inlineStr">
        <is>
          <t>Ingeniería Civil</t>
        </is>
      </c>
      <c r="K51" s="49" t="n">
        <v>0.5</v>
      </c>
      <c r="L51" s="49" t="inlineStr">
        <is>
          <t>B185</t>
        </is>
      </c>
      <c r="M51" s="49" t="n">
        <v>2024</v>
      </c>
      <c r="N51" s="49" t="inlineStr"/>
      <c r="O51" s="49" t="inlineStr"/>
      <c r="P51" s="49" t="inlineStr"/>
      <c r="Q51" s="49" t="inlineStr"/>
      <c r="R51" s="49" t="n">
        <v>100</v>
      </c>
      <c r="S51" s="49" t="n">
        <v>0.5</v>
      </c>
      <c r="T51" s="49" t="n">
        <v>0</v>
      </c>
      <c r="U51" s="49" t="n">
        <v>0</v>
      </c>
    </row>
    <row r="52">
      <c r="A52" s="49" t="inlineStr">
        <is>
          <t>B185</t>
        </is>
      </c>
      <c r="B52" s="49" t="inlineStr">
        <is>
          <t>Ingeniería Civil</t>
        </is>
      </c>
      <c r="C52" s="49" t="inlineStr">
        <is>
          <t>DOCTORADO EN INGENIERÍA DE MATERIALES, ESTRUCTURAS Y TERRENO: CONSTR. SOST.</t>
        </is>
      </c>
      <c r="D52" s="49" t="inlineStr">
        <is>
          <t>Ortiz Hernández, Eduardo Humberto</t>
        </is>
      </c>
      <c r="E52" s="49" t="inlineStr">
        <is>
          <t>Comparación de técnicas de medición del potencial de licuefacción cosísmica para el
 terremoto de Pedernales 2016 MW 7.8, aplicada a suelos de las ciudades de Portoviejo y Chone de la provincia de Manabía, Ecuador</t>
        </is>
      </c>
      <c r="F52" s="49" t="inlineStr">
        <is>
          <t>25/02/2025</t>
        </is>
      </c>
      <c r="G52" s="49" t="inlineStr">
        <is>
          <t>'-</t>
        </is>
      </c>
      <c r="H52" s="49" t="inlineStr">
        <is>
          <t>Codirector de tesis</t>
        </is>
      </c>
      <c r="I52" s="49" t="inlineStr">
        <is>
          <t>B185</t>
        </is>
      </c>
      <c r="J52" s="49" t="inlineStr">
        <is>
          <t>Ingeniería Civil</t>
        </is>
      </c>
      <c r="K52" s="49" t="n">
        <v>0.5</v>
      </c>
      <c r="L52" s="49" t="inlineStr">
        <is>
          <t>B185</t>
        </is>
      </c>
      <c r="M52" s="49" t="n">
        <v>2024</v>
      </c>
      <c r="N52" s="49" t="inlineStr"/>
      <c r="O52" s="49" t="inlineStr"/>
      <c r="P52" s="49" t="inlineStr"/>
      <c r="Q52" s="49" t="inlineStr"/>
      <c r="R52" s="49" t="n">
        <v>100</v>
      </c>
      <c r="S52" s="49" t="n">
        <v>0.5</v>
      </c>
      <c r="T52" s="49" t="n">
        <v>0</v>
      </c>
      <c r="U52" s="49" t="n">
        <v>0</v>
      </c>
    </row>
    <row r="53">
      <c r="A53" s="49" t="inlineStr">
        <is>
          <t>B185</t>
        </is>
      </c>
      <c r="B53" s="49" t="inlineStr">
        <is>
          <t>Ingeniería Civil</t>
        </is>
      </c>
      <c r="C53" s="49" t="inlineStr">
        <is>
          <t>DOCTORADO EN INGENIERÍA DE MATERIALES, ESTRUCTURAS Y TERRENO: CONSTR. SOST.</t>
        </is>
      </c>
      <c r="D53" s="49" t="inlineStr">
        <is>
          <t>Du , Jiantao</t>
        </is>
      </c>
      <c r="E53" s="49" t="inlineStr">
        <is>
          <t>Wide-Area Detection and Spatiotemporal Characteristics of Active Landslides in the Upper Yellow River Based on InSAR Technology</t>
        </is>
      </c>
      <c r="F53" s="49" t="inlineStr">
        <is>
          <t>12/12/2024</t>
        </is>
      </c>
      <c r="G53" s="49" t="inlineStr">
        <is>
          <t>48316585W</t>
        </is>
      </c>
      <c r="H53" s="49" t="inlineStr">
        <is>
          <t>Codirector de tesis</t>
        </is>
      </c>
      <c r="I53" s="49" t="inlineStr">
        <is>
          <t>B185</t>
        </is>
      </c>
      <c r="J53" s="49" t="inlineStr">
        <is>
          <t>Ingeniería Civil</t>
        </is>
      </c>
      <c r="K53" s="49" t="n">
        <v>0.5</v>
      </c>
      <c r="L53" s="49" t="inlineStr">
        <is>
          <t>B185</t>
        </is>
      </c>
      <c r="M53" s="49" t="n">
        <v>2024</v>
      </c>
      <c r="N53" s="49" t="inlineStr"/>
      <c r="O53" s="49" t="inlineStr"/>
      <c r="P53" s="49" t="inlineStr"/>
      <c r="Q53" s="49" t="inlineStr"/>
      <c r="R53" s="49" t="n">
        <v>100</v>
      </c>
      <c r="S53" s="49" t="n">
        <v>0.5</v>
      </c>
      <c r="T53" s="49" t="n">
        <v>0</v>
      </c>
      <c r="U53" s="49" t="n">
        <v>0</v>
      </c>
    </row>
    <row r="54">
      <c r="A54" s="49" t="inlineStr">
        <is>
          <t>B185</t>
        </is>
      </c>
      <c r="B54" s="49" t="inlineStr">
        <is>
          <t>Ingeniería Civil</t>
        </is>
      </c>
      <c r="C54" s="49" t="inlineStr">
        <is>
          <t>DOCTORADO EN INGENIERÍA DE MATERIALES, ESTRUCTURAS Y TERRENO: CONSTR. SOST.</t>
        </is>
      </c>
      <c r="D54" s="49" t="inlineStr">
        <is>
          <t>Du , Jiantao</t>
        </is>
      </c>
      <c r="E54" s="49" t="inlineStr">
        <is>
          <t>Wide-Area Detection and Spatiotemporal Characteristics of Active Landslides in the Upper Yellow River Based on InSAR Technology</t>
        </is>
      </c>
      <c r="F54" s="49" t="inlineStr">
        <is>
          <t>12/12/2024</t>
        </is>
      </c>
      <c r="G54" s="49" t="inlineStr">
        <is>
          <t>'-</t>
        </is>
      </c>
      <c r="H54" s="49" t="inlineStr">
        <is>
          <t>Codirector de tesis</t>
        </is>
      </c>
      <c r="I54" s="49" t="inlineStr">
        <is>
          <t>B185</t>
        </is>
      </c>
      <c r="J54" s="49" t="inlineStr">
        <is>
          <t>Ingeniería Civil</t>
        </is>
      </c>
      <c r="K54" s="49" t="n">
        <v>0.5</v>
      </c>
      <c r="L54" s="49" t="inlineStr">
        <is>
          <t>B185</t>
        </is>
      </c>
      <c r="M54" s="49" t="n">
        <v>2024</v>
      </c>
      <c r="N54" s="49" t="inlineStr"/>
      <c r="O54" s="49" t="inlineStr"/>
      <c r="P54" s="49" t="inlineStr"/>
      <c r="Q54" s="49" t="inlineStr"/>
      <c r="R54" s="49" t="n">
        <v>100</v>
      </c>
      <c r="S54" s="49" t="n">
        <v>0.5</v>
      </c>
      <c r="T54" s="49" t="n">
        <v>0</v>
      </c>
      <c r="U54" s="49" t="n">
        <v>0</v>
      </c>
    </row>
    <row r="55">
      <c r="A55" s="49" t="inlineStr">
        <is>
          <t>B185</t>
        </is>
      </c>
      <c r="B55" s="49" t="inlineStr">
        <is>
          <t>Ingeniería Civil</t>
        </is>
      </c>
      <c r="C55" s="49" t="inlineStr">
        <is>
          <t>DOCTORADO EN INGENIERÍA DE MATERIALES, ESTRUCTURAS Y TERRENO: CONSTR. SOST.</t>
        </is>
      </c>
      <c r="D55" s="49" t="inlineStr">
        <is>
          <t>Chen , Hengyi</t>
        </is>
      </c>
      <c r="E55" s="49" t="inlineStr">
        <is>
          <t>Research on Key Technologies for Landslide Displacement Monitoring by Combining InSAR and Multi-source Remote Sensing Pixel Offset</t>
        </is>
      </c>
      <c r="F55" s="49" t="inlineStr">
        <is>
          <t>08/12/2024</t>
        </is>
      </c>
      <c r="G55" s="49" t="inlineStr">
        <is>
          <t>48316585W</t>
        </is>
      </c>
      <c r="H55" s="49" t="inlineStr">
        <is>
          <t>Codirector de tesis</t>
        </is>
      </c>
      <c r="I55" s="49" t="inlineStr">
        <is>
          <t>B185</t>
        </is>
      </c>
      <c r="J55" s="49" t="inlineStr">
        <is>
          <t>Ingeniería Civil</t>
        </is>
      </c>
      <c r="K55" s="49" t="n">
        <v>0.5</v>
      </c>
      <c r="L55" s="49" t="inlineStr">
        <is>
          <t>B185</t>
        </is>
      </c>
      <c r="M55" s="49" t="n">
        <v>2024</v>
      </c>
      <c r="N55" s="49" t="inlineStr"/>
      <c r="O55" s="49" t="inlineStr"/>
      <c r="P55" s="49" t="inlineStr"/>
      <c r="Q55" s="49" t="inlineStr"/>
      <c r="R55" s="49" t="n">
        <v>100</v>
      </c>
      <c r="S55" s="49" t="n">
        <v>0.5</v>
      </c>
      <c r="T55" s="49" t="n">
        <v>0</v>
      </c>
      <c r="U55" s="49" t="n">
        <v>0</v>
      </c>
    </row>
    <row r="56">
      <c r="A56" s="49" t="inlineStr">
        <is>
          <t>B185</t>
        </is>
      </c>
      <c r="B56" s="49" t="inlineStr">
        <is>
          <t>Ingeniería Civil</t>
        </is>
      </c>
      <c r="C56" s="49" t="inlineStr">
        <is>
          <t>DOCTORADO EN INGENIERÍA DE MATERIALES, ESTRUCTURAS Y TERRENO: CONSTR. SOST.</t>
        </is>
      </c>
      <c r="D56" s="49" t="inlineStr">
        <is>
          <t>Chen , Hengyi</t>
        </is>
      </c>
      <c r="E56" s="49" t="inlineStr">
        <is>
          <t>Research on Key Technologies for Landslide Displacement Monitoring by Combining InSAR and Multi-source Remote Sensing Pixel Offset</t>
        </is>
      </c>
      <c r="F56" s="49" t="inlineStr">
        <is>
          <t>08/12/2024</t>
        </is>
      </c>
      <c r="G56" s="49" t="inlineStr">
        <is>
          <t>'-</t>
        </is>
      </c>
      <c r="H56" s="49" t="inlineStr">
        <is>
          <t>Codirector de tesis</t>
        </is>
      </c>
      <c r="I56" s="49" t="inlineStr">
        <is>
          <t>B185</t>
        </is>
      </c>
      <c r="J56" s="49" t="inlineStr">
        <is>
          <t>Ingeniería Civil</t>
        </is>
      </c>
      <c r="K56" s="49" t="n">
        <v>0.5</v>
      </c>
      <c r="L56" s="49" t="inlineStr">
        <is>
          <t>B185</t>
        </is>
      </c>
      <c r="M56" s="49" t="n">
        <v>2024</v>
      </c>
      <c r="N56" s="49" t="inlineStr"/>
      <c r="O56" s="49" t="inlineStr"/>
      <c r="P56" s="49" t="inlineStr"/>
      <c r="Q56" s="49" t="inlineStr"/>
      <c r="R56" s="49" t="n">
        <v>100</v>
      </c>
      <c r="S56" s="49" t="n">
        <v>0.5</v>
      </c>
      <c r="T56" s="49" t="n">
        <v>0</v>
      </c>
      <c r="U56" s="49" t="n">
        <v>0</v>
      </c>
    </row>
    <row r="57">
      <c r="A57" s="49" t="inlineStr">
        <is>
          <t>U020</t>
        </is>
      </c>
      <c r="B57" s="49" t="inlineStr">
        <is>
          <t>Instituto Universitario Agua y Ciencias Ambientales (10.05)</t>
        </is>
      </c>
      <c r="C57" s="49" t="inlineStr">
        <is>
          <t>DOCTORADO EN AGUA Y DESARROLLO SOSTENIBLE</t>
        </is>
      </c>
      <c r="D57" s="49" t="inlineStr">
        <is>
          <t>Mederos Corrales, Marlon</t>
        </is>
      </c>
      <c r="E57" s="49" t="inlineStr">
        <is>
          <t>PROPUESTA EXPERIMENTAL PARA LA ELIMINACIÓN DE NIQUEL EN AGUAS DE ESCORRENTÍA URBANA MEDIANTE ÁRIDOS</t>
        </is>
      </c>
      <c r="F57" s="49" t="inlineStr">
        <is>
          <t>26/09/2025</t>
        </is>
      </c>
      <c r="G57" s="49" t="inlineStr">
        <is>
          <t>74002594W</t>
        </is>
      </c>
      <c r="H57" s="49" t="inlineStr">
        <is>
          <t>Codirector de tesis</t>
        </is>
      </c>
      <c r="I57" s="49" t="inlineStr">
        <is>
          <t>B185</t>
        </is>
      </c>
      <c r="J57" s="49" t="inlineStr">
        <is>
          <t>Ingeniería Civil</t>
        </is>
      </c>
      <c r="K57" s="49" t="n">
        <v>0.5</v>
      </c>
      <c r="L57" s="49" t="inlineStr">
        <is>
          <t>B185</t>
        </is>
      </c>
      <c r="M57" s="49" t="n">
        <v>2024</v>
      </c>
      <c r="N57" s="49" t="inlineStr">
        <is>
          <t>10.05</t>
        </is>
      </c>
      <c r="O57" s="49" t="inlineStr">
        <is>
          <t>10</t>
        </is>
      </c>
      <c r="P57" s="49" t="inlineStr"/>
      <c r="Q57" s="49" t="inlineStr"/>
      <c r="R57" s="49" t="n">
        <v>90</v>
      </c>
      <c r="S57" s="49" t="n">
        <v>0.45</v>
      </c>
      <c r="T57" s="49" t="n">
        <v>0.05</v>
      </c>
      <c r="U57" s="49" t="n">
        <v>0</v>
      </c>
    </row>
    <row r="58">
      <c r="A58" s="49" t="inlineStr">
        <is>
          <t>U020</t>
        </is>
      </c>
      <c r="B58" s="49" t="inlineStr">
        <is>
          <t>Instituto Universitario Agua y Ciencias Ambientales (10.05)</t>
        </is>
      </c>
      <c r="C58" s="49" t="inlineStr">
        <is>
          <t>DOCTORADO EN AGUA Y DESARROLLO SOSTENIBLE</t>
        </is>
      </c>
      <c r="D58" s="49" t="inlineStr">
        <is>
          <t>Mederos Corrales, Marlon</t>
        </is>
      </c>
      <c r="E58" s="49" t="inlineStr">
        <is>
          <t>PROPUESTA EXPERIMENTAL PARA LA ELIMINACIÓN DE NIQUEL EN AGUAS DE ESCORRENTÍA URBANA MEDIANTE ÁRIDOS</t>
        </is>
      </c>
      <c r="F58" s="49" t="inlineStr">
        <is>
          <t>26/09/2025</t>
        </is>
      </c>
      <c r="G58" s="49" t="inlineStr">
        <is>
          <t>48561476N</t>
        </is>
      </c>
      <c r="H58" s="49" t="inlineStr">
        <is>
          <t>Codirector de tesis</t>
        </is>
      </c>
      <c r="I58" s="49" t="inlineStr">
        <is>
          <t>B185</t>
        </is>
      </c>
      <c r="J58" s="49" t="inlineStr">
        <is>
          <t>Ingeniería Civil</t>
        </is>
      </c>
      <c r="K58" s="49" t="n">
        <v>0.5</v>
      </c>
      <c r="L58" s="49" t="inlineStr">
        <is>
          <t>B185</t>
        </is>
      </c>
      <c r="M58" s="49" t="n">
        <v>2024</v>
      </c>
      <c r="N58" s="49" t="inlineStr">
        <is>
          <t>10.05</t>
        </is>
      </c>
      <c r="O58" s="49" t="inlineStr">
        <is>
          <t>20</t>
        </is>
      </c>
      <c r="P58" s="49" t="inlineStr"/>
      <c r="Q58" s="49" t="inlineStr"/>
      <c r="R58" s="49" t="n">
        <v>80</v>
      </c>
      <c r="S58" s="49" t="n">
        <v>0.4</v>
      </c>
      <c r="T58" s="49" t="n">
        <v>0.1</v>
      </c>
      <c r="U58" s="49" t="n">
        <v>0</v>
      </c>
    </row>
    <row r="59">
      <c r="A59" s="49" t="inlineStr">
        <is>
          <t>U020</t>
        </is>
      </c>
      <c r="B59" s="49" t="inlineStr">
        <is>
          <t>Instituto Universitario Agua y Ciencias Ambientales (10.05)</t>
        </is>
      </c>
      <c r="C59" s="49" t="inlineStr">
        <is>
          <t>DOCTORADO EN AGUA Y DESARROLLO SOSTENIBLE</t>
        </is>
      </c>
      <c r="D59" s="49" t="inlineStr">
        <is>
          <t>Rozas Torrente, Rosa</t>
        </is>
      </c>
      <c r="E59" s="49" t="inlineStr">
        <is>
          <t>METODOLOGÍA PARA LA GESTIÓN DE LA DIGITALIZACIÓN Y MONITOREO DEL CICLO URBANO DEL AGUA. CASO DE ESTUDIO DE IBI (ALICANTE, ESPAÑA)</t>
        </is>
      </c>
      <c r="F59" s="49" t="inlineStr">
        <is>
          <t>04/07/2025</t>
        </is>
      </c>
      <c r="G59" s="49" t="inlineStr">
        <is>
          <t>21388652D</t>
        </is>
      </c>
      <c r="H59" s="49" t="inlineStr">
        <is>
          <t>Codirector de tesis</t>
        </is>
      </c>
      <c r="I59" s="49" t="inlineStr">
        <is>
          <t>B185</t>
        </is>
      </c>
      <c r="J59" s="49" t="inlineStr">
        <is>
          <t>Ingeniería Civil</t>
        </is>
      </c>
      <c r="K59" s="49" t="n">
        <v>0.5</v>
      </c>
      <c r="L59" s="49" t="inlineStr">
        <is>
          <t>B185</t>
        </is>
      </c>
      <c r="M59" s="49" t="n">
        <v>2024</v>
      </c>
      <c r="N59" s="49" t="inlineStr"/>
      <c r="O59" s="49" t="inlineStr"/>
      <c r="P59" s="49" t="inlineStr"/>
      <c r="Q59" s="49" t="inlineStr"/>
      <c r="R59" s="49" t="n">
        <v>100</v>
      </c>
      <c r="S59" s="49" t="n">
        <v>0.5</v>
      </c>
      <c r="T59" s="49" t="n">
        <v>0</v>
      </c>
      <c r="U59" s="49" t="n">
        <v>0</v>
      </c>
    </row>
    <row r="60">
      <c r="A60" s="49" t="inlineStr">
        <is>
          <t>U020</t>
        </is>
      </c>
      <c r="B60" s="49" t="inlineStr">
        <is>
          <t>Instituto Universitario Agua y Ciencias Ambientales (10.05)</t>
        </is>
      </c>
      <c r="C60" s="49" t="inlineStr">
        <is>
          <t>DOCTORADO EN AGUA Y DESARROLLO SOSTENIBLE</t>
        </is>
      </c>
      <c r="D60" s="49" t="inlineStr">
        <is>
          <t>Rozas Torrente, Rosa</t>
        </is>
      </c>
      <c r="E60" s="49" t="inlineStr">
        <is>
          <t>METODOLOGÍA PARA LA GESTIÓN DE LA DIGITALIZACIÓN Y MONITOREO DEL CICLO URBANO DEL AGUA. CASO DE ESTUDIO DE IBI (ALICANTE, ESPAÑA)</t>
        </is>
      </c>
      <c r="F60" s="49" t="inlineStr">
        <is>
          <t>04/07/2025</t>
        </is>
      </c>
      <c r="G60" s="49" t="inlineStr">
        <is>
          <t>48315254M</t>
        </is>
      </c>
      <c r="H60" s="49" t="inlineStr">
        <is>
          <t>Codirector de tesis</t>
        </is>
      </c>
      <c r="I60" s="49" t="inlineStr">
        <is>
          <t>B185</t>
        </is>
      </c>
      <c r="J60" s="49" t="inlineStr">
        <is>
          <t>Ingeniería Civil</t>
        </is>
      </c>
      <c r="K60" s="49" t="n">
        <v>0.5</v>
      </c>
      <c r="L60" s="49" t="inlineStr">
        <is>
          <t>B185</t>
        </is>
      </c>
      <c r="M60" s="49" t="n">
        <v>2024</v>
      </c>
      <c r="N60" s="49" t="inlineStr">
        <is>
          <t>10.05</t>
        </is>
      </c>
      <c r="O60" s="49" t="inlineStr">
        <is>
          <t>20</t>
        </is>
      </c>
      <c r="P60" s="49" t="inlineStr"/>
      <c r="Q60" s="49" t="inlineStr"/>
      <c r="R60" s="49" t="n">
        <v>80</v>
      </c>
      <c r="S60" s="49" t="n">
        <v>0.4</v>
      </c>
      <c r="T60" s="49" t="n">
        <v>0.1</v>
      </c>
      <c r="U60" s="49" t="n">
        <v>0</v>
      </c>
    </row>
    <row r="61">
      <c r="A61" s="49" t="inlineStr">
        <is>
          <t>U020</t>
        </is>
      </c>
      <c r="B61" s="49" t="inlineStr">
        <is>
          <t>Instituto Universitario Agua y Ciencias Ambientales (10.05)</t>
        </is>
      </c>
      <c r="C61" s="49" t="inlineStr">
        <is>
          <t>DOCTORADO EN AGUA Y DESARROLLO SOSTENIBLE</t>
        </is>
      </c>
      <c r="D61" s="49" t="inlineStr">
        <is>
          <t>Chabour , Houssem Eddine</t>
        </is>
      </c>
      <c r="E61" s="49" t="inlineStr">
        <is>
          <t>Sizing photovoltaic installations for an off-grid pressurised irrigation network with no energy
storage</t>
        </is>
      </c>
      <c r="F61" s="49" t="inlineStr">
        <is>
          <t>16/07/2025</t>
        </is>
      </c>
      <c r="G61" s="49" t="inlineStr">
        <is>
          <t>47057425T</t>
        </is>
      </c>
      <c r="H61" s="49" t="inlineStr">
        <is>
          <t>Codirector de tesis</t>
        </is>
      </c>
      <c r="I61" s="49" t="inlineStr">
        <is>
          <t>B185</t>
        </is>
      </c>
      <c r="J61" s="49" t="inlineStr">
        <is>
          <t>Ingeniería Civil</t>
        </is>
      </c>
      <c r="K61" s="49" t="n">
        <v>0.5</v>
      </c>
      <c r="L61" s="49" t="inlineStr">
        <is>
          <t>B185</t>
        </is>
      </c>
      <c r="M61" s="49" t="n">
        <v>2024</v>
      </c>
      <c r="N61" s="49" t="inlineStr">
        <is>
          <t>10.05</t>
        </is>
      </c>
      <c r="O61" s="49" t="inlineStr">
        <is>
          <t>20</t>
        </is>
      </c>
      <c r="P61" s="49" t="inlineStr"/>
      <c r="Q61" s="49" t="inlineStr"/>
      <c r="R61" s="49" t="n">
        <v>80</v>
      </c>
      <c r="S61" s="49" t="n">
        <v>0.4</v>
      </c>
      <c r="T61" s="49" t="n">
        <v>0.1</v>
      </c>
      <c r="U61" s="49" t="n">
        <v>0</v>
      </c>
    </row>
    <row r="62">
      <c r="A62" s="49" t="inlineStr">
        <is>
          <t>U020</t>
        </is>
      </c>
      <c r="B62" s="49" t="inlineStr">
        <is>
          <t>Instituto Universitario Agua y Ciencias Ambientales (10.05)</t>
        </is>
      </c>
      <c r="C62" s="49" t="inlineStr">
        <is>
          <t>DOCTORADO EN AGUA Y DESARROLLO SOSTENIBLE</t>
        </is>
      </c>
      <c r="D62" s="49" t="inlineStr">
        <is>
          <t>Córdova de Horta, Daniela</t>
        </is>
      </c>
      <c r="E62" s="49" t="inlineStr">
        <is>
          <t>Simulación dinámica de inundaciones compuestas. Caso de estudio: Malecón de la Habana, Cuba.</t>
        </is>
      </c>
      <c r="F62" s="49" t="inlineStr">
        <is>
          <t>26/09/2025</t>
        </is>
      </c>
      <c r="G62" s="49" t="inlineStr">
        <is>
          <t>47057425T</t>
        </is>
      </c>
      <c r="H62" s="49" t="inlineStr">
        <is>
          <t>Codirector de tesis</t>
        </is>
      </c>
      <c r="I62" s="49" t="inlineStr">
        <is>
          <t>B185</t>
        </is>
      </c>
      <c r="J62" s="49" t="inlineStr">
        <is>
          <t>Ingeniería Civil</t>
        </is>
      </c>
      <c r="K62" s="49" t="n">
        <v>0.3333333333333333</v>
      </c>
      <c r="L62" s="49" t="inlineStr">
        <is>
          <t>B185</t>
        </is>
      </c>
      <c r="M62" s="49" t="n">
        <v>2024</v>
      </c>
      <c r="N62" s="49" t="inlineStr">
        <is>
          <t>10.05</t>
        </is>
      </c>
      <c r="O62" s="49" t="inlineStr">
        <is>
          <t>20</t>
        </is>
      </c>
      <c r="P62" s="49" t="inlineStr"/>
      <c r="Q62" s="49" t="inlineStr"/>
      <c r="R62" s="49" t="n">
        <v>80</v>
      </c>
      <c r="S62" s="49" t="n">
        <v>0.2666666666666667</v>
      </c>
      <c r="T62" s="49" t="n">
        <v>0.06666666666666667</v>
      </c>
      <c r="U62" s="49" t="n">
        <v>0</v>
      </c>
    </row>
    <row r="63">
      <c r="A63" s="49" t="inlineStr">
        <is>
          <t>U022</t>
        </is>
      </c>
      <c r="B63" s="49" t="inlineStr">
        <is>
          <t>Administración Facultad de Ciencias</t>
        </is>
      </c>
      <c r="C63" s="49" t="inlineStr">
        <is>
          <t>DOCTORADO EN CIENCIAS EXPERIMENTALES Y BIOSANITARIAS</t>
        </is>
      </c>
      <c r="D63" s="49" t="inlineStr">
        <is>
          <t>Gil Oncina, Sara</t>
        </is>
      </c>
      <c r="E63" s="49" t="inlineStr">
        <is>
          <t>Factores ambientales condicionantes de la dinámica del radón: estudio de su potencial
geogénico en suelos</t>
        </is>
      </c>
      <c r="F63" s="49" t="inlineStr">
        <is>
          <t>09/01/2025</t>
        </is>
      </c>
      <c r="G63" s="49" t="inlineStr">
        <is>
          <t>48561476N</t>
        </is>
      </c>
      <c r="H63" s="49" t="inlineStr">
        <is>
          <t>Codirector de tesis</t>
        </is>
      </c>
      <c r="I63" s="49" t="inlineStr">
        <is>
          <t>B185</t>
        </is>
      </c>
      <c r="J63" s="49" t="inlineStr">
        <is>
          <t>Ingeniería Civil</t>
        </is>
      </c>
      <c r="K63" s="49" t="n">
        <v>0.5</v>
      </c>
      <c r="L63" s="49" t="inlineStr">
        <is>
          <t>B185</t>
        </is>
      </c>
      <c r="M63" s="49" t="n">
        <v>2024</v>
      </c>
      <c r="N63" s="49" t="inlineStr">
        <is>
          <t>10.05</t>
        </is>
      </c>
      <c r="O63" s="49" t="inlineStr">
        <is>
          <t>20</t>
        </is>
      </c>
      <c r="P63" s="49" t="inlineStr"/>
      <c r="Q63" s="49" t="inlineStr"/>
      <c r="R63" s="49" t="n">
        <v>80</v>
      </c>
      <c r="S63" s="49" t="n">
        <v>0.4</v>
      </c>
      <c r="T63" s="49" t="n">
        <v>0.1</v>
      </c>
      <c r="U63" s="49" t="n">
        <v>0</v>
      </c>
    </row>
    <row r="64">
      <c r="A64" s="64" t="n"/>
      <c r="B64" s="64" t="n"/>
      <c r="C64" s="64" t="n"/>
      <c r="D64" s="64" t="n"/>
      <c r="E64" s="64" t="n"/>
      <c r="F64" s="64" t="n"/>
      <c r="G64" s="64" t="n"/>
      <c r="H64" s="64" t="n"/>
      <c r="I64" s="64" t="n"/>
      <c r="J64" s="64" t="n"/>
      <c r="K64" s="64" t="n"/>
      <c r="L64" s="64" t="n"/>
      <c r="M64" s="64" t="n"/>
      <c r="N64" s="64" t="n"/>
      <c r="O64" s="65" t="n"/>
      <c r="P64" s="64" t="n"/>
      <c r="Q64" s="65" t="n"/>
      <c r="R64" s="64" t="n"/>
      <c r="S64" s="118">
        <f>SUM(S2:S63)</f>
        <v/>
      </c>
      <c r="T64" s="64" t="n"/>
      <c r="U64" s="64" t="n"/>
    </row>
  </sheetData>
  <autoFilter ref="A1:U1">
    <sortState ref="A2:S1800">
      <sortCondition ref="K2:K1800"/>
      <sortCondition ref="D2:D1800"/>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5.xml><?xml version="1.0" encoding="utf-8"?>
<worksheet xmlns="http://schemas.openxmlformats.org/spreadsheetml/2006/main">
  <sheetPr>
    <outlinePr summaryBelow="1" summaryRight="1"/>
    <pageSetUpPr fitToPage="1"/>
  </sheetPr>
  <dimension ref="A1:T41"/>
  <sheetViews>
    <sheetView topLeftCell="A22" zoomScaleNormal="100" workbookViewId="0">
      <selection activeCell="V10" sqref="V10"/>
    </sheetView>
  </sheetViews>
  <sheetFormatPr baseColWidth="10" defaultColWidth="11.44140625" defaultRowHeight="13.2"/>
  <cols>
    <col width="10.88671875" bestFit="1" customWidth="1" style="11" min="1" max="1"/>
    <col width="42.44140625" bestFit="1" customWidth="1" style="11" min="2" max="2"/>
    <col width="17" bestFit="1" customWidth="1" style="11" min="3" max="3"/>
    <col width="3.33203125" bestFit="1" customWidth="1" style="11" min="4" max="9"/>
    <col width="13.109375" bestFit="1" customWidth="1" style="11" min="10" max="10"/>
    <col width="5.33203125" bestFit="1" customWidth="1" style="11" min="11" max="11"/>
    <col width="5.6640625" bestFit="1" customWidth="1" style="11" min="12" max="13"/>
    <col width="5.6640625" bestFit="1" customWidth="1" style="12" min="14" max="14"/>
    <col width="5.6640625" bestFit="1" customWidth="1" style="11" min="15" max="15"/>
    <col width="5.6640625" bestFit="1" customWidth="1" style="12" min="16" max="16"/>
    <col width="5.6640625" bestFit="1" customWidth="1" style="11" min="17" max="19"/>
    <col width="11.44140625" customWidth="1" style="11" min="20" max="16384"/>
  </cols>
  <sheetData>
    <row r="1" ht="60" customFormat="1" customHeight="1" s="10">
      <c r="A1" s="13" t="inlineStr">
        <is>
          <t>NIF</t>
        </is>
      </c>
      <c r="B1" s="13" t="inlineStr">
        <is>
          <t>NOMBRE_COMPLETO</t>
        </is>
      </c>
      <c r="C1" s="13" t="inlineStr">
        <is>
          <t>TIPO_SEXENIO</t>
        </is>
      </c>
      <c r="D1" s="14" t="inlineStr">
        <is>
          <t>2020</t>
        </is>
      </c>
      <c r="E1" s="14" t="inlineStr">
        <is>
          <t>2021</t>
        </is>
      </c>
      <c r="F1" s="14" t="inlineStr">
        <is>
          <t>2022</t>
        </is>
      </c>
      <c r="G1" s="14" t="inlineStr">
        <is>
          <t>2023</t>
        </is>
      </c>
      <c r="H1" s="14" t="inlineStr">
        <is>
          <t>2024</t>
        </is>
      </c>
      <c r="I1" s="14" t="inlineStr">
        <is>
          <t>2025</t>
        </is>
      </c>
      <c r="J1" s="13" t="inlineStr">
        <is>
          <t>Total general</t>
        </is>
      </c>
      <c r="K1" s="15"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c r="T1" s="11" t="n"/>
    </row>
    <row r="2" ht="14.4" customHeight="1">
      <c r="A2" s="16" t="inlineStr">
        <is>
          <t>05398325H</t>
        </is>
      </c>
      <c r="B2" s="16" t="inlineStr">
        <is>
          <t>García Barba, Javier</t>
        </is>
      </c>
      <c r="C2" s="16" t="inlineStr">
        <is>
          <t>FUNCIONARIO</t>
        </is>
      </c>
      <c r="D2" s="16" t="n">
        <v>1</v>
      </c>
      <c r="E2" s="16" t="n"/>
      <c r="F2" s="16" t="n"/>
      <c r="G2" s="16" t="n"/>
      <c r="H2" s="16" t="n"/>
      <c r="I2" s="16" t="n"/>
      <c r="J2" s="16" t="n">
        <v>1</v>
      </c>
      <c r="K2" s="16" t="inlineStr">
        <is>
          <t>B185</t>
        </is>
      </c>
      <c r="L2" s="17" t="n">
        <v>0</v>
      </c>
      <c r="M2" s="17" t="n">
        <v>0</v>
      </c>
      <c r="N2" s="17" t="inlineStr"/>
      <c r="O2" s="17" t="inlineStr"/>
      <c r="P2" s="17" t="n">
        <v>100</v>
      </c>
      <c r="Q2" s="17" t="n">
        <v>0</v>
      </c>
      <c r="R2" s="17" t="n">
        <v>0</v>
      </c>
      <c r="S2" s="17" t="n">
        <v>1</v>
      </c>
    </row>
    <row r="3" ht="14.4" customHeight="1">
      <c r="A3" s="16" t="inlineStr">
        <is>
          <t>21400492G</t>
        </is>
      </c>
      <c r="B3" s="16" t="inlineStr">
        <is>
          <t>Climent Llorca, Miguel Ángel</t>
        </is>
      </c>
      <c r="C3" s="16" t="inlineStr">
        <is>
          <t>FUNCIONARIO</t>
        </is>
      </c>
      <c r="D3" s="16" t="n"/>
      <c r="E3" s="16" t="n"/>
      <c r="F3" s="16" t="n"/>
      <c r="G3" s="16" t="n"/>
      <c r="H3" s="16" t="n"/>
      <c r="I3" s="16" t="n">
        <v>1</v>
      </c>
      <c r="J3" s="16" t="n">
        <v>1</v>
      </c>
      <c r="K3" s="16" t="inlineStr">
        <is>
          <t>B185</t>
        </is>
      </c>
      <c r="L3" s="17" t="n">
        <v>0</v>
      </c>
      <c r="M3" s="17" t="n">
        <v>0</v>
      </c>
      <c r="N3" s="17" t="inlineStr"/>
      <c r="O3" s="17" t="inlineStr"/>
      <c r="P3" s="17" t="n">
        <v>100</v>
      </c>
      <c r="Q3" s="17" t="n">
        <v>0</v>
      </c>
      <c r="R3" s="17" t="n">
        <v>0</v>
      </c>
      <c r="S3" s="17" t="n">
        <v>1</v>
      </c>
    </row>
    <row r="4" ht="14.4" customHeight="1">
      <c r="A4" s="16" t="inlineStr">
        <is>
          <t>21418318M</t>
        </is>
      </c>
      <c r="B4" s="16" t="inlineStr">
        <is>
          <t>Garces Terradillos, Pedro</t>
        </is>
      </c>
      <c r="C4" s="16" t="inlineStr">
        <is>
          <t>FUNCIONARIO</t>
        </is>
      </c>
      <c r="D4" s="16" t="n"/>
      <c r="E4" s="16" t="n"/>
      <c r="F4" s="16" t="n"/>
      <c r="G4" s="16" t="n"/>
      <c r="H4" s="16" t="n">
        <v>1</v>
      </c>
      <c r="I4" s="16" t="n"/>
      <c r="J4" s="16" t="n">
        <v>1</v>
      </c>
      <c r="K4" s="16" t="inlineStr">
        <is>
          <t>B185</t>
        </is>
      </c>
      <c r="L4" s="17" t="n">
        <v>0</v>
      </c>
      <c r="M4" s="17" t="n">
        <v>0</v>
      </c>
      <c r="N4" s="17" t="inlineStr"/>
      <c r="O4" s="17" t="inlineStr"/>
      <c r="P4" s="17" t="n">
        <v>100</v>
      </c>
      <c r="Q4" s="17" t="n">
        <v>0</v>
      </c>
      <c r="R4" s="17" t="n">
        <v>0</v>
      </c>
      <c r="S4" s="17" t="n">
        <v>1</v>
      </c>
    </row>
    <row r="5" ht="14.4" customHeight="1">
      <c r="A5" s="16" t="inlineStr">
        <is>
          <t>21435388D</t>
        </is>
      </c>
      <c r="B5" s="16" t="inlineStr">
        <is>
          <t>González Sánchez, Antonio</t>
        </is>
      </c>
      <c r="C5" s="16" t="inlineStr">
        <is>
          <t>FUNCIONARIO</t>
        </is>
      </c>
      <c r="D5" s="16" t="n">
        <v>1</v>
      </c>
      <c r="E5" s="16" t="n"/>
      <c r="F5" s="16" t="n"/>
      <c r="G5" s="16" t="n"/>
      <c r="H5" s="16" t="n"/>
      <c r="I5" s="16" t="n"/>
      <c r="J5" s="16" t="n">
        <v>1</v>
      </c>
      <c r="K5" s="16" t="inlineStr">
        <is>
          <t>B185</t>
        </is>
      </c>
      <c r="L5" s="17" t="n">
        <v>0</v>
      </c>
      <c r="M5" s="17" t="n">
        <v>0</v>
      </c>
      <c r="N5" s="17" t="inlineStr"/>
      <c r="O5" s="17" t="inlineStr"/>
      <c r="P5" s="17" t="n">
        <v>100</v>
      </c>
      <c r="Q5" s="17" t="n">
        <v>0</v>
      </c>
      <c r="R5" s="17" t="n">
        <v>0</v>
      </c>
      <c r="S5" s="17" t="n">
        <v>1</v>
      </c>
    </row>
    <row r="6" ht="14.4" customHeight="1">
      <c r="A6" s="16" t="inlineStr">
        <is>
          <t>21438377P</t>
        </is>
      </c>
      <c r="B6" s="16" t="inlineStr">
        <is>
          <t>Saval Pérez, José Miguel</t>
        </is>
      </c>
      <c r="C6" s="16" t="inlineStr">
        <is>
          <t>FUNCIONARIO</t>
        </is>
      </c>
      <c r="D6" s="16" t="n"/>
      <c r="E6" s="16" t="n">
        <v>1</v>
      </c>
      <c r="F6" s="16" t="n"/>
      <c r="G6" s="16" t="n"/>
      <c r="H6" s="16" t="n"/>
      <c r="I6" s="16" t="n"/>
      <c r="J6" s="16" t="n">
        <v>1</v>
      </c>
      <c r="K6" s="16" t="inlineStr">
        <is>
          <t>B185</t>
        </is>
      </c>
      <c r="L6" s="17" t="n">
        <v>0</v>
      </c>
      <c r="M6" s="17" t="n">
        <v>0</v>
      </c>
      <c r="N6" s="17" t="inlineStr"/>
      <c r="O6" s="17" t="inlineStr"/>
      <c r="P6" s="17" t="n">
        <v>100</v>
      </c>
      <c r="Q6" s="17" t="n">
        <v>0</v>
      </c>
      <c r="R6" s="17" t="n">
        <v>0</v>
      </c>
      <c r="S6" s="17" t="n">
        <v>1</v>
      </c>
    </row>
    <row r="7" ht="14.4" customHeight="1">
      <c r="A7" s="16" t="inlineStr">
        <is>
          <t>21448419E</t>
        </is>
      </c>
      <c r="B7" s="16" t="inlineStr">
        <is>
          <t>Aragonés Pomares, Luis</t>
        </is>
      </c>
      <c r="C7" s="16" t="inlineStr">
        <is>
          <t>FUNCIONARIO</t>
        </is>
      </c>
      <c r="D7" s="16" t="n"/>
      <c r="E7" s="16" t="n"/>
      <c r="F7" s="16" t="n"/>
      <c r="G7" s="16" t="n">
        <v>1</v>
      </c>
      <c r="H7" s="16" t="n"/>
      <c r="I7" s="16" t="n"/>
      <c r="J7" s="16" t="n">
        <v>1</v>
      </c>
      <c r="K7" s="16" t="inlineStr">
        <is>
          <t>B185</t>
        </is>
      </c>
      <c r="L7" s="17" t="n">
        <v>0</v>
      </c>
      <c r="M7" s="17" t="n">
        <v>0</v>
      </c>
      <c r="N7" s="17" t="inlineStr"/>
      <c r="O7" s="17" t="inlineStr"/>
      <c r="P7" s="17" t="n">
        <v>100</v>
      </c>
      <c r="Q7" s="17" t="n">
        <v>0</v>
      </c>
      <c r="R7" s="17" t="n">
        <v>0</v>
      </c>
      <c r="S7" s="17" t="n">
        <v>1</v>
      </c>
    </row>
    <row r="8" ht="14.4" customHeight="1">
      <c r="A8" s="16" t="inlineStr">
        <is>
          <t>21467087Z</t>
        </is>
      </c>
      <c r="B8" s="16" t="inlineStr">
        <is>
          <t>Segovia Eulogio, Enrique Gonzalo</t>
        </is>
      </c>
      <c r="C8" s="16" t="inlineStr">
        <is>
          <t>FUNCIONARIO</t>
        </is>
      </c>
      <c r="D8" s="16" t="n"/>
      <c r="E8" s="16" t="n"/>
      <c r="F8" s="16" t="n"/>
      <c r="G8" s="16" t="n"/>
      <c r="H8" s="16" t="n"/>
      <c r="I8" s="16" t="n">
        <v>1</v>
      </c>
      <c r="J8" s="16" t="n">
        <v>1</v>
      </c>
      <c r="K8" s="16" t="inlineStr">
        <is>
          <t>B185</t>
        </is>
      </c>
      <c r="L8" s="17" t="n">
        <v>0</v>
      </c>
      <c r="M8" s="17" t="n">
        <v>0</v>
      </c>
      <c r="N8" s="17" t="inlineStr"/>
      <c r="O8" s="17" t="inlineStr"/>
      <c r="P8" s="17" t="n">
        <v>100</v>
      </c>
      <c r="Q8" s="17" t="n">
        <v>0</v>
      </c>
      <c r="R8" s="17" t="n">
        <v>0</v>
      </c>
      <c r="S8" s="17" t="n">
        <v>1</v>
      </c>
    </row>
    <row r="9" ht="14.4" customHeight="1">
      <c r="A9" s="16" t="inlineStr">
        <is>
          <t>21489469V</t>
        </is>
      </c>
      <c r="B9" s="16" t="inlineStr">
        <is>
          <t>Baeza Brotons, Francisco</t>
        </is>
      </c>
      <c r="C9" s="16" t="inlineStr">
        <is>
          <t>FUNCIONARIO</t>
        </is>
      </c>
      <c r="D9" s="16" t="n"/>
      <c r="E9" s="16" t="n"/>
      <c r="F9" s="16" t="n"/>
      <c r="G9" s="16" t="n"/>
      <c r="H9" s="16" t="n">
        <v>2</v>
      </c>
      <c r="I9" s="16" t="n"/>
      <c r="J9" s="16" t="n">
        <v>2</v>
      </c>
      <c r="K9" s="16" t="inlineStr">
        <is>
          <t>B185</t>
        </is>
      </c>
      <c r="L9" s="17" t="n">
        <v>0</v>
      </c>
      <c r="M9" s="17" t="n">
        <v>0</v>
      </c>
      <c r="N9" s="17" t="inlineStr"/>
      <c r="O9" s="17" t="inlineStr"/>
      <c r="P9" s="17" t="n">
        <v>100</v>
      </c>
      <c r="Q9" s="17" t="n">
        <v>0</v>
      </c>
      <c r="R9" s="17" t="n">
        <v>0</v>
      </c>
      <c r="S9" s="17" t="n">
        <v>2</v>
      </c>
    </row>
    <row r="10" ht="14.4" customHeight="1">
      <c r="A10" s="16" t="inlineStr">
        <is>
          <t>21500085F</t>
        </is>
      </c>
      <c r="B10" s="16" t="inlineStr">
        <is>
          <t>de Vera Almenar, Guillem</t>
        </is>
      </c>
      <c r="C10" s="16" t="inlineStr">
        <is>
          <t>Vivos</t>
        </is>
      </c>
      <c r="D10" s="16" t="n"/>
      <c r="E10" s="16" t="n"/>
      <c r="F10" s="16" t="n"/>
      <c r="G10" s="16" t="n"/>
      <c r="H10" s="16" t="n"/>
      <c r="I10" s="16" t="n">
        <v>1</v>
      </c>
      <c r="J10" s="16" t="n">
        <v>1</v>
      </c>
      <c r="K10" s="16" t="inlineStr">
        <is>
          <t>B185</t>
        </is>
      </c>
      <c r="L10" s="17" t="n">
        <v>0</v>
      </c>
      <c r="M10" s="17" t="n">
        <v>0</v>
      </c>
      <c r="N10" s="17" t="inlineStr"/>
      <c r="O10" s="17" t="inlineStr"/>
      <c r="P10" s="17" t="n">
        <v>100</v>
      </c>
      <c r="Q10" s="17" t="n">
        <v>0</v>
      </c>
      <c r="R10" s="17" t="n">
        <v>0</v>
      </c>
      <c r="S10" s="17" t="n">
        <v>1</v>
      </c>
    </row>
    <row r="11" ht="14.4" customHeight="1">
      <c r="A11" s="16" t="inlineStr">
        <is>
          <t>21664652D</t>
        </is>
      </c>
      <c r="B11" s="16" t="inlineStr">
        <is>
          <t>Navarro Martínez, Rosa María</t>
        </is>
      </c>
      <c r="C11" s="16" t="inlineStr">
        <is>
          <t>NO FUNCIONARIO</t>
        </is>
      </c>
      <c r="D11" s="16" t="n"/>
      <c r="E11" s="16" t="n"/>
      <c r="F11" s="16" t="n"/>
      <c r="G11" s="16" t="n"/>
      <c r="H11" s="16" t="n"/>
      <c r="I11" s="16" t="n">
        <v>2</v>
      </c>
      <c r="J11" s="16" t="n">
        <v>2</v>
      </c>
      <c r="K11" s="16" t="inlineStr">
        <is>
          <t>B185</t>
        </is>
      </c>
      <c r="L11" s="17" t="n">
        <v>0</v>
      </c>
      <c r="M11" s="17" t="n">
        <v>0</v>
      </c>
      <c r="N11" s="17" t="inlineStr"/>
      <c r="O11" s="17" t="inlineStr"/>
      <c r="P11" s="17" t="n">
        <v>100</v>
      </c>
      <c r="Q11" s="17" t="n">
        <v>0</v>
      </c>
      <c r="R11" s="17" t="n">
        <v>0</v>
      </c>
      <c r="S11" s="17" t="n">
        <v>2</v>
      </c>
    </row>
    <row r="12" ht="14.4" customHeight="1">
      <c r="A12" s="16" t="inlineStr">
        <is>
          <t>21689116R</t>
        </is>
      </c>
      <c r="B12" s="16" t="inlineStr">
        <is>
          <t>Pereiro Barceló, Javier</t>
        </is>
      </c>
      <c r="C12" s="16" t="inlineStr">
        <is>
          <t>FUNCIONARIO</t>
        </is>
      </c>
      <c r="D12" s="16" t="n"/>
      <c r="E12" s="16" t="n"/>
      <c r="F12" s="16" t="n"/>
      <c r="G12" s="16" t="n">
        <v>1</v>
      </c>
      <c r="H12" s="16" t="n"/>
      <c r="I12" s="16" t="n">
        <v>1</v>
      </c>
      <c r="J12" s="16" t="n">
        <v>2</v>
      </c>
      <c r="K12" s="16" t="inlineStr">
        <is>
          <t>B185</t>
        </is>
      </c>
      <c r="L12" s="17" t="n">
        <v>0</v>
      </c>
      <c r="M12" s="17" t="n">
        <v>0</v>
      </c>
      <c r="N12" s="17" t="inlineStr"/>
      <c r="O12" s="17" t="inlineStr"/>
      <c r="P12" s="17" t="n">
        <v>100</v>
      </c>
      <c r="Q12" s="17" t="n">
        <v>0</v>
      </c>
      <c r="R12" s="17" t="n">
        <v>0</v>
      </c>
      <c r="S12" s="17" t="n">
        <v>2</v>
      </c>
    </row>
    <row r="13" ht="14.4" customHeight="1">
      <c r="A13" s="16" t="inlineStr">
        <is>
          <t>22144897Z</t>
        </is>
      </c>
      <c r="B13" s="16" t="inlineStr">
        <is>
          <t>Estevan García, Luis</t>
        </is>
      </c>
      <c r="C13" s="16" t="inlineStr">
        <is>
          <t>FUNCIONARIO</t>
        </is>
      </c>
      <c r="D13" s="16" t="n"/>
      <c r="E13" s="16" t="n"/>
      <c r="F13" s="16" t="n"/>
      <c r="G13" s="16" t="n"/>
      <c r="H13" s="16" t="n"/>
      <c r="I13" s="16" t="n">
        <v>1</v>
      </c>
      <c r="J13" s="16" t="n">
        <v>1</v>
      </c>
      <c r="K13" s="16" t="inlineStr">
        <is>
          <t>B185</t>
        </is>
      </c>
      <c r="L13" s="17" t="n">
        <v>0</v>
      </c>
      <c r="M13" s="17" t="n">
        <v>0</v>
      </c>
      <c r="N13" s="17" t="inlineStr"/>
      <c r="O13" s="17" t="inlineStr"/>
      <c r="P13" s="17" t="n">
        <v>100</v>
      </c>
      <c r="Q13" s="17" t="n">
        <v>0</v>
      </c>
      <c r="R13" s="17" t="n">
        <v>0</v>
      </c>
      <c r="S13" s="17" t="n">
        <v>1</v>
      </c>
    </row>
    <row r="14" ht="14.4" customHeight="1">
      <c r="A14" s="16" t="inlineStr">
        <is>
          <t>23059540Q</t>
        </is>
      </c>
      <c r="B14" s="16" t="inlineStr">
        <is>
          <t>Pagán Conesa, José Ignacio</t>
        </is>
      </c>
      <c r="C14" s="16" t="inlineStr">
        <is>
          <t>FUNCIONARIO</t>
        </is>
      </c>
      <c r="D14" s="16" t="n"/>
      <c r="E14" s="16" t="n"/>
      <c r="F14" s="16" t="n"/>
      <c r="G14" s="16" t="n"/>
      <c r="H14" s="16" t="n"/>
      <c r="I14" s="16" t="n">
        <v>1</v>
      </c>
      <c r="J14" s="16" t="n">
        <v>1</v>
      </c>
      <c r="K14" s="16" t="inlineStr">
        <is>
          <t>B185</t>
        </is>
      </c>
      <c r="L14" s="17" t="n">
        <v>0</v>
      </c>
      <c r="M14" s="17" t="n">
        <v>0</v>
      </c>
      <c r="N14" s="17" t="inlineStr"/>
      <c r="O14" s="17" t="inlineStr"/>
      <c r="P14" s="17" t="n">
        <v>100</v>
      </c>
      <c r="Q14" s="17" t="n">
        <v>0</v>
      </c>
      <c r="R14" s="17" t="n">
        <v>0</v>
      </c>
      <c r="S14" s="17" t="n">
        <v>1</v>
      </c>
    </row>
    <row r="15" ht="14.4" customHeight="1">
      <c r="A15" s="16" t="inlineStr">
        <is>
          <t>25122538Y</t>
        </is>
      </c>
      <c r="B15" s="16" t="inlineStr">
        <is>
          <t>Cano González, Miguel</t>
        </is>
      </c>
      <c r="C15" s="16" t="inlineStr">
        <is>
          <t>FUNCIONARIO</t>
        </is>
      </c>
      <c r="D15" s="16" t="n"/>
      <c r="E15" s="16" t="n"/>
      <c r="F15" s="16" t="n"/>
      <c r="G15" s="16" t="n"/>
      <c r="H15" s="16" t="n"/>
      <c r="I15" s="16" t="n">
        <v>1</v>
      </c>
      <c r="J15" s="16" t="n">
        <v>1</v>
      </c>
      <c r="K15" s="16" t="inlineStr">
        <is>
          <t>B185</t>
        </is>
      </c>
      <c r="L15" s="17" t="n">
        <v>0</v>
      </c>
      <c r="M15" s="17" t="n">
        <v>0</v>
      </c>
      <c r="N15" s="17" t="inlineStr"/>
      <c r="O15" s="17" t="inlineStr"/>
      <c r="P15" s="17" t="n">
        <v>100</v>
      </c>
      <c r="Q15" s="17" t="n">
        <v>0</v>
      </c>
      <c r="R15" s="17" t="n">
        <v>0</v>
      </c>
      <c r="S15" s="17" t="n">
        <v>1</v>
      </c>
    </row>
    <row r="16" ht="14.4" customHeight="1">
      <c r="A16" s="16" t="inlineStr">
        <is>
          <t>25414751G</t>
        </is>
      </c>
      <c r="B16" s="16" t="inlineStr">
        <is>
          <t>Ferrer Crespo, María Belén</t>
        </is>
      </c>
      <c r="C16" s="16" t="inlineStr">
        <is>
          <t>FUNCIONARIO</t>
        </is>
      </c>
      <c r="D16" s="16" t="n"/>
      <c r="E16" s="16" t="n">
        <v>1</v>
      </c>
      <c r="F16" s="16" t="n"/>
      <c r="G16" s="16" t="n"/>
      <c r="H16" s="16" t="n"/>
      <c r="I16" s="16" t="n"/>
      <c r="J16" s="16" t="n">
        <v>1</v>
      </c>
      <c r="K16" s="16" t="inlineStr">
        <is>
          <t>B185</t>
        </is>
      </c>
      <c r="L16" s="17" t="inlineStr">
        <is>
          <t>10.20</t>
        </is>
      </c>
      <c r="M16" s="17" t="inlineStr">
        <is>
          <t>50</t>
        </is>
      </c>
      <c r="N16" s="17" t="inlineStr"/>
      <c r="O16" s="17" t="inlineStr"/>
      <c r="P16" s="17" t="n">
        <v>50</v>
      </c>
      <c r="Q16" s="17" t="n">
        <v>0.5</v>
      </c>
      <c r="R16" s="17" t="n">
        <v>0</v>
      </c>
      <c r="S16" s="17" t="n">
        <v>0.5</v>
      </c>
    </row>
    <row r="17" ht="14.4" customHeight="1">
      <c r="A17" s="16" t="inlineStr">
        <is>
          <t>30668563H</t>
        </is>
      </c>
      <c r="B17" s="16" t="inlineStr">
        <is>
          <t>Varona Moya, Francisco de Borja</t>
        </is>
      </c>
      <c r="C17" s="16" t="inlineStr">
        <is>
          <t>FUNCIONARIO</t>
        </is>
      </c>
      <c r="D17" s="16" t="n"/>
      <c r="E17" s="16" t="n">
        <v>1</v>
      </c>
      <c r="F17" s="16" t="n"/>
      <c r="G17" s="16" t="n"/>
      <c r="H17" s="16" t="n"/>
      <c r="I17" s="16" t="n">
        <v>1</v>
      </c>
      <c r="J17" s="16" t="n">
        <v>2</v>
      </c>
      <c r="K17" s="16" t="inlineStr">
        <is>
          <t>B185</t>
        </is>
      </c>
      <c r="L17" s="17" t="n">
        <v>0</v>
      </c>
      <c r="M17" s="17" t="n">
        <v>0</v>
      </c>
      <c r="N17" s="17" t="inlineStr"/>
      <c r="O17" s="17" t="inlineStr"/>
      <c r="P17" s="17" t="n">
        <v>100</v>
      </c>
      <c r="Q17" s="17" t="n">
        <v>0</v>
      </c>
      <c r="R17" s="17" t="n">
        <v>0</v>
      </c>
      <c r="S17" s="17" t="n">
        <v>2</v>
      </c>
    </row>
    <row r="18" ht="14.4" customHeight="1">
      <c r="A18" s="16" t="inlineStr">
        <is>
          <t>33471586P</t>
        </is>
      </c>
      <c r="B18" s="16" t="inlineStr">
        <is>
          <t>Torres Górriz, Benjamín</t>
        </is>
      </c>
      <c r="C18" s="16" t="inlineStr">
        <is>
          <t>NO FUNCIONARIO</t>
        </is>
      </c>
      <c r="D18" s="16" t="n"/>
      <c r="E18" s="16" t="n"/>
      <c r="F18" s="16" t="n">
        <v>1</v>
      </c>
      <c r="G18" s="16" t="n">
        <v>1</v>
      </c>
      <c r="H18" s="16" t="n"/>
      <c r="I18" s="16" t="n"/>
      <c r="J18" s="16" t="n">
        <v>2</v>
      </c>
      <c r="K18" s="16" t="inlineStr">
        <is>
          <t>B185</t>
        </is>
      </c>
      <c r="L18" s="17" t="n">
        <v>0</v>
      </c>
      <c r="M18" s="17" t="n">
        <v>0</v>
      </c>
      <c r="N18" s="17" t="inlineStr"/>
      <c r="O18" s="17" t="inlineStr"/>
      <c r="P18" s="17" t="n">
        <v>100</v>
      </c>
      <c r="Q18" s="17" t="n">
        <v>0</v>
      </c>
      <c r="R18" s="17" t="n">
        <v>0</v>
      </c>
      <c r="S18" s="17" t="n">
        <v>2</v>
      </c>
    </row>
    <row r="19" ht="14.4" customHeight="1">
      <c r="A19" s="16" t="inlineStr">
        <is>
          <t>33475566D</t>
        </is>
      </c>
      <c r="B19" s="16" t="inlineStr">
        <is>
          <t>Pomares Torres, Juan Carlos</t>
        </is>
      </c>
      <c r="C19" s="16" t="inlineStr">
        <is>
          <t>FUNCIONARIO</t>
        </is>
      </c>
      <c r="D19" s="16" t="n"/>
      <c r="E19" s="16" t="n"/>
      <c r="F19" s="16" t="n"/>
      <c r="G19" s="16" t="n"/>
      <c r="H19" s="16" t="n"/>
      <c r="I19" s="16" t="n">
        <v>2</v>
      </c>
      <c r="J19" s="16" t="n">
        <v>2</v>
      </c>
      <c r="K19" s="16" t="inlineStr">
        <is>
          <t>B185</t>
        </is>
      </c>
      <c r="L19" s="17" t="n">
        <v>0</v>
      </c>
      <c r="M19" s="17" t="n">
        <v>0</v>
      </c>
      <c r="N19" s="17" t="inlineStr"/>
      <c r="O19" s="17" t="inlineStr"/>
      <c r="P19" s="17" t="n">
        <v>100</v>
      </c>
      <c r="Q19" s="17" t="n">
        <v>0</v>
      </c>
      <c r="R19" s="17" t="n">
        <v>0</v>
      </c>
      <c r="S19" s="17" t="n">
        <v>2</v>
      </c>
    </row>
    <row r="20" ht="14.4" customHeight="1">
      <c r="A20" s="16" t="inlineStr">
        <is>
          <t>33479787K</t>
        </is>
      </c>
      <c r="B20" s="16" t="inlineStr">
        <is>
          <t>Galao Malo, Óscar</t>
        </is>
      </c>
      <c r="C20" s="16" t="inlineStr">
        <is>
          <t>FUNCIONARIO</t>
        </is>
      </c>
      <c r="D20" s="16" t="n"/>
      <c r="E20" s="16" t="n">
        <v>2</v>
      </c>
      <c r="F20" s="16" t="n"/>
      <c r="G20" s="16" t="n"/>
      <c r="H20" s="16" t="n"/>
      <c r="I20" s="16" t="n"/>
      <c r="J20" s="16" t="n">
        <v>2</v>
      </c>
      <c r="K20" s="16" t="inlineStr">
        <is>
          <t>B185</t>
        </is>
      </c>
      <c r="L20" s="17" t="n">
        <v>0</v>
      </c>
      <c r="M20" s="17" t="n">
        <v>0</v>
      </c>
      <c r="N20" s="17" t="inlineStr"/>
      <c r="O20" s="17" t="inlineStr"/>
      <c r="P20" s="17" t="n">
        <v>100</v>
      </c>
      <c r="Q20" s="17" t="n">
        <v>0</v>
      </c>
      <c r="R20" s="17" t="n">
        <v>0</v>
      </c>
      <c r="S20" s="17" t="n">
        <v>2</v>
      </c>
    </row>
    <row r="21" ht="14.4" customHeight="1">
      <c r="A21" s="16" t="inlineStr">
        <is>
          <t>33479968H</t>
        </is>
      </c>
      <c r="B21" s="16" t="inlineStr">
        <is>
          <t>Maciá Mateu, Antonio</t>
        </is>
      </c>
      <c r="C21" s="16" t="inlineStr">
        <is>
          <t>FUNCIONARIO</t>
        </is>
      </c>
      <c r="D21" s="16" t="n"/>
      <c r="E21" s="16" t="n"/>
      <c r="F21" s="16" t="n"/>
      <c r="G21" s="16" t="n">
        <v>1</v>
      </c>
      <c r="H21" s="16" t="n"/>
      <c r="I21" s="16" t="n"/>
      <c r="J21" s="16" t="n">
        <v>1</v>
      </c>
      <c r="K21" s="16" t="inlineStr">
        <is>
          <t>B185</t>
        </is>
      </c>
      <c r="L21" s="17" t="n">
        <v>0</v>
      </c>
      <c r="M21" s="17" t="n">
        <v>0</v>
      </c>
      <c r="N21" s="17" t="inlineStr"/>
      <c r="O21" s="17" t="inlineStr"/>
      <c r="P21" s="17" t="n">
        <v>100</v>
      </c>
      <c r="Q21" s="17" t="n">
        <v>0</v>
      </c>
      <c r="R21" s="17" t="n">
        <v>0</v>
      </c>
      <c r="S21" s="17" t="n">
        <v>1</v>
      </c>
    </row>
    <row r="22" ht="14.4" customHeight="1">
      <c r="A22" s="16" t="inlineStr">
        <is>
          <t>44756864Z</t>
        </is>
      </c>
      <c r="B22" s="16" t="inlineStr">
        <is>
          <t>Pastor Navarro, José Luis</t>
        </is>
      </c>
      <c r="C22" s="16" t="inlineStr">
        <is>
          <t>FUNCIONARIO</t>
        </is>
      </c>
      <c r="D22" s="16" t="n"/>
      <c r="E22" s="16" t="n">
        <v>1</v>
      </c>
      <c r="F22" s="16" t="n"/>
      <c r="G22" s="16" t="n"/>
      <c r="H22" s="16" t="n">
        <v>1</v>
      </c>
      <c r="I22" s="16" t="n"/>
      <c r="J22" s="16" t="n">
        <v>2</v>
      </c>
      <c r="K22" s="16" t="inlineStr">
        <is>
          <t>B185</t>
        </is>
      </c>
      <c r="L22" s="17" t="n">
        <v>0</v>
      </c>
      <c r="M22" s="17" t="n">
        <v>0</v>
      </c>
      <c r="N22" s="17" t="inlineStr"/>
      <c r="O22" s="17" t="inlineStr"/>
      <c r="P22" s="17" t="n">
        <v>100</v>
      </c>
      <c r="Q22" s="17" t="n">
        <v>0</v>
      </c>
      <c r="R22" s="17" t="n">
        <v>0</v>
      </c>
      <c r="S22" s="17" t="n">
        <v>2</v>
      </c>
    </row>
    <row r="23" ht="14.4" customHeight="1">
      <c r="A23" s="16" t="inlineStr">
        <is>
          <t>47057425T</t>
        </is>
      </c>
      <c r="B23" s="16" t="inlineStr">
        <is>
          <t>Pardo Picazo, Miguel Ángel</t>
        </is>
      </c>
      <c r="C23" s="16" t="inlineStr">
        <is>
          <t>FUNCIONARIO</t>
        </is>
      </c>
      <c r="D23" s="16" t="n"/>
      <c r="E23" s="16" t="n">
        <v>1</v>
      </c>
      <c r="F23" s="16" t="n"/>
      <c r="G23" s="16" t="n"/>
      <c r="H23" s="16" t="n"/>
      <c r="I23" s="16" t="n">
        <v>1</v>
      </c>
      <c r="J23" s="16" t="n">
        <v>2</v>
      </c>
      <c r="K23" s="16" t="inlineStr">
        <is>
          <t>B185</t>
        </is>
      </c>
      <c r="L23" s="17" t="inlineStr">
        <is>
          <t>10.05</t>
        </is>
      </c>
      <c r="M23" s="17" t="inlineStr">
        <is>
          <t>20</t>
        </is>
      </c>
      <c r="N23" s="17" t="inlineStr"/>
      <c r="O23" s="17" t="inlineStr"/>
      <c r="P23" s="17" t="n">
        <v>80</v>
      </c>
      <c r="Q23" s="17" t="n">
        <v>0.4</v>
      </c>
      <c r="R23" s="17" t="n">
        <v>0</v>
      </c>
      <c r="S23" s="17" t="n">
        <v>1.6</v>
      </c>
    </row>
    <row r="24" ht="14.4" customHeight="1">
      <c r="A24" s="16" t="inlineStr">
        <is>
          <t>48315254M</t>
        </is>
      </c>
      <c r="B24" s="16" t="inlineStr">
        <is>
          <t>Moya Llamas, María José</t>
        </is>
      </c>
      <c r="C24" s="16" t="inlineStr">
        <is>
          <t>NO FUNCIONARIO</t>
        </is>
      </c>
      <c r="D24" s="16" t="n"/>
      <c r="E24" s="16" t="n"/>
      <c r="F24" s="16" t="n"/>
      <c r="G24" s="16" t="n"/>
      <c r="H24" s="16" t="n">
        <v>1</v>
      </c>
      <c r="I24" s="16" t="n"/>
      <c r="J24" s="16" t="n">
        <v>1</v>
      </c>
      <c r="K24" s="16" t="inlineStr">
        <is>
          <t>B185</t>
        </is>
      </c>
      <c r="L24" s="17" t="inlineStr">
        <is>
          <t>10.05</t>
        </is>
      </c>
      <c r="M24" s="17" t="inlineStr">
        <is>
          <t>20</t>
        </is>
      </c>
      <c r="N24" s="17" t="inlineStr"/>
      <c r="O24" s="17" t="inlineStr"/>
      <c r="P24" s="17" t="n">
        <v>80</v>
      </c>
      <c r="Q24" s="17" t="n">
        <v>0.2</v>
      </c>
      <c r="R24" s="17" t="n">
        <v>0</v>
      </c>
      <c r="S24" s="17" t="n">
        <v>0.8</v>
      </c>
    </row>
    <row r="25" ht="14.4" customHeight="1">
      <c r="A25" s="16" t="inlineStr">
        <is>
          <t>48316585W</t>
        </is>
      </c>
      <c r="B25" s="16" t="inlineStr">
        <is>
          <t>Tomás Jover, Roberto</t>
        </is>
      </c>
      <c r="C25" s="16" t="inlineStr">
        <is>
          <t>FUNCIONARIO</t>
        </is>
      </c>
      <c r="D25" s="16" t="n"/>
      <c r="E25" s="16" t="n"/>
      <c r="F25" s="16" t="n"/>
      <c r="G25" s="16" t="n"/>
      <c r="H25" s="16" t="n">
        <v>1</v>
      </c>
      <c r="I25" s="16" t="n"/>
      <c r="J25" s="16" t="n">
        <v>1</v>
      </c>
      <c r="K25" s="16" t="inlineStr">
        <is>
          <t>B185</t>
        </is>
      </c>
      <c r="L25" s="17" t="n">
        <v>0</v>
      </c>
      <c r="M25" s="17" t="n">
        <v>0</v>
      </c>
      <c r="N25" s="17" t="inlineStr"/>
      <c r="O25" s="17" t="inlineStr"/>
      <c r="P25" s="17" t="n">
        <v>100</v>
      </c>
      <c r="Q25" s="17" t="n">
        <v>0</v>
      </c>
      <c r="R25" s="17" t="n">
        <v>0</v>
      </c>
      <c r="S25" s="17" t="n">
        <v>1</v>
      </c>
    </row>
    <row r="26" ht="14.4" customHeight="1">
      <c r="A26" s="16" t="inlineStr">
        <is>
          <t>48325212G</t>
        </is>
      </c>
      <c r="B26" s="16" t="inlineStr">
        <is>
          <t>Ortega Álvarez, José Marcos</t>
        </is>
      </c>
      <c r="C26" s="16" t="inlineStr">
        <is>
          <t>FUNCIONARIO</t>
        </is>
      </c>
      <c r="D26" s="16" t="n"/>
      <c r="E26" s="16" t="n">
        <v>1</v>
      </c>
      <c r="F26" s="16" t="n"/>
      <c r="G26" s="16" t="n"/>
      <c r="H26" s="16" t="n"/>
      <c r="I26" s="16" t="n"/>
      <c r="J26" s="16" t="n">
        <v>1</v>
      </c>
      <c r="K26" s="16" t="inlineStr">
        <is>
          <t>B185</t>
        </is>
      </c>
      <c r="L26" s="17" t="n">
        <v>0</v>
      </c>
      <c r="M26" s="17" t="n">
        <v>0</v>
      </c>
      <c r="N26" s="17" t="inlineStr"/>
      <c r="O26" s="17" t="inlineStr"/>
      <c r="P26" s="17" t="n">
        <v>100</v>
      </c>
      <c r="Q26" s="17" t="n">
        <v>0</v>
      </c>
      <c r="R26" s="17" t="n">
        <v>0</v>
      </c>
      <c r="S26" s="17" t="n">
        <v>1</v>
      </c>
    </row>
    <row r="27" ht="14.4" customHeight="1">
      <c r="A27" s="16" t="inlineStr">
        <is>
          <t>48342520Q</t>
        </is>
      </c>
      <c r="B27" s="16" t="inlineStr">
        <is>
          <t>Bañón Blázquez, Luis</t>
        </is>
      </c>
      <c r="C27" s="16" t="inlineStr">
        <is>
          <t>NO FUNCIONARIO</t>
        </is>
      </c>
      <c r="D27" s="16" t="n"/>
      <c r="E27" s="16" t="n"/>
      <c r="F27" s="16" t="n"/>
      <c r="G27" s="16" t="n"/>
      <c r="H27" s="16" t="n"/>
      <c r="I27" s="16" t="n">
        <v>1</v>
      </c>
      <c r="J27" s="16" t="n">
        <v>1</v>
      </c>
      <c r="K27" s="16" t="inlineStr">
        <is>
          <t>B185</t>
        </is>
      </c>
      <c r="L27" s="17" t="n">
        <v>0</v>
      </c>
      <c r="M27" s="17" t="n">
        <v>0</v>
      </c>
      <c r="N27" s="17" t="inlineStr"/>
      <c r="O27" s="17" t="inlineStr"/>
      <c r="P27" s="17" t="n">
        <v>100</v>
      </c>
      <c r="Q27" s="17" t="n">
        <v>0</v>
      </c>
      <c r="R27" s="17" t="n">
        <v>0</v>
      </c>
      <c r="S27" s="17" t="n">
        <v>1</v>
      </c>
    </row>
    <row r="28" ht="14.4" customHeight="1">
      <c r="A28" s="16" t="inlineStr">
        <is>
          <t>48349527P</t>
        </is>
      </c>
      <c r="B28" s="16" t="inlineStr">
        <is>
          <t>Tenza Abril, Antonio José</t>
        </is>
      </c>
      <c r="C28" s="16" t="inlineStr">
        <is>
          <t>FUNCIONARIO</t>
        </is>
      </c>
      <c r="D28" s="16" t="n">
        <v>1</v>
      </c>
      <c r="E28" s="16" t="n"/>
      <c r="F28" s="16" t="n"/>
      <c r="G28" s="16" t="n">
        <v>1</v>
      </c>
      <c r="H28" s="16" t="n"/>
      <c r="I28" s="16" t="n"/>
      <c r="J28" s="16" t="n">
        <v>2</v>
      </c>
      <c r="K28" s="16" t="inlineStr">
        <is>
          <t>B185</t>
        </is>
      </c>
      <c r="L28" s="17" t="n">
        <v>0</v>
      </c>
      <c r="M28" s="17" t="n">
        <v>0</v>
      </c>
      <c r="N28" s="17" t="inlineStr"/>
      <c r="O28" s="17" t="inlineStr"/>
      <c r="P28" s="17" t="n">
        <v>100</v>
      </c>
      <c r="Q28" s="17" t="n">
        <v>0</v>
      </c>
      <c r="R28" s="17" t="n">
        <v>0</v>
      </c>
      <c r="S28" s="17" t="n">
        <v>2</v>
      </c>
    </row>
    <row r="29" ht="14.4" customHeight="1">
      <c r="A29" s="16" t="inlineStr">
        <is>
          <t>48362656G</t>
        </is>
      </c>
      <c r="B29" s="16" t="inlineStr">
        <is>
          <t>Baeza De Los Santos, Francisco Javier</t>
        </is>
      </c>
      <c r="C29" s="16" t="inlineStr">
        <is>
          <t>FUNCIONARIO</t>
        </is>
      </c>
      <c r="D29" s="16" t="n"/>
      <c r="E29" s="16" t="n"/>
      <c r="F29" s="16" t="n">
        <v>1</v>
      </c>
      <c r="G29" s="16" t="n"/>
      <c r="H29" s="16" t="n"/>
      <c r="I29" s="16" t="n"/>
      <c r="J29" s="16" t="n">
        <v>1</v>
      </c>
      <c r="K29" s="16" t="inlineStr">
        <is>
          <t>B185</t>
        </is>
      </c>
      <c r="L29" s="17" t="n">
        <v>0</v>
      </c>
      <c r="M29" s="17" t="n">
        <v>0</v>
      </c>
      <c r="N29" s="17" t="inlineStr"/>
      <c r="O29" s="17" t="inlineStr"/>
      <c r="P29" s="17" t="n">
        <v>100</v>
      </c>
      <c r="Q29" s="17" t="n">
        <v>0</v>
      </c>
      <c r="R29" s="17" t="n">
        <v>0</v>
      </c>
      <c r="S29" s="17" t="n">
        <v>1</v>
      </c>
    </row>
    <row r="30" ht="14.4" customHeight="1">
      <c r="A30" s="16" t="inlineStr">
        <is>
          <t>48561476N</t>
        </is>
      </c>
      <c r="B30" s="16" t="inlineStr">
        <is>
          <t>Pla Bru, María de la Concepción</t>
        </is>
      </c>
      <c r="C30" s="16" t="inlineStr">
        <is>
          <t>FUNCIONARIO</t>
        </is>
      </c>
      <c r="D30" s="16" t="n"/>
      <c r="E30" s="16" t="n"/>
      <c r="F30" s="16" t="n">
        <v>1</v>
      </c>
      <c r="G30" s="16" t="n"/>
      <c r="H30" s="16" t="n"/>
      <c r="I30" s="16" t="n">
        <v>1</v>
      </c>
      <c r="J30" s="16" t="n">
        <v>2</v>
      </c>
      <c r="K30" s="16" t="inlineStr">
        <is>
          <t>B185</t>
        </is>
      </c>
      <c r="L30" s="17" t="inlineStr">
        <is>
          <t>10.05</t>
        </is>
      </c>
      <c r="M30" s="17" t="inlineStr">
        <is>
          <t>20</t>
        </is>
      </c>
      <c r="N30" s="17" t="inlineStr"/>
      <c r="O30" s="17" t="inlineStr"/>
      <c r="P30" s="17" t="n">
        <v>80</v>
      </c>
      <c r="Q30" s="17" t="n">
        <v>0.4</v>
      </c>
      <c r="R30" s="17" t="n">
        <v>0</v>
      </c>
      <c r="S30" s="17" t="n">
        <v>1.6</v>
      </c>
    </row>
    <row r="31" ht="14.4" customHeight="1">
      <c r="A31" s="16" t="inlineStr">
        <is>
          <t>48561731Z</t>
        </is>
      </c>
      <c r="B31" s="16" t="inlineStr">
        <is>
          <t>Bru Orts, David</t>
        </is>
      </c>
      <c r="C31" s="16" t="inlineStr">
        <is>
          <t>FUNCIONARIO</t>
        </is>
      </c>
      <c r="D31" s="16" t="n"/>
      <c r="E31" s="16" t="n"/>
      <c r="F31" s="16" t="n"/>
      <c r="G31" s="16" t="n"/>
      <c r="H31" s="16" t="n"/>
      <c r="I31" s="16" t="n">
        <v>1</v>
      </c>
      <c r="J31" s="16" t="n">
        <v>1</v>
      </c>
      <c r="K31" s="16" t="inlineStr">
        <is>
          <t>B185</t>
        </is>
      </c>
      <c r="L31" s="17" t="n">
        <v>0</v>
      </c>
      <c r="M31" s="17" t="n">
        <v>0</v>
      </c>
      <c r="N31" s="17" t="inlineStr"/>
      <c r="O31" s="17" t="inlineStr"/>
      <c r="P31" s="17" t="n">
        <v>100</v>
      </c>
      <c r="Q31" s="17" t="n">
        <v>0</v>
      </c>
      <c r="R31" s="17" t="n">
        <v>0</v>
      </c>
      <c r="S31" s="17" t="n">
        <v>1</v>
      </c>
    </row>
    <row r="32" ht="14.4" customHeight="1">
      <c r="A32" s="16" t="inlineStr">
        <is>
          <t>48640887G</t>
        </is>
      </c>
      <c r="B32" s="16" t="inlineStr">
        <is>
          <t>Vicente Samper, José María</t>
        </is>
      </c>
      <c r="C32" s="16" t="inlineStr">
        <is>
          <t>NO FUNCIONARIO</t>
        </is>
      </c>
      <c r="D32" s="16" t="n"/>
      <c r="E32" s="16" t="n"/>
      <c r="F32" s="16" t="n"/>
      <c r="G32" s="16" t="n"/>
      <c r="H32" s="16" t="n"/>
      <c r="I32" s="16" t="n">
        <v>1</v>
      </c>
      <c r="J32" s="16" t="n">
        <v>1</v>
      </c>
      <c r="K32" s="16" t="inlineStr">
        <is>
          <t>B185</t>
        </is>
      </c>
      <c r="L32" s="17" t="n">
        <v>0</v>
      </c>
      <c r="M32" s="17" t="n">
        <v>0</v>
      </c>
      <c r="N32" s="17" t="inlineStr"/>
      <c r="O32" s="17" t="inlineStr"/>
      <c r="P32" s="17" t="n">
        <v>100</v>
      </c>
      <c r="Q32" s="17" t="n">
        <v>0</v>
      </c>
      <c r="R32" s="17" t="n">
        <v>0</v>
      </c>
      <c r="S32" s="17" t="n">
        <v>1</v>
      </c>
    </row>
    <row r="33" ht="14.4" customHeight="1">
      <c r="A33" s="16" t="inlineStr">
        <is>
          <t>48722717T</t>
        </is>
      </c>
      <c r="B33" s="16" t="inlineStr">
        <is>
          <t>Miró Oca, Marina</t>
        </is>
      </c>
      <c r="C33" s="46" t="inlineStr">
        <is>
          <t>NO FUNCIONARIO</t>
        </is>
      </c>
      <c r="D33" s="16" t="n"/>
      <c r="E33" s="16" t="n"/>
      <c r="F33" s="16" t="n"/>
      <c r="G33" s="16" t="n"/>
      <c r="H33" s="16" t="n">
        <v>1</v>
      </c>
      <c r="I33" s="16" t="n"/>
      <c r="J33" s="16" t="n">
        <v>1</v>
      </c>
      <c r="K33" s="16" t="inlineStr">
        <is>
          <t>B185</t>
        </is>
      </c>
      <c r="L33" s="17" t="n">
        <v>0</v>
      </c>
      <c r="M33" s="17" t="n">
        <v>0</v>
      </c>
      <c r="N33" s="17" t="inlineStr"/>
      <c r="O33" s="17" t="inlineStr"/>
      <c r="P33" s="17" t="n">
        <v>100</v>
      </c>
      <c r="Q33" s="17" t="n">
        <v>0</v>
      </c>
      <c r="R33" s="17" t="n">
        <v>0</v>
      </c>
      <c r="S33" s="17" t="n">
        <v>1</v>
      </c>
    </row>
    <row r="34" ht="14.4" customHeight="1">
      <c r="A34" s="16" t="inlineStr">
        <is>
          <t>52767340G</t>
        </is>
      </c>
      <c r="B34" s="16" t="inlineStr">
        <is>
          <t>Zornoza Gómez, Emilio Manuel</t>
        </is>
      </c>
      <c r="C34" s="46" t="inlineStr">
        <is>
          <t>FUNCIONARIO</t>
        </is>
      </c>
      <c r="D34" s="16" t="n"/>
      <c r="E34" s="16" t="n">
        <v>1</v>
      </c>
      <c r="F34" s="16" t="n"/>
      <c r="G34" s="16" t="n"/>
      <c r="H34" s="16" t="n"/>
      <c r="I34" s="16" t="n"/>
      <c r="J34" s="16" t="n">
        <v>1</v>
      </c>
      <c r="K34" s="16" t="inlineStr">
        <is>
          <t>B185</t>
        </is>
      </c>
      <c r="L34" s="17" t="n">
        <v>0</v>
      </c>
      <c r="M34" s="17" t="n">
        <v>0</v>
      </c>
      <c r="N34" s="17" t="inlineStr"/>
      <c r="O34" s="17" t="inlineStr"/>
      <c r="P34" s="17" t="n">
        <v>100</v>
      </c>
      <c r="Q34" s="17" t="n">
        <v>0</v>
      </c>
      <c r="R34" s="17" t="n">
        <v>0</v>
      </c>
      <c r="S34" s="17" t="n">
        <v>1</v>
      </c>
    </row>
    <row r="35" ht="14.4" customHeight="1">
      <c r="A35" s="50" t="inlineStr">
        <is>
          <t>70980126X</t>
        </is>
      </c>
      <c r="B35" s="50" t="inlineStr">
        <is>
          <t>Sánchez Martín, Isidro</t>
        </is>
      </c>
      <c r="C35" s="51" t="inlineStr">
        <is>
          <t>FUNCIONARIO</t>
        </is>
      </c>
      <c r="D35" s="50" t="n"/>
      <c r="E35" s="50" t="n"/>
      <c r="F35" s="50" t="n"/>
      <c r="G35" s="50" t="n"/>
      <c r="H35" s="50" t="n"/>
      <c r="I35" s="50" t="n">
        <v>1</v>
      </c>
      <c r="J35" s="50" t="n">
        <v>1</v>
      </c>
      <c r="K35" s="16" t="inlineStr">
        <is>
          <t>B185</t>
        </is>
      </c>
      <c r="L35" s="66" t="n">
        <v>0</v>
      </c>
      <c r="M35" s="66" t="n">
        <v>0</v>
      </c>
      <c r="N35" s="66" t="inlineStr"/>
      <c r="O35" s="66" t="inlineStr"/>
      <c r="P35" s="66" t="n">
        <v>100</v>
      </c>
      <c r="Q35" s="66" t="n">
        <v>0</v>
      </c>
      <c r="R35" s="66" t="n">
        <v>0</v>
      </c>
      <c r="S35" s="66" t="n">
        <v>1</v>
      </c>
    </row>
    <row r="36" ht="14.4" customHeight="1">
      <c r="A36" s="50" t="inlineStr">
        <is>
          <t>74002594W</t>
        </is>
      </c>
      <c r="B36" s="50" t="inlineStr">
        <is>
          <t>Valdés Abellán, Javier</t>
        </is>
      </c>
      <c r="C36" s="51" t="inlineStr">
        <is>
          <t>FUNCIONARIO</t>
        </is>
      </c>
      <c r="D36" s="50" t="n">
        <v>1</v>
      </c>
      <c r="E36" s="50" t="n"/>
      <c r="F36" s="50" t="n">
        <v>1</v>
      </c>
      <c r="G36" s="50" t="n"/>
      <c r="H36" s="50" t="n"/>
      <c r="I36" s="50" t="n"/>
      <c r="J36" s="50" t="n">
        <v>2</v>
      </c>
      <c r="K36" s="16" t="inlineStr">
        <is>
          <t>B185</t>
        </is>
      </c>
      <c r="L36" s="66" t="inlineStr">
        <is>
          <t>10.05</t>
        </is>
      </c>
      <c r="M36" s="66" t="inlineStr">
        <is>
          <t>10</t>
        </is>
      </c>
      <c r="N36" s="66" t="inlineStr"/>
      <c r="O36" s="66" t="inlineStr"/>
      <c r="P36" s="66" t="n">
        <v>90</v>
      </c>
      <c r="Q36" s="66" t="n">
        <v>0.2</v>
      </c>
      <c r="R36" s="66" t="n">
        <v>0</v>
      </c>
      <c r="S36" s="66" t="n">
        <v>1.8</v>
      </c>
    </row>
    <row r="37" ht="14.4" customHeight="1">
      <c r="A37" s="16" t="inlineStr">
        <is>
          <t>74220670S</t>
        </is>
      </c>
      <c r="B37" s="16" t="inlineStr">
        <is>
          <t>Riquelme Guill, Adrián José</t>
        </is>
      </c>
      <c r="C37" s="46" t="inlineStr">
        <is>
          <t>FUNCIONARIO</t>
        </is>
      </c>
      <c r="D37" s="16" t="n"/>
      <c r="E37" s="16" t="n">
        <v>1</v>
      </c>
      <c r="F37" s="16" t="n"/>
      <c r="G37" s="16" t="n"/>
      <c r="H37" s="16" t="n">
        <v>1</v>
      </c>
      <c r="I37" s="16" t="n"/>
      <c r="J37" s="16" t="n">
        <v>2</v>
      </c>
      <c r="K37" s="16" t="inlineStr">
        <is>
          <t>B185</t>
        </is>
      </c>
      <c r="L37" s="66" t="n">
        <v>0</v>
      </c>
      <c r="M37" s="66" t="n">
        <v>0</v>
      </c>
      <c r="N37" s="66" t="inlineStr"/>
      <c r="O37" s="66" t="inlineStr"/>
      <c r="P37" s="66" t="n">
        <v>100</v>
      </c>
      <c r="Q37" s="66" t="n">
        <v>0</v>
      </c>
      <c r="R37" s="66" t="n">
        <v>0</v>
      </c>
      <c r="S37" s="66" t="n">
        <v>2</v>
      </c>
    </row>
    <row r="38" ht="14.4" customHeight="1">
      <c r="A38" s="16" t="inlineStr">
        <is>
          <t>74371360D</t>
        </is>
      </c>
      <c r="B38" s="16" t="inlineStr">
        <is>
          <t>López Úbeda, Isabel</t>
        </is>
      </c>
      <c r="C38" s="46" t="inlineStr">
        <is>
          <t>FUNCIONARIO</t>
        </is>
      </c>
      <c r="D38" s="16" t="n"/>
      <c r="E38" s="16" t="n"/>
      <c r="F38" s="16" t="n"/>
      <c r="G38" s="16" t="n">
        <v>1</v>
      </c>
      <c r="H38" s="16" t="n"/>
      <c r="I38" s="16" t="n"/>
      <c r="J38" s="16" t="n">
        <v>1</v>
      </c>
      <c r="K38" s="16" t="inlineStr">
        <is>
          <t>B185</t>
        </is>
      </c>
      <c r="L38" s="66" t="n">
        <v>0</v>
      </c>
      <c r="M38" s="66" t="n">
        <v>0</v>
      </c>
      <c r="N38" s="66" t="inlineStr"/>
      <c r="O38" s="66" t="inlineStr"/>
      <c r="P38" s="66" t="n">
        <v>100</v>
      </c>
      <c r="Q38" s="66" t="n">
        <v>0</v>
      </c>
      <c r="R38" s="66" t="n">
        <v>0</v>
      </c>
      <c r="S38" s="66" t="n">
        <v>1</v>
      </c>
    </row>
    <row r="39" ht="14.4" customHeight="1">
      <c r="A39" s="16" t="inlineStr">
        <is>
          <t>79102157M</t>
        </is>
      </c>
      <c r="B39" s="16" t="inlineStr">
        <is>
          <t>Ivorra Chorro, Salvador</t>
        </is>
      </c>
      <c r="C39" s="46" t="inlineStr">
        <is>
          <t>FUNCIONARIO</t>
        </is>
      </c>
      <c r="D39" s="16" t="n"/>
      <c r="E39" s="16" t="n"/>
      <c r="F39" s="16" t="n"/>
      <c r="G39" s="16" t="n"/>
      <c r="H39" s="16" t="n"/>
      <c r="I39" s="16" t="n">
        <v>1</v>
      </c>
      <c r="J39" s="16" t="n">
        <v>1</v>
      </c>
      <c r="K39" s="16" t="inlineStr">
        <is>
          <t>B185</t>
        </is>
      </c>
      <c r="L39" s="66" t="n">
        <v>0</v>
      </c>
      <c r="M39" s="66" t="n">
        <v>0</v>
      </c>
      <c r="N39" s="66" t="inlineStr"/>
      <c r="O39" s="66" t="inlineStr"/>
      <c r="P39" s="66" t="n">
        <v>100</v>
      </c>
      <c r="Q39" s="66" t="n">
        <v>0</v>
      </c>
      <c r="R39" s="66" t="n">
        <v>0</v>
      </c>
      <c r="S39" s="66" t="n">
        <v>1</v>
      </c>
    </row>
    <row r="40" ht="14.4" customHeight="1">
      <c r="A40" s="16" t="inlineStr">
        <is>
          <t>79108766J</t>
        </is>
      </c>
      <c r="B40" s="16" t="inlineStr">
        <is>
          <t>Ortuño Padilla, Armando</t>
        </is>
      </c>
      <c r="C40" s="46" t="inlineStr">
        <is>
          <t>FUNCIONARIO</t>
        </is>
      </c>
      <c r="D40" s="16" t="n">
        <v>2</v>
      </c>
      <c r="E40" s="16" t="n"/>
      <c r="F40" s="16" t="n"/>
      <c r="G40" s="16" t="n"/>
      <c r="H40" s="16" t="n"/>
      <c r="I40" s="16" t="n"/>
      <c r="J40" s="16" t="n">
        <v>2</v>
      </c>
      <c r="K40" s="16" t="inlineStr">
        <is>
          <t>B185</t>
        </is>
      </c>
      <c r="L40" s="66" t="inlineStr">
        <is>
          <t>10.05</t>
        </is>
      </c>
      <c r="M40" s="66" t="inlineStr">
        <is>
          <t>50</t>
        </is>
      </c>
      <c r="N40" s="66" t="inlineStr">
        <is>
          <t>10.17</t>
        </is>
      </c>
      <c r="O40" s="66" t="inlineStr">
        <is>
          <t>20</t>
        </is>
      </c>
      <c r="P40" s="66" t="n">
        <v>30</v>
      </c>
      <c r="Q40" s="66" t="n">
        <v>1</v>
      </c>
      <c r="R40" s="66" t="n">
        <v>0.4</v>
      </c>
      <c r="S40" s="66" t="n">
        <v>0.6</v>
      </c>
    </row>
    <row r="41" ht="14.4" customHeight="1">
      <c r="A41" s="67" t="n"/>
      <c r="B41" s="67" t="n"/>
      <c r="C41" s="68" t="n"/>
      <c r="D41" s="67" t="n"/>
      <c r="E41" s="67" t="n"/>
      <c r="F41" s="67" t="n"/>
      <c r="G41" s="67" t="n"/>
      <c r="H41" s="67" t="n"/>
      <c r="I41" s="67" t="n"/>
      <c r="J41" s="67" t="n"/>
      <c r="K41" s="67" t="n"/>
      <c r="L41" s="67" t="n"/>
      <c r="M41" s="67" t="n"/>
      <c r="N41" s="67" t="n"/>
      <c r="O41" s="67" t="n"/>
      <c r="P41" s="67" t="n"/>
      <c r="Q41" s="67" t="n"/>
      <c r="R41" s="67" t="n"/>
      <c r="S41" s="69">
        <f>SUM(S2:S40)</f>
        <v/>
      </c>
    </row>
  </sheetData>
  <pageMargins left="0.3937007874015748" right="0.3937007874015748" top="0.3937007874015748" bottom="0.3937007874015748" header="0.3149606299212598" footer="0.3149606299212598"/>
  <pageSetup orientation="landscape" paperSize="9" scale="10"/>
</worksheet>
</file>

<file path=xl/worksheets/sheet6.xml><?xml version="1.0" encoding="utf-8"?>
<worksheet xmlns="http://schemas.openxmlformats.org/spreadsheetml/2006/main">
  <sheetPr>
    <outlinePr summaryBelow="1" summaryRight="1"/>
    <pageSetUpPr/>
  </sheetPr>
  <dimension ref="A1:C67"/>
  <sheetViews>
    <sheetView topLeftCell="A49" workbookViewId="0">
      <selection activeCell="E66" sqref="E66"/>
    </sheetView>
  </sheetViews>
  <sheetFormatPr baseColWidth="10" defaultRowHeight="14.4"/>
  <cols>
    <col width="16.44140625" customWidth="1" min="1" max="1"/>
    <col width="93.6640625" customWidth="1" min="2" max="2"/>
    <col width="15.44140625" customWidth="1" min="3" max="3"/>
  </cols>
  <sheetData>
    <row r="1">
      <c r="A1" s="72" t="inlineStr">
        <is>
          <t>Cód. org. aplic.</t>
        </is>
      </c>
      <c r="B1" s="72" t="inlineStr">
        <is>
          <t>Descripción justificante</t>
        </is>
      </c>
      <c r="C1" s="72" t="inlineStr">
        <is>
          <t>Imp.cob.aplic.</t>
        </is>
      </c>
    </row>
    <row r="2">
      <c r="A2" s="47" t="inlineStr">
        <is>
          <t>34.60.6C.01.98</t>
        </is>
      </c>
      <c r="B2" s="47" t="inlineStr">
        <is>
          <t>INSTALACIÓN DE SISTEMA DE MONITORIZACIÓN DE VIENTO BASADO EN ANEMÓMETROS ULTRASÓNICOS PARA CONTROL DE LA VELOCIDAD Y DIRECCIÓN DE VIENTO. GESTIÓN Y PROCESADO DE DATOS SEMANALMENTE. Factura 26 de la segunda fase del proyecto</t>
        </is>
      </c>
      <c r="C2" s="119" t="n">
        <v>492.8</v>
      </c>
    </row>
    <row r="3">
      <c r="A3" s="48" t="inlineStr">
        <is>
          <t>34.60.6C.01.98</t>
        </is>
      </c>
      <c r="B3" s="48" t="inlineStr">
        <is>
          <t>INSTALACIÓN DE SISTEMA DE MONITORIZACIÓN DE VIENTO BASADO EN ANEMÓMETROS ULTRASÓNICOS PARA CONTROL DE LA VELOCIDAD Y DIRECCIÓN DE VIENTO. GESTIÓN Y PROCESADO DE DATOS SEMANALMENTE. Factura 28 de la segunda fase del proyecto.</t>
        </is>
      </c>
      <c r="C3" s="120" t="n">
        <v>492.8</v>
      </c>
    </row>
    <row r="4">
      <c r="A4" s="47" t="inlineStr">
        <is>
          <t>34.60.6C.01.98</t>
        </is>
      </c>
      <c r="B4" s="47" t="inlineStr">
        <is>
          <t>INSTALACIÓN DE SISTEMA DE MONITORIZACIÓN DE VIENTO BASADO EN ANEMÓMETROS ULTRASÓNICOS PARA CONTROL DE LA VELOCIDAD Y DIRECCIÓN DE VIENTO. GESTIÓN Y PROCESADO DE DATOS SEMANALMENTE. Factura 22 de la segunda fase del proyecto</t>
        </is>
      </c>
      <c r="C4" s="119" t="n">
        <v>492.8</v>
      </c>
    </row>
    <row r="5">
      <c r="A5" s="48" t="inlineStr">
        <is>
          <t>34.60.6C.01.98</t>
        </is>
      </c>
      <c r="B5" s="48" t="inlineStr">
        <is>
          <t>INSTALACIÓN DE SISTEMA DE MONITORIZACIÓN DE VIENTO BASADO EN ANEMÓMETROS ULTRASÓNICOS PARA CONTROL DE LA VELOCIDAD Y DIRECCIÓN DE VIENTO. GESTIÓN Y PROCESADO DE DATOS SEMANALMENTE. Factura 19 de la segunda fase del proyecto.</t>
        </is>
      </c>
      <c r="C5" s="120" t="n">
        <v>492.8</v>
      </c>
    </row>
    <row r="6">
      <c r="A6" s="47" t="inlineStr">
        <is>
          <t>34.60.6C.01.98</t>
        </is>
      </c>
      <c r="B6" s="47" t="inlineStr">
        <is>
          <t>INSTALACIÓN DE SISTEMA DE MONITORIZACIÓN DE VIENTO BASADO EN ANEMÓMETROS ULTRASÓNICOS PARA CONTROL DE LA VELOCIDAD Y DIRECCIÓN DE VIENTO. GESTIÓN Y PROCESADO DE DATOS SEMANALMENTE. Factura 20 de la segunda fase del proyecto.</t>
        </is>
      </c>
      <c r="C6" s="119" t="n">
        <v>492.8</v>
      </c>
    </row>
    <row r="7">
      <c r="A7" s="48" t="inlineStr">
        <is>
          <t>34.60.6C.01.98</t>
        </is>
      </c>
      <c r="B7" s="48" t="inlineStr">
        <is>
          <t>INSTALACIÓN DE SISTEMA DE MONITORIZACIÓN DE VIENTO BASADO EN ANEMÓMETROS ULTRASÓNICOS PARA CONTROL DE LA VELOCIDAD Y DIRECCIÓN DE VIENTO. GESTIÓN Y PROCESADO DE DATOS SEMANALMENTE. Factura 23 de la segunda fase del proyecto</t>
        </is>
      </c>
      <c r="C7" s="120" t="n">
        <v>492.8</v>
      </c>
    </row>
    <row r="8">
      <c r="A8" s="47" t="inlineStr">
        <is>
          <t>34.60.6C.01.98</t>
        </is>
      </c>
      <c r="B8" s="47" t="inlineStr">
        <is>
          <t>INSTALACIÓN DE SISTEMA DE MONITORIZACIÓN DE VIENTO BASADO EN ANEMÓMETROS ULTRASÓNICOS PARA CONTROL DE LA VELOCIDAD Y DIRECCIÓN DE VIENTO. GESTIÓN Y PROCESADO DE DATOS SEMANALMENTE. Factura 24 de la segunda fase del proyecto</t>
        </is>
      </c>
      <c r="C8" s="119" t="n">
        <v>492.8</v>
      </c>
    </row>
    <row r="9">
      <c r="A9" s="48" t="inlineStr">
        <is>
          <t>34.60.6C.01.98</t>
        </is>
      </c>
      <c r="B9" s="48" t="inlineStr">
        <is>
          <t>INSTALACIÓN DE SISTEMA DE MONITORIZACIÓN DE VIENTO BASADO EN ANEMÓMETROS ULTRASÓNICOS PARA CONTROL DE LA VELOCIDAD Y DIRECCIÓN DE VIENTO. GESTIÓN Y PROCESADO DE DATOS SEMANALMENTE. Factura 27 de la segunda fase del proyecto.</t>
        </is>
      </c>
      <c r="C9" s="120" t="n">
        <v>492.8</v>
      </c>
    </row>
    <row r="10">
      <c r="A10" s="47" t="inlineStr">
        <is>
          <t>34.60.6C.01.98</t>
        </is>
      </c>
      <c r="B10" s="47" t="inlineStr">
        <is>
          <t>INSTALACIÓN DE SISTEMA DE MONITORIZACIÓN DE VIENTO BASADO EN ANEMÓMETROS ULTRASÓNICOS PARA CONTROL DE LA VELOCIDAD Y DIRECCIÓN DE VIENTO. GESTIÓN Y PROCESADO DE DATOS SEMANALMENTE. Factura 25 de la segunda fase del proyecto</t>
        </is>
      </c>
      <c r="C10" s="119" t="n">
        <v>492.8</v>
      </c>
    </row>
    <row r="11">
      <c r="A11" s="48" t="inlineStr">
        <is>
          <t>34.60.6C.01.98</t>
        </is>
      </c>
      <c r="B11" s="48" t="inlineStr">
        <is>
          <t>INSTALACIÓN DE SISTEMA DE MONITORIZACIÓN DE VIENTO BASADO EN ANEMÓMETROS ULTRASÓNICOS PARA CONTROL DE LA VELOCIDAD Y DIRECCIÓN DE VIENTO. GESTIÓN Y PROCESADO DE DATOS SEMANALMENTE. Factura 29 de la segunda fase del proyecto.</t>
        </is>
      </c>
      <c r="C11" s="120" t="n">
        <v>492.8</v>
      </c>
    </row>
    <row r="12">
      <c r="A12" s="47" t="inlineStr">
        <is>
          <t>34.60.6C.01.98</t>
        </is>
      </c>
      <c r="B12" s="47" t="inlineStr">
        <is>
          <t>INSTALACIÓN DE SISTEMA DE MONITORIZACIÓN DE VIENTO BASADO EN ANEMÓMETROS ULTRASÓNICOS PARA CONTROL DE LA VELOCIDAD Y DIRECCIÓN DE VIENTO. GESTIÓN Y PROCESADO DE DATOS SEMANALMENTE. Factura 21 de la segunda fase del proyecto.</t>
        </is>
      </c>
      <c r="C12" s="119" t="n">
        <v>492.8</v>
      </c>
    </row>
    <row r="13">
      <c r="A13" s="48" t="inlineStr">
        <is>
          <t>34.60.6C.02.29</t>
        </is>
      </c>
      <c r="B13" s="48" t="inlineStr">
        <is>
          <t>DONES-NEXT: INVESTIGACIÓN INDUSTRIAL EN TECNOLOGÍAS EXPUESTAS A NEUTRONES (NEUTRON EXPOSED TECHNOLOGIES) DE APLICACIÓN A LA TEST CELL DE IFMIF DONES (ID-2262). DESARROLLO DE DOSIFICACIONES DE HORMIGONES CONDUCTORES. NÚMERO DE PEDIDO 202200276. PROYECTO ID2262. CUARTO PAGO.</t>
        </is>
      </c>
      <c r="C13" s="120" t="n">
        <v>4400</v>
      </c>
    </row>
    <row r="14">
      <c r="A14" s="47" t="inlineStr">
        <is>
          <t>34.60.6C.02.29</t>
        </is>
      </c>
      <c r="B14" s="47" t="inlineStr">
        <is>
          <t>DONES-NEXT: INVESTIGACIÓN INDUSTRIAL EN TECNOLOGÍAS EXPUESTAS A NEUTRONES (NEUTRON EXPOSED TECHNOLOGIES) DE APLICACIÓN A LA TEST CELL DE IFMIF DONES (ID-2262). DESARROLLO DE DOSIFICACIONES DE HORMIGONES CONDUCTORES. NÚMERO DE PEDIDO 202200276. PROYECTO ID2262. TERCER PAGO.</t>
        </is>
      </c>
      <c r="C14" s="119" t="n">
        <v>17600</v>
      </c>
    </row>
    <row r="15">
      <c r="A15" s="48" t="inlineStr">
        <is>
          <t>34.60.6C.02.31</t>
        </is>
      </c>
      <c r="B15" s="48" t="inlineStr">
        <is>
          <t>Se llevará a cabo una investigación sobre dos tipos de hormigón: un hormigón de referencia y otro hormigón de características similares con incorporación del aditivo ADD1 de la empresa Krystaline Technology S.A. Se realizarán los siguientes ensayos (resultados por triplicado y valores medios): 1. Resistencia a compresión de los hormigones. 2. Densidad, porosidad y capacidad de absorción de agua. 3. Resistividad eléctrica 4. Ensayo de difusión unidireccional de cloruros (coeficiente de difusión de cloruros) 5. Permeabilidad al aire método Torrent 6. Absorción de agua método Karsten 7. Avance del frente de carbonatación (ensayo acelerado) 8. Resistencia a la corrosión de las armaduras de acero en los hormigones (ensayo acelerado) Se elaborará un informe final de resultados, aunque la empresa y el grupo de investigación podrán pactar la entrega previa de resultados parciales. Segundo pago</t>
        </is>
      </c>
      <c r="C15" s="120" t="n">
        <v>4499</v>
      </c>
    </row>
    <row r="16">
      <c r="A16" s="47" t="inlineStr">
        <is>
          <t>34.60.6C.02.33</t>
        </is>
      </c>
      <c r="B16" s="47" t="inlineStr">
        <is>
          <t>Asesoramiento y asistencia científicotécnica en la preparación de informes periciales en base a los proyectos ya publicados a los pliegos que en su momento se publiquen referidos a los servicios públicos de regulares de viajeros por carretera de la provincia de Alicante, que se licitarán próximamente a petición de la Empresa. Número de pedido OP 23000498. Factura correspondiente a los proyectos CV-201 y CV-212.</t>
        </is>
      </c>
      <c r="C16" s="119" t="n">
        <v>3960</v>
      </c>
    </row>
    <row r="17">
      <c r="A17" s="48" t="inlineStr">
        <is>
          <t>34.60.6C.02.40</t>
        </is>
      </c>
      <c r="B17" s="48" t="inlineStr">
        <is>
          <t>Asistencia técnica en la realización del estudio de tráfico y propuesta de soluciones mediante microsimulación del nudo comprendido entre la Plaza Calvo Sotelo, C/ Reyes Católicos y las avenidas Dr. Gadea, Federico Soto y Maisonnave (Alicante).</t>
        </is>
      </c>
      <c r="C17" s="120" t="n">
        <v>440</v>
      </c>
    </row>
    <row r="18">
      <c r="A18" s="48" t="inlineStr">
        <is>
          <t>34.60.6C.02.43</t>
        </is>
      </c>
      <c r="B18" s="48" t="inlineStr">
        <is>
          <t>Trabajos de carácter técnico para la construcción del proyecto de ampliación del punto limpio La Lonja de Elche.</t>
        </is>
      </c>
      <c r="C18" s="120" t="n">
        <v>880</v>
      </c>
    </row>
    <row r="19">
      <c r="A19" s="47" t="inlineStr">
        <is>
          <t>34.60.6C.02.54</t>
        </is>
      </c>
      <c r="B19" s="47" t="inlineStr">
        <is>
          <t>SERVICIO DE APOYO Y ASISTENCIA TÉCNICA EN RELACION AL RIESGO DE INUNDABILIDAD DE LA FUTURA PLANTA SOLAR FOTOVOLTAICA BENEIXAMA HIVE, T.M DE BIAR (ALICANTE)</t>
        </is>
      </c>
      <c r="C19" s="119" t="n">
        <v>792</v>
      </c>
    </row>
    <row r="20">
      <c r="A20" s="48" t="inlineStr">
        <is>
          <t>34.60.6C.02.55</t>
        </is>
      </c>
      <c r="B20" s="48" t="inlineStr">
        <is>
          <t>Servicio de evaluación del proyecto INVESTIGACION Y DESARROLLO DE NUEVOS ALTAVOCES DE MEDIA Y BAJA FRECUENCIA CON UNA DISTORSION UNICA con código ACIE de Expediente 3651.001.22, con código UNESCO 3307 y para una certificación de tipo Contenido y 1ª Ejecución sin ex-ante según el Real Decreto 1432/2003, de 21 de noviembre y/o la Norma UNE 166001:2006. Número de pedido 62490000131</t>
        </is>
      </c>
      <c r="C20" s="120" t="n">
        <v>704</v>
      </c>
    </row>
    <row r="21">
      <c r="A21" s="47" t="inlineStr">
        <is>
          <t>34.60.6C.02.56</t>
        </is>
      </c>
      <c r="B21" s="47" t="inlineStr">
        <is>
          <t>Servicio de evaluación del proyecto Realización de ensayos acústicos de ruido de rodadura en pavimentos asfálticos en Carrer del Torrent de l'Olla, Barcelona: - Calibrado y montaje del dispositivo de medida. - Realización de medidas (varias repeticiones a diferentes velocidades de vehículo). - Procesado de datos y obtención de indicadores de ruido.</t>
        </is>
      </c>
      <c r="C21" s="119" t="n">
        <v>2482.48</v>
      </c>
    </row>
    <row r="22">
      <c r="A22" s="48" t="inlineStr">
        <is>
          <t>34.60.6C.02.57</t>
        </is>
      </c>
      <c r="B22" s="48" t="inlineStr">
        <is>
          <t>Realización de dos ensayos de durabilidad al desmoronamiento.</t>
        </is>
      </c>
      <c r="C22" s="120" t="n">
        <v>70.40000000000001</v>
      </c>
    </row>
    <row r="23">
      <c r="A23" s="47" t="inlineStr">
        <is>
          <t>34.60.6C.02.58</t>
        </is>
      </c>
      <c r="B23" s="47" t="inlineStr">
        <is>
          <t>Asistencia técnica para tratamiento de nubes de puntos 3D de taludes rocosos adquiridas con láser escáner 3D y Structure from Motion para análisis de familias de discontinuidades planas con programa informático Discontinuity Set Extractor</t>
        </is>
      </c>
      <c r="C23" s="119" t="n">
        <v>640</v>
      </c>
    </row>
    <row r="24">
      <c r="A24" s="48" t="inlineStr">
        <is>
          <t>34.60.6C.02.59</t>
        </is>
      </c>
      <c r="B24" s="48" t="inlineStr">
        <is>
          <t>Redacción de estudio de tráfico y capacidad para el acceso desde la Ctra. N-332 al sector UE/20B, TM de El Campello.</t>
        </is>
      </c>
      <c r="C24" s="120" t="n">
        <v>2288</v>
      </c>
    </row>
    <row r="25">
      <c r="A25" s="47" t="inlineStr">
        <is>
          <t>34.60.6C.02.60</t>
        </is>
      </c>
      <c r="B25" s="47" t="inlineStr">
        <is>
          <t>RESTAURACIÓN DE LA PORTADA LATERAL DE SAN PEDRO Y PARTE DE LA CUBIERTA DE LA IGLESIA PARROQUIAL SAN PEDRO</t>
        </is>
      </c>
      <c r="C25" s="119" t="n">
        <v>1056</v>
      </c>
    </row>
    <row r="26">
      <c r="A26" s="48" t="inlineStr">
        <is>
          <t>34.60.6C.02.61</t>
        </is>
      </c>
      <c r="B26" s="48" t="inlineStr">
        <is>
          <t>Realización de prueba de carga dinámica sobre puente arco metálico en la localidad de Alzira, en la C-43 sobre el rio Júcar. Emisión de Informe de resultados.</t>
        </is>
      </c>
      <c r="C26" s="120" t="n">
        <v>2200</v>
      </c>
    </row>
    <row r="27">
      <c r="A27" s="47" t="inlineStr">
        <is>
          <t>34.60.6C.02.62</t>
        </is>
      </c>
      <c r="B27" s="47" t="inlineStr">
        <is>
          <t>ESTUDIO PARA EVALUAR LA ESTABILIDAD DE UN REFUGIO ANTIAÉREO EN LA PLAZA DE ARRIBA DE ELDA, ALICANTE.</t>
        </is>
      </c>
      <c r="C27" s="119" t="n">
        <v>1584</v>
      </c>
    </row>
    <row r="28">
      <c r="A28" s="48" t="inlineStr">
        <is>
          <t>34.60.6C.02.63</t>
        </is>
      </c>
      <c r="B28" s="48" t="inlineStr">
        <is>
          <t>Redacción de informe técnico relacionado con las patologías aparecidas en algunas de las piezas de revestimiento de fachada y falsos techos formados por tramex de fibra de vidrio y resina del Centro educativo CEIP Costa Blanca situado en la ciudad de Alicante.</t>
        </is>
      </c>
      <c r="C28" s="120" t="n">
        <v>563.2</v>
      </c>
    </row>
    <row r="29">
      <c r="A29" s="47" t="inlineStr">
        <is>
          <t>34.60.6C.02.64</t>
        </is>
      </c>
      <c r="B29" s="47" t="inlineStr">
        <is>
          <t>Apoyo técnico en la construcción de los proyectos de obras de adecuación y mejora de los Ecoparques de Xixona e Ibi (Alicante)</t>
        </is>
      </c>
      <c r="C29" s="119" t="n">
        <v>880</v>
      </c>
    </row>
    <row r="30">
      <c r="A30" s="48" t="inlineStr">
        <is>
          <t>34.60.6C.02.65</t>
        </is>
      </c>
      <c r="B30" s="48" t="inlineStr">
        <is>
          <t>REVISIÓN TÉCNICA DE 3 ESTUDIOS DE INUNDABILIDAD EN RELACIÓN A LA PLANTA SOLAR FOTOVOLTAICA BENEIXAMA HIVE UBICADA EN EL T.M DE BIAR (ALICANTE).</t>
        </is>
      </c>
      <c r="C30" s="120" t="n">
        <v>1848</v>
      </c>
    </row>
    <row r="31">
      <c r="A31" s="47" t="inlineStr">
        <is>
          <t>34.60.6C.02.66</t>
        </is>
      </c>
      <c r="B31" s="47" t="inlineStr">
        <is>
          <t>Asesoramiento y asistencia científico-técnica, en el contrato del servicio de consultoría para la redacción del estudio de alternativas de ordenación urbana del ámbito de la Estación de Alicante, que la UTE Peñin Vicedo realiza con la sociedad pública AVANT.</t>
        </is>
      </c>
      <c r="C31" s="119" t="n">
        <v>2200</v>
      </c>
    </row>
    <row r="32">
      <c r="A32" s="48" t="inlineStr">
        <is>
          <t>34.60.6C.02.67</t>
        </is>
      </c>
      <c r="B32" s="48" t="inlineStr">
        <is>
          <t>Asistencia científico-técnica en el proyecto de investigación diseño de emulsiones bituminosas ecológicas con la utilización de residuos plásticos. Aplicación a riegos de adherencia.</t>
        </is>
      </c>
      <c r="C32" s="120" t="n">
        <v>6595.6</v>
      </c>
    </row>
    <row r="33">
      <c r="A33" s="47" t="inlineStr">
        <is>
          <t>34.60.6C.02.69</t>
        </is>
      </c>
      <c r="B33" s="47" t="inlineStr">
        <is>
          <t>Asistencia científico-técnica de las propiedades de los residuos plásticos para en el proyecto de investigación diseño de emulsiones bituminosas ecológicas con la utilización de residuos plásticos. Aplicación a riegos de adherencia.</t>
        </is>
      </c>
      <c r="C33" s="119" t="n">
        <v>6595.6</v>
      </c>
    </row>
    <row r="34">
      <c r="A34" s="48" t="inlineStr">
        <is>
          <t>34.60.6C.02.70</t>
        </is>
      </c>
      <c r="B34" s="48" t="inlineStr">
        <is>
          <t>Evaluación de lesiones en pavimento a través de inspección mediante termografía.</t>
        </is>
      </c>
      <c r="C34" s="120" t="n">
        <v>492.8</v>
      </c>
    </row>
    <row r="35">
      <c r="A35" s="47" t="inlineStr">
        <is>
          <t>34.60.6C.02.71</t>
        </is>
      </c>
      <c r="B35" s="47" t="inlineStr">
        <is>
          <t>COLABORACIÓN TÉCNICA EN LA CONSTRUCCIÓN DE LOS PROYECTOS DE OBRAS DE ADECUACIÓN Y MEJORA DE LOS ECOPARQUES DE MURO DE ALCOY, BENILLOBA Y TORREMANZANAS (ALICANTE).</t>
        </is>
      </c>
      <c r="C35" s="119" t="n">
        <v>880</v>
      </c>
    </row>
    <row r="36">
      <c r="A36" s="48" t="inlineStr">
        <is>
          <t>34.60.6C.02.72</t>
        </is>
      </c>
      <c r="B36" s="48" t="inlineStr">
        <is>
          <t>REDACCIÓN DE INFORME PARA LA MINIMIZACIÓN DE AFECCIONES DEL NUEVO NUDO VIARIO DE ATALAYAS Y DEL TRAZADO FERROVIARIO "VARIANTE DE TORRELLANO"</t>
        </is>
      </c>
      <c r="C36" s="120" t="n">
        <v>5192</v>
      </c>
    </row>
    <row r="37">
      <c r="A37" s="47" t="inlineStr">
        <is>
          <t>34.60.6C.02.73</t>
        </is>
      </c>
      <c r="B37" s="47" t="inlineStr">
        <is>
          <t>COLLABORATION IN THE PROJECT ECO+RCEB: FLUORESCENCE X-RAY TESTS FOR MATERIAL CHARACTERIZATION HE PYCNOMETER TESTS FOR MATERIAL CHARACTERIZATION ASSEMBLY OF WALLS TO BE EXPOSED IN ALICANTE WITHIN THE SCOPE OF ECO+RCEB. Nota de encomienda nº RD32517.</t>
        </is>
      </c>
      <c r="C37" s="119" t="n">
        <v>1320</v>
      </c>
    </row>
    <row r="38">
      <c r="A38" s="48" t="inlineStr">
        <is>
          <t>34.60.6C.02.74</t>
        </is>
      </c>
      <c r="B38" s="48" t="inlineStr">
        <is>
          <t>EVALUACIÓN DE LA ESTABILIDAD Y COMPROBACIÓN DE MEDIDAS CORRECTORAS DE UN TALUD EN ALCOY (ALICANTE) MEDIANTE MÉTODO DE EQUILIBRIO LÍMITE.</t>
        </is>
      </c>
      <c r="C38" s="120" t="n">
        <v>1320</v>
      </c>
    </row>
    <row r="39">
      <c r="A39" s="47" t="inlineStr">
        <is>
          <t>34.60.6C.02.75</t>
        </is>
      </c>
      <c r="B39" s="47" t="inlineStr">
        <is>
          <t>REDACCIÓN DE PROYECTO PARA LA MEJORA MEDIOAMBIENTAL DEL PARQUE URBANO DEL RUGLÓ EN EL MUNICIPIO DE AGOST (ALICANTE) Y REDACCIÓN DE PLAN DE EVALUACIÓN Y MONITOREO VINCULADO AL PROYECTO</t>
        </is>
      </c>
      <c r="C39" s="119" t="n">
        <v>4840</v>
      </c>
    </row>
    <row r="40">
      <c r="A40" s="48" t="inlineStr">
        <is>
          <t>34.60.6C.02.76</t>
        </is>
      </c>
      <c r="B40" s="48" t="inlineStr">
        <is>
          <t>INFORME DE DAÑOS ACAECIDOS EN UN MURO DE MAMPOSTERÍA Y DE EVALUACIÓN DEL ESTADO GEOMECÁNICO DEL TALUD ROCOSO SITUADO BAJO LA EXPLANADA DEL MIRADOR SW DEL SANTUARIO DE LA FUENSANTA (ALGEZARES, MURCIA)</t>
        </is>
      </c>
      <c r="C40" s="120" t="n">
        <v>1012</v>
      </c>
    </row>
    <row r="41">
      <c r="A41" s="47" t="inlineStr">
        <is>
          <t>34.60.6C.02.77</t>
        </is>
      </c>
      <c r="B41" s="47" t="inlineStr">
        <is>
          <t>ANÁLISIS CRÍTICO DE INFORME SOBRE COLAPSO DE DEPÓSITOS DE VINO EN YECLA.</t>
        </is>
      </c>
      <c r="C41" s="119" t="n">
        <v>1320</v>
      </c>
    </row>
    <row r="42">
      <c r="A42" s="48" t="inlineStr">
        <is>
          <t>34.60.6C.02.78</t>
        </is>
      </c>
      <c r="B42" s="48" t="inlineStr">
        <is>
          <t>Colaboración técnica en la construcción de Caseta captación lixiviados celda 5 en el depósito controlado de Piedra Negra (Xixona)</t>
        </is>
      </c>
      <c r="C42" s="120" t="n">
        <v>176</v>
      </c>
    </row>
    <row r="43">
      <c r="A43" s="47" t="inlineStr">
        <is>
          <t>34.60.6C.02.79</t>
        </is>
      </c>
      <c r="B43" s="47" t="inlineStr">
        <is>
          <t>Realización de cuatro ensayos de adherencia por hinca entre barras de acero corrugado ancladas a probeta de hormigón. La prestación incluye la recepción de las probetas instrumentadas en el Laboratorio LARGE del Dpto. de Ingeniería Civil, instalación de sensor de desplazamiento adicional, la realización de los ensayos y el registro de las lecturas.</t>
        </is>
      </c>
      <c r="C43" s="119" t="n">
        <v>1960</v>
      </c>
    </row>
    <row r="44">
      <c r="A44" s="48" t="inlineStr">
        <is>
          <t>34.60.6C.03.01</t>
        </is>
      </c>
      <c r="B44" s="48" t="inlineStr">
        <is>
          <t>Digitalización de superficie de dos chozas de piedra seca en la Sierra de Crevillente (Alicante) mediante instrumentación láser escáner 3D</t>
        </is>
      </c>
      <c r="C44" s="120" t="n">
        <v>935</v>
      </c>
    </row>
    <row r="45">
      <c r="A45" s="47" t="inlineStr">
        <is>
          <t>34.60.6C.03.03</t>
        </is>
      </c>
      <c r="B45" s="47" t="inlineStr">
        <is>
          <t>Evaluación del nivel de vibraciones sobre edificio de viviendas situada en Alicante</t>
        </is>
      </c>
      <c r="C45" s="119" t="n">
        <v>1760</v>
      </c>
    </row>
    <row r="46">
      <c r="A46" s="48" t="inlineStr">
        <is>
          <t>34.60.6H.00.03</t>
        </is>
      </c>
      <c r="B46" s="48" t="inlineStr">
        <is>
          <t>APOTIP/2021/003/018/019/020/027/029/046</t>
        </is>
      </c>
      <c r="C46" s="120" t="n">
        <v>9000</v>
      </c>
    </row>
    <row r="47">
      <c r="A47" s="47" t="inlineStr">
        <is>
          <t>34.60.6M.00.09</t>
        </is>
      </c>
      <c r="B47" s="47" t="inlineStr">
        <is>
          <t xml:space="preserve">GENERACIÓN DE CONTENIDOS E IMPARTICIÓN CURSO CLOUDCOMPARE ONLINE </t>
        </is>
      </c>
      <c r="C47" s="119" t="n">
        <v>1936</v>
      </c>
    </row>
    <row r="48">
      <c r="A48" s="48" t="inlineStr">
        <is>
          <t>34.60.6P.00.26</t>
        </is>
      </c>
      <c r="B48" s="48" t="inlineStr">
        <is>
          <t>DEVOLUCIÓN DE INGRESO_MODELO 069_P57305-RTI2018-101148-B-I00_ EXPEDIENTE O REFERENCIA:  173-P57305-202212210097797</t>
        </is>
      </c>
      <c r="C48" s="120" t="n">
        <v>-1671.98</v>
      </c>
    </row>
    <row r="49">
      <c r="A49" s="47" t="inlineStr">
        <is>
          <t>34.60.6P.00.26</t>
        </is>
      </c>
      <c r="B49" s="47" t="inlineStr">
        <is>
          <t>Reintegro en voluntaria de la referencia RTI2018-101148-B-I00, anualidad: 2021</t>
        </is>
      </c>
      <c r="C49" s="119" t="n">
        <v>-1671.98</v>
      </c>
    </row>
    <row r="50">
      <c r="A50" s="48" t="inlineStr">
        <is>
          <t>34.60.6P.00.41</t>
        </is>
      </c>
      <c r="B50" s="48" t="inlineStr">
        <is>
          <t>Devolución de ingresos_carta de pago_Reintegro en voluntaria de la referencia RTC2019-006964-3-P02, anualidad: 2022.</t>
        </is>
      </c>
      <c r="C50" s="120" t="n">
        <v>-2001.76</v>
      </c>
    </row>
    <row r="51">
      <c r="A51" s="47" t="inlineStr">
        <is>
          <t>34.60.6P.00.44</t>
        </is>
      </c>
      <c r="B51" s="47" t="inlineStr">
        <is>
          <t>ANULACIÓN INNVA1/2021/8 POR NO JUSTIFICACIÓN</t>
        </is>
      </c>
      <c r="C51" s="119" t="n">
        <v>-701.8</v>
      </c>
    </row>
    <row r="52">
      <c r="A52" s="48" t="inlineStr">
        <is>
          <t>34.60.6P.00.44</t>
        </is>
      </c>
      <c r="B52" s="48" t="inlineStr">
        <is>
          <t>AYUDAS INNVA1/2021/8</t>
        </is>
      </c>
      <c r="C52" s="120" t="n">
        <v>31172</v>
      </c>
    </row>
    <row r="53">
      <c r="A53" s="47" t="inlineStr">
        <is>
          <t>34.60.6P.00.45</t>
        </is>
      </c>
      <c r="B53" s="47" t="inlineStr">
        <is>
          <t>PID2020-115956GB-I00/116185GB-I00/116496RB-C21/116514GB-I00/116998RB-I00/117303GBC22/118006RB-I00/118322RB-I00/118447RA-I00/118476RR-C22</t>
        </is>
      </c>
      <c r="C53" s="119" t="n">
        <v>44953.47</v>
      </c>
    </row>
    <row r="54">
      <c r="A54" s="48" t="inlineStr">
        <is>
          <t>34.60.6P.00.46</t>
        </is>
      </c>
      <c r="B54" s="48" t="inlineStr">
        <is>
          <t>CIGE/2021/021/041/046/103/136/162/178/153</t>
        </is>
      </c>
      <c r="C54" s="120" t="n">
        <v>8375</v>
      </c>
    </row>
    <row r="55">
      <c r="A55" s="47" t="inlineStr">
        <is>
          <t>34.60.6P.00.46</t>
        </is>
      </c>
      <c r="B55" s="47" t="inlineStr">
        <is>
          <t>DEVOLUCIÓN DE INGRESOS_ MODELO 047_Nº de liquidación:46/2023/RAS/10321/1_ Número de justificante:047/1/002385120_Nº de referencia:047/1/002385120</t>
        </is>
      </c>
      <c r="C55" s="119" t="n">
        <v>-1087.32</v>
      </c>
    </row>
    <row r="56">
      <c r="A56" s="48" t="inlineStr">
        <is>
          <t>34.60.6P.00.47</t>
        </is>
      </c>
      <c r="B56" s="48" t="inlineStr">
        <is>
          <t xml:space="preserve">CIAICO/2021/019/074/124/158/167/173/221/279/305/328/335/339/345/348 </t>
        </is>
      </c>
      <c r="C56" s="120" t="n">
        <v>29990</v>
      </c>
    </row>
    <row r="57">
      <c r="A57" s="47" t="inlineStr">
        <is>
          <t>34.60.6P.00.47</t>
        </is>
      </c>
      <c r="B57" s="47" t="inlineStr">
        <is>
          <t>DEVOLUCIÓN DE INGRESOS_MODELO 047_CIACO 2021 EN 2022_Nº de liquidación:46/2023/RAS/10205/1 047/_Número de justificante:047/1/002362793_Nº de referencia:047/1/002362793</t>
        </is>
      </c>
      <c r="C57" s="119" t="n">
        <v>-15615.49</v>
      </c>
    </row>
    <row r="58">
      <c r="A58" s="48" t="inlineStr">
        <is>
          <t>34.60.6P.00.50</t>
        </is>
      </c>
      <c r="B58" s="48" t="inlineStr">
        <is>
          <t>IDEA 2.24</t>
        </is>
      </c>
      <c r="C58" s="120" t="n">
        <v>15000</v>
      </c>
    </row>
    <row r="59">
      <c r="A59" s="47" t="inlineStr">
        <is>
          <t>34.60.6P.00.53</t>
        </is>
      </c>
      <c r="B59" s="47" t="inlineStr">
        <is>
          <t>ayudas CIGE/2022/4-6-8-10-15-16-21-30-36-45-46-51-52- 54-55-105-170-179</t>
        </is>
      </c>
      <c r="C59" s="119" t="n">
        <v>8950</v>
      </c>
    </row>
    <row r="60">
      <c r="A60" s="48" t="inlineStr">
        <is>
          <t>34.60.6P.00.55</t>
        </is>
      </c>
      <c r="B60" s="48" t="inlineStr">
        <is>
          <t xml:space="preserve">ayudas INNEST/2023/7, INNEST/2023/20, INNEST/2023/15, INNEST/2023/14, INNEST/2023/13, INNEST/2023/11, INNEST/2023/10 </t>
        </is>
      </c>
      <c r="C60" s="120" t="n">
        <v>30040</v>
      </c>
    </row>
    <row r="61">
      <c r="A61" s="47" t="inlineStr">
        <is>
          <t>34.60.6X.00.03</t>
        </is>
      </c>
      <c r="B61" s="47" t="inlineStr">
        <is>
          <t xml:space="preserve">Segundo Cobro del Proyecto SCORE </t>
        </is>
      </c>
      <c r="C61" s="119" t="n">
        <v>28311.25</v>
      </c>
    </row>
    <row r="62">
      <c r="A62" s="48" t="inlineStr">
        <is>
          <t>34.60.6X.00.03</t>
        </is>
      </c>
      <c r="B62" s="48" t="inlineStr">
        <is>
          <t>TERCER COBRO DEL PROYECTO SCORE</t>
        </is>
      </c>
      <c r="C62" s="120" t="n">
        <v>55509.78</v>
      </c>
    </row>
    <row r="63">
      <c r="A63" s="47" t="inlineStr">
        <is>
          <t>34.60.6X.00.04</t>
        </is>
      </c>
      <c r="B63" s="47" t="inlineStr">
        <is>
          <t>SEGUNDO COBRO DEL PROYECTO HI-EDUCARBON</t>
        </is>
      </c>
      <c r="C63" s="119" t="n">
        <v>19726</v>
      </c>
    </row>
    <row r="64">
      <c r="A64" s="48" t="inlineStr">
        <is>
          <t>34.60.6X.00.05</t>
        </is>
      </c>
      <c r="B64" s="48" t="inlineStr">
        <is>
          <t>THIRD PAYMENT - PROGRESS MS3 PROJECT 4000138450</t>
        </is>
      </c>
      <c r="C64" s="120" t="n">
        <v>12500</v>
      </c>
    </row>
    <row r="65">
      <c r="A65" s="73" t="inlineStr">
        <is>
          <t>34.60.6X.00.05</t>
        </is>
      </c>
      <c r="B65" s="73" t="inlineStr">
        <is>
          <t>SECOND PAYMENT - PROGRESS MS2 PROJECT 4000138450</t>
        </is>
      </c>
      <c r="C65" s="121" t="n">
        <v>12500</v>
      </c>
    </row>
    <row r="66" customFormat="1" s="77">
      <c r="A66" s="75" t="inlineStr">
        <is>
          <t>Total</t>
        </is>
      </c>
      <c r="B66" s="75" t="n"/>
      <c r="C66" s="122">
        <f>SUBTOTAL(109,Tabla2[Imp.cob.aplic.])</f>
        <v/>
      </c>
    </row>
    <row r="67">
      <c r="C67" s="123"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67"/>
  <sheetViews>
    <sheetView topLeftCell="A61" workbookViewId="0">
      <selection activeCell="B70" sqref="B70:C70"/>
    </sheetView>
  </sheetViews>
  <sheetFormatPr baseColWidth="10" defaultRowHeight="14.4"/>
  <cols>
    <col width="56.44140625" customWidth="1" min="2" max="2"/>
    <col width="13.33203125" customWidth="1" min="3" max="3"/>
  </cols>
  <sheetData>
    <row r="1">
      <c r="A1" s="82" t="inlineStr">
        <is>
          <t>Org. aplic.</t>
        </is>
      </c>
      <c r="B1" s="82" t="inlineStr">
        <is>
          <t>Descripción justificante</t>
        </is>
      </c>
      <c r="C1" s="124" t="inlineStr">
        <is>
          <t>Imp. aplic.</t>
        </is>
      </c>
    </row>
    <row r="2">
      <c r="A2" s="78" t="inlineStr">
        <is>
          <t>34.60.6C.01.98</t>
        </is>
      </c>
      <c r="B2" s="78" t="inlineStr">
        <is>
          <t>INSTALACIÓN DE SISTEMA DE MONITORIZACIÓN DE VIENTO BASADO EN ANEMÓMETROS ULTRASÓNICOS PARA CONTROL DE LA VELOCIDAD Y DIRECCIÓN DE VIENTO. GESTIÓN Y PROCESADO DE DATOS SEMANALMENTE. Factura 30 de la segunda fase del proyecto.</t>
        </is>
      </c>
      <c r="C2" s="125" t="n">
        <v>492.8</v>
      </c>
    </row>
    <row r="3">
      <c r="A3" s="80" t="inlineStr">
        <is>
          <t>34.60.6C.01.98</t>
        </is>
      </c>
      <c r="B3" s="80" t="inlineStr">
        <is>
          <t>INSTALACIÓN DE SISTEMA DE MONITORIZACIÓN DE VIENTO BASADO EN ANEMÓMETROS ULTRASÓNICOS PARA CONTROL DE LA VELOCIDAD Y DIRECCIÓN DE VIENTO. GESTIÓN Y PROCESADO DE DATOS SEMANALMENTE. Factura 31 de la segunda fase del proyecto.</t>
        </is>
      </c>
      <c r="C3" s="126" t="n">
        <v>492.8</v>
      </c>
    </row>
    <row r="4">
      <c r="A4" s="78" t="inlineStr">
        <is>
          <t>34.60.6C.01.98</t>
        </is>
      </c>
      <c r="B4" s="78" t="inlineStr">
        <is>
          <t>INSTALACIÓN DE SISTEMA DE MONITORIZACIÓN DE VIENTO BASADO EN ANEMÓMETROS ULTRASÓNICOS PARA CONTROL DE LA VELOCIDAD Y DIRECCIÓN DE VIENTO. GESTIÓN Y PROCESADO DE DATOS SEMANALMENTE. Factura 32 de la segunda fase del proyecto.</t>
        </is>
      </c>
      <c r="C4" s="125" t="n">
        <v>492.8</v>
      </c>
    </row>
    <row r="5">
      <c r="A5" s="80" t="inlineStr">
        <is>
          <t>34.60.6C.01.98</t>
        </is>
      </c>
      <c r="B5" s="80" t="inlineStr">
        <is>
          <t>INSTALACIÓN DE SISTEMA DE MONITORIZACIÓN DE VIENTO BASADO EN ANEMÓMETROS ULTRASÓNICOS PARA CONTROL DE LA VELOCIDAD Y DIRECCIÓN DE VIENTO. GESTIÓN Y PROCESADO DE DATOS SEMANALMENTE. Factura 33 de la segunda fase del proyecto.</t>
        </is>
      </c>
      <c r="C5" s="126" t="n">
        <v>492.8</v>
      </c>
    </row>
    <row r="6">
      <c r="A6" s="78" t="inlineStr">
        <is>
          <t>34.60.6C.01.98</t>
        </is>
      </c>
      <c r="B6" s="78" t="inlineStr">
        <is>
          <t>INSTALACIÓN DE SISTEMA DE MONITORIZACIÓN DE VIENTO BASADO EN ANEMÓMETROS ULTRASÓNICOS PARA CONTROL DE LA VELOCIDAD Y DIRECCIÓN DE VIENTO. GESTIÓN Y PROCESADO DE DATOS SEMANALMENTE. Factura 34 de la segunda fase del proyecto.</t>
        </is>
      </c>
      <c r="C6" s="125" t="n">
        <v>492.8</v>
      </c>
    </row>
    <row r="7">
      <c r="A7" s="80" t="inlineStr">
        <is>
          <t>34.60.6C.01.98</t>
        </is>
      </c>
      <c r="B7" s="80" t="inlineStr">
        <is>
          <t>INSTALACIÓN DE SISTEMA DE MONITORIZACIÓN DE VIENTO BASADO EN ANEMÓMETROS ULTRASÓNICOS PARA CONTROL DE LA VELOCIDAD Y DIRECCIÓN DE VIENTO. GESTIÓN Y PROCESADO DE DATOS SEMANALMENTE. Factura 35 de la segunda fase del proyecto.</t>
        </is>
      </c>
      <c r="C7" s="126" t="n">
        <v>492.8</v>
      </c>
    </row>
    <row r="8">
      <c r="A8" s="78" t="inlineStr">
        <is>
          <t>34.60.6C.01.98</t>
        </is>
      </c>
      <c r="B8" s="78" t="inlineStr">
        <is>
          <t>INSTALACIÓN DE SISTEMA DE MONITORIZACIÓN DE VIENTO BASADO EN ANEMÓMETROS ULTRASÓNICOS PARA CONTROL DE LA VELOCIDAD Y DIRECCIÓN DE VIENTO. GESTIÓN Y PROCESADO DE DATOS SEMANALMENTE. Factura 36 de la segunda fase del proyecto.</t>
        </is>
      </c>
      <c r="C8" s="125" t="n">
        <v>492.8</v>
      </c>
    </row>
    <row r="9">
      <c r="A9" s="80" t="inlineStr">
        <is>
          <t>34.60.6C.02.04</t>
        </is>
      </c>
      <c r="B9" s="80" t="inlineStr">
        <is>
          <t>Asesoramiento y asistencia técnica en el estudio de talud en Barranco de la Purísima en su paso bajo colegio la concepción de Onteniente y detección de cambios en la superficie.</t>
        </is>
      </c>
      <c r="C9" s="126" t="n">
        <v>5249.98</v>
      </c>
    </row>
    <row r="10">
      <c r="A10" s="78" t="inlineStr">
        <is>
          <t>34.60.6C.02.27</t>
        </is>
      </c>
      <c r="B10" s="78" t="inlineStr">
        <is>
          <t>Asistencia técnica en dictamen pericial sobre fallo estructural, errores en el proyecto y la ejecución de obra para centro comercial en Puerto Real (Cádiz).</t>
        </is>
      </c>
      <c r="C10" s="125" t="n">
        <v>1056</v>
      </c>
    </row>
    <row r="11">
      <c r="A11" s="80" t="inlineStr">
        <is>
          <t>34.60.6C.02.28</t>
        </is>
      </c>
      <c r="B11" s="80" t="inlineStr">
        <is>
          <t>Asistencia como perito en el juicio sobre disconformidades en la construcción de hangares en aeropuerto de Sevilla.</t>
        </is>
      </c>
      <c r="C11" s="126" t="n">
        <v>528</v>
      </c>
    </row>
    <row r="12">
      <c r="A12" s="78" t="inlineStr">
        <is>
          <t>34.60.6C.02.29</t>
        </is>
      </c>
      <c r="B12" s="78" t="inlineStr">
        <is>
          <t>DONES-NEXT: INVESTIGACIÓN INDUSTRIAL EN TECNOLOGÍAS EXPUESTAS A NEUTRONES (NEUTRON EXPOSED TECHNOLOGIES) DE APLICACIÓN A LA TEST CELL DE IFMIF DONES. FABRICACIÓN DE PROTOTIPO A ESCALA DE BLOQUE DE BLINDAJE E INFORME DESCRIPTIVO. NÚMERO DE PEDIDO 202200276. PROYECTO ID2262 DONES-NEXT. QUINTO PAGO.</t>
        </is>
      </c>
      <c r="C12" s="125" t="n">
        <v>8800</v>
      </c>
    </row>
    <row r="13">
      <c r="A13" s="80" t="inlineStr">
        <is>
          <t>34.60.6C.02.52</t>
        </is>
      </c>
      <c r="B13" s="80" t="inlineStr">
        <is>
          <t>Realización de Buckling test EM3-2014</t>
        </is>
      </c>
      <c r="C13" s="126" t="n">
        <v>6426.11</v>
      </c>
    </row>
    <row r="14">
      <c r="A14" s="78" t="inlineStr">
        <is>
          <t>34.60.6C.02.53</t>
        </is>
      </c>
      <c r="B14" s="78" t="inlineStr">
        <is>
          <t>Realización de ensayo experimental sobre elemento metálico que forma el soporte de estructura de la planta solar de Zuera.</t>
        </is>
      </c>
      <c r="C14" s="125" t="n">
        <v>1675.52</v>
      </c>
    </row>
    <row r="15">
      <c r="A15" s="80" t="inlineStr">
        <is>
          <t>34.60.6C.02.68</t>
        </is>
      </c>
      <c r="B15" s="80" t="inlineStr">
        <is>
          <t>INFORME SOBRE ESTABILIDAD DE TALUD EN AVENIDA DE PARÍS DE BENIDORM (ALICANTE).</t>
        </is>
      </c>
      <c r="C15" s="126" t="n">
        <v>1628</v>
      </c>
    </row>
    <row r="16">
      <c r="A16" s="78" t="inlineStr">
        <is>
          <t>34.60.6C.03.00</t>
        </is>
      </c>
      <c r="B16" s="78" t="inlineStr">
        <is>
          <t>Ayuda técnica en la construcción del proyecto de reforma Centro Cívico en Villafranqueza (Alicante).</t>
        </is>
      </c>
      <c r="C16" s="125" t="n">
        <v>528</v>
      </c>
    </row>
    <row r="17">
      <c r="A17" s="80" t="inlineStr">
        <is>
          <t>34.60.6C.03.02</t>
        </is>
      </c>
      <c r="B17" s="80" t="inlineStr">
        <is>
          <t>Asistencia técnica para la construcción de la Caseta de Protección Contra Incendios en la celda 5 del depósito controlado de residuos en Xixona (Alicante).</t>
        </is>
      </c>
      <c r="C17" s="126" t="n">
        <v>176</v>
      </c>
    </row>
    <row r="18">
      <c r="A18" s="78" t="inlineStr">
        <is>
          <t>34.60.6C.03.04</t>
        </is>
      </c>
      <c r="B18" s="78" t="inlineStr">
        <is>
          <t>Ampliación informe sobre estabilidad de talud intermedio en avenida París de Benidorm (Alicante).</t>
        </is>
      </c>
      <c r="C18" s="125" t="n">
        <v>440</v>
      </c>
    </row>
    <row r="19">
      <c r="A19" s="80" t="inlineStr">
        <is>
          <t>34.60.6C.03.05</t>
        </is>
      </c>
      <c r="B19" s="80" t="inlineStr">
        <is>
          <t>Colaboración técnica en la construcción del proyecto de Nave Industrial, para los promotores Sorio y Serna S.L., ubicada en la Avda. de Crevillente, nº 68 de Elche (Alicante).</t>
        </is>
      </c>
      <c r="C19" s="126" t="n">
        <v>880</v>
      </c>
    </row>
    <row r="20">
      <c r="A20" s="78" t="inlineStr">
        <is>
          <t>34.60.6C.03.05</t>
        </is>
      </c>
      <c r="B20" s="78" t="inlineStr">
        <is>
          <t>Colaboración técnica en la construcción del proyecto de Nave Industrial, para los promotores Sorio y Serna S.L., ubicada en la Avda. de Crevillente, nº 68 de Elche (Alicante). Segundo pago.</t>
        </is>
      </c>
      <c r="C20" s="125" t="n">
        <v>880</v>
      </c>
    </row>
    <row r="21">
      <c r="A21" s="80" t="inlineStr">
        <is>
          <t>34.60.6C.03.05</t>
        </is>
      </c>
      <c r="B21" s="80" t="inlineStr">
        <is>
          <t>Colaboración técnica en la construcción del proyecto de Nave Industrial, para los promotores Sorio y Serna S.L., ubicada en la Avda. de Crevillente, nº 68 de Elche (Alicante). Tercer pago.</t>
        </is>
      </c>
      <c r="C21" s="126" t="n">
        <v>880</v>
      </c>
    </row>
    <row r="22">
      <c r="A22" s="78" t="inlineStr">
        <is>
          <t>34.60.6C.03.06</t>
        </is>
      </c>
      <c r="B22" s="78" t="inlineStr">
        <is>
          <t>Apoyo técnico en la construcción de unas gradas en el campo de fútbol Emilio Esteban de Altabix, Elche (Alicante)</t>
        </is>
      </c>
      <c r="C22" s="125" t="n">
        <v>264</v>
      </c>
    </row>
    <row r="23">
      <c r="A23" s="80" t="inlineStr">
        <is>
          <t>34.60.6C.03.07</t>
        </is>
      </c>
      <c r="B23" s="80" t="inlineStr">
        <is>
          <t>Apoyo técnico de las obras en el Centro de Emisores del Aeropuerto de Alicante-Elche Miguel Hernández.</t>
        </is>
      </c>
      <c r="C23" s="126" t="n">
        <v>88</v>
      </c>
    </row>
    <row r="24">
      <c r="A24" s="78" t="inlineStr">
        <is>
          <t>34.60.6C.03.08</t>
        </is>
      </c>
      <c r="B24" s="78" t="inlineStr">
        <is>
          <t>Colaboración técnica en la ejecución del proyecto de construcción de 108 osarios en el cementerio viejo municipal de Elche</t>
        </is>
      </c>
      <c r="C24" s="125" t="n">
        <v>264</v>
      </c>
    </row>
    <row r="25">
      <c r="A25" s="80" t="inlineStr">
        <is>
          <t>34.60.6C.03.09</t>
        </is>
      </c>
      <c r="B25" s="80" t="inlineStr">
        <is>
          <t>Asistencia técnica para el análisis de accesibilidad del puerto de Alicante con el corredor mediterráneo hacia el sur peninsular: propuesta de mejora - ref.: 437/2023.</t>
        </is>
      </c>
      <c r="C25" s="126" t="n">
        <v>13156</v>
      </c>
    </row>
    <row r="26">
      <c r="A26" s="78" t="inlineStr">
        <is>
          <t>34.60.6C.03.10</t>
        </is>
      </c>
      <c r="B26" s="78" t="inlineStr">
        <is>
          <t>Asesoría técnica para la redacción del proyecto de ejecución de la reforma de edificios del Centro Social de Barrio Campoamor en Alicante.</t>
        </is>
      </c>
      <c r="C26" s="125" t="n">
        <v>581.8200000000001</v>
      </c>
    </row>
    <row r="27">
      <c r="A27" s="80" t="inlineStr">
        <is>
          <t>34.60.6C.03.11</t>
        </is>
      </c>
      <c r="B27" s="80" t="inlineStr">
        <is>
          <t>Apoyo técnico en la reforma interior del parque de maquinaria de UTE Elche. Partida de Vallongas, 45. 03291 Elche. Primer pago.</t>
        </is>
      </c>
      <c r="C27" s="126" t="n">
        <v>528</v>
      </c>
    </row>
    <row r="28">
      <c r="A28" s="78" t="inlineStr">
        <is>
          <t>34.60.6C.03.11</t>
        </is>
      </c>
      <c r="B28" s="78" t="inlineStr">
        <is>
          <t>Apoyo técnico en la reforma interior del parque de maquinaria de UTE Elche. Partida de Vallongas, 45. 03291 Elche. Segundo pago.</t>
        </is>
      </c>
      <c r="C28" s="125" t="n">
        <v>528</v>
      </c>
    </row>
    <row r="29">
      <c r="A29" s="80" t="inlineStr">
        <is>
          <t>34.60.6C.03.12</t>
        </is>
      </c>
      <c r="B29" s="80" t="inlineStr">
        <is>
          <t>Realización de 2 ensayos de durabilidad al desmoronamiento según NLT-251/91.</t>
        </is>
      </c>
      <c r="C29" s="126" t="n">
        <v>73.92</v>
      </c>
    </row>
    <row r="30">
      <c r="A30" s="78" t="inlineStr">
        <is>
          <t>34.60.6C.03.13</t>
        </is>
      </c>
      <c r="B30" s="78" t="inlineStr">
        <is>
          <t>Redacción de estudio de la red de transporte viaria y ferroviaria de carácter básico o estructural del municipio de Alicante y su entorno metropolitano. Expte. URCO2024000001.</t>
        </is>
      </c>
      <c r="C30" s="125" t="n">
        <v>13156</v>
      </c>
    </row>
    <row r="31">
      <c r="A31" s="80" t="inlineStr">
        <is>
          <t>34.60.6C.03.14</t>
        </is>
      </c>
      <c r="B31" s="80" t="inlineStr">
        <is>
          <t>SERVICIO DE ENSAYOS COMPLEMENTARIOS DE COMPROBACIÓN A REALIZAR EN EL PUENTE DE PIEDRA DE CHIRLES.  REFERENCIA AYTOPOLOP1-24I</t>
        </is>
      </c>
      <c r="C31" s="126" t="n">
        <v>12014.46</v>
      </c>
    </row>
    <row r="32">
      <c r="A32" s="78" t="inlineStr">
        <is>
          <t>34.60.6C.03.15</t>
        </is>
      </c>
      <c r="B32" s="78" t="inlineStr">
        <is>
          <t>Realización de ensayos para la evaluación experimental de espesores de recubrimiento en losas de hormigón armado en el canal Tajo-Segura en Barrax (Albacete).</t>
        </is>
      </c>
      <c r="C32" s="125" t="n">
        <v>1379.84</v>
      </c>
    </row>
    <row r="33">
      <c r="A33" s="80" t="inlineStr">
        <is>
          <t>34.60.6C.03.16</t>
        </is>
      </c>
      <c r="B33" s="80" t="inlineStr">
        <is>
          <t>Evaluación de las vibraciones generadas en estructura situada en C/ Campos Crespo - Campaners, Valencia</t>
        </is>
      </c>
      <c r="C33" s="126" t="n">
        <v>2562.56</v>
      </c>
    </row>
    <row r="34">
      <c r="A34" s="78" t="inlineStr">
        <is>
          <t>34.60.6C.03.17</t>
        </is>
      </c>
      <c r="B34" s="78" t="inlineStr">
        <is>
          <t>Asistencia científico-técnica para el proyecto: Investigación y desarrollo de nuevas mezclas bituminosas resilientes con tecnología de espumación de betunes.</t>
        </is>
      </c>
      <c r="C34" s="125" t="n">
        <v>8800</v>
      </c>
    </row>
    <row r="35">
      <c r="A35" s="80" t="inlineStr">
        <is>
          <t>34.60.6C.03.19</t>
        </is>
      </c>
      <c r="B35" s="80" t="inlineStr">
        <is>
          <t>SERVIÇOS DE CONSULTORIA ESPECIALIZADA NO ÂMBITO DO PROJETO MSSHBIOCEM / SERVICIOS DE CONSULTORÍA ESPECIALIZADA EN EL ÁMBITO DEL PROYECTO MSSHBIOCEM. N.º Encomenda 4700051010 / Nº Compromisso 5424019865</t>
        </is>
      </c>
      <c r="C35" s="126" t="n">
        <v>945.45</v>
      </c>
    </row>
    <row r="36">
      <c r="A36" s="78" t="inlineStr">
        <is>
          <t>34.60.6C.03.20</t>
        </is>
      </c>
      <c r="B36" s="78" t="inlineStr">
        <is>
          <t>Análisis experimental e informe de resultados, según EN 1337-3: 2005, de 3 apoyos estructurales elastoméricos</t>
        </is>
      </c>
      <c r="C36" s="125" t="n">
        <v>792</v>
      </c>
    </row>
    <row r="37">
      <c r="A37" s="80" t="inlineStr">
        <is>
          <t>34.60.6C.03.21</t>
        </is>
      </c>
      <c r="B37" s="80" t="inlineStr">
        <is>
          <t>Estudio de viabilidad de los aparcamientos Josep María Buck y Candalix en Elche (Alicante). Profesor D. Armando Ortuño Padilla.</t>
        </is>
      </c>
      <c r="C37" s="126" t="n">
        <v>21120</v>
      </c>
    </row>
    <row r="38">
      <c r="A38" s="78" t="inlineStr">
        <is>
          <t>34.60.6C.03.24</t>
        </is>
      </c>
      <c r="B38" s="78" t="inlineStr">
        <is>
          <t>Asistencia en urbanización del parque de maquinaria de UTE Elche. Partida de Vallongas, 45. 03291 Elche.</t>
        </is>
      </c>
      <c r="C38" s="125" t="n">
        <v>660</v>
      </c>
    </row>
    <row r="39">
      <c r="A39" s="80" t="inlineStr">
        <is>
          <t>34.60.6C.03.26</t>
        </is>
      </c>
      <c r="B39" s="80" t="inlineStr">
        <is>
          <t>Estimación de la demanda de viajeros de alta velocidad de bajo coste en la estación de Orihuela-Miguel Hernández con motivo de la entrada de nuevos operadores ferroviarios. Número de operación 2024.2.0015602.000, aplicación presupuestaria 006-4411-22706.</t>
        </is>
      </c>
      <c r="C39" s="126" t="n">
        <v>12716</v>
      </c>
    </row>
    <row r="40">
      <c r="A40" s="78" t="inlineStr">
        <is>
          <t>34.60.6C.03.27</t>
        </is>
      </c>
      <c r="B40" s="78" t="inlineStr">
        <is>
          <t>INSTALACIÓN DE SISTEMA DE MONITORIZACIÓN DE VIENTO BASADO EN ANEMÓMETROS ULTRASÓNICOS PARA CONTROL DE LA VELOCIDAD Y DIRECCIÓN DE VIENTO. GESTIÓN Y PROCESADO DE DATOS MENSUALMENTE. EDIFICIO SUNSET CLIFF. PRIMER PAGO. PROFESOR SALVADOR IVORRA CHORRO.</t>
        </is>
      </c>
      <c r="C40" s="125" t="n">
        <v>16241.94</v>
      </c>
    </row>
    <row r="41">
      <c r="A41" s="80" t="inlineStr">
        <is>
          <t>34.60.6C.03.28</t>
        </is>
      </c>
      <c r="B41" s="80" t="inlineStr">
        <is>
          <t>INSTALACIÓN DE SISTEMA DE MONITORIZACIÓN DE VIENTO BASADO EN ANEMÓMETROS ULTRASÓNICOS PARA CONTROL DE LA VELOCIDAD Y DIRECCIÓN DE VIENTO EN EL EDIFICIO IN TEMPO. GESTIÓN Y PROCESADO DE DATOS MENSUALMENTE. PRIMER PAGO. PROFESOR SALVADOR IVORRA CHORRO</t>
        </is>
      </c>
      <c r="C41" s="126" t="n">
        <v>13680.48</v>
      </c>
    </row>
    <row r="42">
      <c r="A42" s="78" t="inlineStr">
        <is>
          <t>34.60.6C.03.30</t>
        </is>
      </c>
      <c r="B42" s="78" t="inlineStr">
        <is>
          <t>Digitalización de superficie de una construcción de piedra seca en el Barranco del Boix, Crevillent (Alicante, España).</t>
        </is>
      </c>
      <c r="C42" s="125" t="n">
        <v>935</v>
      </c>
    </row>
    <row r="43">
      <c r="A43" s="80" t="inlineStr">
        <is>
          <t>34.60.6C.03.31</t>
        </is>
      </c>
      <c r="B43" s="80" t="inlineStr">
        <is>
          <t>Asistencia técnica en interpretación de datos adquiridos con técnicas de adquisición remota en talud escaneado en Serra, Valencia (España).</t>
        </is>
      </c>
      <c r="C43" s="126" t="n">
        <v>792</v>
      </c>
    </row>
    <row r="44">
      <c r="A44" s="78" t="inlineStr">
        <is>
          <t>34.60.6C.03.32</t>
        </is>
      </c>
      <c r="B44" s="78" t="inlineStr">
        <is>
          <t>PREPARACIÓN DE MUESTRAS Y REALIZACIÓN DE 6 ENSAYOS DE DURABILIDAD AL DESMORONAMIENTO SEGÚN NLT-251/91.</t>
        </is>
      </c>
      <c r="C44" s="125" t="n">
        <v>249.92</v>
      </c>
    </row>
    <row r="45">
      <c r="A45" s="80" t="inlineStr">
        <is>
          <t>34.60.6C.03.34</t>
        </is>
      </c>
      <c r="B45" s="80" t="inlineStr">
        <is>
          <t>ANÁLISIS DE VIBRACIONES EN EDIFICIO DEL PUERTO DE VALENCIA GENERADAS POR EL ATRAQUE Y DESATRAQUE DE GRANDES BUQUES</t>
        </is>
      </c>
      <c r="C45" s="126" t="n">
        <v>18036.48</v>
      </c>
    </row>
    <row r="46">
      <c r="A46" s="78" t="inlineStr">
        <is>
          <t>34.60.6C.03.37</t>
        </is>
      </c>
      <c r="B46" s="78" t="inlineStr">
        <is>
          <t>Asistencia técnica en la redacción del proyecto básico de obras e instalaciones en la instalación náutico-deportiva de LA GALERA, ALTEA (Alicante), de acuerdo a los pliegos de base y de condiciones que regirán el procedimiento de pública concurrencia en la adjudicación en concesión, en especial, en los siguientes aspectos: - Clima marítimo. - Propagación de oleaje y corrientes. - Estudio morfodinámico. - Estudio sedimentológico. - Predimensionamiento de defensa portuaria. - Adaptación al cambio climático.</t>
        </is>
      </c>
      <c r="C46" s="125" t="n">
        <v>8800</v>
      </c>
    </row>
    <row r="47">
      <c r="A47" s="80" t="inlineStr">
        <is>
          <t>34.60.6C.03.38</t>
        </is>
      </c>
      <c r="B47" s="80" t="inlineStr">
        <is>
          <t>Realización de nueve ensayos de adherencia por hinca entre barras de acero corrugado ancladas a probeta de hormigón. La prestación incluye la recepción de las probetas instrumentadas en el Laboratorio LARGE del Dpto. de Ingeniería Civil, instalación de sensor de desplazamiento adicional, la realización de los ensayos y el registro de las lecturas.</t>
        </is>
      </c>
      <c r="C47" s="126" t="n">
        <v>4247.1</v>
      </c>
    </row>
    <row r="48">
      <c r="A48" s="78" t="inlineStr">
        <is>
          <t>34.60.6C.03.39</t>
        </is>
      </c>
      <c r="B48" s="78" t="inlineStr">
        <is>
          <t>Realización de informe justificativo de la resistencia en situación de incendio de forjados unidireccionales parcialmente prefabricados con un nuevo tipo de prelosa pretensada, de acuerdo con la normativa nacional actualmente vigente.</t>
        </is>
      </c>
      <c r="C48" s="125" t="n">
        <v>436.37</v>
      </c>
    </row>
    <row r="49">
      <c r="A49" s="80" t="inlineStr">
        <is>
          <t>34.60.6C.03.40</t>
        </is>
      </c>
      <c r="B49" s="80" t="inlineStr">
        <is>
          <t>EVALUACIÓN POR PARTE DEL EXPERTO DE LOS PROYECTOS DE I+D+I: 2021/0519/PIDI/04, 2000/0743/PIDI/01, 2000/1982/PIDI/07 Y 2024/1983/PIDI/01. ESTASUELOS - ESTUDIO DE METODOLOGÍA ALTERNATIVA PARA LA ESTABILIZACIÓN DE SUELOS PARA SU APLICACIÓN EN INGENIERÍA CIVIL. PRODESUR CONSTRUCCIÓN Y PROYECTOS S.L. GUAMAR, S.A. TR CONSTRUYA, S.L.U. ALBAIDA INFRAESTRUCTURAS, S.A. Att. D. Gerardo Malvido Gutiérrez de Salamanca</t>
        </is>
      </c>
      <c r="C49" s="126" t="n">
        <v>1056</v>
      </c>
    </row>
    <row r="50">
      <c r="A50" s="78" t="inlineStr">
        <is>
          <t>34.60.6C.03.41</t>
        </is>
      </c>
      <c r="B50" s="78" t="inlineStr">
        <is>
          <t>ESTUDIO RETROSPECTIVO Y EVALUACIÓN DE LA ESTABILIDAD DE UN TALUD EN EL T.M. DE BOLULLA, ALICANTE.</t>
        </is>
      </c>
      <c r="C50" s="125" t="n">
        <v>1408</v>
      </c>
    </row>
    <row r="51">
      <c r="A51" s="80" t="inlineStr">
        <is>
          <t>34.60.6H.00.04</t>
        </is>
      </c>
      <c r="B51" s="80" t="inlineStr">
        <is>
          <t>PTA2022-021845-I</t>
        </is>
      </c>
      <c r="C51" s="126" t="n">
        <v>14600</v>
      </c>
    </row>
    <row r="52">
      <c r="A52" s="78" t="inlineStr">
        <is>
          <t>34.60.6P.00.44</t>
        </is>
      </c>
      <c r="B52" s="78" t="inlineStr">
        <is>
          <t>MINORACIÓN AYUDAS INNVA1/2021/8</t>
        </is>
      </c>
      <c r="C52" s="125" t="n">
        <v>-3917.54</v>
      </c>
    </row>
    <row r="53">
      <c r="A53" s="80" t="inlineStr">
        <is>
          <t>34.60.6P.00.44</t>
        </is>
      </c>
      <c r="B53" s="80" t="inlineStr">
        <is>
          <t xml:space="preserve">DISMINUCIÓN INNVA1/2021/8. </t>
        </is>
      </c>
      <c r="C53" s="126" t="n">
        <v>-8316.59</v>
      </c>
    </row>
    <row r="54">
      <c r="A54" s="78" t="inlineStr">
        <is>
          <t>34.60.6P.00.46</t>
        </is>
      </c>
      <c r="B54" s="78" t="inlineStr">
        <is>
          <t>DEVOLUCIÓN DE INGRESOS_MODELO 047_Nº DE LIQUIDACIÓN: 46/2024/RAS/10112/1_ Nº DE JUSTIFICANTE: 047/1/002477921_ Nº DE REFERENCIA: 047/1/002477921</t>
        </is>
      </c>
      <c r="C54" s="125" t="n">
        <v>-1.72</v>
      </c>
    </row>
    <row r="55">
      <c r="A55" s="80" t="inlineStr">
        <is>
          <t>34.60.6P.00.47</t>
        </is>
      </c>
      <c r="B55" s="80" t="inlineStr">
        <is>
          <t xml:space="preserve">CIAICO/2021/019/074/124/158/167/173/279/305/328/335/345/348/339 </t>
        </is>
      </c>
      <c r="C55" s="126" t="n">
        <v>29750</v>
      </c>
    </row>
    <row r="56">
      <c r="A56" s="78" t="inlineStr">
        <is>
          <t>34.60.6P.00.47</t>
        </is>
      </c>
      <c r="B56" s="78" t="inlineStr">
        <is>
          <t>DEVOLUCIÓN DE INGRESOS_MODELO 047_Nº DE LIQUIDACIÓN: 46/2024/RAS/10135/1_ Nº DE JUSTIFICANTE: 047/1/002493531/ Nº DE REFERENCIA: 047/1/002493531</t>
        </is>
      </c>
      <c r="C56" s="125" t="n">
        <v>-4014.23</v>
      </c>
    </row>
    <row r="57">
      <c r="A57" s="80" t="inlineStr">
        <is>
          <t>34.60.6P.00.48</t>
        </is>
      </c>
      <c r="B57" s="80" t="inlineStr">
        <is>
          <t>PID2021-126485OB-I00-126858NB-I00-126990NB-I00-127332NB-I00-127426OB-C22-127566NB-I00-127967NB-I00-127999NB-I00-128381NB-I00-128761OB-C21-128766OB-I00-128805NA-I00-128876OB-I00</t>
        </is>
      </c>
      <c r="C57" s="126" t="n">
        <v>4888</v>
      </c>
    </row>
    <row r="58">
      <c r="A58" s="78" t="inlineStr">
        <is>
          <t>34.60.6P.00.53</t>
        </is>
      </c>
      <c r="B58" s="78" t="inlineStr">
        <is>
          <t>ayudas CIGE/2022/4, CIGE/2022/6, CIGE/2022/8, CIGE/2022/15, CIGE/2022/16, CIGE/2022/21, CIGE/2022/30, CIGE/2022/45, CIGE/2022/46, CIGE/2022/51, CIGE/2022/52, CIGE/2022/54, CIGE/2022/55, CIGE/2022/105, CIGE/2022/170, CIGE/2022/179</t>
        </is>
      </c>
      <c r="C58" s="125" t="n">
        <v>10000</v>
      </c>
    </row>
    <row r="59">
      <c r="A59" s="80" t="inlineStr">
        <is>
          <t>34.60.6P.00.53</t>
        </is>
      </c>
      <c r="B59" s="80" t="inlineStr">
        <is>
          <t>DEVOLUCIÓN DE INGRESOS_ MODELO 047_ Nº DE LIQUIDACIÓN: 46/2024/RAS/10325/1 Nº DE JUSTIFICANTE: 047/1/002551836_Nº DE REFERENCIA: 047/1/002551836</t>
        </is>
      </c>
      <c r="C59" s="126" t="n">
        <v>-14.63</v>
      </c>
    </row>
    <row r="60">
      <c r="A60" s="78" t="inlineStr">
        <is>
          <t>34.60.6P.00.55</t>
        </is>
      </c>
      <c r="B60" s="78" t="inlineStr">
        <is>
          <t xml:space="preserve">INNEST/2023/7/10/11/13/14/15/20  </t>
        </is>
      </c>
      <c r="C60" s="125" t="n">
        <v>78140</v>
      </c>
    </row>
    <row r="61">
      <c r="A61" s="80" t="inlineStr">
        <is>
          <t>34.60.6P.00.55</t>
        </is>
      </c>
      <c r="B61" s="80" t="inlineStr">
        <is>
          <t>MINORACIÓN INNEST/2023/20</t>
        </is>
      </c>
      <c r="C61" s="126" t="n">
        <v>-1191.09</v>
      </c>
    </row>
    <row r="62">
      <c r="A62" s="78" t="inlineStr">
        <is>
          <t>34.60.6P.00.57</t>
        </is>
      </c>
      <c r="B62" s="78" t="inlineStr">
        <is>
          <t>ayudas CIAORG/2023/2, CIAORG/2023/4, CIAORG/2023/11, CIAORG/2023/15, CIAORG/2023/28, CIAORG/2023/40, CIAORG/2023/43, CIAORG/2023/54, CIAORG/2023/62, CIAORG/2023/65, CIAORG/2023/73, CIAORG/2023/91, CIAORG/2023/152, CIAORG/2023/154, CIAORG/2023/169, CIAORG/2023/170, CIAORG/2023/178 (LINEA DE SUBVENCIÓN S0296)</t>
        </is>
      </c>
      <c r="C62" s="125" t="n">
        <v>9000</v>
      </c>
    </row>
    <row r="63">
      <c r="A63" s="80" t="inlineStr">
        <is>
          <t>34.60.6P.00.58</t>
        </is>
      </c>
      <c r="B63" s="80" t="inlineStr">
        <is>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is>
      </c>
      <c r="C63" s="126" t="n">
        <v>48900</v>
      </c>
    </row>
    <row r="64">
      <c r="A64" s="78" t="inlineStr">
        <is>
          <t>34.60.6P.00.58</t>
        </is>
      </c>
      <c r="B64" s="78"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64" s="125" t="n">
        <v>24710.8</v>
      </c>
    </row>
    <row r="65">
      <c r="A65" s="80" t="inlineStr">
        <is>
          <t>34.60.6X.00.03</t>
        </is>
      </c>
      <c r="B65" s="80" t="inlineStr">
        <is>
          <t xml:space="preserve">Cuarto cobro del Proyecto SCORE </t>
        </is>
      </c>
      <c r="C65" s="126" t="n">
        <v>18503.26</v>
      </c>
    </row>
    <row r="66">
      <c r="A66" s="84" t="inlineStr">
        <is>
          <t>34.60.6X.00.05</t>
        </is>
      </c>
      <c r="B66" s="84" t="inlineStr">
        <is>
          <t>FINAL PAYMENT MS4 - PROJECT 4000138450</t>
        </is>
      </c>
      <c r="C66" s="127" t="n">
        <v>5000</v>
      </c>
    </row>
    <row r="67" customFormat="1" s="77">
      <c r="A67" s="86" t="inlineStr">
        <is>
          <t>Total</t>
        </is>
      </c>
      <c r="B67" s="86" t="n"/>
      <c r="C67" s="128">
        <f>SUBTOTAL(109,Tabla3[Imp.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81"/>
  <sheetViews>
    <sheetView topLeftCell="A55" workbookViewId="0">
      <selection activeCell="C82" sqref="C82"/>
    </sheetView>
  </sheetViews>
  <sheetFormatPr baseColWidth="10" defaultRowHeight="14.4"/>
  <cols>
    <col width="21" customWidth="1" min="1" max="1"/>
    <col width="38" customWidth="1" min="2" max="2"/>
    <col width="14.21875" customWidth="1" min="3" max="3"/>
  </cols>
  <sheetData>
    <row r="1">
      <c r="A1" s="93" t="inlineStr">
        <is>
          <t>Org. aplic.</t>
        </is>
      </c>
      <c r="B1" s="94" t="inlineStr">
        <is>
          <t>Descripción justificante</t>
        </is>
      </c>
      <c r="C1" s="94" t="inlineStr">
        <is>
          <t>Imp. aplic.</t>
        </is>
      </c>
    </row>
    <row r="2">
      <c r="A2" s="95" t="inlineStr">
        <is>
          <t>34.60.6C.03.18</t>
        </is>
      </c>
      <c r="B2" s="96" t="inlineStr">
        <is>
          <t xml:space="preserve">Realización de un análisis técnico de dos estudios de inundabilidad y del episodio de inundación sucedido el día 23/09/2022 en barranco de la Móra (T.M. El Catllar, Tarragona). Expediente de contratación 8004330008-2024-0007412. </t>
        </is>
      </c>
      <c r="C2" s="129" t="n">
        <v>5984</v>
      </c>
    </row>
    <row r="3">
      <c r="A3" s="98" t="inlineStr">
        <is>
          <t>34.60.6C.03.22</t>
        </is>
      </c>
      <c r="B3" s="99" t="inlineStr">
        <is>
          <t>ENSAYOS EXPERIMENTALES PARA CARACTERIZACIÓN MECÁNICA DEL SISTEMA DE REFUERZO DE MUROS MORCEM CAL ESTRUCTURAL. FACTURA FASE I. Código: 2024/00858/001. Profesor Salvador Ivorra Chorro.</t>
        </is>
      </c>
      <c r="C3" s="130" t="n">
        <v>2483.71</v>
      </c>
    </row>
    <row r="4">
      <c r="A4" s="95" t="inlineStr">
        <is>
          <t>34.60.6C.03.22</t>
        </is>
      </c>
      <c r="B4" s="96" t="inlineStr">
        <is>
          <t>ENSAYOS EXPERIMENTALES PARA CARACTERIZACIÓN MECÁNICA DEL SISTEMA DE REFUERZO DE MUROS MORCEM CAL ESTRUCTURAL. FACTURA FASE II. Código: 2024/00858/001. Profesor Salvador Ivorra Chorro.</t>
        </is>
      </c>
      <c r="C4" s="129" t="n">
        <v>2483.71</v>
      </c>
    </row>
    <row r="5">
      <c r="A5" s="98" t="inlineStr">
        <is>
          <t>34.60.6C.03.22</t>
        </is>
      </c>
      <c r="B5" s="99" t="inlineStr">
        <is>
          <t>ENSAYOS EXPERIMENTALES PARA CARACTERIZACIÓN MECÁNICA DEL SISTEMA DE REFUERZO DE MUROS MORCEM CAL ESTRUCTURAL. FACTURA FASE III. Código:2024/00858/001. Profesor Salvador Ivorra Chorro.</t>
        </is>
      </c>
      <c r="C5" s="130" t="n">
        <v>4233.6</v>
      </c>
    </row>
    <row r="6">
      <c r="A6" s="95" t="inlineStr">
        <is>
          <t>34.60.6C.03.22</t>
        </is>
      </c>
      <c r="B6" s="96" t="inlineStr">
        <is>
          <t>ENSAYOS EXPERIMENTALES PARA CARACTERIZACIÓN MECÁNICA DEL SISTEMA DE REFUERZO DE MUROS MORCEM CAL ESTRUCTURAL. FACTURA FASE IV. Código: 2024/00858/001. Profesor Salvador Ivorra Chorro.</t>
        </is>
      </c>
      <c r="C6" s="129" t="n">
        <v>4233.6</v>
      </c>
    </row>
    <row r="7">
      <c r="A7" s="98" t="inlineStr">
        <is>
          <t>34.60.6C.03.22</t>
        </is>
      </c>
      <c r="B7" s="99" t="inlineStr">
        <is>
          <t>ENSAYOS EXPERIMENTALES PARA CARACTERIZACIÓN MECÁNICA DEL SISTEMA DE REFUERZO DE MUROS MORCEM CAL ESTRUCTURAL. FACTURA FASE I. Código: 2024/00858/001. Profesor Salvador Ivorra Chorro.</t>
        </is>
      </c>
      <c r="C7" s="130" t="n">
        <v>-2483.71</v>
      </c>
    </row>
    <row r="8">
      <c r="A8" s="95" t="inlineStr">
        <is>
          <t>34.60.6C.03.22</t>
        </is>
      </c>
      <c r="B8" s="96" t="inlineStr">
        <is>
          <t>ENSAYOS EXPERIMENTALES PARA CARACTERIZACIÓN MECÁNICA DEL SISTEMA DE REFUERZO DE MUROS MORCEM CAL ESTRUCTURAL. FACTURA FASE II. Código: 2024/00858/001. Profesor Salvador Ivorra Chorro.</t>
        </is>
      </c>
      <c r="C8" s="129" t="n">
        <v>-2483.71</v>
      </c>
    </row>
    <row r="9">
      <c r="A9" s="98" t="inlineStr">
        <is>
          <t>34.60.6C.03.22</t>
        </is>
      </c>
      <c r="B9" s="99" t="inlineStr">
        <is>
          <t>ENSAYOS EXPERIMENTALES PARA CARACTERIZACIÓN MECÁNICA DEL SISTEMA DE REFUERZO DE MUROS MORCEM CAL ESTRUCTURAL. FACTURA FASE III. Código:2024/00858/001. Profesor Salvador Ivorra Chorro.</t>
        </is>
      </c>
      <c r="C9" s="130" t="n">
        <v>-4233.6</v>
      </c>
    </row>
    <row r="10">
      <c r="A10" s="95" t="inlineStr">
        <is>
          <t>34.60.6C.03.22</t>
        </is>
      </c>
      <c r="B10" s="96" t="inlineStr">
        <is>
          <t>ENSAYOS EXPERIMENTALES PARA CARACTERIZACIÓN MECÁNICA DEL SISTEMA DE REFUERZO DE MUROS MORCEM CAL ESTRUCTURAL. FACTURA FASE IV. Código: 2024/00858/001. Profesor Salvador Ivorra Chorro.</t>
        </is>
      </c>
      <c r="C10" s="129" t="n">
        <v>-4233.6</v>
      </c>
    </row>
    <row r="11">
      <c r="A11" s="98" t="inlineStr">
        <is>
          <t>34.60.6C.03.22</t>
        </is>
      </c>
      <c r="B11" s="99" t="inlineStr">
        <is>
          <t>ENSAYOS EXPERIMENTALES PARA CARACTERIZACIÓN MECÁNICA DEL SISTEMA DE REFUERZO DE MUROS MORCEM CAL ESTRUCTURAL. FACTURA FASE I. Código: 2024/00858/001. Profesor Salvador Ivorra Chorro.</t>
        </is>
      </c>
      <c r="C11" s="130" t="n">
        <v>2483.71</v>
      </c>
    </row>
    <row r="12">
      <c r="A12" s="95" t="inlineStr">
        <is>
          <t>34.60.6C.03.22</t>
        </is>
      </c>
      <c r="B12" s="96" t="inlineStr">
        <is>
          <t>ENSAYOS EXPERIMENTALES PARA CARACTERIZACIÓN MECÁNICA DEL SISTEMA DE REFUERZO DE MUROS MORCEM CAL ESTRUCTURAL. FACTURA FASE II. Código: 2024/00858/001. Profesor Salvador Ivorra Chorro.</t>
        </is>
      </c>
      <c r="C12" s="129" t="n">
        <v>2483.71</v>
      </c>
    </row>
    <row r="13">
      <c r="A13" s="98" t="inlineStr">
        <is>
          <t>34.60.6C.03.22</t>
        </is>
      </c>
      <c r="B13" s="99" t="inlineStr">
        <is>
          <t>ENSAYOS EXPERIMENTALES PARA CARACTERIZACIÓN MECÁNICA DEL SISTEMA DE REFUERZO DE MUROS MORCEM CAL ESTRUCTURAL. FACTURA FASE III. Código:2024/00858/001. Profesor Salvador Ivorra Chorro.</t>
        </is>
      </c>
      <c r="C13" s="130" t="n">
        <v>3725.57</v>
      </c>
    </row>
    <row r="14">
      <c r="A14" s="95" t="inlineStr">
        <is>
          <t>34.60.6C.03.22</t>
        </is>
      </c>
      <c r="B14" s="96" t="inlineStr">
        <is>
          <t>ENSAYOS EXPERIMENTALES PARA CARACTERIZACIÓN MECÁNICA DEL SISTEMA DE REFUERZO DE MUROS MORCEM CAL ESTRUCTURAL. FACTURA FASE IV. Código: 2024/00858/001. Profesor Salvador Ivorra Chorro.</t>
        </is>
      </c>
      <c r="C14" s="129" t="n">
        <v>3725.57</v>
      </c>
    </row>
    <row r="15">
      <c r="A15" s="98" t="inlineStr">
        <is>
          <t>34.60.6C.03.25</t>
        </is>
      </c>
      <c r="B15" s="99" t="inlineStr">
        <is>
          <t>Evaluación de Contenido del ejercicio N/A del proyecto 942.924 - de la empresa LYNX VIEW, S.L., titulado IMIDCA/2024/64: Datalab: desarrollo de algoritmos predictivos para transformar el análisis de laboratorio.</t>
        </is>
      </c>
      <c r="C15" s="130" t="n">
        <v>264</v>
      </c>
    </row>
    <row r="16">
      <c r="A16" s="95" t="inlineStr">
        <is>
          <t>34.60.6C.03.25</t>
        </is>
      </c>
      <c r="B16" s="96" t="inlineStr">
        <is>
          <t>Evaluación de Contenido del ejercicio N/A del proyecto 942.878 - de la empresa AGFRA, S.L., titulado IMIDTA/2024/103: DESARROLLO DE SISTEMAS DE MANIPULACIÓN AUTOMATIZADOS DE BAJO COSTE PARA SUMINISTRO Y RECOGIDA DE PIEZAS EN ENTORNOS DE MECANIZADO CNC MEDIANTE ROBÓTICA Y ALGORITMOS AVANZADOS DE CONTROL.</t>
        </is>
      </c>
      <c r="C16" s="129" t="n">
        <v>176</v>
      </c>
    </row>
    <row r="17">
      <c r="A17" s="98" t="inlineStr">
        <is>
          <t>34.60.6C.03.25</t>
        </is>
      </c>
      <c r="B17" s="99" t="inlineStr">
        <is>
          <t>Evaluación de Contenido del ejercicio N/A del proyecto 942.559 - de la empresa AIMPLAS-ASOC. INVEST. MAT. PLÁSTICOS (Inst. Tecn.), titulado EST56/2024: SISTEMA INTELIGENTE PARA LA EXPLOTACIÓN DEL CONOCIMIENTO EN ENTORNOS ESTRATÉGICOS DE LA COMUNITAT VALENCIANA .</t>
        </is>
      </c>
      <c r="C17" s="130" t="n">
        <v>176</v>
      </c>
    </row>
    <row r="18">
      <c r="A18" s="95" t="inlineStr">
        <is>
          <t>34.60.6C.03.25</t>
        </is>
      </c>
      <c r="B18" s="96" t="inlineStr">
        <is>
          <t>Evaluación de Contenido del ejercicio N/A del proyecto 942.536 - de la empresa GRUPO CIE SL, titulado EST33/2024: DESARROLLO DE NUEVA PLATAFORMA PARA EL SECTOR PESQUERO CON IA Y VISIÓN ARTIFICIAL.</t>
        </is>
      </c>
      <c r="C18" s="129" t="n">
        <v>176</v>
      </c>
    </row>
    <row r="19">
      <c r="A19" s="98" t="inlineStr">
        <is>
          <t>34.60.6C.03.25</t>
        </is>
      </c>
      <c r="B19" s="99" t="inlineStr">
        <is>
          <t>Evaluación de Contenido del ejercicio N/A del proyecto 942.804 - de la empresa VALGENETICS, SL, titulado IMIDTA/2024/25: Desarrollo De Un Sistema De Selección Y Validación De Sustancias O Microorganismos Con Capacidad Bioestimulante/Biocontrol En La Producción Agraria (Plataforma Ecoefficacy).</t>
        </is>
      </c>
      <c r="C19" s="130" t="n">
        <v>176</v>
      </c>
    </row>
    <row r="20">
      <c r="A20" s="95" t="inlineStr">
        <is>
          <t>34.60.6C.03.27</t>
        </is>
      </c>
      <c r="B20" s="96" t="inlineStr">
        <is>
          <t>INSTALACIÓN DE SISTEMA DE MONITORIZACIÓN DE VIENTO BASADO EN ANEMÓMETROS ULTRASÓNICOS PARA CONTROL DE LA VELOCIDAD Y DIRECCIÓN DE VIENTO. GESTIÓN Y PROCESADO DE DATOS MENSUALMENTE. EDIFICIO SUNSET CLIFF. SEGUNDO PAGO. PROFESOR SALVADOR IVORRA CHORRO.</t>
        </is>
      </c>
      <c r="C20" s="129" t="n">
        <v>5413.98</v>
      </c>
    </row>
    <row r="21">
      <c r="A21" s="98" t="inlineStr">
        <is>
          <t>34.60.6C.03.28</t>
        </is>
      </c>
      <c r="B21" s="99" t="inlineStr">
        <is>
          <t>INSTALACIÓN DE SISTEMA DE MONITORIZACIÓN DE VIENTO BASADO EN ANEMÓMETROS ULTRASÓNICOS PARA CONTROL DE LA VELOCIDAD Y DIRECCIÓN DE VIENTO EN EL EDIFICIO IN TEMPO. GESTIÓN Y PROCESADO DE DATOS MENSUALMENTE. SEGUNDO PAGO. PROFESOR SALVADOR IVORRA CHORRO.</t>
        </is>
      </c>
      <c r="C21" s="130" t="n">
        <v>4560.16</v>
      </c>
    </row>
    <row r="22">
      <c r="A22" s="95" t="inlineStr">
        <is>
          <t>34.60.6C.03.29</t>
        </is>
      </c>
      <c r="B22" s="96" t="inlineStr">
        <is>
          <t>ESTUDIO DE PROPUESTAS ARQUITECTÓNICAS QUE SUPONGAN ESTÍMULOS SENSORIALES PARA CENTRO DE EDUCACIÓN ESPECIAL Y PUESTA EN PRÁCTICA DE LAS MISMAS. Fase 1. Trabajo de investigación. Salud y aprendizaje a través de la Neuroarquitectura y Psicología Ambiental: estudio de propuestas arquitectónicas que supongan estímulos sensoriales a los alumnos en diferentes espacios del futuro Centro de Educación Especial Virgen de la luz de Elche. 3 meses de trabajo.</t>
        </is>
      </c>
      <c r="C22" s="129" t="n">
        <v>5214</v>
      </c>
    </row>
    <row r="23">
      <c r="A23" s="98" t="inlineStr">
        <is>
          <t>34.60.6C.03.33</t>
        </is>
      </c>
      <c r="B23" s="99" t="inlineStr">
        <is>
          <t>Ayuda técnica en acabados de Nave Industrial para coches MG ubicada en la Avda. de Crevillente, nº 68 de Elche (Alicante)</t>
        </is>
      </c>
      <c r="C23" s="130" t="n">
        <v>660</v>
      </c>
    </row>
    <row r="24">
      <c r="A24" s="95" t="inlineStr">
        <is>
          <t>34.60.6C.03.33</t>
        </is>
      </c>
      <c r="B24" s="96" t="inlineStr">
        <is>
          <t>Ayuda técnica en acabados de Nave Industrial para coches MG ubicada en la Avda. de Crevillente, nº 68 de Elche (Alicante). Segundo pago.</t>
        </is>
      </c>
      <c r="C24" s="129" t="n">
        <v>660</v>
      </c>
    </row>
    <row r="25">
      <c r="A25" s="98" t="inlineStr">
        <is>
          <t>34.60.6C.03.33</t>
        </is>
      </c>
      <c r="B25" s="99" t="inlineStr">
        <is>
          <t>Ayuda técnica en acabados de Nave Industrial para coches MG ubicada en la Avda. de Crevillente, nº 68 de Elche (Alicante). Tercer pago.</t>
        </is>
      </c>
      <c r="C25" s="130" t="n">
        <v>660</v>
      </c>
    </row>
    <row r="26">
      <c r="A26" s="95" t="inlineStr">
        <is>
          <t>34.60.6C.03.35</t>
        </is>
      </c>
      <c r="B26" s="96" t="inlineStr">
        <is>
          <t>Evaluación del proyecto DESARROLLO DE NUEVO DISPOSITIVO DE AUTOMONITOREO PARA ECOGRAFIAS TRANSVAGINALES EN REPRODUCCION con código ACIE de Expediente 587.100.24, con código UNESCO 3311, 1203 y para una certificación de tipo Certificado de seguimiento según el Real Decreto 1432/2003, de 21 de noviembre y/o la Norma UNE 166001:2006. Número de pedido 62490000824.</t>
        </is>
      </c>
      <c r="C26" s="129" t="n">
        <v>440</v>
      </c>
    </row>
    <row r="27">
      <c r="A27" s="98" t="inlineStr">
        <is>
          <t>34.60.6C.03.36</t>
        </is>
      </c>
      <c r="B27" s="99" t="inlineStr">
        <is>
          <t>Colaboración técnica en muro de contención, calle Calahorra, Elche (Alicante).</t>
        </is>
      </c>
      <c r="C27" s="130" t="n">
        <v>660</v>
      </c>
    </row>
    <row r="28">
      <c r="A28" s="95" t="inlineStr">
        <is>
          <t>34.60.6C.03.43</t>
        </is>
      </c>
      <c r="B28" s="96" t="inlineStr">
        <is>
          <t>Realización de ensayos de tracción sobre elementos textiles técnicos.</t>
        </is>
      </c>
      <c r="C28" s="129" t="n">
        <v>176</v>
      </c>
    </row>
    <row r="29">
      <c r="A29" s="98" t="inlineStr">
        <is>
          <t>34.60.6C.03.44</t>
        </is>
      </c>
      <c r="B29" s="99" t="inlineStr">
        <is>
          <t>Realización por parte del Exp. T. del servicio de evaluación del proyecto SISTEMA NO INVASIVO DE MAPEO CARDIACO PARA MEJORAR LA ABLACION CARDIACA E IMPLANTACION DE MARCAPASOS con código ACIE de Expediente 4409.001.24, con código UNESCO 3314, 1203 y para una certificación de tipo Certificado de seguimiento según el Real Decreto 1432/2003, de 21 de noviembre y/o la Norma UNE 166001:2006. Como complemento al Contrato anterior, se establece un Contrato de Evaluación Acelerada por las que se realiza una evaluación acelerada del proyecto SISTEMA NO INVASIVO DE MAPEO CARDIACO PARA MEJORAR LA ABLACION CARDIACA E IMPLANTACION DE MARCAPASOS con código ACIE de Expediente 4409.001.24 por parte del Experto Técnico a cambio de una contra prestación añadida por estos servicios. Número de pedido 62490000824.</t>
        </is>
      </c>
      <c r="C29" s="130" t="n">
        <v>1232</v>
      </c>
    </row>
    <row r="30">
      <c r="A30" s="95" t="inlineStr">
        <is>
          <t>34.60.6C.03.45</t>
        </is>
      </c>
      <c r="B30" s="96" t="inlineStr">
        <is>
          <t>Identificación supervisada de discontinuidades planas en el talud situado en el km 76 de la Autopista de la Huerna (AP-66), España.</t>
        </is>
      </c>
      <c r="C30" s="129" t="n">
        <v>3239.28</v>
      </c>
    </row>
    <row r="31">
      <c r="A31" s="98" t="inlineStr">
        <is>
          <t>34.60.6C.03.46</t>
        </is>
      </c>
      <c r="B31" s="99" t="inlineStr">
        <is>
          <t>Ayuda técnica en obras varias en Alicante provincia. Primer pago.</t>
        </is>
      </c>
      <c r="C31" s="130" t="n">
        <v>660</v>
      </c>
    </row>
    <row r="32">
      <c r="A32" s="95" t="inlineStr">
        <is>
          <t>34.60.6C.03.46</t>
        </is>
      </c>
      <c r="B32" s="96" t="inlineStr">
        <is>
          <t>Ayuda técnica en obras varias en Alicante provincia. Segundo pago.</t>
        </is>
      </c>
      <c r="C32" s="129" t="n">
        <v>660</v>
      </c>
    </row>
    <row r="33">
      <c r="A33" s="98" t="inlineStr">
        <is>
          <t>34.60.6C.03.46</t>
        </is>
      </c>
      <c r="B33" s="99" t="inlineStr">
        <is>
          <t>Ayuda técnica en obras varias en Alicante provincia. Tercer pago.</t>
        </is>
      </c>
      <c r="C33" s="130" t="n">
        <v>660</v>
      </c>
    </row>
    <row r="34">
      <c r="A34" s="95" t="inlineStr">
        <is>
          <t>34.60.6C.03.46</t>
        </is>
      </c>
      <c r="B34" s="96" t="inlineStr">
        <is>
          <t>Ayuda técnica en obras varias en Alicante provincia. Cuarto pago.</t>
        </is>
      </c>
      <c r="C34" s="129" t="n">
        <v>660</v>
      </c>
    </row>
    <row r="35">
      <c r="A35" s="98" t="inlineStr">
        <is>
          <t>34.60.6C.03.46</t>
        </is>
      </c>
      <c r="B35" s="99" t="inlineStr">
        <is>
          <t>Ayuda técnica en obras varias en Alicante provincia. Quinto pago.</t>
        </is>
      </c>
      <c r="C35" s="130" t="n">
        <v>660</v>
      </c>
    </row>
    <row r="36">
      <c r="A36" s="95" t="inlineStr">
        <is>
          <t>34.60.6C.03.47</t>
        </is>
      </c>
      <c r="B36" s="96" t="inlineStr">
        <is>
          <t>REDACCIÓN DE INFORME DE PATOLOGÍAS DE FORJADOS RETICULARES EXISTENTES EN OBRA PARKING ROSALEDA ALCOY. N.º de pedido: 4500021262 Fecha: 20/02/25 Nombre obra: Reforma del edificio de aparcamientos subterráneos y reposición de la zona verde en la cubierta de dicho inmueble recuperando el jardín de la Plaza de la Constitución (La Rosaleda) en Alcoy Código obra: UC.0891. Dr. Salvador Ivorra Chorro.</t>
        </is>
      </c>
      <c r="C36" s="129" t="n">
        <v>1320</v>
      </c>
    </row>
    <row r="37">
      <c r="A37" s="98" t="inlineStr">
        <is>
          <t>34.60.6C.03.48</t>
        </is>
      </c>
      <c r="B37" s="99" t="inlineStr">
        <is>
          <t>Scanning electron microscope (SEM) for mortar characterization, porosimetry tests for mortar characterization and collaboration in the last stage assembly of walls to be exposed in Alicante within the scope of Eco+RCEB. (Encomenda no RD38631).</t>
        </is>
      </c>
      <c r="C37" s="130" t="n">
        <v>528</v>
      </c>
    </row>
    <row r="38">
      <c r="A38" s="95" t="inlineStr">
        <is>
          <t>34.60.6C.03.49</t>
        </is>
      </c>
      <c r="B38" s="96" t="inlineStr">
        <is>
          <t>Colaboración técnica en obras varias en la provincia de Alicante</t>
        </is>
      </c>
      <c r="C38" s="129" t="n">
        <v>660</v>
      </c>
    </row>
    <row r="39">
      <c r="A39" s="98" t="inlineStr">
        <is>
          <t>34.60.6C.03.49</t>
        </is>
      </c>
      <c r="B39" s="99" t="inlineStr">
        <is>
          <t>Colaboración técnica en obras varias en la provincia de Alicante. Segunda factura.</t>
        </is>
      </c>
      <c r="C39" s="130" t="n">
        <v>1320</v>
      </c>
    </row>
    <row r="40">
      <c r="A40" s="95" t="inlineStr">
        <is>
          <t>34.60.6C.03.49</t>
        </is>
      </c>
      <c r="B40" s="96" t="inlineStr">
        <is>
          <t>Colaboración técnica en obras varias en la provincia de Alicante. Tercera factura.</t>
        </is>
      </c>
      <c r="C40" s="129" t="n">
        <v>1320</v>
      </c>
    </row>
    <row r="41">
      <c r="A41" s="98" t="inlineStr">
        <is>
          <t>34.60.6C.03.49</t>
        </is>
      </c>
      <c r="B41" s="99" t="inlineStr">
        <is>
          <t>Colaboración técnica en obras varias en la provincia de Alicante. Cuarta factura.</t>
        </is>
      </c>
      <c r="C41" s="130" t="n">
        <v>1320</v>
      </c>
    </row>
    <row r="42">
      <c r="A42" s="95" t="inlineStr">
        <is>
          <t>34.60.6C.03.49</t>
        </is>
      </c>
      <c r="B42" s="96" t="inlineStr">
        <is>
          <t>Colaboración técnica en obras varias en la provincia de Alicante. Quinta factura.</t>
        </is>
      </c>
      <c r="C42" s="129" t="n">
        <v>1320</v>
      </c>
    </row>
    <row r="43">
      <c r="A43" s="98" t="inlineStr">
        <is>
          <t>34.60.6C.03.49</t>
        </is>
      </c>
      <c r="B43" s="99" t="inlineStr">
        <is>
          <t>Colaboración técnica en obras varias en la provincia de Alicante. Sexta factura.</t>
        </is>
      </c>
      <c r="C43" s="130" t="n">
        <v>1320</v>
      </c>
    </row>
    <row r="44">
      <c r="A44" s="95" t="inlineStr">
        <is>
          <t>34.60.6C.03.49</t>
        </is>
      </c>
      <c r="B44" s="96" t="inlineStr">
        <is>
          <t>Colaboración técnica en obras varias en la provincia de Alicante. Séptima factura.</t>
        </is>
      </c>
      <c r="C44" s="129" t="n">
        <v>1320</v>
      </c>
    </row>
    <row r="45">
      <c r="A45" s="98" t="inlineStr">
        <is>
          <t>34.60.6C.03.51</t>
        </is>
      </c>
      <c r="B45" s="99" t="inlineStr">
        <is>
          <t>Realización de 19 ensayos de identificación del tipo de conglomerante en muestras de hormigón mediante difracción de rayos X.</t>
        </is>
      </c>
      <c r="C45" s="130" t="n">
        <v>1003.2</v>
      </c>
    </row>
    <row r="46">
      <c r="A46" s="95" t="inlineStr">
        <is>
          <t>34.60.6C.03.52</t>
        </is>
      </c>
      <c r="B46" s="96" t="inlineStr">
        <is>
          <t>Estudio de la adherencia entre hormigones de diferente edad en el enlace de micropilotes para recalce de edificaciones. FUNDACIONUNISANANTONIO2-25T. Profesor Francisco de Borja Varona Moya.</t>
        </is>
      </c>
      <c r="C46" s="129" t="n">
        <v>16661.7</v>
      </c>
    </row>
    <row r="47">
      <c r="A47" s="98" t="inlineStr">
        <is>
          <t>34.60.6C.03.53</t>
        </is>
      </c>
      <c r="B47" s="99" t="inlineStr">
        <is>
          <t>Estudio del análisis de un muro de hormigón armado sito en Urbanización el Bosque, nº 282, 46370 El Bosque (Valencia), tras los daños sufridos por la DANA de los días 29 y 30 de Octubre de 2024</t>
        </is>
      </c>
      <c r="C47" s="130" t="n">
        <v>1364</v>
      </c>
    </row>
    <row r="48">
      <c r="A48" s="95" t="inlineStr">
        <is>
          <t>34.60.6C.03.54</t>
        </is>
      </c>
      <c r="B48" s="96" t="inlineStr">
        <is>
          <t>Colaboración en la realización de prueba de carga dinámica sobre forjado del pabellón multiusos Roig Arena de Valencia. Análisis de resultados y emisión de informe.</t>
        </is>
      </c>
      <c r="C48" s="129" t="n">
        <v>2640</v>
      </c>
    </row>
    <row r="49">
      <c r="A49" s="98" t="inlineStr">
        <is>
          <t>34.60.6C.03.55</t>
        </is>
      </c>
      <c r="B49" s="99" t="inlineStr">
        <is>
          <t>PROYECTO PARA LA ADECUACIÓN Y MEJORA DE CAMINOS RURALES ANEXOS A PLANTA SOLAR FOTOVOLTAICA EN LOS POLÍGONOS 13 Y 14 DEL TÉRMINO MUNICIPAL DE BIAR (ALICANTE).</t>
        </is>
      </c>
      <c r="C49" s="130" t="n">
        <v>1408</v>
      </c>
    </row>
    <row r="50">
      <c r="A50" s="95" t="inlineStr">
        <is>
          <t>34.60.6C.03.56</t>
        </is>
      </c>
      <c r="B50" s="96" t="inlineStr">
        <is>
          <t>SUMINISTRO DE INFORMACIÓN DE TRÁFICO DE LA RED DE AUTOESTRADAS DE PORTUGAL. Implantación proyecto + resultados 2023. Nº de pedido: 4500004558.</t>
        </is>
      </c>
      <c r="C50" s="129" t="n">
        <v>2640</v>
      </c>
    </row>
    <row r="51">
      <c r="A51" s="98" t="inlineStr">
        <is>
          <t>34.60.6C.03.57</t>
        </is>
      </c>
      <c r="B51" s="99" t="inlineStr">
        <is>
          <t>Informes de identificación de aluminosis en muestras de hormigón endurecido mediante difracción de rayos X (DRX) en distintas obras en Valencia.</t>
        </is>
      </c>
      <c r="C51" s="130" t="n">
        <v>932.8</v>
      </c>
    </row>
    <row r="52">
      <c r="A52" s="95" t="inlineStr">
        <is>
          <t>34.60.6C.03.59</t>
        </is>
      </c>
      <c r="B52" s="96" t="inlineStr">
        <is>
          <t>REALIZACIÓN DE DOS ESTUDIOS PARA LOS PUENTES DE SABATER Y L OMET (AMBOS EN PICASSENT, VALENCIA) DE LOS PROCESOS EROSIVOS LOCALES VINCULADOS A LOS APOYOS Y ESTRIBOS Y PROPUESTA DE ALTERNATIVA DE ACTUACIÓN DE PROTECCIÓN DE ESTOS ELEMENTOS ESTRUCTURALES.</t>
        </is>
      </c>
      <c r="C52" s="129" t="n">
        <v>3520</v>
      </c>
    </row>
    <row r="53">
      <c r="A53" s="98" t="inlineStr">
        <is>
          <t>34.60.6C.03.60</t>
        </is>
      </c>
      <c r="B53" s="99" t="inlineStr">
        <is>
          <t>Informes de identificación de aluminosis en muestras de hormigón endurecido mediante difracción de rayos X (DRX) e identificación de otras patologías mediante SEM y fluorescencia de rayos X (FRX) en distintas obras en Alicante.</t>
        </is>
      </c>
      <c r="C53" s="130" t="n">
        <v>2675.2</v>
      </c>
    </row>
    <row r="54">
      <c r="A54" s="95" t="inlineStr">
        <is>
          <t>34.60.6C.03.61</t>
        </is>
      </c>
      <c r="B54" s="96" t="inlineStr">
        <is>
          <t>DIGITALIZACIÓN MEDIANTE FOTOGRAMETRÍA Y ESCÁNER LÁSER TERRESTRE DEL ESTADO ACTUAL DE LA ERMITA DE LA PURÍSIMA EN CREVILLENT (ALICANTE).</t>
        </is>
      </c>
      <c r="C54" s="129" t="n">
        <v>10560</v>
      </c>
    </row>
    <row r="55">
      <c r="A55" s="98" t="inlineStr">
        <is>
          <t>34.60.6C.03.63</t>
        </is>
      </c>
      <c r="B55" s="99" t="inlineStr">
        <is>
          <t>Evaluación de Contenido del ejercicio N/A del proyecto 950.556 - de la empresa UNIVERSIDAD DEL PAIS VASCO EUSKAL HERRIKO UNIBERT, titulado "EHU-N25/05: Valorization of agro-industrial waste through the development of sustainable gas sensors by additive manufacturing", actuando como Experto Técnico Roberto Rodríguez Álvaro.</t>
        </is>
      </c>
      <c r="C55" s="130" t="n">
        <v>88</v>
      </c>
    </row>
    <row r="56">
      <c r="A56" s="95" t="inlineStr">
        <is>
          <t>34.60.6C.03.63</t>
        </is>
      </c>
      <c r="B56" s="96" t="inlineStr">
        <is>
          <t>Evaluación de Contenido del ejercicio N/A del proyecto 961.037 - de la empresa CAPSULAS TORRENT, S.A., titulado "Diseño, Desarrollo e Industrialización de nuevo producto con geometrías no convencionales", actuando como Experto Técnico Roberto Rodríguez Álvaro.</t>
        </is>
      </c>
      <c r="C56" s="129" t="n">
        <v>352</v>
      </c>
    </row>
    <row r="57">
      <c r="A57" s="98" t="inlineStr">
        <is>
          <t>34.60.6C.03.64</t>
        </is>
      </c>
      <c r="B57" s="99" t="inlineStr">
        <is>
          <t>Actuaciones de MWCC vinculadas con el Global Infrastructure Hub.</t>
        </is>
      </c>
      <c r="C57" s="130" t="n">
        <v>2909.28</v>
      </c>
    </row>
    <row r="58">
      <c r="A58" s="95" t="inlineStr">
        <is>
          <t>34.60.6C.03.66</t>
        </is>
      </c>
      <c r="B58" s="96" t="inlineStr">
        <is>
          <t>ASESORAMIENTO TÉCNICO EN CÁLCULO DE MICROPILOTES Y EVALUACIÓN DE LA ESTABILIDAD DE TALUDES</t>
        </is>
      </c>
      <c r="C58" s="129" t="n">
        <v>880</v>
      </c>
    </row>
    <row r="59">
      <c r="A59" s="98" t="inlineStr">
        <is>
          <t>34.60.6G.00.01</t>
        </is>
      </c>
      <c r="B59" s="99" t="inlineStr">
        <is>
          <t>Ingresos por inscripción al Congreso EUROCK (ISRM European Rock Mechanics Symposium: New challenges in rock mechanics and rock engineering).</t>
        </is>
      </c>
      <c r="C59" s="130" t="n">
        <v>210577.85</v>
      </c>
    </row>
    <row r="60">
      <c r="A60" s="95" t="inlineStr">
        <is>
          <t>34.60.6H.00.04</t>
        </is>
      </c>
      <c r="B60" s="96" t="inlineStr">
        <is>
          <t xml:space="preserve">AYUDAS PTA2022-021845-I </t>
        </is>
      </c>
      <c r="C60" s="129" t="n">
        <v>14600</v>
      </c>
    </row>
    <row r="61">
      <c r="A61" s="98" t="inlineStr">
        <is>
          <t>34.60.6P.00.53</t>
        </is>
      </c>
      <c r="B61" s="99" t="inlineStr">
        <is>
          <t>INGRESO PERCIBIDO POR LA UNIVERSIDAD DE ALICANTE EN CONCEPTO DE REINTEGRO DE  JG 2024/000000044870_ADO: 2025/A0000000068</t>
        </is>
      </c>
      <c r="C61" s="130" t="n">
        <v>694.6</v>
      </c>
    </row>
    <row r="62">
      <c r="A62" s="95" t="inlineStr">
        <is>
          <t>34.60.6P.00.53</t>
        </is>
      </c>
      <c r="B62" s="96" t="inlineStr">
        <is>
          <t>DEVOLUCIÓN DE INGRESOS_MODELO 047_CIGE 2022</t>
        </is>
      </c>
      <c r="C62" s="129" t="n">
        <v>-109.18</v>
      </c>
    </row>
    <row r="63">
      <c r="A63" s="98" t="inlineStr">
        <is>
          <t>34.60.6P.00.55</t>
        </is>
      </c>
      <c r="B63" s="99" t="inlineStr">
        <is>
          <t>Ayudas INNEST/2023/7, INNEST/2023/10, INNEST/2023/11, INNEST/2023/13, INNEST/2023/14, INNEST/2023/15, INNEST/2023/20</t>
        </is>
      </c>
      <c r="C63" s="130" t="n">
        <v>97940</v>
      </c>
    </row>
    <row r="64">
      <c r="A64" s="95" t="inlineStr">
        <is>
          <t>34.60.6P.00.57</t>
        </is>
      </c>
      <c r="B64" s="96" t="inlineStr">
        <is>
          <t>Minoración ayudas CIAORG/2023/2,  CIAORG/2023/11, CIAORG/2023/15, CIAORG/2023/28, CIAORG/2023/40, CIAORG/2023/43, CIAORG/2023/54, CIAORG/2023/62, CIAORG/2023/65, CIAORG/2023/73, CIAORG/2023/91, CIAORG/2023/152, CIAORG/2023/154,  CIAORG/2023/170, CIAORG/2023/178 (LINEA DE SUBVENCIÓN S0296)</t>
        </is>
      </c>
      <c r="C64" s="129" t="n">
        <v>-9000</v>
      </c>
    </row>
    <row r="65">
      <c r="A65" s="98" t="inlineStr">
        <is>
          <t>34.60.6P.00.58</t>
        </is>
      </c>
      <c r="B65" s="99"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65" s="130" t="n">
        <v>4303.2</v>
      </c>
    </row>
    <row r="66">
      <c r="A66" s="95" t="inlineStr">
        <is>
          <t>34.60.6P.00.61</t>
        </is>
      </c>
      <c r="B66" s="96" t="inlineStr">
        <is>
          <t>FCT-24-20125. Impacto de los incendios forestales en la ocurrencia de desprendimientos CSIC 2025 S202503001153</t>
        </is>
      </c>
      <c r="C66" s="129" t="n">
        <v>8548.299999999999</v>
      </c>
    </row>
    <row r="67">
      <c r="A67" s="98" t="inlineStr">
        <is>
          <t>34.60.6P.00.62</t>
        </is>
      </c>
      <c r="B67" s="99"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67" s="130" t="n">
        <v>74400</v>
      </c>
    </row>
    <row r="68">
      <c r="A68" s="95" t="inlineStr">
        <is>
          <t>34.60.6P.00.62</t>
        </is>
      </c>
      <c r="B68" s="96"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68" s="129" t="n">
        <v>42160</v>
      </c>
    </row>
    <row r="69">
      <c r="A69" s="98" t="inlineStr">
        <is>
          <t>34.60.6P.00.63</t>
        </is>
      </c>
      <c r="B69" s="99" t="inlineStr">
        <is>
          <t>Ingreso ayudas CIGE/2024/56/95/108/145/178/184/194/199/200/201/202/203/204/205/208/209/212/213</t>
        </is>
      </c>
      <c r="C69" s="130" t="n">
        <v>1769</v>
      </c>
    </row>
    <row r="70">
      <c r="A70" s="95" t="inlineStr">
        <is>
          <t>34.60.6P.00.64</t>
        </is>
      </c>
      <c r="B70" s="96" t="inlineStr">
        <is>
          <t>Ayudas JDC2024-053381-I, JDC2024-053381-I (DOT. ADICIONAL), JDC2024-055795-I, JDC2024-055795-I (DOT. ADICIONAL), JDC2024-055193-I, JDC2024-055193-I (DOT. ADICIONAL), JDC2024-054052-I,  JDC2024-053152-I, JDC2024-054052-I (DOT. ADICIONAL), JDC2024-053152-I (DOT. ADICIONAL), JDC2024-055709-I, JDC2024-055709-I (DOT. ADICIONAL)</t>
        </is>
      </c>
      <c r="C70" s="129" t="n">
        <v>3700</v>
      </c>
    </row>
    <row r="71">
      <c r="A71" s="98" t="inlineStr">
        <is>
          <t>34.60.6P.00.65</t>
        </is>
      </c>
      <c r="B71" s="99" t="inlineStr">
        <is>
          <t xml:space="preserve">Ingreso RESOLUCION DIFUSION ARQUITECTURA / 1-FUGA AL CEREBRO. Ref Proyecto: REGAGE25e00009715302 </t>
        </is>
      </c>
      <c r="C71" s="130" t="n">
        <v>13200</v>
      </c>
    </row>
    <row r="72">
      <c r="A72" s="95" t="inlineStr">
        <is>
          <t>34.60.6X.00.02</t>
        </is>
      </c>
      <c r="B72" s="96" t="inlineStr">
        <is>
          <t>PROYECTO: RESERVOIR. PROGRAMA: HORIZONTE2020. REF: 1924</t>
        </is>
      </c>
      <c r="C72" s="129" t="n">
        <v>20697</v>
      </c>
    </row>
    <row r="73">
      <c r="A73" s="98" t="inlineStr">
        <is>
          <t>34.60.6X.00.03</t>
        </is>
      </c>
      <c r="B73" s="99" t="inlineStr">
        <is>
          <t xml:space="preserve">Proyecto: SCORE. Programa: H2020. Ref. Proyecto: 101003534  </t>
        </is>
      </c>
      <c r="C73" s="130" t="n">
        <v>8922.719999999999</v>
      </c>
    </row>
    <row r="74">
      <c r="A74" s="95" t="inlineStr">
        <is>
          <t>34.60.6X.00.03</t>
        </is>
      </c>
      <c r="B74" s="96" t="inlineStr">
        <is>
          <t xml:space="preserve">Proyecto: SCORE. Programa: H2020. Ref. Proyecto: 101003534 </t>
        </is>
      </c>
      <c r="C74" s="129" t="n">
        <v>2974.23</v>
      </c>
    </row>
    <row r="75">
      <c r="A75" s="98" t="inlineStr">
        <is>
          <t>34.60.6X.00.04</t>
        </is>
      </c>
      <c r="B75" s="99" t="inlineStr">
        <is>
          <t>Proyecto: Hi-EduCarbon- Support of higher education system in a context of climate change mitigation through regional-level of carbon footprint caused by a product, building and organization. Programa: E+ KA220-HED. Ref. Proyecto: 2021-1-SK01-KA220-HED-000023274</t>
        </is>
      </c>
      <c r="C75" s="130" t="n">
        <v>3572.4</v>
      </c>
    </row>
    <row r="76">
      <c r="A76" s="95" t="inlineStr">
        <is>
          <t>34.60.6X.00.04</t>
        </is>
      </c>
      <c r="B76" s="96" t="inlineStr">
        <is>
          <t>INGRESO PERCIBIDO POR LA UNIVERSIDAD DE ALICANTE EN CONCEPTO DE REINTEGRO DEBIDO A DIFERENCIA EN EL TIPO DE CAMBIO DE MONEDA EN ABONO DE JG 39343.</t>
        </is>
      </c>
      <c r="C76" s="129" t="n">
        <v>0.25</v>
      </c>
    </row>
    <row r="77" ht="15" customHeight="1" thickBot="1">
      <c r="A77" s="98" t="inlineStr">
        <is>
          <t>34.60.6X.00.06</t>
        </is>
      </c>
      <c r="B77" s="99" t="inlineStr">
        <is>
          <t>ADVANCE PAYMENT - PROJECT ID 95355 RESELMAIN - ESA Contract No. 4000148412/25/I-LG-bgh</t>
        </is>
      </c>
      <c r="C77" s="130" t="n">
        <v>19250</v>
      </c>
    </row>
    <row r="78" ht="15" customHeight="1" thickTop="1">
      <c r="A78" s="101" t="inlineStr">
        <is>
          <t>Total</t>
        </is>
      </c>
      <c r="B78" s="102" t="n"/>
      <c r="C78" s="131" t="n">
        <v>621848.5299999999</v>
      </c>
    </row>
    <row r="81">
      <c r="B81" s="90" t="inlineStr">
        <is>
          <t>Total ingresos investigación 2023-25</t>
        </is>
      </c>
      <c r="C81" s="132">
        <f>C78+Tabla2[[#Totals],[Imp.cob.aplic.]]+Tabla3[[#Totals],[Imp. aplic.]]</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12"/>
  <sheetViews>
    <sheetView workbookViewId="0">
      <selection activeCell="D27" sqref="D27"/>
    </sheetView>
  </sheetViews>
  <sheetFormatPr baseColWidth="10" defaultRowHeight="14.4"/>
  <cols>
    <col width="16.44140625" customWidth="1" min="1" max="1"/>
    <col width="59.44140625" customWidth="1" min="2" max="2"/>
    <col width="15.44140625" customWidth="1" min="3" max="3"/>
  </cols>
  <sheetData>
    <row r="1">
      <c r="A1" s="72" t="inlineStr">
        <is>
          <t>Cód. org. aplic.</t>
        </is>
      </c>
      <c r="B1" s="72" t="inlineStr">
        <is>
          <t>Descripción justificante</t>
        </is>
      </c>
      <c r="C1" s="72" t="inlineStr">
        <is>
          <t>Imp.cob.aplic.</t>
        </is>
      </c>
    </row>
    <row r="2">
      <c r="A2" s="47" t="inlineStr">
        <is>
          <t>34.60.2T.00.12</t>
        </is>
      </c>
      <c r="B2" s="47" t="inlineStr">
        <is>
          <t xml:space="preserve">Plan_9349 Curso_2022-23 Emitido_2022y2023 ___ EXPERTO/A EN CÁLCULO DE ESTRUCTURAS CON CYPE </t>
        </is>
      </c>
      <c r="C2" s="119" t="n">
        <v>4032.19</v>
      </c>
    </row>
    <row r="3">
      <c r="A3" s="48" t="inlineStr">
        <is>
          <t>34.60.2T.00.13</t>
        </is>
      </c>
      <c r="B3" s="48" t="inlineStr">
        <is>
          <t xml:space="preserve">Plan_9351 Curso_2022-23 Emitido_2022-23 - MÁSTER EN MOVILIDAD URBANA INTELIGENTE </t>
        </is>
      </c>
      <c r="C3" s="120" t="n">
        <v>1657.5</v>
      </c>
    </row>
    <row r="4">
      <c r="A4" s="73" t="inlineStr">
        <is>
          <t>34.60.2T.00.13</t>
        </is>
      </c>
      <c r="B4" s="73" t="inlineStr">
        <is>
          <t>Daniel Altamirano Gómez. MÁSTER EN MOVILIDAD URBANA INTELIGENTE</t>
        </is>
      </c>
      <c r="C4" s="121" t="n">
        <v>1950</v>
      </c>
    </row>
    <row r="5" customFormat="1" s="77">
      <c r="A5" s="75" t="inlineStr">
        <is>
          <t>10.91.2T.00.13</t>
        </is>
      </c>
      <c r="B5" s="75" t="inlineStr">
        <is>
          <t>Francisco José Sirvent Ruiz. MÁSTER EN MOVILIDAD URBANA INTELIGENTE</t>
        </is>
      </c>
      <c r="C5" s="133" t="n">
        <v>3933.84</v>
      </c>
    </row>
    <row r="6">
      <c r="A6" s="73" t="inlineStr">
        <is>
          <t>10.91.2T.00.13</t>
        </is>
      </c>
      <c r="B6" s="73" t="inlineStr">
        <is>
          <t>María Díaz Muñoz. MÁSTER EN MOVILIDAD URBANA INTELIGENTE</t>
        </is>
      </c>
      <c r="C6" s="121" t="n">
        <v>3933.84</v>
      </c>
    </row>
    <row r="7" customFormat="1" s="77">
      <c r="A7" s="75" t="inlineStr">
        <is>
          <t>10.91.2T.00.13</t>
        </is>
      </c>
      <c r="B7" s="75" t="inlineStr">
        <is>
          <t>Ángela Nicole Limones Bedoya. MÁSTER EN MOVILIDAD URBANA INTELIGENTE</t>
        </is>
      </c>
      <c r="C7" s="133" t="n">
        <v>3928.56</v>
      </c>
    </row>
    <row r="8">
      <c r="A8" s="73" t="inlineStr">
        <is>
          <t>10.91.2T.00.13</t>
        </is>
      </c>
      <c r="B8" s="73" t="inlineStr">
        <is>
          <t>Pedro Rosell Ferrer. MÁSTER EN MOVILIDAD URBANA INTELIGENTE</t>
        </is>
      </c>
      <c r="C8" s="121" t="n">
        <v>3933.84</v>
      </c>
    </row>
    <row r="9" customFormat="1" s="77">
      <c r="A9" s="75" t="inlineStr">
        <is>
          <t>10.91.2T.00.13</t>
        </is>
      </c>
      <c r="B9" s="75" t="inlineStr">
        <is>
          <t>Manuel Vera Fernández. MÁSTER EN MOVILIDAD URBANA INTELIGENTE</t>
        </is>
      </c>
      <c r="C9" s="133" t="n">
        <v>3928.56</v>
      </c>
    </row>
    <row r="10">
      <c r="A10" s="73" t="inlineStr">
        <is>
          <t>10.91.2T.00.16</t>
        </is>
      </c>
      <c r="B10" s="73" t="inlineStr">
        <is>
          <t>DEVOLUCIÓN TASAS NÓMINAS_REMESA Nº 2023DTR329852</t>
        </is>
      </c>
      <c r="C10" s="121" t="n">
        <v>-660</v>
      </c>
    </row>
    <row r="11" customFormat="1" s="77">
      <c r="A11" s="75" t="inlineStr">
        <is>
          <t>10.91.2T.00.16</t>
        </is>
      </c>
      <c r="B11" s="75" t="inlineStr">
        <is>
          <t>DEVOLUCIÓN TASAS NÓMINAS_REMESA Nº 2023DTR355475</t>
        </is>
      </c>
      <c r="C11" s="133" t="n">
        <v>-2681.35</v>
      </c>
    </row>
    <row r="12">
      <c r="A12" s="71" t="inlineStr">
        <is>
          <t>Total</t>
        </is>
      </c>
      <c r="B12" s="71" t="n"/>
      <c r="C12" s="134">
        <f>SUBTOTAL(109,Tabla5[Imp.cob.aplic.])</f>
        <v/>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B11" sqref="B11:C11"/>
    </sheetView>
  </sheetViews>
  <sheetFormatPr baseColWidth="10" defaultRowHeight="14.4"/>
  <cols>
    <col width="16.44140625" customWidth="1" min="1" max="1"/>
    <col width="59.44140625" customWidth="1" min="2" max="2"/>
    <col width="15.44140625" customWidth="1" min="3" max="3"/>
  </cols>
  <sheetData>
    <row r="1">
      <c r="A1" s="72" t="inlineStr">
        <is>
          <t>Cód. org. aplic.</t>
        </is>
      </c>
      <c r="B1" s="72" t="inlineStr">
        <is>
          <t>Descripción justificante</t>
        </is>
      </c>
      <c r="C1" s="72" t="inlineStr">
        <is>
          <t>Imp.cob.aplic.</t>
        </is>
      </c>
    </row>
    <row r="2">
      <c r="A2" s="47" t="inlineStr">
        <is>
          <t>10.91.2T.00.30</t>
        </is>
      </c>
      <c r="B2" s="47" t="inlineStr">
        <is>
          <t xml:space="preserve">LIQ-TitProp_9442-1 Curso_2024-25 AñoCont_2024 - MÁSTER DE FORMACIÓN PERMANENTE EN NEUROARQUITECTURA </t>
        </is>
      </c>
      <c r="C2" s="119" t="n">
        <v>49718.42</v>
      </c>
    </row>
    <row r="3">
      <c r="A3" s="48" t="inlineStr">
        <is>
          <t>10.91.2T.00.30</t>
        </is>
      </c>
      <c r="B3" s="48" t="inlineStr">
        <is>
          <t>Ludmila Giuliana Carrere Maidana, Máster de Formación Permanente en Neuroarquitectura (9442), recibos nº 2024720780260, 2024723411956 y 2024737799827</t>
        </is>
      </c>
      <c r="C3" s="120" t="n">
        <v>3936.97</v>
      </c>
    </row>
    <row r="4">
      <c r="A4" s="73" t="inlineStr">
        <is>
          <t>10.91.2T.00.30</t>
        </is>
      </c>
      <c r="B4" s="73" t="inlineStr">
        <is>
          <t xml:space="preserve">LIQ-TitProp_9442-2 Curso_2024-25 AñoCont_2024 - MÁSTER DE FORMACIÓN PERMANENTE EN NEUROARQUITECTURA </t>
        </is>
      </c>
      <c r="C4" s="121" t="n">
        <v>10544.78</v>
      </c>
    </row>
    <row r="5" customFormat="1" s="77">
      <c r="A5" s="75" t="inlineStr">
        <is>
          <t>10.91.2T.00.30</t>
        </is>
      </c>
      <c r="B5" s="75" t="inlineStr">
        <is>
          <t xml:space="preserve">Liq.PPub_311,00__ADRmsa_2024__EFP Enseñanzas Formación Permanente - Master, Especialista y Experto.  LIQ-TitProp_9442-N Curso_2024-25 AñoCont_2024 - MÁSTER DE FORMACIÓN PERMANENTE EN NEUROARQUITECTURA  </t>
        </is>
      </c>
      <c r="C5" s="133" t="n">
        <v>1964.79</v>
      </c>
    </row>
    <row r="6">
      <c r="A6" s="73" t="inlineStr">
        <is>
          <t>10.91.2T.00.30</t>
        </is>
      </c>
      <c r="B6" s="73" t="inlineStr">
        <is>
          <t xml:space="preserve">AD_Liq.PPub_311,00__ADRmsa_2024__EFP Enseñanzas Formación Permanente - Master, Especialista y Experto.  LIQ-TitProp_9442-N Curso_2024-25 AñoCont_2024 - MÁSTER DE FORMACIÓN PERMANENTE EN NEUROARQUITECTURA  </t>
        </is>
      </c>
      <c r="C6" s="121" t="n">
        <v>-1964.79</v>
      </c>
    </row>
    <row r="7" customFormat="1" s="77">
      <c r="A7" s="75" t="inlineStr">
        <is>
          <t>10.91.2T.00.30</t>
        </is>
      </c>
      <c r="B7" s="75" t="inlineStr">
        <is>
          <t xml:space="preserve">LIQ-EP_Plan_9442-N Curso_2024-25_AñoCont_2024 TipoRec_Emitido - MÁSTER DE FORMACIÓN PERMANENTE EN NEUROARQUITECTURA _ (Cierre-24) </t>
        </is>
      </c>
      <c r="C7" s="133" t="n">
        <v>11925.58</v>
      </c>
    </row>
    <row r="8">
      <c r="A8" s="71" t="inlineStr">
        <is>
          <t>Total</t>
        </is>
      </c>
      <c r="B8" s="71" t="n"/>
      <c r="C8" s="134">
        <f>SUBTOTAL(109,Tabla57[Imp.cob.aplic.])</f>
        <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15"/>
  <sheetViews>
    <sheetView tabSelected="1" workbookViewId="0">
      <selection activeCell="C16" sqref="C16"/>
    </sheetView>
  </sheetViews>
  <sheetFormatPr baseColWidth="10" defaultRowHeight="14.4"/>
  <cols>
    <col width="18.77734375" customWidth="1" min="1" max="1"/>
    <col width="64.88671875" customWidth="1" min="2" max="2"/>
    <col width="18.5546875" customWidth="1" min="3" max="3"/>
  </cols>
  <sheetData>
    <row r="1">
      <c r="A1" s="104" t="inlineStr">
        <is>
          <t>Org. aplic.</t>
        </is>
      </c>
      <c r="B1" s="105" t="inlineStr">
        <is>
          <t>Descripción justificante</t>
        </is>
      </c>
      <c r="C1" s="135" t="inlineStr">
        <is>
          <t>Imp. aplic.</t>
        </is>
      </c>
    </row>
    <row r="2">
      <c r="A2" s="107" t="inlineStr">
        <is>
          <t>10.91.2T.00.30</t>
        </is>
      </c>
      <c r="B2" s="108" t="inlineStr">
        <is>
          <t xml:space="preserve">LIQ-TitProp_9442-N Curso_2024-25 AñoCont_2025 - MÁSTER DE FORMACIÓN PERMANENTE EN NEUROARQUITECTURA (VIENE DEL 443 DEL 24) jI-24-6816/6830  </t>
        </is>
      </c>
      <c r="C2" s="136" t="n">
        <v>1964.79</v>
      </c>
    </row>
    <row r="3">
      <c r="A3" s="110" t="inlineStr">
        <is>
          <t>10.91.2T.00.30</t>
        </is>
      </c>
      <c r="B3" s="111" t="inlineStr">
        <is>
          <t xml:space="preserve">LIQ-TitProp_9442-N Curso_2024-25 AñoCont_2025 - MÁSTER DE FORMACIÓN PERMANENTE EN NEUROARQUITECTURA (parte que corresponde al 2024, pero no está incluida en ningún ji del 24) </t>
        </is>
      </c>
      <c r="C3" s="137" t="n">
        <v>2286.42</v>
      </c>
    </row>
    <row r="4">
      <c r="A4" s="107" t="inlineStr">
        <is>
          <t>10.91.2T.00.30</t>
        </is>
      </c>
      <c r="B4" s="108" t="inlineStr">
        <is>
          <t>TOMÁS JUAN FAGE, MÁSTER DE FORMACIÓN PERMANENTE EN NEUROARQUITECTURA (9442), RECIBOS Nº 2024696093760, 2024716737366, 2024736423417</t>
        </is>
      </c>
      <c r="C4" s="136" t="n">
        <v>3936.97</v>
      </c>
    </row>
    <row r="5">
      <c r="A5" s="110" t="inlineStr">
        <is>
          <t>10.91.2T.00.30</t>
        </is>
      </c>
      <c r="B5" s="111" t="inlineStr">
        <is>
          <t>LIQ-TitProp_9442-1 Curso_2025-26 AñoCont_2025 - MÁSTER DE FORMACIÓN PERMANENTE EN NEUROARQUITECTURA</t>
        </is>
      </c>
      <c r="C5" s="137" t="n">
        <v>79518.10000000001</v>
      </c>
    </row>
    <row r="6">
      <c r="A6" s="107" t="inlineStr">
        <is>
          <t>10.91.2T.00.30</t>
        </is>
      </c>
      <c r="B6" s="108" t="inlineStr">
        <is>
          <t>LAURA CAMPENY BASTIDA. MÁSTER DE FORMACIÓN PERMANENTE EN NEUROARQUITECTURA .9442</t>
        </is>
      </c>
      <c r="C6" s="136" t="n">
        <v>3936.97</v>
      </c>
    </row>
    <row r="7">
      <c r="A7" s="110" t="inlineStr">
        <is>
          <t>10.91.2T.00.30</t>
        </is>
      </c>
      <c r="B7" s="111" t="inlineStr">
        <is>
          <t xml:space="preserve">LIQ-TitProp_9442-2 Curso_2025-26 AñoCont_2025 - MÁSTER DE FORMACIÓN PERMANENTE EN NEUROARQUITECTURA </t>
        </is>
      </c>
      <c r="C7" s="137" t="n">
        <v>8441.379999999999</v>
      </c>
    </row>
    <row r="8">
      <c r="A8" s="107" t="inlineStr">
        <is>
          <t>10.91.2T.00.30</t>
        </is>
      </c>
      <c r="B8" s="108" t="inlineStr">
        <is>
          <t>MARINA OLTRA FENOLLOSA ,9442 RECIBOS: 2025754903621, 2025754903496, 2025005253165</t>
        </is>
      </c>
      <c r="C8" s="136" t="n">
        <v>3936.11</v>
      </c>
    </row>
    <row r="9">
      <c r="A9" s="110" t="inlineStr">
        <is>
          <t>10.91.2T.00.30</t>
        </is>
      </c>
      <c r="B9" s="111" t="inlineStr">
        <is>
          <t xml:space="preserve">LIQ-TitProp_9442-N Curso_2025-26 AñoCont_2025 - MÁSTER DE FORMACIÓN PERMANENTE EN NEUROARQUITECTURA (CIERRE-25 EMITIDO-25 COBRADO-25 NO-RDT) </t>
        </is>
      </c>
      <c r="C9" s="137" t="n">
        <v>4636.51</v>
      </c>
    </row>
    <row r="10">
      <c r="A10" s="107" t="inlineStr">
        <is>
          <t>10.91.2T.00.30</t>
        </is>
      </c>
      <c r="B10" s="108" t="inlineStr">
        <is>
          <t xml:space="preserve">LIQ-TitProp_9442-N Curso_2025-26 AñoCont_2025 - MÁSTER DE FORMACIÓN PERMANENTE EN NEUROARQUITECTURA _(CIERRE 25 APLAZADO) </t>
        </is>
      </c>
      <c r="C10" s="136" t="n">
        <v>28477.03</v>
      </c>
    </row>
    <row r="11" ht="15" customHeight="1" thickBot="1">
      <c r="A11" s="110" t="inlineStr">
        <is>
          <t>10.91.2T.00.30</t>
        </is>
      </c>
      <c r="B11" s="111" t="inlineStr">
        <is>
          <t xml:space="preserve">LIQ-TitProp_9442-N Curso_2025-26 AñoCont_2025 - MÁSTER DE FORMACIÓN PERMANENTE EN NEUROARQUITECTURA _(CIERRE 25 APLAZADO) </t>
        </is>
      </c>
      <c r="C11" s="137" t="n">
        <v>-28477.03</v>
      </c>
    </row>
    <row r="12" ht="15" customHeight="1" thickTop="1">
      <c r="A12" s="113" t="inlineStr">
        <is>
          <t>Total</t>
        </is>
      </c>
      <c r="B12" s="114" t="n"/>
      <c r="C12" s="138" t="n">
        <v>108657.25</v>
      </c>
    </row>
    <row r="15">
      <c r="B15" s="90" t="inlineStr">
        <is>
          <t>Total ingresos formación 2023-25</t>
        </is>
      </c>
      <c r="C15" s="139">
        <f>C12+Tabla5[[#Totals],[Imp.cob.aplic.]]+Tabla57[[#Totals],[Imp.cob.aplic.]]</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dhcon@ua.es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2026-05-28T21:59:14Z</dcterms:modified>
  <cp:lastModifiedBy>MARIA TERESA PUJALTE DEVIS</cp:lastModifiedBy>
</cp:coreProperties>
</file>