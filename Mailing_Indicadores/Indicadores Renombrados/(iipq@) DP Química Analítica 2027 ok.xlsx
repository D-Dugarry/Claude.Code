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84" firstSheet="0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 tint="0.799981688894314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3" fillId="0" borderId="0"/>
  </cellStyleXfs>
  <cellXfs count="114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165" fontId="2" fillId="4" borderId="2" pivotButton="0" quotePrefix="0" xfId="1"/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166" fontId="6" fillId="8" borderId="7" pivotButton="0" quotePrefix="0" xfId="6"/>
    <xf numFmtId="166" fontId="6" fillId="0" borderId="7" pivotButton="0" quotePrefix="0" xfId="6"/>
    <xf numFmtId="0" fontId="9" fillId="8" borderId="7" pivotButton="0" quotePrefix="0" xfId="0"/>
    <xf numFmtId="0" fontId="9" fillId="0" borderId="7" pivotButton="0" quotePrefix="0" xfId="0"/>
    <xf numFmtId="166" fontId="0" fillId="0" borderId="0" pivotButton="0" quotePrefix="0" xfId="0"/>
    <xf numFmtId="0" fontId="0" fillId="0" borderId="1" applyAlignment="1" pivotButton="0" quotePrefix="0" xfId="0">
      <alignment horizontal="left"/>
    </xf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2" fillId="9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4" fontId="3" fillId="2" borderId="0" pivotButton="0" quotePrefix="0" xfId="1"/>
    <xf numFmtId="166" fontId="6" fillId="8" borderId="9" pivotButton="0" quotePrefix="0" xfId="6"/>
    <xf numFmtId="0" fontId="0" fillId="0" borderId="9" pivotButton="0" quotePrefix="0" xfId="0"/>
    <xf numFmtId="0" fontId="9" fillId="8" borderId="9" pivotButton="0" quotePrefix="0" xfId="0"/>
    <xf numFmtId="0" fontId="9" fillId="10" borderId="9" pivotButton="0" quotePrefix="0" xfId="0"/>
    <xf numFmtId="166" fontId="6" fillId="10" borderId="9" pivotButton="0" quotePrefix="0" xfId="0"/>
    <xf numFmtId="0" fontId="0" fillId="11" borderId="0" pivotButton="0" quotePrefix="0" xfId="0"/>
    <xf numFmtId="0" fontId="14" fillId="7" borderId="8" pivotButton="0" quotePrefix="0" xfId="0"/>
    <xf numFmtId="0" fontId="0" fillId="8" borderId="7" pivotButton="0" quotePrefix="0" xfId="0"/>
    <xf numFmtId="166" fontId="0" fillId="8" borderId="7" pivotButton="0" quotePrefix="0" xfId="6"/>
    <xf numFmtId="0" fontId="0" fillId="0" borderId="7" pivotButton="0" quotePrefix="0" xfId="0"/>
    <xf numFmtId="166" fontId="0" fillId="0" borderId="7" pivotButton="0" quotePrefix="0" xfId="6"/>
    <xf numFmtId="0" fontId="11" fillId="7" borderId="8" pivotButton="0" quotePrefix="0" xfId="0"/>
    <xf numFmtId="166" fontId="11" fillId="7" borderId="8" pivotButton="0" quotePrefix="0" xfId="6"/>
    <xf numFmtId="166" fontId="0" fillId="0" borderId="9" pivotButton="0" quotePrefix="0" xfId="6"/>
    <xf numFmtId="166" fontId="13" fillId="0" borderId="9" pivotButton="0" quotePrefix="0" xfId="0"/>
    <xf numFmtId="0" fontId="9" fillId="0" borderId="9" pivotButton="0" quotePrefix="0" xfId="0"/>
    <xf numFmtId="166" fontId="6" fillId="0" borderId="9" pivotButton="0" quotePrefix="0" xfId="6"/>
    <xf numFmtId="166" fontId="0" fillId="0" borderId="9" pivotButton="0" quotePrefix="0" xfId="0"/>
    <xf numFmtId="0" fontId="0" fillId="8" borderId="9" pivotButton="0" quotePrefix="0" xfId="0"/>
    <xf numFmtId="166" fontId="0" fillId="8" borderId="9" pivotButton="0" quotePrefix="0" xfId="6"/>
    <xf numFmtId="0" fontId="0" fillId="10" borderId="9" pivotButton="0" quotePrefix="0" xfId="0"/>
    <xf numFmtId="166" fontId="13" fillId="10" borderId="9" pivotButton="0" quotePrefix="0" xfId="0"/>
    <xf numFmtId="0" fontId="12" fillId="0" borderId="1" pivotButton="0" quotePrefix="0" xfId="0"/>
    <xf numFmtId="167" fontId="12" fillId="0" borderId="1" pivotButton="0" quotePrefix="0" xfId="0"/>
    <xf numFmtId="166" fontId="12" fillId="0" borderId="1" pivotButton="0" quotePrefix="0" xfId="0"/>
    <xf numFmtId="0" fontId="15" fillId="12" borderId="10" pivotButton="0" quotePrefix="0" xfId="0"/>
    <xf numFmtId="0" fontId="15" fillId="12" borderId="11" pivotButton="0" quotePrefix="0" xfId="0"/>
    <xf numFmtId="0" fontId="16" fillId="13" borderId="10" pivotButton="0" quotePrefix="0" xfId="0"/>
    <xf numFmtId="0" fontId="16" fillId="13" borderId="11" pivotButton="0" quotePrefix="0" xfId="0"/>
    <xf numFmtId="167" fontId="16" fillId="13" borderId="11" pivotButton="0" quotePrefix="0" xfId="6"/>
    <xf numFmtId="0" fontId="16" fillId="0" borderId="10" pivotButton="0" quotePrefix="0" xfId="0"/>
    <xf numFmtId="0" fontId="16" fillId="0" borderId="11" pivotButton="0" quotePrefix="0" xfId="0"/>
    <xf numFmtId="167" fontId="16" fillId="0" borderId="11" pivotButton="0" quotePrefix="0" xfId="6"/>
    <xf numFmtId="0" fontId="17" fillId="0" borderId="12" pivotButton="0" quotePrefix="0" xfId="0"/>
    <xf numFmtId="0" fontId="17" fillId="0" borderId="13" pivotButton="0" quotePrefix="0" xfId="0"/>
    <xf numFmtId="167" fontId="17" fillId="0" borderId="13" pivotButton="0" quotePrefix="0" xfId="6"/>
    <xf numFmtId="0" fontId="15" fillId="12" borderId="14" pivotButton="0" quotePrefix="0" xfId="0"/>
    <xf numFmtId="167" fontId="15" fillId="12" borderId="14" pivotButton="0" quotePrefix="0" xfId="6"/>
    <xf numFmtId="0" fontId="16" fillId="0" borderId="15" pivotButton="0" quotePrefix="0" xfId="0"/>
    <xf numFmtId="167" fontId="16" fillId="0" borderId="15" pivotButton="0" quotePrefix="0" xfId="6"/>
    <xf numFmtId="0" fontId="16" fillId="14" borderId="15" pivotButton="0" quotePrefix="0" xfId="0"/>
    <xf numFmtId="167" fontId="16" fillId="14" borderId="15" pivotButton="0" quotePrefix="0" xfId="0"/>
    <xf numFmtId="165" fontId="2" fillId="4" borderId="2" pivotButton="0" quotePrefix="0" xfId="1"/>
    <xf numFmtId="164" fontId="2" fillId="4" borderId="2" pivotButton="0" quotePrefix="0" xfId="1"/>
    <xf numFmtId="164" fontId="3" fillId="2" borderId="0" pivotButton="0" quotePrefix="0" xfId="1"/>
    <xf numFmtId="166" fontId="6" fillId="8" borderId="7" pivotButton="0" quotePrefix="0" xfId="6"/>
    <xf numFmtId="166" fontId="6" fillId="0" borderId="7" pivotButton="0" quotePrefix="0" xfId="6"/>
    <xf numFmtId="166" fontId="6" fillId="8" borderId="9" pivotButton="0" quotePrefix="0" xfId="6"/>
    <xf numFmtId="166" fontId="6" fillId="10" borderId="9" pivotButton="0" quotePrefix="0" xfId="0"/>
    <xf numFmtId="166" fontId="0" fillId="0" borderId="0" pivotButton="0" quotePrefix="0" xfId="0"/>
    <xf numFmtId="166" fontId="11" fillId="7" borderId="8" pivotButton="0" quotePrefix="0" xfId="6"/>
    <xf numFmtId="166" fontId="0" fillId="8" borderId="7" pivotButton="0" quotePrefix="0" xfId="6"/>
    <xf numFmtId="166" fontId="0" fillId="0" borderId="7" pivotButton="0" quotePrefix="0" xfId="6"/>
    <xf numFmtId="166" fontId="0" fillId="0" borderId="9" pivotButton="0" quotePrefix="0" xfId="6"/>
    <xf numFmtId="166" fontId="13" fillId="0" borderId="9" pivotButton="0" quotePrefix="0" xfId="0"/>
    <xf numFmtId="167" fontId="16" fillId="13" borderId="11" pivotButton="0" quotePrefix="0" xfId="6"/>
    <xf numFmtId="167" fontId="16" fillId="0" borderId="11" pivotButton="0" quotePrefix="0" xfId="6"/>
    <xf numFmtId="167" fontId="17" fillId="0" borderId="13" pivotButton="0" quotePrefix="0" xfId="6"/>
    <xf numFmtId="166" fontId="12" fillId="0" borderId="1" pivotButton="0" quotePrefix="0" xfId="0"/>
    <xf numFmtId="166" fontId="6" fillId="0" borderId="9" pivotButton="0" quotePrefix="0" xfId="6"/>
    <xf numFmtId="166" fontId="0" fillId="0" borderId="9" pivotButton="0" quotePrefix="0" xfId="0"/>
    <xf numFmtId="166" fontId="0" fillId="8" borderId="9" pivotButton="0" quotePrefix="0" xfId="6"/>
    <xf numFmtId="166" fontId="13" fillId="10" borderId="9" pivotButton="0" quotePrefix="0" xfId="0"/>
    <xf numFmtId="167" fontId="15" fillId="12" borderId="14" pivotButton="0" quotePrefix="0" xfId="6"/>
    <xf numFmtId="167" fontId="16" fillId="0" borderId="15" pivotButton="0" quotePrefix="0" xfId="6"/>
    <xf numFmtId="167" fontId="16" fillId="14" borderId="15" pivotButton="0" quotePrefix="0" xfId="0"/>
    <xf numFmtId="167" fontId="12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46">
    <dxf>
      <fill>
        <patternFill>
          <bgColor theme="0"/>
        </patternFill>
      </fill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0"/>
        </patternFill>
      </fill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0"/>
        </patternFill>
      </fill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0"/>
        </patternFill>
      </fill>
    </dxf>
    <dxf>
      <font>
        <name val="Arial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0"/>
        </patternFill>
      </fill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0"/>
        </patternFill>
      </fill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54" headerRowCount="1" totalsRowCount="1" headerRowDxfId="45" totalsRowDxfId="42" headerRowBorderDxfId="44" tableBorderDxfId="43" totalsRowBorderDxfId="41">
  <autoFilter ref="A1:C53"/>
  <tableColumns count="3">
    <tableColumn id="1" name="Cód. org. aplic." totalsRowLabel="Total" dataDxfId="40" totalsRowDxfId="39"/>
    <tableColumn id="2" name="Descripción justificante" dataDxfId="38" totalsRowDxfId="37"/>
    <tableColumn id="3" name="Imp.cob.aplic." totalsRowFunction="sum" dataDxfId="36" totalsRowDxfId="35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60" headerRowCount="1" totalsRowCount="1" headerRowBorderDxfId="34" tableBorderDxfId="33" totalsRowBorderDxfId="32">
  <autoFilter ref="A1:C59"/>
  <tableColumns count="3">
    <tableColumn id="1" name="Org. aplic." totalsRowLabel="Total" dataDxfId="31" totalsRowDxfId="30"/>
    <tableColumn id="2" name="Descripción justificante" dataDxfId="29" totalsRowDxfId="28"/>
    <tableColumn id="3" name="Imp. aplic." totalsRowFunction="sum" dataDxfId="27" totalsRowDxfId="26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4" headerRowCount="1" totalsRowCount="1" headerRowDxfId="25" headerRowBorderDxfId="24" tableBorderDxfId="23" totalsRowBorderDxfId="22">
  <autoFilter ref="A1:C3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7" displayName="Tabla7" ref="A1:C9" headerRowCount="1" totalsRowCount="1" headerRowDxfId="21" totalsRowDxfId="18" headerRowBorderDxfId="20" tableBorderDxfId="19" totalsRowBorderDxfId="17">
  <autoFilter ref="A1:C8"/>
  <tableColumns count="3">
    <tableColumn id="1" name="Org. aplic." totalsRowLabel="Total" dataDxfId="16" totalsRowDxfId="15"/>
    <tableColumn id="2" name="Descripción justificante" dataDxfId="14" totalsRowDxfId="13"/>
    <tableColumn id="3" name="Imp. aplic." totalsRowFunction="sum" dataDxfId="12" totalsRowDxfId="11" dataCellStyle="Millares" totalsRowCellStyle="Millar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1" displayName="Tabla1" ref="A1:C9" headerRowCount="1" totalsRowCount="1" headerRowDxfId="4" totalsRowDxfId="0" headerRowBorderDxfId="9" tableBorderDxfId="10" totalsRowBorderDxfId="8">
  <autoFilter ref="A1:C8"/>
  <tableColumns count="3">
    <tableColumn id="1" name="Org. aplic." totalsRowLabel="Total" dataDxfId="7" totalsRowDxfId="3"/>
    <tableColumn id="2" name="Descripción justificante" dataDxfId="6" totalsRowDxfId="2"/>
    <tableColumn id="3" name="Imp. aplic." totalsRowFunction="sum" dataDxfId="5" totalsRowDxfId="1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3"/>
  <sheetViews>
    <sheetView showGridLines="0" zoomScale="120" zoomScaleNormal="120" workbookViewId="0">
      <pane xSplit="1" ySplit="1" topLeftCell="C13" activePane="bottomRight" state="frozen"/>
      <selection pane="topRight" activeCell="B1" sqref="B1"/>
      <selection pane="bottomLeft" activeCell="A2" sqref="A2"/>
      <selection pane="bottomRight" activeCell="E39" sqref="E39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4.42578125" customWidth="1" style="6" min="13" max="13"/>
    <col width="4.85546875" customWidth="1" style="6" min="14" max="14"/>
    <col width="4.85546875" customWidth="1" style="7" min="15" max="15"/>
    <col width="4.85546875" customWidth="1" style="6" min="16" max="16"/>
    <col width="3.5703125" customWidth="1" style="7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5" t="inlineStr">
        <is>
          <t xml:space="preserve">B164 </t>
        </is>
      </c>
      <c r="B2" s="15" t="inlineStr">
        <is>
          <t xml:space="preserve">FISIOLOGÍA, GENÉTICA Y MICROBIOLOGÍA </t>
        </is>
      </c>
      <c r="C2" s="15" t="inlineStr">
        <is>
          <t xml:space="preserve">DOCTORADO EN BIOLOGÍA EXPERIMENTAL Y APLICADA </t>
        </is>
      </c>
      <c r="D2" s="15" t="inlineStr">
        <is>
          <t xml:space="preserve">Alustiza Fernandez, Miren </t>
        </is>
      </c>
      <c r="E2" s="15" t="inlineStr">
        <is>
          <t xml:space="preserve">Búsqueda de biomarcadores para la detección de enfermedades gastrointestinales </t>
        </is>
      </c>
      <c r="F2" s="15" t="inlineStr">
        <is>
          <t xml:space="preserve">18/09/2020 </t>
        </is>
      </c>
      <c r="G2" s="15" t="inlineStr">
        <is>
          <t xml:space="preserve">44766117K </t>
        </is>
      </c>
      <c r="H2" s="15" t="inlineStr">
        <is>
          <t xml:space="preserve">Codirector de tesis </t>
        </is>
      </c>
      <c r="I2" s="15" t="inlineStr">
        <is>
          <t xml:space="preserve">B169 </t>
        </is>
      </c>
      <c r="J2" s="15" t="inlineStr">
        <is>
          <t xml:space="preserve">QUÍMICA ANALÍTICA, NUTRICIÓN Y BROMATOLOGÍA </t>
        </is>
      </c>
      <c r="K2" s="89" t="n">
        <v>0.5</v>
      </c>
      <c r="L2" s="15" t="inlineStr">
        <is>
          <t>B169</t>
        </is>
      </c>
      <c r="M2" s="15" t="n">
        <v>2019</v>
      </c>
      <c r="N2" s="15" t="inlineStr">
        <is>
          <t>10.14</t>
        </is>
      </c>
      <c r="O2" s="16" t="inlineStr">
        <is>
          <t>20</t>
        </is>
      </c>
      <c r="P2" s="15" t="inlineStr"/>
      <c r="Q2" s="16" t="inlineStr"/>
      <c r="R2" s="17" t="n">
        <v>80</v>
      </c>
      <c r="S2" s="90" t="n">
        <v>0.4</v>
      </c>
      <c r="T2" s="90" t="n">
        <v>0.1</v>
      </c>
      <c r="U2" s="90" t="n">
        <v>0</v>
      </c>
    </row>
    <row r="3">
      <c r="A3" s="15" t="inlineStr">
        <is>
          <t xml:space="preserve">U052 </t>
        </is>
      </c>
      <c r="B3" s="15" t="inlineStr">
        <is>
          <t xml:space="preserve">ADM. I.U. DE MATERIALES </t>
        </is>
      </c>
      <c r="C3" s="15" t="inlineStr">
        <is>
          <t xml:space="preserve">DOCTORADO EN CIENCIA DE MATERIALES </t>
        </is>
      </c>
      <c r="D3" s="15" t="inlineStr">
        <is>
          <t xml:space="preserve">Baile Pomares, Paola </t>
        </is>
      </c>
      <c r="E3" s="15" t="inlineStr">
        <is>
          <t xml:space="preserve">DESARROLLO DE NUEVAS METODOLOGÍAS ECOLÓGICAS APLICADAS AL ANÁLISIS CLÍNICO </t>
        </is>
      </c>
      <c r="F3" s="15" t="inlineStr">
        <is>
          <t xml:space="preserve">18/11/2019 </t>
        </is>
      </c>
      <c r="G3" s="15" t="inlineStr">
        <is>
          <t xml:space="preserve">44766117K </t>
        </is>
      </c>
      <c r="H3" s="15" t="inlineStr">
        <is>
          <t xml:space="preserve">Codirector de tesis </t>
        </is>
      </c>
      <c r="I3" s="15" t="inlineStr">
        <is>
          <t xml:space="preserve">B169 </t>
        </is>
      </c>
      <c r="J3" s="15" t="inlineStr">
        <is>
          <t xml:space="preserve">QUÍMICA ANALÍTICA, NUTRICIÓN Y BROMATOLOGÍA </t>
        </is>
      </c>
      <c r="K3" s="89" t="n">
        <v>0.5</v>
      </c>
      <c r="L3" s="15" t="inlineStr">
        <is>
          <t>B169</t>
        </is>
      </c>
      <c r="M3" s="15" t="n">
        <v>2019</v>
      </c>
      <c r="N3" s="15" t="inlineStr">
        <is>
          <t>10.14</t>
        </is>
      </c>
      <c r="O3" s="16" t="inlineStr">
        <is>
          <t>20</t>
        </is>
      </c>
      <c r="P3" s="15" t="inlineStr"/>
      <c r="Q3" s="16" t="inlineStr"/>
      <c r="R3" s="17" t="n">
        <v>80</v>
      </c>
      <c r="S3" s="90" t="n">
        <v>0.4</v>
      </c>
      <c r="T3" s="90" t="n">
        <v>0.1</v>
      </c>
      <c r="U3" s="90" t="n">
        <v>0</v>
      </c>
    </row>
    <row r="4">
      <c r="A4" s="15" t="inlineStr">
        <is>
          <t xml:space="preserve">U052 </t>
        </is>
      </c>
      <c r="B4" s="15" t="inlineStr">
        <is>
          <t xml:space="preserve">ADM. I.U. DE MATERIALES </t>
        </is>
      </c>
      <c r="C4" s="15" t="inlineStr">
        <is>
          <t xml:space="preserve">DOCTORADO EN CIENCIA DE MATERIALES </t>
        </is>
      </c>
      <c r="D4" s="15" t="inlineStr">
        <is>
          <t xml:space="preserve">Baile Pomares, Paola </t>
        </is>
      </c>
      <c r="E4" s="15" t="inlineStr">
        <is>
          <t xml:space="preserve">DESARROLLO DE NUEVAS METODOLOGÍAS ECOLÓGICAS APLICADAS AL ANÁLISIS CLÍNICO </t>
        </is>
      </c>
      <c r="F4" s="15" t="inlineStr">
        <is>
          <t xml:space="preserve">18/11/2019 </t>
        </is>
      </c>
      <c r="G4" s="15" t="inlineStr">
        <is>
          <t xml:space="preserve">21415868Q </t>
        </is>
      </c>
      <c r="H4" s="15" t="inlineStr">
        <is>
          <t xml:space="preserve">Codirector de tesis </t>
        </is>
      </c>
      <c r="I4" s="15" t="inlineStr">
        <is>
          <t xml:space="preserve">B169 </t>
        </is>
      </c>
      <c r="J4" s="15" t="inlineStr">
        <is>
          <t xml:space="preserve">QUÍMICA ANALÍTICA, NUTRICIÓN Y BROMATOLOGÍA </t>
        </is>
      </c>
      <c r="K4" s="89" t="n">
        <v>0.5</v>
      </c>
      <c r="L4" s="15" t="inlineStr">
        <is>
          <t>B169</t>
        </is>
      </c>
      <c r="M4" s="15" t="n">
        <v>2019</v>
      </c>
      <c r="N4" s="15" t="inlineStr">
        <is>
          <t>10.14</t>
        </is>
      </c>
      <c r="O4" s="16" t="inlineStr">
        <is>
          <t>50</t>
        </is>
      </c>
      <c r="P4" s="15" t="inlineStr"/>
      <c r="Q4" s="16" t="inlineStr"/>
      <c r="R4" s="17" t="n">
        <v>50</v>
      </c>
      <c r="S4" s="90" t="n">
        <v>0.25</v>
      </c>
      <c r="T4" s="90" t="n">
        <v>0.25</v>
      </c>
      <c r="U4" s="90" t="n">
        <v>0</v>
      </c>
    </row>
    <row r="5">
      <c r="A5" s="13" t="inlineStr">
        <is>
          <t xml:space="preserve">U022 </t>
        </is>
      </c>
      <c r="B5" s="13" t="inlineStr">
        <is>
          <t xml:space="preserve">ADM. FACULTAD DE CIENCIAS </t>
        </is>
      </c>
      <c r="C5" s="13" t="inlineStr">
        <is>
          <t xml:space="preserve">DOCTORADO EN CIENCIAS EXPERIMENTALES Y BIOSANITARIAS </t>
        </is>
      </c>
      <c r="D5" s="13" t="inlineStr">
        <is>
          <t xml:space="preserve">Rubio Silva, Patricia </t>
        </is>
      </c>
      <c r="E5" s="13" t="inlineStr">
        <is>
          <t xml:space="preserve">Determinación del contenido elemental de "Hermetia illucens" y otros dípteros descomponedores, como fuentes de proteínas en alimentación animal </t>
        </is>
      </c>
      <c r="F5" s="13" t="inlineStr">
        <is>
          <t xml:space="preserve">30/11/2020 </t>
        </is>
      </c>
      <c r="G5" s="13" t="inlineStr">
        <is>
          <t xml:space="preserve">21649127D </t>
        </is>
      </c>
      <c r="H5" s="13" t="inlineStr">
        <is>
          <t xml:space="preserve">Codirector de tesis </t>
        </is>
      </c>
      <c r="I5" s="13" t="inlineStr">
        <is>
          <t xml:space="preserve">B169 </t>
        </is>
      </c>
      <c r="J5" s="13" t="inlineStr">
        <is>
          <t xml:space="preserve">QUÍMICA ANALÍTICA, NUTRICIÓN Y BROMATOLOGÍA </t>
        </is>
      </c>
      <c r="K5" s="19" t="n">
        <v>0.3333333333333333</v>
      </c>
      <c r="L5" s="19" t="inlineStr">
        <is>
          <t>B169</t>
        </is>
      </c>
      <c r="M5" s="20" t="n">
        <v>2019</v>
      </c>
      <c r="N5" s="13" t="inlineStr"/>
      <c r="O5" s="14" t="inlineStr"/>
      <c r="P5" s="13" t="inlineStr"/>
      <c r="Q5" s="14" t="inlineStr"/>
      <c r="R5" s="13" t="n">
        <v>100</v>
      </c>
      <c r="S5" s="13" t="n">
        <v>0.3333333333333333</v>
      </c>
      <c r="T5" s="13" t="n">
        <v>0</v>
      </c>
      <c r="U5" s="13" t="n">
        <v>0</v>
      </c>
    </row>
    <row r="6" ht="12" customHeight="1" thickBot="1">
      <c r="A6" s="13" t="inlineStr">
        <is>
          <t xml:space="preserve">U052 </t>
        </is>
      </c>
      <c r="B6" s="13" t="inlineStr">
        <is>
          <t xml:space="preserve">ADM. I.U. DE MATERIALES </t>
        </is>
      </c>
      <c r="C6" s="13" t="inlineStr">
        <is>
          <t xml:space="preserve">DOCTORADO EN CIENCIA DE MATERIALES </t>
        </is>
      </c>
      <c r="D6" s="13" t="inlineStr">
        <is>
          <t xml:space="preserve">Ripoll Seguer, Laura </t>
        </is>
      </c>
      <c r="E6" s="13" t="inlineStr">
        <is>
          <t xml:space="preserve">Sensibilización de la técnica Espectroscopía de Plasmas Producidos por Laser para el análisis de muestras líquidas mediante el uso de procedimientos de preparación de la muestra eficientes y fácilmente automatizables </t>
        </is>
      </c>
      <c r="F6" s="13" t="inlineStr">
        <is>
          <t xml:space="preserve">28/10/2020 </t>
        </is>
      </c>
      <c r="G6" s="13" t="inlineStr">
        <is>
          <t xml:space="preserve">33364292D </t>
        </is>
      </c>
      <c r="H6" s="13" t="inlineStr">
        <is>
          <t xml:space="preserve">Director de tesis </t>
        </is>
      </c>
      <c r="I6" s="13" t="inlineStr">
        <is>
          <t xml:space="preserve">B169 </t>
        </is>
      </c>
      <c r="J6" s="13" t="inlineStr">
        <is>
          <t xml:space="preserve">QUÍMICA ANALÍTICA, NUTRICIÓN Y BROMATOLOGÍA </t>
        </is>
      </c>
      <c r="K6" s="19" t="n">
        <v>1</v>
      </c>
      <c r="L6" s="19" t="inlineStr">
        <is>
          <t>B169</t>
        </is>
      </c>
      <c r="M6" s="20" t="n">
        <v>2019</v>
      </c>
      <c r="N6" s="13" t="inlineStr">
        <is>
          <t>10.14</t>
        </is>
      </c>
      <c r="O6" s="14" t="n">
        <v>50</v>
      </c>
      <c r="P6" s="13" t="inlineStr"/>
      <c r="Q6" s="14" t="n">
        <v>0</v>
      </c>
      <c r="R6" s="13" t="n">
        <v>50</v>
      </c>
      <c r="S6" s="13" t="n">
        <v>0.5</v>
      </c>
      <c r="T6" s="13" t="n">
        <v>0.5</v>
      </c>
      <c r="U6" s="13" t="n">
        <v>0</v>
      </c>
    </row>
    <row r="7" ht="12" customHeight="1" thickBot="1">
      <c r="A7" s="21" t="inlineStr">
        <is>
          <t xml:space="preserve">U022 </t>
        </is>
      </c>
      <c r="B7" s="21" t="inlineStr">
        <is>
          <t xml:space="preserve">ADM. FACULTAD DE CIENCIAS </t>
        </is>
      </c>
      <c r="C7" s="21" t="inlineStr">
        <is>
          <t xml:space="preserve">DOCTORADO EN CIENCIAS EXPERIMENTALES Y BIOSANITARIAS </t>
        </is>
      </c>
      <c r="D7" s="21" t="inlineStr">
        <is>
          <t xml:space="preserve">Mellinas Ciller, Ana Cristina </t>
        </is>
      </c>
      <c r="E7" s="21" t="inlineStr">
        <is>
          <t xml:space="preserve">¿Revalorización de residuos agro-industriales de cacao para su aplicación en el desarrollo de sistemas sostenibles y avanzados de envasado activo¿ </t>
        </is>
      </c>
      <c r="F7" s="21" t="inlineStr">
        <is>
          <t xml:space="preserve">24/02/2021 </t>
        </is>
      </c>
      <c r="G7" s="22" t="inlineStr">
        <is>
          <t xml:space="preserve">33482359V </t>
        </is>
      </c>
      <c r="H7" s="23" t="inlineStr">
        <is>
          <t xml:space="preserve">Codirector de tesis </t>
        </is>
      </c>
      <c r="I7" s="23" t="inlineStr">
        <is>
          <t xml:space="preserve">B169 </t>
        </is>
      </c>
      <c r="J7" s="24" t="inlineStr">
        <is>
          <t xml:space="preserve">QUÍMICA ANALÍTICA, NUTRICIÓN Y BROMATOLOGÍA </t>
        </is>
      </c>
      <c r="K7" s="19" t="n">
        <v>0.5</v>
      </c>
      <c r="L7" s="19" t="inlineStr">
        <is>
          <t>B169</t>
        </is>
      </c>
      <c r="M7" s="13" t="n">
        <v>2020</v>
      </c>
      <c r="N7" s="13" t="inlineStr"/>
      <c r="O7" s="14" t="inlineStr"/>
      <c r="P7" s="13" t="inlineStr"/>
      <c r="Q7" s="14" t="inlineStr"/>
      <c r="R7" s="13" t="n">
        <v>100</v>
      </c>
      <c r="S7" s="13" t="n">
        <v>0.5</v>
      </c>
      <c r="T7" s="13" t="n">
        <v>0</v>
      </c>
      <c r="U7" s="13" t="n">
        <v>0</v>
      </c>
    </row>
    <row r="8" ht="12" customHeight="1" thickBot="1">
      <c r="A8" s="21" t="inlineStr">
        <is>
          <t xml:space="preserve">U022 </t>
        </is>
      </c>
      <c r="B8" s="21" t="inlineStr">
        <is>
          <t xml:space="preserve">ADM. FACULTAD DE CIENCIAS </t>
        </is>
      </c>
      <c r="C8" s="21" t="inlineStr">
        <is>
          <t xml:space="preserve">DOCTORADO EN CIENCIAS EXPERIMENTALES Y BIOSANITARIAS </t>
        </is>
      </c>
      <c r="D8" s="21" t="inlineStr">
        <is>
          <t xml:space="preserve">Mellinas Ciller, Ana Cristina </t>
        </is>
      </c>
      <c r="E8" s="21" t="inlineStr">
        <is>
          <t xml:space="preserve">¿Revalorización de residuos agro-industriales de cacao para su aplicación en el desarrollo de sistemas sostenibles y avanzados de envasado activo¿ </t>
        </is>
      </c>
      <c r="F8" s="21" t="inlineStr">
        <is>
          <t xml:space="preserve">24/02/2021 </t>
        </is>
      </c>
      <c r="G8" s="22" t="inlineStr">
        <is>
          <t xml:space="preserve">21469491A </t>
        </is>
      </c>
      <c r="H8" s="23" t="inlineStr">
        <is>
          <t xml:space="preserve">Codirector de tesis </t>
        </is>
      </c>
      <c r="I8" s="23" t="inlineStr">
        <is>
          <t xml:space="preserve">B169 </t>
        </is>
      </c>
      <c r="J8" s="24" t="inlineStr">
        <is>
          <t xml:space="preserve">QUÍMICA ANALÍTICA, NUTRICIÓN Y BROMATOLOGÍA </t>
        </is>
      </c>
      <c r="K8" s="19" t="n">
        <v>0.5</v>
      </c>
      <c r="L8" s="19" t="inlineStr">
        <is>
          <t>B169</t>
        </is>
      </c>
      <c r="M8" s="13" t="n">
        <v>2020</v>
      </c>
      <c r="N8" s="13" t="inlineStr"/>
      <c r="O8" s="14" t="inlineStr"/>
      <c r="P8" s="13" t="inlineStr"/>
      <c r="Q8" s="14" t="inlineStr"/>
      <c r="R8" s="13" t="n">
        <v>100</v>
      </c>
      <c r="S8" s="13" t="n">
        <v>0.5</v>
      </c>
      <c r="T8" s="13" t="n">
        <v>0</v>
      </c>
      <c r="U8" s="13" t="n">
        <v>0</v>
      </c>
    </row>
    <row r="9" ht="12" customHeight="1" thickBot="1">
      <c r="A9" s="21" t="inlineStr">
        <is>
          <t xml:space="preserve">U022 </t>
        </is>
      </c>
      <c r="B9" s="21" t="inlineStr">
        <is>
          <t xml:space="preserve">ADM. FACULTAD DE CIENCIAS </t>
        </is>
      </c>
      <c r="C9" s="21" t="inlineStr">
        <is>
          <t xml:space="preserve">DOCTORADO EN CIENCIAS EXPERIMENTALES Y BIOSANITARIAS </t>
        </is>
      </c>
      <c r="D9" s="21" t="inlineStr">
        <is>
          <t xml:space="preserve">Lledó García, David </t>
        </is>
      </c>
      <c r="E9" s="21" t="inlineStr">
        <is>
          <t xml:space="preserve">APPLICATIONS OF IONIC LIQUIDS IN CATALYSIS AND METAL EXTRACTION </t>
        </is>
      </c>
      <c r="F9" s="21" t="inlineStr">
        <is>
          <t xml:space="preserve">19/02/2021 </t>
        </is>
      </c>
      <c r="G9" s="22" t="inlineStr">
        <is>
          <t xml:space="preserve">48348315S </t>
        </is>
      </c>
      <c r="H9" s="23" t="inlineStr">
        <is>
          <t xml:space="preserve">Codirector de tesis </t>
        </is>
      </c>
      <c r="I9" s="23" t="inlineStr">
        <is>
          <t xml:space="preserve">B169 </t>
        </is>
      </c>
      <c r="J9" s="24" t="inlineStr">
        <is>
          <t xml:space="preserve">QUÍMICA ANALÍTICA, NUTRICIÓN Y BROMATOLOGÍA </t>
        </is>
      </c>
      <c r="K9" s="19" t="n">
        <v>0.5</v>
      </c>
      <c r="L9" s="19" t="inlineStr">
        <is>
          <t>B169</t>
        </is>
      </c>
      <c r="M9" s="13" t="n">
        <v>2020</v>
      </c>
      <c r="N9" s="13" t="inlineStr">
        <is>
          <t>10.05</t>
        </is>
      </c>
      <c r="O9" s="14" t="n">
        <v>10</v>
      </c>
      <c r="P9" s="13" t="inlineStr"/>
      <c r="Q9" s="14" t="n">
        <v>0</v>
      </c>
      <c r="R9" s="13" t="n">
        <v>90</v>
      </c>
      <c r="S9" s="13" t="n">
        <v>0.45</v>
      </c>
      <c r="T9" s="13" t="n">
        <v>0.05</v>
      </c>
      <c r="U9" s="13" t="n">
        <v>0</v>
      </c>
    </row>
    <row r="10" ht="12" customHeight="1" thickBot="1">
      <c r="A10" s="21" t="inlineStr">
        <is>
          <t xml:space="preserve">U052 </t>
        </is>
      </c>
      <c r="B10" s="21" t="inlineStr">
        <is>
          <t xml:space="preserve">ADM. I.U. DE MATERIALES </t>
        </is>
      </c>
      <c r="C10" s="21" t="inlineStr">
        <is>
          <t xml:space="preserve">DOCTORADO EN CIENCIA DE MATERIALES </t>
        </is>
      </c>
      <c r="D10" s="21" t="inlineStr">
        <is>
          <t xml:space="preserve">García Martínez, Miriam </t>
        </is>
      </c>
      <c r="E10" s="21" t="inlineStr">
        <is>
          <t xml:space="preserve">Diseño, construcción y evaluación de un nuevo nebulizador multiconducto como estrategia innovadora para mejorar los parámetros analíticos de calidad en los análisis de muestras de matriz compleja mediante técnicas basadas en plasma: (ICP OES e ICP-MS </t>
        </is>
      </c>
      <c r="F10" s="21" t="inlineStr">
        <is>
          <t xml:space="preserve">10/05/2021 </t>
        </is>
      </c>
      <c r="G10" s="22" t="inlineStr">
        <is>
          <t xml:space="preserve">48561318S </t>
        </is>
      </c>
      <c r="H10" s="23" t="inlineStr">
        <is>
          <t xml:space="preserve">Codirector de tesis </t>
        </is>
      </c>
      <c r="I10" s="23" t="inlineStr">
        <is>
          <t xml:space="preserve">B169 </t>
        </is>
      </c>
      <c r="J10" s="24" t="inlineStr">
        <is>
          <t xml:space="preserve">QUÍMICA ANALÍTICA, NUTRICIÓN Y BROMATOLOGÍA </t>
        </is>
      </c>
      <c r="K10" s="19" t="n">
        <v>0.5</v>
      </c>
      <c r="L10" s="19" t="inlineStr">
        <is>
          <t>B169</t>
        </is>
      </c>
      <c r="M10" s="13" t="n">
        <v>2020</v>
      </c>
      <c r="N10" s="13" t="inlineStr"/>
      <c r="O10" s="14" t="inlineStr"/>
      <c r="P10" s="13" t="inlineStr"/>
      <c r="Q10" s="14" t="inlineStr"/>
      <c r="R10" s="13" t="n">
        <v>100</v>
      </c>
      <c r="S10" s="13" t="n">
        <v>0.5</v>
      </c>
      <c r="T10" s="13" t="n">
        <v>0</v>
      </c>
      <c r="U10" s="13" t="n">
        <v>0</v>
      </c>
    </row>
    <row r="11" ht="12" customHeight="1" thickBot="1">
      <c r="A11" s="21" t="inlineStr">
        <is>
          <t xml:space="preserve">U052 </t>
        </is>
      </c>
      <c r="B11" s="21" t="inlineStr">
        <is>
          <t xml:space="preserve">ADM. I.U. DE MATERIALES </t>
        </is>
      </c>
      <c r="C11" s="21" t="inlineStr">
        <is>
          <t xml:space="preserve">DOCTORADO EN CIENCIA DE MATERIALES </t>
        </is>
      </c>
      <c r="D11" s="21" t="inlineStr">
        <is>
          <t xml:space="preserve">García Martínez, Miriam </t>
        </is>
      </c>
      <c r="E11" s="21" t="inlineStr">
        <is>
          <t xml:space="preserve">Diseño, construcción y evaluación de un nuevo nebulizador multiconducto como estrategia innovadora para mejorar los parámetros analíticos de calidad en los análisis de muestras de matriz compleja mediante técnicas basadas en plasma: (ICP OES e ICP-MS </t>
        </is>
      </c>
      <c r="F11" s="21" t="inlineStr">
        <is>
          <t xml:space="preserve">10/05/2021 </t>
        </is>
      </c>
      <c r="G11" s="22" t="inlineStr">
        <is>
          <t xml:space="preserve">21415868Q </t>
        </is>
      </c>
      <c r="H11" s="23" t="inlineStr">
        <is>
          <t xml:space="preserve">Codirector de tesis </t>
        </is>
      </c>
      <c r="I11" s="23" t="inlineStr">
        <is>
          <t xml:space="preserve">B169 </t>
        </is>
      </c>
      <c r="J11" s="24" t="inlineStr">
        <is>
          <t xml:space="preserve">QUÍMICA ANALÍTICA, NUTRICIÓN Y BROMATOLOGÍA </t>
        </is>
      </c>
      <c r="K11" s="19" t="n">
        <v>0.5</v>
      </c>
      <c r="L11" s="19" t="inlineStr">
        <is>
          <t>B169</t>
        </is>
      </c>
      <c r="M11" s="13" t="n">
        <v>2020</v>
      </c>
      <c r="N11" s="13" t="inlineStr">
        <is>
          <t>10.14</t>
        </is>
      </c>
      <c r="O11" s="14" t="n">
        <v>50</v>
      </c>
      <c r="P11" s="13" t="inlineStr"/>
      <c r="Q11" s="14" t="n">
        <v>0</v>
      </c>
      <c r="R11" s="13" t="n">
        <v>50</v>
      </c>
      <c r="S11" s="13" t="n">
        <v>0.25</v>
      </c>
      <c r="T11" s="13" t="n">
        <v>0.25</v>
      </c>
      <c r="U11" s="13" t="n">
        <v>0</v>
      </c>
    </row>
    <row r="12">
      <c r="A12" s="13" t="inlineStr">
        <is>
          <t xml:space="preserve">U022 </t>
        </is>
      </c>
      <c r="B12" s="13" t="inlineStr">
        <is>
          <t xml:space="preserve">ADM. FACULTAD DE CIENCIAS </t>
        </is>
      </c>
      <c r="C12" s="13" t="inlineStr">
        <is>
          <t xml:space="preserve">DOCTORADO EN CIENCIAS EXPERIMENTALES Y BIOSANITARIAS </t>
        </is>
      </c>
      <c r="D12" s="13" t="inlineStr">
        <is>
          <t xml:space="preserve">Martínez del Olmo, Santiago </t>
        </is>
      </c>
      <c r="E12" s="13" t="inlineStr">
        <is>
          <t xml:space="preserve">¿Development of new methodologies based on icp techniques for the elemental analysis of renewable fuel feedstock and light petroleum products¿ </t>
        </is>
      </c>
      <c r="F12" s="13" t="inlineStr">
        <is>
          <t xml:space="preserve">27/04/2022 </t>
        </is>
      </c>
      <c r="G12" s="13" t="inlineStr">
        <is>
          <t xml:space="preserve">74003073K </t>
        </is>
      </c>
      <c r="H12" s="13" t="inlineStr">
        <is>
          <t xml:space="preserve">Codirector de tesis </t>
        </is>
      </c>
      <c r="I12" s="13" t="inlineStr">
        <is>
          <t xml:space="preserve">B169 </t>
        </is>
      </c>
      <c r="J12" s="13" t="inlineStr">
        <is>
          <t xml:space="preserve">QUÍMICA ANALÍTICA, NUTRICIÓN Y BROMATOLOGÍA </t>
        </is>
      </c>
      <c r="K12" s="19" t="n">
        <v>0.5</v>
      </c>
      <c r="L12" s="19" t="inlineStr">
        <is>
          <t>B169</t>
        </is>
      </c>
      <c r="M12" s="13" t="n">
        <v>2021</v>
      </c>
      <c r="N12" s="13" t="inlineStr"/>
      <c r="O12" s="14" t="inlineStr"/>
      <c r="P12" s="13" t="inlineStr"/>
      <c r="Q12" s="14" t="inlineStr"/>
      <c r="R12" s="13" t="n">
        <v>100</v>
      </c>
      <c r="S12" s="13" t="n">
        <v>0.5</v>
      </c>
      <c r="T12" s="13" t="n">
        <v>0</v>
      </c>
      <c r="U12" s="13" t="n">
        <v>0</v>
      </c>
    </row>
    <row r="13">
      <c r="A13" s="13" t="inlineStr">
        <is>
          <t xml:space="preserve">U022 </t>
        </is>
      </c>
      <c r="B13" s="13" t="inlineStr">
        <is>
          <t xml:space="preserve">ADM. FACULTAD DE CIENCIAS </t>
        </is>
      </c>
      <c r="C13" s="13" t="inlineStr">
        <is>
          <t xml:space="preserve">DOCTORADO EN CIENCIAS EXPERIMENTALES Y BIOSANITARIAS </t>
        </is>
      </c>
      <c r="D13" s="13" t="inlineStr">
        <is>
          <t xml:space="preserve">Martínez del Olmo, Santiago </t>
        </is>
      </c>
      <c r="E13" s="13" t="inlineStr">
        <is>
          <t xml:space="preserve">¿Development of new methodologies based on icp techniques for the elemental analysis of renewable fuel feedstock and light petroleum products¿ </t>
        </is>
      </c>
      <c r="F13" s="13" t="inlineStr">
        <is>
          <t xml:space="preserve">27/04/2022 </t>
        </is>
      </c>
      <c r="G13" s="13" t="inlineStr">
        <is>
          <t xml:space="preserve">21649127D </t>
        </is>
      </c>
      <c r="H13" s="13" t="inlineStr">
        <is>
          <t xml:space="preserve">Codirector de tesis </t>
        </is>
      </c>
      <c r="I13" s="13" t="inlineStr">
        <is>
          <t xml:space="preserve">B169 </t>
        </is>
      </c>
      <c r="J13" s="13" t="inlineStr">
        <is>
          <t xml:space="preserve">QUÍMICA ANALÍTICA, NUTRICIÓN Y BROMATOLOGÍA </t>
        </is>
      </c>
      <c r="K13" s="19" t="n">
        <v>0.5</v>
      </c>
      <c r="L13" s="19" t="inlineStr">
        <is>
          <t>B169</t>
        </is>
      </c>
      <c r="M13" s="13" t="n">
        <v>2021</v>
      </c>
      <c r="N13" s="13" t="inlineStr"/>
      <c r="O13" s="14" t="inlineStr"/>
      <c r="P13" s="13" t="inlineStr"/>
      <c r="Q13" s="14" t="inlineStr"/>
      <c r="R13" s="13" t="n">
        <v>100</v>
      </c>
      <c r="S13" s="13" t="n">
        <v>0.5</v>
      </c>
      <c r="T13" s="13" t="n">
        <v>0</v>
      </c>
      <c r="U13" s="13" t="n">
        <v>0</v>
      </c>
    </row>
    <row r="14">
      <c r="A14" s="13" t="inlineStr">
        <is>
          <t xml:space="preserve">U022 </t>
        </is>
      </c>
      <c r="B14" s="13" t="inlineStr">
        <is>
          <t xml:space="preserve">ADM. FACULTAD DE CIENCIAS </t>
        </is>
      </c>
      <c r="C14" s="13" t="inlineStr">
        <is>
          <t xml:space="preserve">DOCTORADO EN CIENCIAS EXPERIMENTALES Y BIOSANITARIAS </t>
        </is>
      </c>
      <c r="D14" s="13" t="inlineStr">
        <is>
          <t xml:space="preserve">Rubio Barber, Gemma Maria </t>
        </is>
      </c>
      <c r="E14" s="13" t="inlineStr">
        <is>
          <t xml:space="preserve">Estudio de la problemática y resolución en la cuantificación de ftalatos en el sector calzado </t>
        </is>
      </c>
      <c r="F14" s="13" t="inlineStr">
        <is>
          <t xml:space="preserve">10/06/2022 </t>
        </is>
      </c>
      <c r="G14" s="13" t="inlineStr">
        <is>
          <t xml:space="preserve">22006105G </t>
        </is>
      </c>
      <c r="H14" s="13" t="inlineStr">
        <is>
          <t xml:space="preserve">Codirector de tesis </t>
        </is>
      </c>
      <c r="I14" s="13" t="inlineStr">
        <is>
          <t xml:space="preserve">B169 </t>
        </is>
      </c>
      <c r="J14" s="13" t="inlineStr">
        <is>
          <t xml:space="preserve">QUÍMICA ANALÍTICA, NUTRICIÓN Y BROMATOLOGÍA </t>
        </is>
      </c>
      <c r="K14" s="19" t="n">
        <v>0.5</v>
      </c>
      <c r="L14" s="19" t="inlineStr">
        <is>
          <t>B169</t>
        </is>
      </c>
      <c r="M14" s="13" t="n">
        <v>2021</v>
      </c>
      <c r="N14" s="13" t="inlineStr"/>
      <c r="O14" s="14" t="inlineStr"/>
      <c r="P14" s="13" t="inlineStr"/>
      <c r="Q14" s="14" t="inlineStr"/>
      <c r="R14" s="13" t="n">
        <v>100</v>
      </c>
      <c r="S14" s="13" t="n">
        <v>0.5</v>
      </c>
      <c r="T14" s="13" t="n">
        <v>0</v>
      </c>
      <c r="U14" s="13" t="n">
        <v>0</v>
      </c>
    </row>
    <row r="15">
      <c r="A15" s="13" t="inlineStr">
        <is>
          <t xml:space="preserve">U022 </t>
        </is>
      </c>
      <c r="B15" s="13" t="inlineStr">
        <is>
          <t xml:space="preserve">ADM. FACULTAD DE CIENCIAS </t>
        </is>
      </c>
      <c r="C15" s="13" t="inlineStr">
        <is>
          <t xml:space="preserve">DOCTORADO EN CIENCIAS EXPERIMENTALES Y BIOSANITARIAS </t>
        </is>
      </c>
      <c r="D15" s="13" t="inlineStr">
        <is>
          <t xml:space="preserve">Solaberrieta Gonnet, Ignacio </t>
        </is>
      </c>
      <c r="E15" s="13" t="inlineStr">
        <is>
          <t xml:space="preserve">Desarrollo de biomateriales con aplicación en envasado activo de alimentos a partir de residuos agro-industriales de Aloe barbadensis </t>
        </is>
      </c>
      <c r="F15" s="13" t="inlineStr">
        <is>
          <t xml:space="preserve">21/09/2023 </t>
        </is>
      </c>
      <c r="G15" s="13" t="inlineStr">
        <is>
          <t xml:space="preserve">33482359V </t>
        </is>
      </c>
      <c r="H15" s="13" t="inlineStr">
        <is>
          <t xml:space="preserve">Codirector de tesis </t>
        </is>
      </c>
      <c r="I15" s="13" t="inlineStr">
        <is>
          <t xml:space="preserve">B169 </t>
        </is>
      </c>
      <c r="J15" s="13" t="inlineStr">
        <is>
          <t xml:space="preserve">QUÍMICA ANALÍTICA, NUTRICIÓN Y BROMATOLOGÍA </t>
        </is>
      </c>
      <c r="K15" s="31" t="n">
        <v>0.5</v>
      </c>
      <c r="L15" s="31" t="inlineStr">
        <is>
          <t>B169</t>
        </is>
      </c>
      <c r="M15" s="13" t="n">
        <v>2022</v>
      </c>
      <c r="N15" s="31" t="inlineStr"/>
      <c r="O15" s="31" t="inlineStr"/>
      <c r="P15" s="31" t="inlineStr"/>
      <c r="Q15" s="31" t="inlineStr"/>
      <c r="R15" s="31" t="n">
        <v>100</v>
      </c>
      <c r="S15" s="31" t="n">
        <v>0.5</v>
      </c>
      <c r="T15" s="31" t="n">
        <v>0</v>
      </c>
      <c r="U15" s="31" t="n">
        <v>0</v>
      </c>
    </row>
    <row r="16">
      <c r="A16" s="13" t="inlineStr">
        <is>
          <t xml:space="preserve">U022 </t>
        </is>
      </c>
      <c r="B16" s="13" t="inlineStr">
        <is>
          <t xml:space="preserve">ADM. FACULTAD DE CIENCIAS </t>
        </is>
      </c>
      <c r="C16" s="13" t="inlineStr">
        <is>
          <t xml:space="preserve">DOCTORADO EN CIENCIAS EXPERIMENTALES Y BIOSANITARIAS </t>
        </is>
      </c>
      <c r="D16" s="13" t="inlineStr">
        <is>
          <t xml:space="preserve">Solaberrieta Gonnet, Ignacio </t>
        </is>
      </c>
      <c r="E16" s="13" t="inlineStr">
        <is>
          <t xml:space="preserve">Desarrollo de biomateriales con aplicación en envasado activo de alimentos a partir de residuos agro-industriales de Aloe barbadensis </t>
        </is>
      </c>
      <c r="F16" s="13" t="inlineStr">
        <is>
          <t xml:space="preserve">21/09/2023 </t>
        </is>
      </c>
      <c r="G16" s="13" t="inlineStr">
        <is>
          <t xml:space="preserve">21469491A </t>
        </is>
      </c>
      <c r="H16" s="13" t="inlineStr">
        <is>
          <t xml:space="preserve">Codirector de tesis </t>
        </is>
      </c>
      <c r="I16" s="13" t="inlineStr">
        <is>
          <t xml:space="preserve">B169 </t>
        </is>
      </c>
      <c r="J16" s="13" t="inlineStr">
        <is>
          <t xml:space="preserve">QUÍMICA ANALÍTICA, NUTRICIÓN Y BROMATOLOGÍA </t>
        </is>
      </c>
      <c r="K16" s="31" t="n">
        <v>0.5</v>
      </c>
      <c r="L16" s="31" t="inlineStr">
        <is>
          <t>B169</t>
        </is>
      </c>
      <c r="M16" s="13" t="n">
        <v>2022</v>
      </c>
      <c r="N16" s="31" t="inlineStr"/>
      <c r="O16" s="31" t="inlineStr"/>
      <c r="P16" s="31" t="inlineStr"/>
      <c r="Q16" s="31" t="inlineStr"/>
      <c r="R16" s="31" t="n">
        <v>100</v>
      </c>
      <c r="S16" s="31" t="n">
        <v>0.5</v>
      </c>
      <c r="T16" s="31" t="n">
        <v>0</v>
      </c>
      <c r="U16" s="31" t="n">
        <v>0</v>
      </c>
    </row>
    <row r="17">
      <c r="A17" s="13" t="inlineStr">
        <is>
          <t xml:space="preserve">U022 </t>
        </is>
      </c>
      <c r="B17" s="13" t="inlineStr">
        <is>
          <t xml:space="preserve">ADM. FACULTAD DE CIENCIAS </t>
        </is>
      </c>
      <c r="C17" s="13" t="inlineStr">
        <is>
          <t xml:space="preserve">DOCTORADO EN CIENCIAS EXPERIMENTALES Y BIOSANITARIAS </t>
        </is>
      </c>
      <c r="D17" s="13" t="inlineStr">
        <is>
          <t xml:space="preserve">Torregrosa Carretero, Daniel </t>
        </is>
      </c>
      <c r="E17" s="13" t="inlineStr">
        <is>
          <t xml:space="preserve">SINGLE PARTICLE INDUCTIVELY COUPLED PLASMA MASS SPECTROMETRY AS ANALYTICAL TOOL FOR NANOMATERIALS AND BIOMOLECULES DETERMINATION: FUNDAMENTAL STUDIES </t>
        </is>
      </c>
      <c r="F17" s="13" t="inlineStr">
        <is>
          <t xml:space="preserve">10/03/2023 </t>
        </is>
      </c>
      <c r="G17" s="13" t="inlineStr">
        <is>
          <t xml:space="preserve">48348315S </t>
        </is>
      </c>
      <c r="H17" s="13" t="inlineStr">
        <is>
          <t xml:space="preserve">Codirector de tesis </t>
        </is>
      </c>
      <c r="I17" s="13" t="inlineStr">
        <is>
          <t xml:space="preserve">B169 </t>
        </is>
      </c>
      <c r="J17" s="13" t="inlineStr">
        <is>
          <t xml:space="preserve">QUÍMICA ANALÍTICA, NUTRICIÓN Y BROMATOLOGÍA </t>
        </is>
      </c>
      <c r="K17" s="31" t="n">
        <v>0.5</v>
      </c>
      <c r="L17" s="31" t="inlineStr">
        <is>
          <t>B169</t>
        </is>
      </c>
      <c r="M17" s="13" t="n">
        <v>2022</v>
      </c>
      <c r="N17" s="31" t="inlineStr">
        <is>
          <t>10.05</t>
        </is>
      </c>
      <c r="O17" s="31" t="n">
        <v>10</v>
      </c>
      <c r="P17" s="31" t="inlineStr"/>
      <c r="Q17" s="31" t="n">
        <v>0</v>
      </c>
      <c r="R17" s="31" t="n">
        <v>90</v>
      </c>
      <c r="S17" s="31" t="n">
        <v>0.45</v>
      </c>
      <c r="T17" s="31" t="n">
        <v>0.05</v>
      </c>
      <c r="U17" s="31" t="n">
        <v>0</v>
      </c>
    </row>
    <row r="18">
      <c r="A18" s="13" t="inlineStr">
        <is>
          <t xml:space="preserve">U022 </t>
        </is>
      </c>
      <c r="B18" s="13" t="inlineStr">
        <is>
          <t xml:space="preserve">ADM. FACULTAD DE CIENCIAS </t>
        </is>
      </c>
      <c r="C18" s="13" t="inlineStr">
        <is>
          <t xml:space="preserve">DOCTORADO EN CIENCIAS EXPERIMENTALES Y BIOSANITARIAS </t>
        </is>
      </c>
      <c r="D18" s="13" t="inlineStr">
        <is>
          <t xml:space="preserve">Torregrosa Carretero, Daniel </t>
        </is>
      </c>
      <c r="E18" s="13" t="inlineStr">
        <is>
          <t xml:space="preserve">SINGLE PARTICLE INDUCTIVELY COUPLED PLASMA MASS SPECTROMETRY AS ANALYTICAL TOOL FOR NANOMATERIALS AND BIOMOLECULES DETERMINATION: FUNDAMENTAL STUDIES </t>
        </is>
      </c>
      <c r="F18" s="13" t="inlineStr">
        <is>
          <t xml:space="preserve">10/03/2023 </t>
        </is>
      </c>
      <c r="G18" s="13" t="inlineStr">
        <is>
          <t xml:space="preserve">21989827X </t>
        </is>
      </c>
      <c r="H18" s="13" t="inlineStr">
        <is>
          <t xml:space="preserve">Codirector de tesis </t>
        </is>
      </c>
      <c r="I18" s="13" t="inlineStr">
        <is>
          <t xml:space="preserve">B169 </t>
        </is>
      </c>
      <c r="J18" s="13" t="inlineStr">
        <is>
          <t xml:space="preserve">QUÍMICA ANALÍTICA, NUTRICIÓN Y BROMATOLOGÍA </t>
        </is>
      </c>
      <c r="K18" s="31" t="n">
        <v>0.5</v>
      </c>
      <c r="L18" s="31" t="inlineStr">
        <is>
          <t>B169</t>
        </is>
      </c>
      <c r="M18" s="13" t="n">
        <v>2022</v>
      </c>
      <c r="N18" s="31" t="inlineStr"/>
      <c r="O18" s="31" t="inlineStr"/>
      <c r="P18" s="31" t="inlineStr"/>
      <c r="Q18" s="31" t="inlineStr"/>
      <c r="R18" s="31" t="n">
        <v>100</v>
      </c>
      <c r="S18" s="31" t="n">
        <v>0.5</v>
      </c>
      <c r="T18" s="31" t="n">
        <v>0</v>
      </c>
      <c r="U18" s="31" t="n">
        <v>0</v>
      </c>
    </row>
    <row r="19">
      <c r="A19" s="13" t="inlineStr">
        <is>
          <t xml:space="preserve">U044 </t>
        </is>
      </c>
      <c r="B19" s="13" t="inlineStr">
        <is>
          <t xml:space="preserve">ADM. FACULTAD DE CIENCIAS DE LA SALUD </t>
        </is>
      </c>
      <c r="C19" s="13" t="inlineStr">
        <is>
          <t xml:space="preserve">DOCTORADO EN CIENCIAS DE LA SALUD </t>
        </is>
      </c>
      <c r="D19" s="13" t="inlineStr">
        <is>
          <t xml:space="preserve">Juan Polo, Adriana </t>
        </is>
      </c>
      <c r="E19" s="13" t="inlineStr">
        <is>
          <t xml:space="preserve">Desarrollo de un envase activo con capacidad de absorción de oxígeno y potenciador del aroma para frutos secos </t>
        </is>
      </c>
      <c r="F19" s="13" t="inlineStr">
        <is>
          <t xml:space="preserve">28/06/2023 </t>
        </is>
      </c>
      <c r="G19" s="13" t="inlineStr">
        <is>
          <t xml:space="preserve">74222681W </t>
        </is>
      </c>
      <c r="H19" s="13" t="inlineStr">
        <is>
          <t xml:space="preserve">Codirector de tesis </t>
        </is>
      </c>
      <c r="I19" s="13" t="inlineStr">
        <is>
          <t xml:space="preserve">B169 </t>
        </is>
      </c>
      <c r="J19" s="13" t="inlineStr">
        <is>
          <t xml:space="preserve">QUÍMICA ANALÍTICA, NUTRICIÓN Y BROMATOLOGÍA </t>
        </is>
      </c>
      <c r="K19" s="31" t="n">
        <v>0.5</v>
      </c>
      <c r="L19" s="31" t="inlineStr">
        <is>
          <t>B169</t>
        </is>
      </c>
      <c r="M19" s="13" t="n">
        <v>2022</v>
      </c>
      <c r="N19" s="31" t="inlineStr"/>
      <c r="O19" s="31" t="inlineStr"/>
      <c r="P19" s="31" t="inlineStr"/>
      <c r="Q19" s="31" t="inlineStr"/>
      <c r="R19" s="31" t="n">
        <v>100</v>
      </c>
      <c r="S19" s="31" t="n">
        <v>0.5</v>
      </c>
      <c r="T19" s="31" t="n">
        <v>0</v>
      </c>
      <c r="U19" s="31" t="n">
        <v>0</v>
      </c>
    </row>
    <row r="20">
      <c r="A20" s="13" t="inlineStr">
        <is>
          <t xml:space="preserve">U044 </t>
        </is>
      </c>
      <c r="B20" s="13" t="inlineStr">
        <is>
          <t xml:space="preserve">ADM. FACULTAD DE CIENCIAS DE LA SALUD </t>
        </is>
      </c>
      <c r="C20" s="13" t="inlineStr">
        <is>
          <t xml:space="preserve">DOCTORADO EN CIENCIAS DE LA SALUD </t>
        </is>
      </c>
      <c r="D20" s="13" t="inlineStr">
        <is>
          <t xml:space="preserve">Juan Polo, Adriana </t>
        </is>
      </c>
      <c r="E20" s="13" t="inlineStr">
        <is>
          <t xml:space="preserve">Desarrollo de un envase activo con capacidad de absorción de oxígeno y potenciador del aroma para frutos secos </t>
        </is>
      </c>
      <c r="F20" s="13" t="inlineStr">
        <is>
          <t xml:space="preserve">28/06/2023 </t>
        </is>
      </c>
      <c r="G20" s="13" t="inlineStr">
        <is>
          <t xml:space="preserve">52773246E </t>
        </is>
      </c>
      <c r="H20" s="13" t="inlineStr">
        <is>
          <t xml:space="preserve">Codirector de tesis </t>
        </is>
      </c>
      <c r="I20" s="13" t="inlineStr">
        <is>
          <t xml:space="preserve">B169 </t>
        </is>
      </c>
      <c r="J20" s="13" t="inlineStr">
        <is>
          <t xml:space="preserve">QUÍMICA ANALÍTICA, NUTRICIÓN Y BROMATOLOGÍA </t>
        </is>
      </c>
      <c r="K20" s="31" t="n">
        <v>0.5</v>
      </c>
      <c r="L20" s="31" t="inlineStr">
        <is>
          <t>B169</t>
        </is>
      </c>
      <c r="M20" s="13" t="n">
        <v>2022</v>
      </c>
      <c r="N20" s="31" t="inlineStr"/>
      <c r="O20" s="31" t="inlineStr"/>
      <c r="P20" s="31" t="inlineStr"/>
      <c r="Q20" s="31" t="inlineStr"/>
      <c r="R20" s="31" t="n">
        <v>100</v>
      </c>
      <c r="S20" s="31" t="n">
        <v>0.5</v>
      </c>
      <c r="T20" s="31" t="n">
        <v>0</v>
      </c>
      <c r="U20" s="31" t="n">
        <v>0</v>
      </c>
    </row>
    <row r="21">
      <c r="A21" s="31" t="inlineStr">
        <is>
          <t>U022</t>
        </is>
      </c>
      <c r="B21" s="31" t="inlineStr">
        <is>
          <t>ADM. FACULTAD DE CIENCIAS</t>
        </is>
      </c>
      <c r="C21" s="31" t="inlineStr">
        <is>
          <t>DOCTORADO EN CIENCIAS EXPERIMENTALES Y BIOSANITARIAS</t>
        </is>
      </c>
      <c r="D21" s="31" t="inlineStr">
        <is>
          <t>Khalfi , Asma</t>
        </is>
      </c>
      <c r="E21" s="31" t="inlineStr">
        <is>
          <t>Development of new functional foods from food by-products rich in antioxidants and fatty acids</t>
        </is>
      </c>
      <c r="F21" s="31" t="inlineStr">
        <is>
          <t>19/09/2024</t>
        </is>
      </c>
      <c r="G21" s="31" t="inlineStr">
        <is>
          <t>48539721S</t>
        </is>
      </c>
      <c r="H21" s="31" t="inlineStr">
        <is>
          <t>Codirector de tesis</t>
        </is>
      </c>
      <c r="I21" s="31" t="inlineStr">
        <is>
          <t>B169</t>
        </is>
      </c>
      <c r="J21" s="31" t="inlineStr">
        <is>
          <t>QUÍMICA ANALÍTICA, NUTRICIÓN Y BROMATOLOGÍA</t>
        </is>
      </c>
      <c r="K21" s="31" t="n">
        <v>0.5</v>
      </c>
      <c r="L21" s="31" t="inlineStr">
        <is>
          <t>B169</t>
        </is>
      </c>
      <c r="M21" s="31" t="n">
        <v>2023</v>
      </c>
      <c r="N21" s="31" t="inlineStr"/>
      <c r="O21" s="31" t="inlineStr"/>
      <c r="P21" s="31" t="inlineStr"/>
      <c r="Q21" s="31" t="inlineStr"/>
      <c r="R21" s="31" t="n">
        <v>100</v>
      </c>
      <c r="S21" s="31" t="n">
        <v>0.5</v>
      </c>
      <c r="T21" s="31" t="n">
        <v>0</v>
      </c>
      <c r="U21" s="31" t="n">
        <v>0</v>
      </c>
      <c r="V21" s="6" t="inlineStr">
        <is>
          <t>S</t>
        </is>
      </c>
    </row>
    <row r="22">
      <c r="A22" s="31" t="inlineStr">
        <is>
          <t>U022</t>
        </is>
      </c>
      <c r="B22" s="31" t="inlineStr">
        <is>
          <t>ADM. FACULTAD DE CIENCIAS</t>
        </is>
      </c>
      <c r="C22" s="31" t="inlineStr">
        <is>
          <t>DOCTORADO EN CIENCIAS EXPERIMENTALES Y BIOSANITARIAS</t>
        </is>
      </c>
      <c r="D22" s="31" t="inlineStr">
        <is>
          <t>Khalfi , Asma</t>
        </is>
      </c>
      <c r="E22" s="31" t="inlineStr">
        <is>
          <t>Development of new functional foods from food by-products rich in antioxidants and fatty acids</t>
        </is>
      </c>
      <c r="F22" s="31" t="inlineStr">
        <is>
          <t>19/09/2024</t>
        </is>
      </c>
      <c r="G22" s="31" t="inlineStr">
        <is>
          <t>21469491A</t>
        </is>
      </c>
      <c r="H22" s="31" t="inlineStr">
        <is>
          <t>Codirector de tesis</t>
        </is>
      </c>
      <c r="I22" s="31" t="inlineStr">
        <is>
          <t>B169</t>
        </is>
      </c>
      <c r="J22" s="31" t="inlineStr">
        <is>
          <t>QUÍMICA ANALÍTICA, NUTRICIÓN Y BROMATOLOGÍA</t>
        </is>
      </c>
      <c r="K22" s="31" t="n">
        <v>0.5</v>
      </c>
      <c r="L22" s="31" t="inlineStr">
        <is>
          <t>B169</t>
        </is>
      </c>
      <c r="M22" s="31" t="n">
        <v>2023</v>
      </c>
      <c r="N22" s="31" t="inlineStr"/>
      <c r="O22" s="31" t="inlineStr"/>
      <c r="P22" s="31" t="inlineStr"/>
      <c r="Q22" s="31" t="inlineStr"/>
      <c r="R22" s="31" t="n">
        <v>100</v>
      </c>
      <c r="S22" s="31" t="n">
        <v>0.5</v>
      </c>
      <c r="T22" s="31" t="n">
        <v>0</v>
      </c>
      <c r="U22" s="31" t="n">
        <v>0</v>
      </c>
      <c r="V22" s="6" t="inlineStr">
        <is>
          <t>S</t>
        </is>
      </c>
    </row>
    <row r="23">
      <c r="A23" s="31" t="inlineStr">
        <is>
          <t>U022</t>
        </is>
      </c>
      <c r="B23" s="31" t="inlineStr">
        <is>
          <t>ADM. FACULTAD DE CIENCIAS</t>
        </is>
      </c>
      <c r="C23" s="31" t="inlineStr">
        <is>
          <t>DOCTORADO EN CIENCIAS EXPERIMENTALES Y BIOSANITARIAS</t>
        </is>
      </c>
      <c r="D23" s="31" t="inlineStr">
        <is>
          <t>Belhadj , Radia Niamet Allah</t>
        </is>
      </c>
      <c r="E23" s="31" t="inlineStr">
        <is>
          <t>Valorization of invasive aquatic plants and algae species as potential bioactive sources for sustainable food packaging applications</t>
        </is>
      </c>
      <c r="F23" s="31" t="inlineStr">
        <is>
          <t>18/09/2024</t>
        </is>
      </c>
      <c r="G23" s="31" t="inlineStr">
        <is>
          <t>33482359V</t>
        </is>
      </c>
      <c r="H23" s="31" t="inlineStr">
        <is>
          <t>Codirector de tesis</t>
        </is>
      </c>
      <c r="I23" s="31" t="inlineStr">
        <is>
          <t>B169</t>
        </is>
      </c>
      <c r="J23" s="31" t="inlineStr">
        <is>
          <t>QUÍMICA ANALÍTICA, NUTRICIÓN Y BROMATOLOGÍA</t>
        </is>
      </c>
      <c r="K23" s="31" t="n">
        <v>0.5</v>
      </c>
      <c r="L23" s="31" t="inlineStr">
        <is>
          <t>B169</t>
        </is>
      </c>
      <c r="M23" s="31" t="n">
        <v>2023</v>
      </c>
      <c r="N23" s="31" t="inlineStr"/>
      <c r="O23" s="31" t="inlineStr"/>
      <c r="P23" s="31" t="inlineStr"/>
      <c r="Q23" s="31" t="inlineStr"/>
      <c r="R23" s="31" t="n">
        <v>100</v>
      </c>
      <c r="S23" s="31" t="n">
        <v>0.5</v>
      </c>
      <c r="T23" s="31" t="n">
        <v>0</v>
      </c>
      <c r="U23" s="31" t="n">
        <v>0</v>
      </c>
      <c r="V23" s="6" t="inlineStr">
        <is>
          <t>S</t>
        </is>
      </c>
    </row>
    <row r="24">
      <c r="A24" s="31" t="inlineStr">
        <is>
          <t>U022</t>
        </is>
      </c>
      <c r="B24" s="31" t="inlineStr">
        <is>
          <t>Administración Facultad de Ciencias</t>
        </is>
      </c>
      <c r="C24" s="31" t="inlineStr">
        <is>
          <t>DOCTORADO EN CIENCIAS EXPERIMENTALES Y BIOSANITARIAS</t>
        </is>
      </c>
      <c r="D24" s="31" t="inlineStr">
        <is>
          <t>Pelegrín Perete, Carlos Javier</t>
        </is>
      </c>
      <c r="E24" s="31" t="inlineStr">
        <is>
          <t>REVALORIZACIÓN DE RESIDUOS AGRO-INDUSTRIALES DE CYPERUS ESCULENTUS Y
SUS TUBÉRCULOS</t>
        </is>
      </c>
      <c r="F24" s="31" t="inlineStr">
        <is>
          <t>29/09/2025</t>
        </is>
      </c>
      <c r="G24" s="31" t="inlineStr">
        <is>
          <t>33482359V</t>
        </is>
      </c>
      <c r="H24" s="31" t="inlineStr">
        <is>
          <t>Codirector de tesis</t>
        </is>
      </c>
      <c r="I24" s="31" t="inlineStr">
        <is>
          <t>B169</t>
        </is>
      </c>
      <c r="J24" s="31" t="inlineStr">
        <is>
          <t>Química Analítica, Nutrición y Bromatología</t>
        </is>
      </c>
      <c r="K24" s="31" t="n">
        <v>0.5</v>
      </c>
      <c r="L24" s="31" t="inlineStr">
        <is>
          <t>B169</t>
        </is>
      </c>
      <c r="M24" s="31" t="n">
        <v>2024</v>
      </c>
      <c r="N24" s="31" t="inlineStr"/>
      <c r="O24" s="31" t="inlineStr"/>
      <c r="P24" s="31" t="inlineStr"/>
      <c r="Q24" s="31" t="inlineStr"/>
      <c r="R24" s="31" t="n">
        <v>100</v>
      </c>
      <c r="S24" s="31" t="n">
        <v>0.5</v>
      </c>
      <c r="T24" s="31" t="n">
        <v>0</v>
      </c>
      <c r="U24" s="31" t="n">
        <v>0</v>
      </c>
    </row>
    <row r="25">
      <c r="A25" s="31" t="inlineStr">
        <is>
          <t>U022</t>
        </is>
      </c>
      <c r="B25" s="31" t="inlineStr">
        <is>
          <t>Administración Facultad de Ciencias</t>
        </is>
      </c>
      <c r="C25" s="31" t="inlineStr">
        <is>
          <t>DOCTORADO EN CIENCIAS EXPERIMENTALES Y BIOSANITARIAS</t>
        </is>
      </c>
      <c r="D25" s="31" t="inlineStr">
        <is>
          <t>Pelegrín Perete, Carlos Javier</t>
        </is>
      </c>
      <c r="E25" s="31" t="inlineStr">
        <is>
          <t>REVALORIZACIÓN DE RESIDUOS AGRO-INDUSTRIALES DE CYPERUS ESCULENTUS Y
SUS TUBÉRCULOS</t>
        </is>
      </c>
      <c r="F25" s="31" t="inlineStr">
        <is>
          <t>29/09/2025</t>
        </is>
      </c>
      <c r="G25" s="31" t="inlineStr">
        <is>
          <t>21469491A</t>
        </is>
      </c>
      <c r="H25" s="31" t="inlineStr">
        <is>
          <t>Codirector de tesis</t>
        </is>
      </c>
      <c r="I25" s="31" t="inlineStr">
        <is>
          <t>B169</t>
        </is>
      </c>
      <c r="J25" s="31" t="inlineStr">
        <is>
          <t>Química Analítica, Nutrición y Bromatología</t>
        </is>
      </c>
      <c r="K25" s="31" t="n">
        <v>0.5</v>
      </c>
      <c r="L25" s="31" t="inlineStr">
        <is>
          <t>B169</t>
        </is>
      </c>
      <c r="M25" s="31" t="n">
        <v>2024</v>
      </c>
      <c r="N25" s="31" t="inlineStr"/>
      <c r="O25" s="31" t="inlineStr"/>
      <c r="P25" s="31" t="inlineStr"/>
      <c r="Q25" s="31" t="inlineStr"/>
      <c r="R25" s="31" t="n">
        <v>100</v>
      </c>
      <c r="S25" s="31" t="n">
        <v>0.5</v>
      </c>
      <c r="T25" s="31" t="n">
        <v>0</v>
      </c>
      <c r="U25" s="31" t="n">
        <v>0</v>
      </c>
    </row>
    <row r="26">
      <c r="A26" s="31" t="inlineStr">
        <is>
          <t>U044</t>
        </is>
      </c>
      <c r="B26" s="31" t="inlineStr">
        <is>
          <t>Administración Facultad de Ciencias de la Salud</t>
        </is>
      </c>
      <c r="C26" s="31" t="inlineStr">
        <is>
          <t>DOCTORADO EN CIENCIAS DE LA SALUD</t>
        </is>
      </c>
      <c r="D26" s="31" t="inlineStr">
        <is>
          <t>Cenitagoya Alonso, Natalia</t>
        </is>
      </c>
      <c r="E26" s="31" t="inlineStr">
        <is>
          <t>Valorización de residuos de papaya para el desarrollo de biomateriales sostenibles aplicados a envases alimentarios.</t>
        </is>
      </c>
      <c r="F26" s="31" t="inlineStr">
        <is>
          <t>22/07/2025</t>
        </is>
      </c>
      <c r="G26" s="31" t="inlineStr">
        <is>
          <t>74222681W</t>
        </is>
      </c>
      <c r="H26" s="31" t="inlineStr">
        <is>
          <t>Codirector de tesis</t>
        </is>
      </c>
      <c r="I26" s="31" t="inlineStr">
        <is>
          <t>B169</t>
        </is>
      </c>
      <c r="J26" s="31" t="inlineStr">
        <is>
          <t>Química Analítica, Nutrición y Bromatología</t>
        </is>
      </c>
      <c r="K26" s="31" t="n">
        <v>0.5</v>
      </c>
      <c r="L26" s="31" t="inlineStr">
        <is>
          <t>B169</t>
        </is>
      </c>
      <c r="M26" s="31" t="n">
        <v>2024</v>
      </c>
      <c r="N26" s="31" t="inlineStr"/>
      <c r="O26" s="31" t="inlineStr"/>
      <c r="P26" s="31" t="inlineStr"/>
      <c r="Q26" s="31" t="inlineStr"/>
      <c r="R26" s="31" t="n">
        <v>100</v>
      </c>
      <c r="S26" s="31" t="n">
        <v>0.5</v>
      </c>
      <c r="T26" s="31" t="n">
        <v>0</v>
      </c>
      <c r="U26" s="31" t="n">
        <v>0</v>
      </c>
    </row>
    <row r="27">
      <c r="A27" s="31" t="inlineStr">
        <is>
          <t>U044</t>
        </is>
      </c>
      <c r="B27" s="31" t="inlineStr">
        <is>
          <t>Administración Facultad de Ciencias de la Salud</t>
        </is>
      </c>
      <c r="C27" s="31" t="inlineStr">
        <is>
          <t>DOCTORADO EN CIENCIAS DE LA SALUD</t>
        </is>
      </c>
      <c r="D27" s="31" t="inlineStr">
        <is>
          <t>Cenitagoya Alonso, Natalia</t>
        </is>
      </c>
      <c r="E27" s="31" t="inlineStr">
        <is>
          <t>Valorización de residuos de papaya para el desarrollo de biomateriales sostenibles aplicados a envases alimentarios.</t>
        </is>
      </c>
      <c r="F27" s="31" t="inlineStr">
        <is>
          <t>22/07/2025</t>
        </is>
      </c>
      <c r="G27" s="31" t="inlineStr">
        <is>
          <t>48572463M</t>
        </is>
      </c>
      <c r="H27" s="31" t="inlineStr">
        <is>
          <t>Codirector de tesis</t>
        </is>
      </c>
      <c r="I27" s="31" t="inlineStr">
        <is>
          <t>B169</t>
        </is>
      </c>
      <c r="J27" s="31" t="inlineStr">
        <is>
          <t>Química Analítica, Nutrición y Bromatología</t>
        </is>
      </c>
      <c r="K27" s="31" t="n">
        <v>0.5</v>
      </c>
      <c r="L27" s="31" t="inlineStr">
        <is>
          <t>B169</t>
        </is>
      </c>
      <c r="M27" s="31" t="n">
        <v>2024</v>
      </c>
      <c r="N27" s="31" t="inlineStr"/>
      <c r="O27" s="31" t="inlineStr"/>
      <c r="P27" s="31" t="inlineStr"/>
      <c r="Q27" s="31" t="inlineStr"/>
      <c r="R27" s="31" t="n">
        <v>100</v>
      </c>
      <c r="S27" s="31" t="n">
        <v>0.5</v>
      </c>
      <c r="T27" s="31" t="n">
        <v>0</v>
      </c>
      <c r="U27" s="31" t="n">
        <v>0</v>
      </c>
    </row>
    <row r="28">
      <c r="A28" s="31" t="inlineStr">
        <is>
          <t>U044</t>
        </is>
      </c>
      <c r="B28" s="31" t="inlineStr">
        <is>
          <t>Administración Facultad de Ciencias de la Salud</t>
        </is>
      </c>
      <c r="C28" s="31" t="inlineStr">
        <is>
          <t>DOCTORADO EN CIENCIAS DE LA SALUD</t>
        </is>
      </c>
      <c r="D28" s="31" t="inlineStr">
        <is>
          <t>Martínez Olcina, María</t>
        </is>
      </c>
      <c r="E28" s="31" t="inlineStr">
        <is>
          <t>Study on the Effects of Lifestyle Changes and Nutraceutical Intake on Bioparameters and Health Indicators // Estudio de los efectos de cambios del estilo de vida y la ingesta de nutracéuticos sobre bioparámetros e indicadores de salud</t>
        </is>
      </c>
      <c r="F28" s="31" t="inlineStr">
        <is>
          <t>04/04/2025</t>
        </is>
      </c>
      <c r="G28" s="31" t="inlineStr">
        <is>
          <t>74244305Y</t>
        </is>
      </c>
      <c r="H28" s="31" t="inlineStr">
        <is>
          <t>Director de tesis</t>
        </is>
      </c>
      <c r="I28" s="31" t="inlineStr">
        <is>
          <t>B169</t>
        </is>
      </c>
      <c r="J28" s="31" t="inlineStr">
        <is>
          <t>Química Analítica, Nutrición y Bromatología</t>
        </is>
      </c>
      <c r="K28" s="31" t="n">
        <v>1</v>
      </c>
      <c r="L28" s="31" t="inlineStr">
        <is>
          <t>B169</t>
        </is>
      </c>
      <c r="M28" s="31" t="n">
        <v>2024</v>
      </c>
      <c r="N28" s="31" t="inlineStr"/>
      <c r="O28" s="31" t="inlineStr"/>
      <c r="P28" s="31" t="inlineStr"/>
      <c r="Q28" s="31" t="inlineStr"/>
      <c r="R28" s="31" t="n">
        <v>100</v>
      </c>
      <c r="S28" s="31" t="n">
        <v>1</v>
      </c>
      <c r="T28" s="31" t="n">
        <v>0</v>
      </c>
      <c r="U28" s="31" t="n">
        <v>0</v>
      </c>
    </row>
    <row r="29">
      <c r="A29" s="31" t="inlineStr">
        <is>
          <t>U052</t>
        </is>
      </c>
      <c r="B29" s="31" t="inlineStr">
        <is>
          <t>I.U. de Materiales (10.14)</t>
        </is>
      </c>
      <c r="C29" s="31" t="inlineStr">
        <is>
          <t>DOCTORADO EN CIENCIA DE MATERIALES</t>
        </is>
      </c>
      <c r="D29" s="31" t="inlineStr">
        <is>
          <t>Sáez Torregrosa, Carmen Joaquina</t>
        </is>
      </c>
      <c r="E29" s="31" t="inlineStr">
        <is>
          <t>Biomonitorización humana a metales y evaluación del riesgo en la población de la Comunidad Valenciana</t>
        </is>
      </c>
      <c r="F29" s="31" t="inlineStr">
        <is>
          <t>15/09/2025</t>
        </is>
      </c>
      <c r="G29" s="31" t="inlineStr">
        <is>
          <t>48561318S</t>
        </is>
      </c>
      <c r="H29" s="31" t="inlineStr">
        <is>
          <t>Codirector de tesis</t>
        </is>
      </c>
      <c r="I29" s="31" t="inlineStr">
        <is>
          <t>B169</t>
        </is>
      </c>
      <c r="J29" s="31" t="inlineStr">
        <is>
          <t>Química Analítica, Nutrición y Bromatología</t>
        </is>
      </c>
      <c r="K29" s="31" t="n">
        <v>0.3333333333333333</v>
      </c>
      <c r="L29" s="31" t="inlineStr">
        <is>
          <t>B169</t>
        </is>
      </c>
      <c r="M29" s="31" t="n">
        <v>2024</v>
      </c>
      <c r="N29" s="31" t="inlineStr">
        <is>
          <t>10.14</t>
        </is>
      </c>
      <c r="O29" s="31" t="inlineStr">
        <is>
          <t>50</t>
        </is>
      </c>
      <c r="P29" s="31" t="inlineStr"/>
      <c r="Q29" s="31" t="inlineStr"/>
      <c r="R29" s="31" t="n">
        <v>50</v>
      </c>
      <c r="S29" s="31" t="n">
        <v>0.1666666666666666</v>
      </c>
      <c r="T29" s="31" t="n">
        <v>0.1666666666666666</v>
      </c>
      <c r="U29" s="31" t="n">
        <v>0</v>
      </c>
    </row>
    <row r="30">
      <c r="A30" s="31" t="inlineStr">
        <is>
          <t>U052</t>
        </is>
      </c>
      <c r="B30" s="31" t="inlineStr">
        <is>
          <t>I.U. de Materiales (10.14)</t>
        </is>
      </c>
      <c r="C30" s="31" t="inlineStr">
        <is>
          <t>DOCTORADO EN CIENCIA DE MATERIALES</t>
        </is>
      </c>
      <c r="D30" s="31" t="inlineStr">
        <is>
          <t>Sáez Torregrosa, Carmen Joaquina</t>
        </is>
      </c>
      <c r="E30" s="31" t="inlineStr">
        <is>
          <t>Biomonitorización humana a metales y evaluación del riesgo en la población de la Comunidad Valenciana</t>
        </is>
      </c>
      <c r="F30" s="31" t="inlineStr">
        <is>
          <t>15/09/2025</t>
        </is>
      </c>
      <c r="G30" s="31" t="inlineStr">
        <is>
          <t>21415868Q</t>
        </is>
      </c>
      <c r="H30" s="31" t="inlineStr">
        <is>
          <t>Codirector de tesis</t>
        </is>
      </c>
      <c r="I30" s="31" t="inlineStr">
        <is>
          <t>B169</t>
        </is>
      </c>
      <c r="J30" s="31" t="inlineStr">
        <is>
          <t>Química Analítica, Nutrición y Bromatología</t>
        </is>
      </c>
      <c r="K30" s="31" t="n">
        <v>0.3333333333333333</v>
      </c>
      <c r="L30" s="31" t="inlineStr">
        <is>
          <t>B169</t>
        </is>
      </c>
      <c r="M30" s="31" t="n">
        <v>2024</v>
      </c>
      <c r="N30" s="31" t="inlineStr">
        <is>
          <t>10.14</t>
        </is>
      </c>
      <c r="O30" s="31" t="inlineStr">
        <is>
          <t>50</t>
        </is>
      </c>
      <c r="P30" s="31" t="inlineStr"/>
      <c r="Q30" s="31" t="inlineStr"/>
      <c r="R30" s="31" t="n">
        <v>50</v>
      </c>
      <c r="S30" s="31" t="n">
        <v>0.1666666666666666</v>
      </c>
      <c r="T30" s="31" t="n">
        <v>0.1666666666666666</v>
      </c>
      <c r="U30" s="31" t="n">
        <v>0</v>
      </c>
    </row>
    <row r="31">
      <c r="A31" s="31" t="inlineStr">
        <is>
          <t>ZZ</t>
        </is>
      </c>
      <c r="B31" s="31" t="inlineStr">
        <is>
          <t>SIN ASIGNAR</t>
        </is>
      </c>
      <c r="C31" s="31" t="inlineStr">
        <is>
          <t>DOCTORADO EN CIENCIA DE MATERIALES</t>
        </is>
      </c>
      <c r="D31" s="31" t="inlineStr">
        <is>
          <t>Abellán Martín, Sergio José</t>
        </is>
      </c>
      <c r="E31" s="31" t="inlineStr">
        <is>
          <t>DESARROLLO DE MÉTODOS ANALÍTICOS SENSIBLES, RÁPIDOS Y ECOLÓGICOS PARA ANÁLISIS ELEMENTAL CON TÉCNICAS</t>
        </is>
      </c>
      <c r="F31" s="31" t="inlineStr">
        <is>
          <t>26/09/2025</t>
        </is>
      </c>
      <c r="G31" s="31" t="inlineStr">
        <is>
          <t>48561318S</t>
        </is>
      </c>
      <c r="H31" s="31" t="inlineStr">
        <is>
          <t>Codirector de tesis</t>
        </is>
      </c>
      <c r="I31" s="31" t="inlineStr">
        <is>
          <t>B169</t>
        </is>
      </c>
      <c r="J31" s="31" t="inlineStr">
        <is>
          <t>Química Analítica, Nutrición y Bromatología</t>
        </is>
      </c>
      <c r="K31" s="31" t="n">
        <v>0.5</v>
      </c>
      <c r="L31" s="31" t="inlineStr">
        <is>
          <t>B169</t>
        </is>
      </c>
      <c r="M31" s="31" t="n">
        <v>2024</v>
      </c>
      <c r="N31" s="31" t="inlineStr">
        <is>
          <t>10.14</t>
        </is>
      </c>
      <c r="O31" s="31" t="inlineStr">
        <is>
          <t>50</t>
        </is>
      </c>
      <c r="P31" s="31" t="inlineStr"/>
      <c r="Q31" s="31" t="inlineStr"/>
      <c r="R31" s="31" t="n">
        <v>50</v>
      </c>
      <c r="S31" s="31" t="n">
        <v>0.25</v>
      </c>
      <c r="T31" s="31" t="n">
        <v>0.25</v>
      </c>
      <c r="U31" s="31" t="n">
        <v>0</v>
      </c>
    </row>
    <row r="32">
      <c r="A32" s="31" t="inlineStr">
        <is>
          <t>ZZ</t>
        </is>
      </c>
      <c r="B32" s="31" t="inlineStr">
        <is>
          <t>SIN ASIGNAR</t>
        </is>
      </c>
      <c r="C32" s="31" t="inlineStr">
        <is>
          <t>DOCTORADO EN CIENCIA DE MATERIALES</t>
        </is>
      </c>
      <c r="D32" s="31" t="inlineStr">
        <is>
          <t>Abellán Martín, Sergio José</t>
        </is>
      </c>
      <c r="E32" s="31" t="inlineStr">
        <is>
          <t>DESARROLLO DE MÉTODOS ANALÍTICOS SENSIBLES, RÁPIDOS Y ECOLÓGICOS PARA ANÁLISIS ELEMENTAL CON TÉCNICAS</t>
        </is>
      </c>
      <c r="F32" s="31" t="inlineStr">
        <is>
          <t>26/09/2025</t>
        </is>
      </c>
      <c r="G32" s="31" t="inlineStr">
        <is>
          <t>21415868Q</t>
        </is>
      </c>
      <c r="H32" s="31" t="inlineStr">
        <is>
          <t>Codirector de tesis</t>
        </is>
      </c>
      <c r="I32" s="31" t="inlineStr">
        <is>
          <t>B169</t>
        </is>
      </c>
      <c r="J32" s="31" t="inlineStr">
        <is>
          <t>Química Analítica, Nutrición y Bromatología</t>
        </is>
      </c>
      <c r="K32" s="31" t="n">
        <v>0.5</v>
      </c>
      <c r="L32" s="31" t="inlineStr">
        <is>
          <t>B169</t>
        </is>
      </c>
      <c r="M32" s="31" t="n">
        <v>2024</v>
      </c>
      <c r="N32" s="31" t="inlineStr">
        <is>
          <t>10.14</t>
        </is>
      </c>
      <c r="O32" s="31" t="inlineStr">
        <is>
          <t>50</t>
        </is>
      </c>
      <c r="P32" s="31" t="inlineStr"/>
      <c r="Q32" s="31" t="inlineStr"/>
      <c r="R32" s="31" t="n">
        <v>50</v>
      </c>
      <c r="S32" s="31" t="n">
        <v>0.25</v>
      </c>
      <c r="T32" s="31" t="n">
        <v>0.25</v>
      </c>
      <c r="U32" s="31" t="n">
        <v>0</v>
      </c>
    </row>
    <row r="33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5" t="n"/>
      <c r="P33" s="44" t="n"/>
      <c r="Q33" s="45" t="n"/>
      <c r="R33" s="44" t="n"/>
      <c r="S33" s="91">
        <f>SUM(S2:S32)</f>
        <v/>
      </c>
      <c r="T33" s="44" t="n"/>
      <c r="U33" s="44" t="n"/>
    </row>
  </sheetData>
  <autoFilter ref="A1:U1">
    <sortState ref="A2:T1885">
      <sortCondition ref="K4:K1885"/>
      <sortCondition ref="L4:L1885"/>
      <sortCondition ref="D4:D1885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3"/>
  <sheetViews>
    <sheetView zoomScaleNormal="100" workbookViewId="0">
      <selection activeCell="V11" sqref="V11"/>
    </sheetView>
  </sheetViews>
  <sheetFormatPr baseColWidth="10" defaultColWidth="11.42578125" defaultRowHeight="12.75"/>
  <cols>
    <col width="10.85546875" bestFit="1" customWidth="1" style="11" min="1" max="1"/>
    <col width="38" bestFit="1" customWidth="1" style="11" min="2" max="2"/>
    <col width="17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3"/>
    <col width="5.7109375" bestFit="1" customWidth="1" style="12" min="14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60" customFormat="1" customHeight="1" s="10">
      <c r="A1" s="26" t="inlineStr">
        <is>
          <t>NIF</t>
        </is>
      </c>
      <c r="B1" s="26" t="inlineStr">
        <is>
          <t>NOMBRE_COMPLETO</t>
        </is>
      </c>
      <c r="C1" s="26" t="inlineStr">
        <is>
          <t>TIPO_SEXENIO</t>
        </is>
      </c>
      <c r="D1" s="27" t="inlineStr">
        <is>
          <t>2020</t>
        </is>
      </c>
      <c r="E1" s="27" t="inlineStr">
        <is>
          <t>2021</t>
        </is>
      </c>
      <c r="F1" s="27" t="inlineStr">
        <is>
          <t>2022</t>
        </is>
      </c>
      <c r="G1" s="27" t="inlineStr">
        <is>
          <t>2023</t>
        </is>
      </c>
      <c r="H1" s="27" t="inlineStr">
        <is>
          <t>2024</t>
        </is>
      </c>
      <c r="I1" s="27" t="inlineStr">
        <is>
          <t>2025</t>
        </is>
      </c>
      <c r="J1" s="26" t="inlineStr">
        <is>
          <t>Total general</t>
        </is>
      </c>
      <c r="K1" s="28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5" customHeight="1">
      <c r="A2" s="29" t="inlineStr">
        <is>
          <t>01889788Q</t>
        </is>
      </c>
      <c r="B2" s="29" t="inlineStr">
        <is>
          <t>Solaberrieta Gonnet, Ignacio</t>
        </is>
      </c>
      <c r="C2" s="29" t="inlineStr">
        <is>
          <t>NO FUNCIONARIO</t>
        </is>
      </c>
      <c r="D2" s="29" t="n"/>
      <c r="E2" s="29" t="n"/>
      <c r="F2" s="29" t="n"/>
      <c r="G2" s="29" t="n"/>
      <c r="H2" s="29" t="n"/>
      <c r="I2" s="29" t="n">
        <v>1</v>
      </c>
      <c r="J2" s="29" t="n">
        <v>1</v>
      </c>
      <c r="K2" s="29" t="inlineStr">
        <is>
          <t>B169</t>
        </is>
      </c>
      <c r="L2" s="30" t="n">
        <v>0</v>
      </c>
      <c r="M2" s="30" t="n">
        <v>0</v>
      </c>
      <c r="N2" s="30" t="inlineStr"/>
      <c r="O2" s="30" t="inlineStr"/>
      <c r="P2" s="30" t="n">
        <v>100</v>
      </c>
      <c r="Q2" s="30" t="n">
        <v>0</v>
      </c>
      <c r="R2" s="30" t="n">
        <v>0</v>
      </c>
      <c r="S2" s="30" t="n">
        <v>1</v>
      </c>
    </row>
    <row r="3" ht="15" customHeight="1">
      <c r="A3" s="29" t="inlineStr">
        <is>
          <t>21415868Q</t>
        </is>
      </c>
      <c r="B3" s="29" t="inlineStr">
        <is>
          <t>Canals Hernández, Antonio</t>
        </is>
      </c>
      <c r="C3" s="29" t="n">
        <v>6</v>
      </c>
      <c r="D3" s="29" t="n"/>
      <c r="E3" s="29" t="n"/>
      <c r="F3" s="29" t="n"/>
      <c r="G3" s="29" t="n"/>
      <c r="H3" s="29" t="n"/>
      <c r="I3" s="29" t="n">
        <v>1</v>
      </c>
      <c r="J3" s="29" t="n">
        <v>1</v>
      </c>
      <c r="K3" s="29" t="inlineStr">
        <is>
          <t>B169</t>
        </is>
      </c>
      <c r="L3" s="30" t="inlineStr">
        <is>
          <t>10.14</t>
        </is>
      </c>
      <c r="M3" s="30" t="inlineStr">
        <is>
          <t>50</t>
        </is>
      </c>
      <c r="N3" s="30" t="inlineStr"/>
      <c r="O3" s="30" t="inlineStr"/>
      <c r="P3" s="30" t="n">
        <v>50</v>
      </c>
      <c r="Q3" s="30" t="n">
        <v>0.5</v>
      </c>
      <c r="R3" s="30" t="n">
        <v>0</v>
      </c>
      <c r="S3" s="30" t="n">
        <v>0.5</v>
      </c>
    </row>
    <row r="4" ht="15" customHeight="1">
      <c r="A4" s="29" t="inlineStr">
        <is>
          <t>21469491A</t>
        </is>
      </c>
      <c r="B4" s="29" t="inlineStr">
        <is>
          <t>Jiménez Migallón, Alfonso</t>
        </is>
      </c>
      <c r="C4" s="29" t="inlineStr">
        <is>
          <t>FUNCIONARIO</t>
        </is>
      </c>
      <c r="D4" s="29" t="n">
        <v>1</v>
      </c>
      <c r="E4" s="29" t="n"/>
      <c r="F4" s="29" t="n"/>
      <c r="G4" s="29" t="n"/>
      <c r="H4" s="29" t="n"/>
      <c r="I4" s="29" t="n"/>
      <c r="J4" s="29" t="n">
        <v>1</v>
      </c>
      <c r="K4" s="29" t="inlineStr">
        <is>
          <t>B169</t>
        </is>
      </c>
      <c r="L4" s="30" t="n">
        <v>0</v>
      </c>
      <c r="M4" s="30" t="n">
        <v>0</v>
      </c>
      <c r="N4" s="30" t="inlineStr"/>
      <c r="O4" s="30" t="inlineStr"/>
      <c r="P4" s="30" t="n">
        <v>100</v>
      </c>
      <c r="Q4" s="30" t="n">
        <v>0</v>
      </c>
      <c r="R4" s="30" t="n">
        <v>0</v>
      </c>
      <c r="S4" s="30" t="n">
        <v>1</v>
      </c>
    </row>
    <row r="5" ht="15" customHeight="1">
      <c r="A5" s="29" t="inlineStr">
        <is>
          <t>21649127D</t>
        </is>
      </c>
      <c r="B5" s="29" t="inlineStr">
        <is>
          <t>Todolí Torró, José Luis</t>
        </is>
      </c>
      <c r="C5" s="29" t="inlineStr">
        <is>
          <t>FUNCIONARIO</t>
        </is>
      </c>
      <c r="D5" s="29" t="n"/>
      <c r="E5" s="29" t="n"/>
      <c r="F5" s="29" t="n">
        <v>1</v>
      </c>
      <c r="G5" s="29" t="n"/>
      <c r="H5" s="29" t="n"/>
      <c r="I5" s="29" t="n"/>
      <c r="J5" s="29" t="n">
        <v>1</v>
      </c>
      <c r="K5" s="29" t="inlineStr">
        <is>
          <t>B169</t>
        </is>
      </c>
      <c r="L5" s="30" t="n">
        <v>0</v>
      </c>
      <c r="M5" s="30" t="n">
        <v>0</v>
      </c>
      <c r="N5" s="30" t="inlineStr"/>
      <c r="O5" s="30" t="inlineStr"/>
      <c r="P5" s="30" t="n">
        <v>100</v>
      </c>
      <c r="Q5" s="30" t="n">
        <v>0</v>
      </c>
      <c r="R5" s="30" t="n">
        <v>0</v>
      </c>
      <c r="S5" s="30" t="n">
        <v>1</v>
      </c>
    </row>
    <row r="6" ht="15" customHeight="1">
      <c r="A6" s="29" t="inlineStr">
        <is>
          <t>21989827X</t>
        </is>
      </c>
      <c r="B6" s="29" t="inlineStr">
        <is>
          <t>Mora Pastor, Juan</t>
        </is>
      </c>
      <c r="C6" s="29" t="inlineStr">
        <is>
          <t>FUNCIONARIO</t>
        </is>
      </c>
      <c r="D6" s="29" t="n"/>
      <c r="E6" s="29" t="n"/>
      <c r="F6" s="29" t="n">
        <v>1</v>
      </c>
      <c r="G6" s="29" t="n"/>
      <c r="H6" s="29" t="n"/>
      <c r="I6" s="29" t="n"/>
      <c r="J6" s="29" t="n">
        <v>1</v>
      </c>
      <c r="K6" s="29" t="inlineStr">
        <is>
          <t>B169</t>
        </is>
      </c>
      <c r="L6" s="30" t="n">
        <v>0</v>
      </c>
      <c r="M6" s="30" t="n">
        <v>0</v>
      </c>
      <c r="N6" s="30" t="inlineStr"/>
      <c r="O6" s="30" t="inlineStr"/>
      <c r="P6" s="30" t="n">
        <v>100</v>
      </c>
      <c r="Q6" s="30" t="n">
        <v>0</v>
      </c>
      <c r="R6" s="30" t="n">
        <v>0</v>
      </c>
      <c r="S6" s="30" t="n">
        <v>1</v>
      </c>
    </row>
    <row r="7" ht="15" customHeight="1">
      <c r="A7" s="29" t="inlineStr">
        <is>
          <t>22006105G</t>
        </is>
      </c>
      <c r="B7" s="29" t="inlineStr">
        <is>
          <t>Gras García, Luis</t>
        </is>
      </c>
      <c r="C7" s="29" t="inlineStr">
        <is>
          <t>FUNCIONARIO</t>
        </is>
      </c>
      <c r="D7" s="29" t="n"/>
      <c r="E7" s="29" t="n">
        <v>1</v>
      </c>
      <c r="F7" s="29" t="n"/>
      <c r="G7" s="29" t="n"/>
      <c r="H7" s="29" t="n"/>
      <c r="I7" s="29" t="n"/>
      <c r="J7" s="29" t="n">
        <v>1</v>
      </c>
      <c r="K7" s="29" t="inlineStr">
        <is>
          <t>B169</t>
        </is>
      </c>
      <c r="L7" s="30" t="n">
        <v>0</v>
      </c>
      <c r="M7" s="30" t="n">
        <v>0</v>
      </c>
      <c r="N7" s="30" t="inlineStr"/>
      <c r="O7" s="30" t="inlineStr"/>
      <c r="P7" s="30" t="n">
        <v>100</v>
      </c>
      <c r="Q7" s="30" t="n">
        <v>0</v>
      </c>
      <c r="R7" s="30" t="n">
        <v>0</v>
      </c>
      <c r="S7" s="30" t="n">
        <v>1</v>
      </c>
    </row>
    <row r="8" ht="15" customHeight="1">
      <c r="A8" s="29" t="inlineStr">
        <is>
          <t>33364292D</t>
        </is>
      </c>
      <c r="B8" s="29" t="inlineStr">
        <is>
          <t>Hidalgo Núñez, María Montserrat</t>
        </is>
      </c>
      <c r="C8" s="29" t="inlineStr">
        <is>
          <t>FUNCIONARIO</t>
        </is>
      </c>
      <c r="D8" s="29" t="n"/>
      <c r="E8" s="29" t="n"/>
      <c r="F8" s="29" t="n"/>
      <c r="G8" s="29" t="n">
        <v>1</v>
      </c>
      <c r="H8" s="29" t="n"/>
      <c r="I8" s="29" t="n"/>
      <c r="J8" s="29" t="n">
        <v>1</v>
      </c>
      <c r="K8" s="29" t="inlineStr">
        <is>
          <t>B169</t>
        </is>
      </c>
      <c r="L8" s="30" t="inlineStr">
        <is>
          <t>10.14</t>
        </is>
      </c>
      <c r="M8" s="30" t="inlineStr">
        <is>
          <t>50</t>
        </is>
      </c>
      <c r="N8" s="30" t="inlineStr"/>
      <c r="O8" s="30" t="inlineStr"/>
      <c r="P8" s="30" t="n">
        <v>50</v>
      </c>
      <c r="Q8" s="30" t="n">
        <v>0.5</v>
      </c>
      <c r="R8" s="30" t="n">
        <v>0</v>
      </c>
      <c r="S8" s="30" t="n">
        <v>0.5</v>
      </c>
    </row>
    <row r="9" ht="15" customHeight="1">
      <c r="A9" s="29" t="inlineStr">
        <is>
          <t>33482359V</t>
        </is>
      </c>
      <c r="B9" s="29" t="inlineStr">
        <is>
          <t>Garrigós Selva, María del Carmen</t>
        </is>
      </c>
      <c r="C9" s="29" t="inlineStr">
        <is>
          <t>FUNCIONARIO</t>
        </is>
      </c>
      <c r="D9" s="29" t="n"/>
      <c r="E9" s="29" t="n"/>
      <c r="F9" s="29" t="n"/>
      <c r="G9" s="29" t="n"/>
      <c r="H9" s="29" t="n"/>
      <c r="I9" s="29" t="n">
        <v>1</v>
      </c>
      <c r="J9" s="29" t="n">
        <v>1</v>
      </c>
      <c r="K9" s="29" t="inlineStr">
        <is>
          <t>B169</t>
        </is>
      </c>
      <c r="L9" s="30" t="n">
        <v>0</v>
      </c>
      <c r="M9" s="30" t="n">
        <v>0</v>
      </c>
      <c r="N9" s="30" t="inlineStr"/>
      <c r="O9" s="30" t="inlineStr"/>
      <c r="P9" s="30" t="n">
        <v>100</v>
      </c>
      <c r="Q9" s="30" t="n">
        <v>0</v>
      </c>
      <c r="R9" s="30" t="n">
        <v>0</v>
      </c>
      <c r="S9" s="30" t="n">
        <v>1</v>
      </c>
    </row>
    <row r="10" ht="15" customHeight="1">
      <c r="A10" s="29" t="inlineStr">
        <is>
          <t>41448684Q</t>
        </is>
      </c>
      <c r="B10" s="29" t="inlineStr">
        <is>
          <t>Prats Moya, María Soledad</t>
        </is>
      </c>
      <c r="C10" s="29" t="inlineStr">
        <is>
          <t>FUNCIONARIO</t>
        </is>
      </c>
      <c r="D10" s="29" t="n"/>
      <c r="E10" s="29" t="n">
        <v>1</v>
      </c>
      <c r="F10" s="29" t="n"/>
      <c r="G10" s="29" t="n"/>
      <c r="H10" s="29" t="n"/>
      <c r="I10" s="29" t="n"/>
      <c r="J10" s="29" t="n">
        <v>1</v>
      </c>
      <c r="K10" s="29" t="inlineStr">
        <is>
          <t>B169</t>
        </is>
      </c>
      <c r="L10" s="30" t="n">
        <v>0</v>
      </c>
      <c r="M10" s="30" t="n">
        <v>0</v>
      </c>
      <c r="N10" s="30" t="inlineStr"/>
      <c r="O10" s="30" t="inlineStr"/>
      <c r="P10" s="30" t="n">
        <v>100</v>
      </c>
      <c r="Q10" s="30" t="n">
        <v>0</v>
      </c>
      <c r="R10" s="30" t="n">
        <v>0</v>
      </c>
      <c r="S10" s="30" t="n">
        <v>1</v>
      </c>
    </row>
    <row r="11" ht="15" customHeight="1">
      <c r="A11" s="29" t="inlineStr">
        <is>
          <t>44766117K</t>
        </is>
      </c>
      <c r="B11" s="29" t="inlineStr">
        <is>
          <t>Vidal Martínez, Lorena</t>
        </is>
      </c>
      <c r="C11" s="29" t="inlineStr">
        <is>
          <t>FUNCIONARIO</t>
        </is>
      </c>
      <c r="D11" s="29" t="n"/>
      <c r="E11" s="29" t="n"/>
      <c r="F11" s="29" t="n"/>
      <c r="G11" s="29" t="n"/>
      <c r="H11" s="29" t="n"/>
      <c r="I11" s="29" t="n">
        <v>1</v>
      </c>
      <c r="J11" s="29" t="n">
        <v>1</v>
      </c>
      <c r="K11" s="29" t="inlineStr">
        <is>
          <t>B169</t>
        </is>
      </c>
      <c r="L11" s="30" t="inlineStr">
        <is>
          <t>10.14</t>
        </is>
      </c>
      <c r="M11" s="30" t="inlineStr">
        <is>
          <t>50</t>
        </is>
      </c>
      <c r="N11" s="30" t="inlineStr"/>
      <c r="O11" s="30" t="inlineStr"/>
      <c r="P11" s="30" t="n">
        <v>50</v>
      </c>
      <c r="Q11" s="30" t="n">
        <v>0.5</v>
      </c>
      <c r="R11" s="30" t="n">
        <v>0</v>
      </c>
      <c r="S11" s="30" t="n">
        <v>0.5</v>
      </c>
    </row>
    <row r="12" ht="15" customHeight="1">
      <c r="A12" s="29" t="inlineStr">
        <is>
          <t>48333839Y</t>
        </is>
      </c>
      <c r="B12" s="29" t="inlineStr">
        <is>
          <t>Mellinas Ciller, Ana Cristina</t>
        </is>
      </c>
      <c r="C12" s="29" t="inlineStr">
        <is>
          <t>NO FUNCIONARIO</t>
        </is>
      </c>
      <c r="D12" s="29" t="n"/>
      <c r="E12" s="29" t="n"/>
      <c r="F12" s="29" t="n"/>
      <c r="G12" s="29" t="n"/>
      <c r="H12" s="29" t="n"/>
      <c r="I12" s="29" t="n">
        <v>1</v>
      </c>
      <c r="J12" s="29" t="n">
        <v>1</v>
      </c>
      <c r="K12" s="29" t="inlineStr">
        <is>
          <t>B169</t>
        </is>
      </c>
      <c r="L12" s="30" t="n">
        <v>0</v>
      </c>
      <c r="M12" s="30" t="n">
        <v>0</v>
      </c>
      <c r="N12" s="30" t="inlineStr"/>
      <c r="O12" s="30" t="inlineStr"/>
      <c r="P12" s="30" t="n">
        <v>100</v>
      </c>
      <c r="Q12" s="30" t="n">
        <v>0</v>
      </c>
      <c r="R12" s="30" t="n">
        <v>0</v>
      </c>
      <c r="S12" s="30" t="n">
        <v>1</v>
      </c>
    </row>
    <row r="13" ht="15" customHeight="1">
      <c r="A13" s="29" t="inlineStr">
        <is>
          <t>48348315S</t>
        </is>
      </c>
      <c r="B13" s="29" t="inlineStr">
        <is>
          <t>Grindlay Lledó, Guillermo</t>
        </is>
      </c>
      <c r="C13" s="29" t="inlineStr">
        <is>
          <t>FUNCIONARIO</t>
        </is>
      </c>
      <c r="D13" s="29" t="n">
        <v>2</v>
      </c>
      <c r="E13" s="29" t="n"/>
      <c r="F13" s="29" t="n">
        <v>1</v>
      </c>
      <c r="G13" s="29" t="n"/>
      <c r="H13" s="29" t="n"/>
      <c r="I13" s="29" t="n"/>
      <c r="J13" s="29" t="n">
        <v>3</v>
      </c>
      <c r="K13" s="29" t="inlineStr">
        <is>
          <t>B169</t>
        </is>
      </c>
      <c r="L13" s="30" t="inlineStr">
        <is>
          <t>10.05</t>
        </is>
      </c>
      <c r="M13" s="30" t="inlineStr">
        <is>
          <t>10</t>
        </is>
      </c>
      <c r="N13" s="30" t="inlineStr"/>
      <c r="O13" s="30" t="inlineStr"/>
      <c r="P13" s="30" t="n">
        <v>90</v>
      </c>
      <c r="Q13" s="30" t="n">
        <v>0.3</v>
      </c>
      <c r="R13" s="30" t="n">
        <v>0</v>
      </c>
      <c r="S13" s="30" t="n">
        <v>2.7</v>
      </c>
    </row>
    <row r="14" ht="15" customHeight="1">
      <c r="A14" s="29" t="inlineStr">
        <is>
          <t>48539721S</t>
        </is>
      </c>
      <c r="B14" s="29" t="inlineStr">
        <is>
          <t>Ramos Santonja, Marina</t>
        </is>
      </c>
      <c r="C14" s="29" t="inlineStr">
        <is>
          <t>NO FUNCIONARIO</t>
        </is>
      </c>
      <c r="D14" s="29" t="n"/>
      <c r="E14" s="29" t="n"/>
      <c r="F14" s="29" t="n"/>
      <c r="G14" s="29" t="n"/>
      <c r="H14" s="29" t="n">
        <v>2</v>
      </c>
      <c r="I14" s="29" t="n"/>
      <c r="J14" s="29" t="n">
        <v>2</v>
      </c>
      <c r="K14" s="29" t="inlineStr">
        <is>
          <t>B169</t>
        </is>
      </c>
      <c r="L14" s="30" t="n">
        <v>0</v>
      </c>
      <c r="M14" s="30" t="n">
        <v>0</v>
      </c>
      <c r="N14" s="30" t="inlineStr"/>
      <c r="O14" s="30" t="inlineStr"/>
      <c r="P14" s="30" t="n">
        <v>100</v>
      </c>
      <c r="Q14" s="30" t="n">
        <v>0</v>
      </c>
      <c r="R14" s="30" t="n">
        <v>0</v>
      </c>
      <c r="S14" s="30" t="n">
        <v>2</v>
      </c>
    </row>
    <row r="15" ht="15" customHeight="1">
      <c r="A15" s="29" t="inlineStr">
        <is>
          <t>48561318S</t>
        </is>
      </c>
      <c r="B15" s="29" t="inlineStr">
        <is>
          <t>Aguirre Pastor, Miguel Ángel</t>
        </is>
      </c>
      <c r="C15" s="29" t="inlineStr">
        <is>
          <t>FUNCIONARIO</t>
        </is>
      </c>
      <c r="D15" s="29" t="n"/>
      <c r="E15" s="29" t="n"/>
      <c r="F15" s="29" t="n"/>
      <c r="G15" s="29" t="n">
        <v>2</v>
      </c>
      <c r="H15" s="29" t="n"/>
      <c r="I15" s="29" t="n"/>
      <c r="J15" s="29" t="n">
        <v>2</v>
      </c>
      <c r="K15" s="29" t="inlineStr">
        <is>
          <t>B169</t>
        </is>
      </c>
      <c r="L15" s="30" t="inlineStr">
        <is>
          <t>10.14</t>
        </is>
      </c>
      <c r="M15" s="30" t="inlineStr">
        <is>
          <t>50</t>
        </is>
      </c>
      <c r="N15" s="30" t="inlineStr"/>
      <c r="O15" s="30" t="inlineStr"/>
      <c r="P15" s="30" t="n">
        <v>50</v>
      </c>
      <c r="Q15" s="30" t="n">
        <v>1</v>
      </c>
      <c r="R15" s="30" t="n">
        <v>0</v>
      </c>
      <c r="S15" s="30" t="n">
        <v>1</v>
      </c>
    </row>
    <row r="16" ht="15" customHeight="1">
      <c r="A16" s="29" t="inlineStr">
        <is>
          <t>48572463M</t>
        </is>
      </c>
      <c r="B16" s="29" t="inlineStr">
        <is>
          <t>Valdes García, Arantzazu</t>
        </is>
      </c>
      <c r="C16" s="29" t="inlineStr">
        <is>
          <t>FUNCIONARIO</t>
        </is>
      </c>
      <c r="D16" s="29" t="n"/>
      <c r="E16" s="29" t="n"/>
      <c r="F16" s="29" t="n"/>
      <c r="G16" s="29" t="n">
        <v>1</v>
      </c>
      <c r="H16" s="29" t="n"/>
      <c r="I16" s="29" t="n"/>
      <c r="J16" s="29" t="n">
        <v>1</v>
      </c>
      <c r="K16" s="29" t="inlineStr">
        <is>
          <t>B169</t>
        </is>
      </c>
      <c r="L16" s="30" t="n">
        <v>0</v>
      </c>
      <c r="M16" s="30" t="n">
        <v>0</v>
      </c>
      <c r="N16" s="30" t="inlineStr"/>
      <c r="O16" s="30" t="inlineStr"/>
      <c r="P16" s="30" t="n">
        <v>100</v>
      </c>
      <c r="Q16" s="30" t="n">
        <v>0</v>
      </c>
      <c r="R16" s="30" t="n">
        <v>0</v>
      </c>
      <c r="S16" s="30" t="n">
        <v>1</v>
      </c>
    </row>
    <row r="17" ht="15" customHeight="1">
      <c r="A17" s="29" t="inlineStr">
        <is>
          <t>48576651F</t>
        </is>
      </c>
      <c r="B17" s="29" t="inlineStr">
        <is>
          <t>Baenas Navarro, Nieves</t>
        </is>
      </c>
      <c r="C17" s="29" t="inlineStr">
        <is>
          <t>NO FUNCIONARIO</t>
        </is>
      </c>
      <c r="D17" s="29" t="n"/>
      <c r="E17" s="29" t="n"/>
      <c r="F17" s="29" t="n"/>
      <c r="G17" s="29" t="n"/>
      <c r="H17" s="29" t="n"/>
      <c r="I17" s="29" t="n">
        <v>2</v>
      </c>
      <c r="J17" s="29" t="n">
        <v>2</v>
      </c>
      <c r="K17" s="29" t="inlineStr">
        <is>
          <t>B169</t>
        </is>
      </c>
      <c r="L17" s="30" t="n">
        <v>0</v>
      </c>
      <c r="M17" s="30" t="n">
        <v>0</v>
      </c>
      <c r="N17" s="30" t="inlineStr"/>
      <c r="O17" s="30" t="inlineStr"/>
      <c r="P17" s="30" t="n">
        <v>100</v>
      </c>
      <c r="Q17" s="30" t="n">
        <v>0</v>
      </c>
      <c r="R17" s="30" t="n">
        <v>0</v>
      </c>
      <c r="S17" s="30" t="n">
        <v>2</v>
      </c>
    </row>
    <row r="18" ht="15" customHeight="1">
      <c r="A18" s="29" t="inlineStr">
        <is>
          <t>52773246E</t>
        </is>
      </c>
      <c r="B18" s="29" t="inlineStr">
        <is>
          <t>Maestre Pérez, Salvador Enrique</t>
        </is>
      </c>
      <c r="C18" s="37" t="inlineStr">
        <is>
          <t>FUNCIONARIO</t>
        </is>
      </c>
      <c r="D18" s="29" t="n"/>
      <c r="E18" s="29" t="n"/>
      <c r="F18" s="29" t="n"/>
      <c r="G18" s="29" t="n"/>
      <c r="H18" s="29" t="n"/>
      <c r="I18" s="29" t="n">
        <v>1</v>
      </c>
      <c r="J18" s="29" t="n">
        <v>1</v>
      </c>
      <c r="K18" s="29" t="inlineStr">
        <is>
          <t>B169</t>
        </is>
      </c>
      <c r="L18" s="30" t="n">
        <v>0</v>
      </c>
      <c r="M18" s="30" t="n">
        <v>0</v>
      </c>
      <c r="N18" s="30" t="inlineStr"/>
      <c r="O18" s="30" t="inlineStr"/>
      <c r="P18" s="30" t="n">
        <v>100</v>
      </c>
      <c r="Q18" s="30" t="n">
        <v>0</v>
      </c>
      <c r="R18" s="30" t="n">
        <v>0</v>
      </c>
      <c r="S18" s="30" t="n">
        <v>1</v>
      </c>
    </row>
    <row r="19" ht="15" customHeight="1">
      <c r="A19" s="38" t="inlineStr">
        <is>
          <t>73993402X</t>
        </is>
      </c>
      <c r="B19" s="38" t="inlineStr">
        <is>
          <t>Reig García Galbis, Manuel Felipe</t>
        </is>
      </c>
      <c r="C19" s="39" t="inlineStr">
        <is>
          <t>NO FUNCIONARIO</t>
        </is>
      </c>
      <c r="D19" s="38" t="n"/>
      <c r="E19" s="38" t="n"/>
      <c r="F19" s="38" t="n"/>
      <c r="G19" s="38" t="n"/>
      <c r="H19" s="38" t="n">
        <v>1</v>
      </c>
      <c r="I19" s="38" t="n"/>
      <c r="J19" s="38" t="n">
        <v>1</v>
      </c>
      <c r="K19" s="29" t="inlineStr">
        <is>
          <t>B169</t>
        </is>
      </c>
      <c r="L19" s="40" t="n">
        <v>0</v>
      </c>
      <c r="M19" s="40" t="n">
        <v>0</v>
      </c>
      <c r="N19" s="40" t="inlineStr"/>
      <c r="O19" s="40" t="inlineStr"/>
      <c r="P19" s="40" t="n">
        <v>100</v>
      </c>
      <c r="Q19" s="40" t="n">
        <v>0</v>
      </c>
      <c r="R19" s="40" t="n">
        <v>0</v>
      </c>
      <c r="S19" s="40" t="n">
        <v>1</v>
      </c>
    </row>
    <row r="20" ht="15" customHeight="1">
      <c r="A20" s="38" t="inlineStr">
        <is>
          <t>74003073K</t>
        </is>
      </c>
      <c r="B20" s="38" t="inlineStr">
        <is>
          <t>Sánchez Romero, Raquel</t>
        </is>
      </c>
      <c r="C20" s="39" t="inlineStr">
        <is>
          <t>FUNCIONARIO</t>
        </is>
      </c>
      <c r="D20" s="38" t="n"/>
      <c r="E20" s="38" t="n"/>
      <c r="F20" s="38" t="n"/>
      <c r="G20" s="38" t="n">
        <v>2</v>
      </c>
      <c r="H20" s="38" t="n"/>
      <c r="I20" s="38" t="n"/>
      <c r="J20" s="38" t="n">
        <v>2</v>
      </c>
      <c r="K20" s="29" t="inlineStr">
        <is>
          <t>B169</t>
        </is>
      </c>
      <c r="L20" s="40" t="n">
        <v>0</v>
      </c>
      <c r="M20" s="40" t="n">
        <v>0</v>
      </c>
      <c r="N20" s="40" t="inlineStr"/>
      <c r="O20" s="40" t="inlineStr"/>
      <c r="P20" s="40" t="n">
        <v>100</v>
      </c>
      <c r="Q20" s="40" t="n">
        <v>0</v>
      </c>
      <c r="R20" s="40" t="n">
        <v>0</v>
      </c>
      <c r="S20" s="40" t="n">
        <v>2</v>
      </c>
    </row>
    <row r="21" ht="15" customHeight="1">
      <c r="A21" s="38" t="inlineStr">
        <is>
          <t>74222681W</t>
        </is>
      </c>
      <c r="B21" s="38" t="inlineStr">
        <is>
          <t>Beltrán Sanahuja, Ana</t>
        </is>
      </c>
      <c r="C21" s="39" t="inlineStr">
        <is>
          <t>FUNCIONARIO</t>
        </is>
      </c>
      <c r="D21" s="38" t="n"/>
      <c r="E21" s="38" t="n"/>
      <c r="F21" s="38" t="n"/>
      <c r="G21" s="38" t="n">
        <v>2</v>
      </c>
      <c r="H21" s="38" t="n"/>
      <c r="I21" s="38" t="n"/>
      <c r="J21" s="38" t="n">
        <v>2</v>
      </c>
      <c r="K21" s="29" t="inlineStr">
        <is>
          <t>B169</t>
        </is>
      </c>
      <c r="L21" s="40" t="n">
        <v>0</v>
      </c>
      <c r="M21" s="40" t="n">
        <v>0</v>
      </c>
      <c r="N21" s="40" t="inlineStr"/>
      <c r="O21" s="40" t="inlineStr"/>
      <c r="P21" s="40" t="n">
        <v>100</v>
      </c>
      <c r="Q21" s="40" t="n">
        <v>0</v>
      </c>
      <c r="R21" s="40" t="n">
        <v>0</v>
      </c>
      <c r="S21" s="40" t="n">
        <v>2</v>
      </c>
    </row>
    <row r="22" ht="15" customHeight="1">
      <c r="A22" s="38" t="inlineStr">
        <is>
          <t>74244305Y</t>
        </is>
      </c>
      <c r="B22" s="38" t="inlineStr">
        <is>
          <t>Martínez Rodríguez, Alejandro</t>
        </is>
      </c>
      <c r="C22" s="39" t="inlineStr">
        <is>
          <t>FUNCIONARIO</t>
        </is>
      </c>
      <c r="D22" s="38" t="n"/>
      <c r="E22" s="38" t="n"/>
      <c r="F22" s="38" t="n"/>
      <c r="G22" s="38" t="n">
        <v>1</v>
      </c>
      <c r="H22" s="38" t="n"/>
      <c r="I22" s="38" t="n"/>
      <c r="J22" s="38" t="n">
        <v>1</v>
      </c>
      <c r="K22" s="29" t="inlineStr">
        <is>
          <t>B169</t>
        </is>
      </c>
      <c r="L22" s="40" t="n">
        <v>0</v>
      </c>
      <c r="M22" s="40" t="n">
        <v>0</v>
      </c>
      <c r="N22" s="40" t="inlineStr"/>
      <c r="O22" s="40" t="inlineStr"/>
      <c r="P22" s="40" t="n">
        <v>100</v>
      </c>
      <c r="Q22" s="40" t="n">
        <v>0</v>
      </c>
      <c r="R22" s="40" t="n">
        <v>0</v>
      </c>
      <c r="S22" s="40" t="n">
        <v>1</v>
      </c>
    </row>
    <row r="23" ht="15" customHeight="1">
      <c r="A23" s="41" t="n"/>
      <c r="B23" s="41" t="n"/>
      <c r="C23" s="42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3">
        <f>SUM(S2:S22)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topLeftCell="A37" workbookViewId="0">
      <selection activeCell="H12" sqref="H12"/>
    </sheetView>
  </sheetViews>
  <sheetFormatPr baseColWidth="10" defaultRowHeight="15"/>
  <cols>
    <col width="16.42578125" customWidth="1" min="1" max="1"/>
    <col width="65.28515625" customWidth="1" min="2" max="2"/>
    <col width="15.42578125" customWidth="1" min="3" max="3"/>
  </cols>
  <sheetData>
    <row r="1">
      <c r="A1" s="53" t="inlineStr">
        <is>
          <t>Cód. org. aplic.</t>
        </is>
      </c>
      <c r="B1" s="53" t="inlineStr">
        <is>
          <t>Descripción justificante</t>
        </is>
      </c>
      <c r="C1" s="53" t="inlineStr">
        <is>
          <t>Imp.cob.aplic.</t>
        </is>
      </c>
    </row>
    <row r="2">
      <c r="A2" s="34" t="inlineStr">
        <is>
          <t>35.30.6C.00.04</t>
        </is>
      </c>
      <c r="B2" s="34" t="inlineStr">
        <is>
          <t>1,5% SOBRE LA FACTURACIÓN DE PRODUCTOS ASOCIADOS A LA REIVINDICACIÓN 8 DE LA PATENTE ES2265270 DEL PERÍODO DEL 01/01/2022 AL 31/12/2022</t>
        </is>
      </c>
      <c r="C2" s="92" t="n">
        <v>15034.91</v>
      </c>
    </row>
    <row r="3">
      <c r="A3" s="35" t="inlineStr">
        <is>
          <t>35.30.6C.00.22</t>
        </is>
      </c>
      <c r="B3" s="35" t="inlineStr">
        <is>
          <t>5% SOBRE LA FACTURACIÓN DEL PERÍODO 01/01/2022 AL 31/12/2022 DE PRODUCTOS ASOCIADOS DE LA PATENTE P201431797</t>
        </is>
      </c>
      <c r="C3" s="93" t="n">
        <v>219.35</v>
      </c>
    </row>
    <row r="4">
      <c r="A4" s="34" t="inlineStr">
        <is>
          <t>35.30.6C.00.89</t>
        </is>
      </c>
      <c r="B4" s="34" t="inlineStr">
        <is>
          <t>TOTAL1-19I:PURCHASE ORDER FC05034423 50005416 13.06.2022 D16 ETUDES SCIENTIFIQUES ET TECHNIQUES D16 ETUDES RECHERCHE</t>
        </is>
      </c>
      <c r="C4" s="92" t="n">
        <v>18480</v>
      </c>
    </row>
    <row r="5">
      <c r="A5" s="35" t="inlineStr">
        <is>
          <t>35.30.6C.00.89</t>
        </is>
      </c>
      <c r="B5" s="35" t="inlineStr">
        <is>
          <t>PURCHASE ORDER 4505034423  50005416  13.06.2022 D16 ÉTUDES SCIENTIFIQUES ET TECHNIQUES D16 ETUDES RECHERCHE</t>
        </is>
      </c>
      <c r="C5" s="93" t="n">
        <v>-18480</v>
      </c>
    </row>
    <row r="6">
      <c r="A6" s="34" t="inlineStr">
        <is>
          <t>35.30.6C.01.54</t>
        </is>
      </c>
      <c r="B6" s="34" t="inlineStr">
        <is>
          <t>REGALÍA FIJO ANUAL 2022 CORRESPONDIENTE A LA PATENTE PCT/EP2020/025293</t>
        </is>
      </c>
      <c r="C6" s="92" t="n">
        <v>1800</v>
      </c>
    </row>
    <row r="7">
      <c r="A7" s="35" t="inlineStr">
        <is>
          <t>35.30.6C.01.66</t>
        </is>
      </c>
      <c r="B7" s="35" t="inlineStr">
        <is>
          <t>Tercer pago a la entrega del informe del contrato "Determinación de nutrientes en muestras de agua de mar II"</t>
        </is>
      </c>
      <c r="C7" s="93" t="n">
        <v>2515.81</v>
      </c>
    </row>
    <row r="8">
      <c r="A8" s="35" t="inlineStr">
        <is>
          <t>35.30.6C.01.79</t>
        </is>
      </c>
      <c r="B8" s="35" t="inlineStr">
        <is>
          <t>CARACTERIZACIÓN QUÍMICA DE MUESTRAS DE CARNE DE CERDO (HARINA); EN CONCRETO, PERFIL DE AMINOÁCIDOS, HUMEDAD, CENIZAS, PROTEÍNAS TOTALES, GRASAS, CARBOHIDRATOS TOTALES (POR DIFERENCIA) Y KCAL/100 G EN TRES MUESTRAS</t>
        </is>
      </c>
      <c r="C8" s="93" t="n">
        <v>643.72</v>
      </c>
    </row>
    <row r="9">
      <c r="A9" s="34" t="inlineStr">
        <is>
          <t>35.30.6C.01.95</t>
        </is>
      </c>
      <c r="B9" s="34" t="inlineStr">
        <is>
          <t>Upon signature of the Agreement of the Project System for liquid sample introduction and arsenic speciation by ICP-MS. IFPEN Ref nº 2022-0170  order form number 316579</t>
        </is>
      </c>
      <c r="C9" s="92" t="n">
        <v>4400</v>
      </c>
    </row>
    <row r="10">
      <c r="A10" s="35" t="inlineStr">
        <is>
          <t>35.30.6C.01.95</t>
        </is>
      </c>
      <c r="B10" s="35" t="inlineStr">
        <is>
          <t>Upon receipt by IFPEN of the final report and the h-TISIS system Ref nº 2022-0170 Orden form number 316579</t>
        </is>
      </c>
      <c r="C10" s="93" t="n">
        <v>4400</v>
      </c>
    </row>
    <row r="11">
      <c r="A11" s="34" t="inlineStr">
        <is>
          <t>35.30.6C.01.97</t>
        </is>
      </c>
      <c r="B11" s="34" t="inlineStr">
        <is>
          <t>ANÁLISIS DE LOS CATIONES Mg, Na y K EN 6 MUESTRAS DE YESO. REALIZADOS 01/12/2022</t>
        </is>
      </c>
      <c r="C11" s="92" t="n">
        <v>607.2</v>
      </c>
    </row>
    <row r="12">
      <c r="A12" s="35" t="inlineStr">
        <is>
          <t>35.30.6C.01.98</t>
        </is>
      </c>
      <c r="B12" s="35" t="inlineStr">
        <is>
          <t>CARACTERIZACIÓN QUÍMICA DE COMPUESTOS LIGNOCELULÓSICOS DERIVADOS DE RESIDUOS CÍTRICOS. Nº EXPEDIENTE: PC000284185</t>
        </is>
      </c>
      <c r="C12" s="93" t="n">
        <v>3520</v>
      </c>
    </row>
    <row r="13">
      <c r="A13" s="34" t="inlineStr">
        <is>
          <t>35.30.6C.02.00</t>
        </is>
      </c>
      <c r="B13" s="34" t="inlineStr">
        <is>
          <t>ANÁLISIS DE LOS CATIONES Mg, Na y K EN TRES MUESTRAS DE YESO REALIZADOS 20/01/2023</t>
        </is>
      </c>
      <c r="C13" s="92" t="n">
        <v>303.6</v>
      </c>
    </row>
    <row r="14">
      <c r="A14" s="35" t="inlineStr">
        <is>
          <t>35.30.6C.02.01</t>
        </is>
      </c>
      <c r="B14" s="35" t="inlineStr">
        <is>
          <t>ANÁLISIS DE LOS CATIONES Mg, Na y K EN TRES MUESTRAS DE YESO REALIZADOS 03/02/2023</t>
        </is>
      </c>
      <c r="C14" s="93" t="n">
        <v>303.6</v>
      </c>
    </row>
    <row r="15">
      <c r="A15" s="34" t="inlineStr">
        <is>
          <t>35.30.6C.02.02</t>
        </is>
      </c>
      <c r="B15" s="34" t="inlineStr">
        <is>
          <t>ANÁLISIS DE 4 MUESTRAS DE PIGMENTOS NATURALES PARA CUANTIFICAR CONTENIDO DE INDIGOTINA. Nº PEDIDO: PC.23-0704. PROYECTO: P23-017 APRONATEX</t>
        </is>
      </c>
      <c r="C15" s="92" t="n">
        <v>1183.6</v>
      </c>
    </row>
    <row r="16">
      <c r="A16" s="35" t="inlineStr">
        <is>
          <t>35.30.6C.02.03</t>
        </is>
      </c>
      <c r="B16" s="35" t="inlineStr">
        <is>
          <t>Influencia de los acabados en el compostaje del cuero (COMPOST-LEATHER-ABLE) NP061280 - Analisis de diversos materiales mediante espectroscopia infraroja con fuente de laser modulable (LDIR)</t>
        </is>
      </c>
      <c r="C16" s="93" t="n">
        <v>3141.6</v>
      </c>
    </row>
    <row r="17">
      <c r="A17" s="34" t="inlineStr">
        <is>
          <t>35.30.6C.02.04</t>
        </is>
      </c>
      <c r="B17" s="34" t="inlineStr">
        <is>
          <t>ANÁLISIS DE LOS CATIONES Mg, Na y K EN 10 MUESTRAS DE YESO. REALIZADOS 03/03/2023</t>
        </is>
      </c>
      <c r="C17" s="92" t="n">
        <v>1012</v>
      </c>
    </row>
    <row r="18">
      <c r="A18" s="35" t="inlineStr">
        <is>
          <t>35.30.6C.02.05</t>
        </is>
      </c>
      <c r="B18" s="35" t="inlineStr">
        <is>
          <t>Análisis de los cationes Mg, Na y K en DOS muestras de yeso. Fecha ensayo 31 de marzo de 2023</t>
        </is>
      </c>
      <c r="C18" s="93" t="n">
        <v>290.4</v>
      </c>
    </row>
    <row r="19">
      <c r="A19" s="34" t="inlineStr">
        <is>
          <t>35.30.6C.02.06</t>
        </is>
      </c>
      <c r="B19" s="34" t="inlineStr">
        <is>
          <t>DETERMINACIÓN DEL CONTENIDO DE SILICIO EN 40 MUESTRAS DE PET.</t>
        </is>
      </c>
      <c r="C19" s="92" t="n">
        <v>985.6</v>
      </c>
    </row>
    <row r="20">
      <c r="A20" s="35" t="inlineStr">
        <is>
          <t>35.30.6C.02.06</t>
        </is>
      </c>
      <c r="B20" s="35" t="inlineStr">
        <is>
          <t>DETERMINACIÓN DEL CONTENIDO DE SILICIO EN 40 MUESTRAS DE PET</t>
        </is>
      </c>
      <c r="C20" s="93" t="n">
        <v>985.6</v>
      </c>
    </row>
    <row r="21">
      <c r="A21" s="34" t="inlineStr">
        <is>
          <t>35.30.6C.02.07</t>
        </is>
      </c>
      <c r="B21" s="34" t="inlineStr">
        <is>
          <t>"939.153 - ENVASES ALIMENTARIOS TERMOSELLADOS CON RECUBRIMIENTOS APTOS PARA CONDICIONES EXTREMAS"</t>
        </is>
      </c>
      <c r="C21" s="92" t="n">
        <v>378.4</v>
      </c>
    </row>
    <row r="22">
      <c r="A22" s="35" t="inlineStr">
        <is>
          <t>35.30.6C.02.08</t>
        </is>
      </c>
      <c r="B22" s="35" t="inlineStr">
        <is>
          <t xml:space="preserve">ANÁLISIS DE LOS CATIONES MG. NA Y K EN NUEVE MUESTRAS DE YESO  </t>
        </is>
      </c>
      <c r="C22" s="93" t="n">
        <v>822.73</v>
      </c>
    </row>
    <row r="23">
      <c r="A23" s="34" t="inlineStr">
        <is>
          <t>35.30.6C.02.10</t>
        </is>
      </c>
      <c r="B23" s="34" t="inlineStr">
        <is>
          <t>Evaluación de Contenido del ejercicio N/A del proyecto 940.551 - de la empresa UNIVERSITAT POLITÈCNICA DE VALÈNCIA, titulado "INNVA1/2023/119: 119 ESCALADO SEMI-INDUSTRIAL DEL PROCESO DE OBTENCIÓN DE PRODUCTOS FUNCIONALES A PARTIR DEL APROVECHAMIENTO INTEGRAL DEL CAQUI", actuando como Experto Técnico.</t>
        </is>
      </c>
      <c r="C23" s="92" t="n">
        <v>158.4</v>
      </c>
    </row>
    <row r="24">
      <c r="A24" s="35" t="inlineStr">
        <is>
          <t>35.30.6C.02.11</t>
        </is>
      </c>
      <c r="B24" s="35" t="inlineStr">
        <is>
          <t>Determinación del contenido de silicio en 5 muestras de PET. El análisis se realizará por triplicado utilizando la técnica de Espectrometría de Masas con Plasma Acoplado Inductivamente (ICP-MS).  Para adecuar las muestras para su análisis, se llevará a cabo una digestión ácida de las mismas. (1er Pago)</t>
        </is>
      </c>
      <c r="C24" s="93" t="n">
        <v>98.56</v>
      </c>
    </row>
    <row r="25">
      <c r="A25" s="34" t="inlineStr">
        <is>
          <t>35.30.6C.02.11</t>
        </is>
      </c>
      <c r="B25" s="34" t="inlineStr">
        <is>
          <t>Determinación del contenido de silicio en 5 muestras de PET. El análisis se realizará por triplicado utilizando la técnica de Espectrometría de Masas con Plasma Acoplado Inductivamente (ICP-MS).  Para adecuar las muestras para su análisis, se llevará a cabo una digestión ácida de las misma. (2º pago)</t>
        </is>
      </c>
      <c r="C25" s="92" t="n">
        <v>98.56</v>
      </c>
    </row>
    <row r="26">
      <c r="A26" s="35" t="inlineStr">
        <is>
          <t>35.30.6C.02.13</t>
        </is>
      </c>
      <c r="B26" s="35" t="inlineStr">
        <is>
          <t>Evaluación de Contenido y Ejecución del ejercicio 2022 del proyecto 944.165 - de la empresa HAUSMANN, SL, titulado "DESARROLLO DE AROMA TIPO DONA", actuando como Experto Técnico.</t>
        </is>
      </c>
      <c r="C26" s="93" t="n">
        <v>660</v>
      </c>
    </row>
    <row r="27">
      <c r="A27" s="34" t="inlineStr">
        <is>
          <t>35.30.6C.02.15</t>
        </is>
      </c>
      <c r="B27" s="34" t="inlineStr">
        <is>
          <t>Nº pedido: PC23-1422: Determinación de parámetros fisicoquímicos en efluentes de la industria vinícola. Proyecto: P23-014 E-uplast.</t>
        </is>
      </c>
      <c r="C27" s="92" t="n">
        <v>1672</v>
      </c>
    </row>
    <row r="28">
      <c r="A28" s="35" t="inlineStr">
        <is>
          <t>35.30.6C.02.17</t>
        </is>
      </c>
      <c r="B28" s="35" t="inlineStr">
        <is>
          <t>ANÁLISIS DE LOS CATIONES MG, NA Y K EN LAS 3 MUESTRAS DE YESOS</t>
        </is>
      </c>
      <c r="C28" s="93" t="n">
        <v>303.6</v>
      </c>
    </row>
    <row r="29">
      <c r="A29" s="34" t="inlineStr">
        <is>
          <t>35.30.6C.02.17</t>
        </is>
      </c>
      <c r="B29" s="34" t="inlineStr">
        <is>
          <t>ANÁLISIS DE LOS CATIONES MG, NA Y K EN LAS 3 MUESTRAS DE YESOS</t>
        </is>
      </c>
      <c r="C29" s="92" t="n">
        <v>-303.6</v>
      </c>
    </row>
    <row r="30">
      <c r="A30" s="35" t="inlineStr">
        <is>
          <t>35.30.6C.02.17</t>
        </is>
      </c>
      <c r="B30" s="35" t="inlineStr">
        <is>
          <t>ANÁLISIS DE LOS CATIONES MG, NA Y K EN LAS 3 MUESTRAS DE YESOS</t>
        </is>
      </c>
      <c r="C30" s="93" t="n">
        <v>303.6</v>
      </c>
    </row>
    <row r="31">
      <c r="A31" s="34" t="inlineStr">
        <is>
          <t>35.30.6C.02.18</t>
        </is>
      </c>
      <c r="B31" s="34" t="inlineStr">
        <is>
          <t>ANÁLISIS DE LOS CATIONES MG, NA Y K EN LAS 2 MUESTRAS DE YESOS</t>
        </is>
      </c>
      <c r="C31" s="92" t="n">
        <v>202.4</v>
      </c>
    </row>
    <row r="32">
      <c r="A32" s="35" t="inlineStr">
        <is>
          <t>35.30.6C.02.19</t>
        </is>
      </c>
      <c r="B32" s="35" t="inlineStr">
        <is>
          <t>ANÁLISIS DE LOS CATIONES MG, NA Y K EN LAS 3 MUESTRAS DE YESOS</t>
        </is>
      </c>
      <c r="C32" s="93" t="n">
        <v>303.6</v>
      </c>
    </row>
    <row r="33">
      <c r="A33" s="34" t="inlineStr">
        <is>
          <t>35.30.6C.02.20</t>
        </is>
      </c>
      <c r="B33" s="34" t="inlineStr">
        <is>
          <t>50% por la finalización de la prestación de servicios para estudiar la viabilidad de la obtención de compuestos aromáticos.  Nº de Pedido: PC.23-4303. Proyecto: WASTE2CHEMVALUES</t>
        </is>
      </c>
      <c r="C33" s="92" t="n">
        <v>2178</v>
      </c>
    </row>
    <row r="34">
      <c r="A34" s="35" t="inlineStr">
        <is>
          <t>35.30.6C.02.20</t>
        </is>
      </c>
      <c r="B34" s="35" t="inlineStr">
        <is>
          <t>50% Inicio de la prestación de servicios para estudiar la viabilidad de la obtención de compuestos aromáticos. Nº de Pedido: PC.23-4303 Proyecto: WASTE2CHEMVALUES</t>
        </is>
      </c>
      <c r="C34" s="93" t="n">
        <v>2178</v>
      </c>
    </row>
    <row r="35">
      <c r="A35" s="34" t="inlineStr">
        <is>
          <t>35.30.6C.02.21</t>
        </is>
      </c>
      <c r="B35" s="34" t="inlineStr">
        <is>
          <t>50% Inicio de la prestación de servicios para la determinación del contenido del calcio, magnesio y mercurio en muestras de cabello humano empleado en una metodología mixta.</t>
        </is>
      </c>
      <c r="C35" s="92" t="n">
        <v>3688.52</v>
      </c>
    </row>
    <row r="36">
      <c r="A36" s="35" t="inlineStr">
        <is>
          <t>35.30.6C.02.22</t>
        </is>
      </c>
      <c r="B36" s="35" t="inlineStr">
        <is>
          <t>CARACTERIZACIÓN TÉRMICA DE MATERIALES BIOBASADOS REFORZADOS CON FIBRAS DE POSIDONIA OCEÁNICA. PEDIDO PK000316846</t>
        </is>
      </c>
      <c r="C36" s="93" t="n">
        <v>3960</v>
      </c>
    </row>
    <row r="37">
      <c r="A37" s="34" t="inlineStr">
        <is>
          <t>35.30.6C.02.23</t>
        </is>
      </c>
      <c r="B37" s="34" t="inlineStr">
        <is>
          <t>POSICION 00001 EVALUACIÓN TECNOLOGÍA DE CUANTIFICACIÓN PEDIDO Nº AR 10052982</t>
        </is>
      </c>
      <c r="C37" s="92" t="n">
        <v>5632</v>
      </c>
    </row>
    <row r="38">
      <c r="A38" s="35" t="inlineStr">
        <is>
          <t>35.30.6C.02.24</t>
        </is>
      </c>
      <c r="B38" s="35" t="inlineStr">
        <is>
          <t>Pedido: PC.23-6423 Determinación de polifenoles en efluentes de la industria olivinícola. Proyecto: P23-016 E-uplat.</t>
        </is>
      </c>
      <c r="C38" s="93" t="n">
        <v>792</v>
      </c>
    </row>
    <row r="39">
      <c r="A39" s="34" t="inlineStr">
        <is>
          <t>35.30.6C.02.25</t>
        </is>
      </c>
      <c r="B39" s="34" t="inlineStr">
        <is>
          <t>Validación de un método cromatográfico PROYECTO: BIOACTIVE P23_010 Nº DE PEDIDO: PC236581.</t>
        </is>
      </c>
      <c r="C39" s="92" t="n">
        <v>545.6</v>
      </c>
    </row>
    <row r="40">
      <c r="A40" s="35" t="inlineStr">
        <is>
          <t>35.30.6M.00.04</t>
        </is>
      </c>
      <c r="B40" s="35" t="inlineStr">
        <is>
          <t>PRESTACIÓN DE SERVICIOS PROFESIONALES PARA ACTIVIDADES DE 50 HORAS DE FORMACIÓN EN HERRAMIENTAS, TÉCNICAS Y PROCEDIMIENTOS EN LA VALORACIÓN DE LA COMPOSICIÓN CORPORAL Y SU INTERPRETACIÓN EN DIFERENTES POBLACIONES.</t>
        </is>
      </c>
      <c r="C40" s="93" t="n">
        <v>880</v>
      </c>
    </row>
    <row r="41">
      <c r="A41" s="34" t="inlineStr">
        <is>
          <t>35.30.6M.00.05</t>
        </is>
      </c>
      <c r="B41" s="34" t="inlineStr">
        <is>
          <t>PRESTACIÓN DE SERVICIOS PROFESIONALES PARA ACTIVIDADES DE 50 HORAS DE FORMACIÓN EN INGREDIENTES Y COMPUESTOS VEGETALES Y SU INFLUENCIA EN EL ORGANISMO</t>
        </is>
      </c>
      <c r="C41" s="92" t="n">
        <v>880</v>
      </c>
    </row>
    <row r="42">
      <c r="A42" s="35" t="inlineStr">
        <is>
          <t>35.30.6P.00.36</t>
        </is>
      </c>
      <c r="B42" s="35" t="inlineStr">
        <is>
          <t>PID2020-115956GB-I00/116185GB-I00/116496RB-C21/116514GB-I00/116998RB-I00/117303GBC22/118006RB-I00/118322RB-I00/118447RA-I00/118476RR-C22</t>
        </is>
      </c>
      <c r="C42" s="93" t="n">
        <v>46724.07</v>
      </c>
    </row>
    <row r="43">
      <c r="A43" s="34" t="inlineStr">
        <is>
          <t>35.30.6P.00.41</t>
        </is>
      </c>
      <c r="B43" s="34" t="inlineStr">
        <is>
          <t xml:space="preserve">MINORACIÓN INNVA1/2022/16 </t>
        </is>
      </c>
      <c r="C43" s="92" t="n">
        <v>-1741</v>
      </c>
    </row>
    <row r="44">
      <c r="A44" s="35" t="inlineStr">
        <is>
          <t>35.30.6P.00.41</t>
        </is>
      </c>
      <c r="B44" s="35" t="inlineStr">
        <is>
          <t xml:space="preserve">INNVA1/2022/16 INNVA1/2022/26 INNVA1/2022/34 INNVA1/2022/36 </t>
        </is>
      </c>
      <c r="C44" s="93" t="n">
        <v>97680.69</v>
      </c>
    </row>
    <row r="45">
      <c r="A45" s="34" t="inlineStr">
        <is>
          <t>35.30.6P.00.42</t>
        </is>
      </c>
      <c r="B45" s="34" t="inlineStr">
        <is>
          <t xml:space="preserve">PID2021-122320NA-I00/123699NB-I00/124741NB-I00/124860NB-I00/125387NB-I00/126485OB-I00/127332NB-I00/127566NB-I00/127967NB-I00 </t>
        </is>
      </c>
      <c r="C45" s="92" t="n">
        <v>15865</v>
      </c>
    </row>
    <row r="46">
      <c r="A46" s="35" t="inlineStr">
        <is>
          <t>35.30.6P.00.45</t>
        </is>
      </c>
      <c r="B46" s="35" t="inlineStr">
        <is>
          <t>DEVOLUCIÓN DE INGRESOS_ MODELO 047_Nº de liquidación:46/2023/RAS/10335/1_ Número de justificante: 047/1/002404332_Nº de referencia: 047/1/002404332</t>
        </is>
      </c>
      <c r="C46" s="93" t="n">
        <v>-18000</v>
      </c>
    </row>
    <row r="47">
      <c r="A47" s="34" t="inlineStr">
        <is>
          <t>35.30.6P.00.46</t>
        </is>
      </c>
      <c r="B47" s="34" t="inlineStr">
        <is>
          <t xml:space="preserve">TED2021-130707B-I00, TED2021-129617B-I00, TED2021-129894B-I00, TED2021-129216B-I00, TED2021-130070B-I00, TED2021-130080B-I00, TED2021-130776A-I00, TED2021-132697B-I00, TED2021-131028B-I00, TED2021-132103A-I00, TED2021-130304B-I00 </t>
        </is>
      </c>
      <c r="C47" s="92" t="n">
        <v>80360</v>
      </c>
    </row>
    <row r="48">
      <c r="A48" s="35" t="inlineStr">
        <is>
          <t>35.30.6P.00.49</t>
        </is>
      </c>
      <c r="B48" s="35" t="inlineStr">
        <is>
          <t>ayudas CIGE/2022/4-6-8-10-15-16-21-30-36-45-46-51-52- 54-55-105-170-179</t>
        </is>
      </c>
      <c r="C48" s="93" t="n">
        <v>10000</v>
      </c>
    </row>
    <row r="49">
      <c r="A49" s="34" t="inlineStr">
        <is>
          <t>35.30.6P.00.50</t>
        </is>
      </c>
      <c r="B49" s="34" t="inlineStr">
        <is>
          <t xml:space="preserve">ayudas INNEST/2023/7, INNEST/2023/20, INNEST/2023/15, INNEST/2023/14, INNEST/2023/13, INNEST/2023/11, INNEST/2023/10 </t>
        </is>
      </c>
      <c r="C49" s="92" t="n">
        <v>9045</v>
      </c>
    </row>
    <row r="50">
      <c r="A50" s="35" t="inlineStr">
        <is>
          <t>35.30.6S.00.09</t>
        </is>
      </c>
      <c r="B50" s="35" t="inlineStr">
        <is>
          <t xml:space="preserve">INGRESO CORRESPONDIENTE A LA LIQUIDACIÓN ECONÓMICA DEL CONGRESO 8TH INTERNATIONAL CONFERENCE ON BIOBASED AND BIODEGRADABLE POLYMERS (BIOPOL-2022). </t>
        </is>
      </c>
      <c r="C50" s="93" t="n">
        <v>22902.21</v>
      </c>
    </row>
    <row r="51">
      <c r="A51" s="34" t="inlineStr">
        <is>
          <t>35.30.6X.00.04</t>
        </is>
      </c>
      <c r="B51" s="34" t="inlineStr">
        <is>
          <t>PAGO FINAL DEL PROYECTO ECOFUNCO</t>
        </is>
      </c>
      <c r="C51" s="92" t="n">
        <v>71062.02</v>
      </c>
    </row>
    <row r="52">
      <c r="A52" s="35" t="inlineStr">
        <is>
          <t>35.30.6X.00.05</t>
        </is>
      </c>
      <c r="B52" s="35" t="inlineStr">
        <is>
          <t>PRIMER COBRO DEL PROYECTO FURIOUS</t>
        </is>
      </c>
      <c r="C52" s="93" t="n">
        <v>277200</v>
      </c>
    </row>
    <row r="53">
      <c r="A53" s="49" t="inlineStr">
        <is>
          <t>35.30.6X.00.06</t>
        </is>
      </c>
      <c r="B53" s="49" t="inlineStr">
        <is>
          <t>Cobro del proyecto AlgaeR&amp;B Assessment of chemical risks and benefits connected with algae consumption (contrato EUBA-EFSA-2022-ENREL-02 ¿ GA01)</t>
        </is>
      </c>
      <c r="C53" s="94" t="n">
        <v>6000</v>
      </c>
    </row>
    <row r="54" customFormat="1" s="52">
      <c r="A54" s="50" t="inlineStr">
        <is>
          <t>Total</t>
        </is>
      </c>
      <c r="B54" s="50" t="n"/>
      <c r="C54" s="95">
        <f>SUBTOTAL(109,Tabla2[Imp.cob.aplic.])</f>
        <v/>
      </c>
    </row>
    <row r="55">
      <c r="C55" s="9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topLeftCell="A46" workbookViewId="0">
      <selection activeCell="B63" sqref="B63:C63"/>
    </sheetView>
  </sheetViews>
  <sheetFormatPr baseColWidth="10" defaultRowHeight="15"/>
  <cols>
    <col width="47.28515625" customWidth="1" min="2" max="2"/>
    <col width="13.28515625" customWidth="1" min="3" max="3"/>
  </cols>
  <sheetData>
    <row r="1">
      <c r="A1" s="58" t="inlineStr">
        <is>
          <t>Org. aplic.</t>
        </is>
      </c>
      <c r="B1" s="58" t="inlineStr">
        <is>
          <t>Descripción justificante</t>
        </is>
      </c>
      <c r="C1" s="97" t="inlineStr">
        <is>
          <t>Imp. aplic.</t>
        </is>
      </c>
    </row>
    <row r="2">
      <c r="A2" s="54" t="inlineStr">
        <is>
          <t>35.30.6C.00.04</t>
        </is>
      </c>
      <c r="B2" s="54" t="inlineStr">
        <is>
          <t xml:space="preserve">1'5% SOBRE LA FACTURACIÓN DEL PERÍODO 01/01/2023 A 31/12/2023 DE PRODUCTOS ASOCIADOS A LA REIVINDICACIÓN 8 DE LA PATENTE ES2265270 </t>
        </is>
      </c>
      <c r="C2" s="98" t="n">
        <v>9245.379999999999</v>
      </c>
    </row>
    <row r="3">
      <c r="A3" s="56" t="inlineStr">
        <is>
          <t>35.30.6C.00.22</t>
        </is>
      </c>
      <c r="B3" s="56" t="inlineStr">
        <is>
          <t>REGALIAS EN RELACIÓN AL 5% SOBRE LA FACTURACIÓN DEL PERÍODO 01/01/2023 A 31/12/2023 DE PRODUCTOS ASOCIADOS PATENTE P201431797</t>
        </is>
      </c>
      <c r="C3" s="99" t="n">
        <v>202.27</v>
      </c>
    </row>
    <row r="4">
      <c r="A4" s="54" t="inlineStr">
        <is>
          <t>35.30.6C.00.89</t>
        </is>
      </c>
      <c r="B4" s="54" t="inlineStr">
        <is>
          <t>PURCHASE ORDER 4505034423  50005416  13.06.2022 D16 ÉTUDES SCIENTIFIQUES ET TECHNIQUES D16 ETUDES RECHERCHE</t>
        </is>
      </c>
      <c r="C4" s="98" t="n">
        <v>-18480</v>
      </c>
    </row>
    <row r="5">
      <c r="A5" s="56" t="inlineStr">
        <is>
          <t>35.30.6C.01.54</t>
        </is>
      </c>
      <c r="B5" s="56" t="inlineStr">
        <is>
          <t>REGALÍA 5% VENTAS 2023 CORRESPONDIENTE A LA PATENTE PCT/EP2020/025293</t>
        </is>
      </c>
      <c r="C5" s="99" t="n">
        <v>2839.5</v>
      </c>
    </row>
    <row r="6">
      <c r="A6" s="54" t="inlineStr">
        <is>
          <t>35.30.6C.02.14</t>
        </is>
      </c>
      <c r="B6" s="54" t="inlineStr">
        <is>
          <t>Realización de análisis de aguas determinando DQO, cloro y metales pesados.  Investigador Responsable José Luis Todoli Torro.</t>
        </is>
      </c>
      <c r="C6" s="98" t="n">
        <v>3740</v>
      </c>
    </row>
    <row r="7">
      <c r="A7" s="56" t="inlineStr">
        <is>
          <t>35.30.6C.02.14</t>
        </is>
      </c>
      <c r="B7" s="56" t="inlineStr">
        <is>
          <t>Realización de análisis de aguas determinando DQO, cloro y metales pesados. Investigador Responsable José Luis Todoli Torro</t>
        </is>
      </c>
      <c r="C7" s="99" t="n">
        <v>3740</v>
      </c>
    </row>
    <row r="8">
      <c r="A8" s="54" t="inlineStr">
        <is>
          <t>35.30.6C.02.16</t>
        </is>
      </c>
      <c r="B8" s="54" t="inlineStr">
        <is>
          <t>DESARROLLO METODOLOGÍA DE ANÁLISIS DE AZÚCARES MEDIANTE TÉCNICAS CROMATOGRÁFICAS</t>
        </is>
      </c>
      <c r="C8" s="98" t="n">
        <v>1056</v>
      </c>
    </row>
    <row r="9">
      <c r="A9" s="56" t="inlineStr">
        <is>
          <t>35.30.6C.02.23</t>
        </is>
      </c>
      <c r="B9" s="56" t="inlineStr">
        <is>
          <t>POSICION 00002 EVALUACIÓN TECNOLOGÍA DE CUANTIFICACIÓN PEDIDO Nº AR 10052982</t>
        </is>
      </c>
      <c r="C9" s="99" t="n">
        <v>5715.6</v>
      </c>
    </row>
    <row r="10">
      <c r="A10" s="54" t="inlineStr">
        <is>
          <t>35.30.6C.02.26</t>
        </is>
      </c>
      <c r="B10" s="54" t="inlineStr">
        <is>
          <t>ANÁLISIS QUÍMICO DE BEBIDAS ENERGÉTICAS</t>
        </is>
      </c>
      <c r="C10" s="98" t="n">
        <v>1936</v>
      </c>
    </row>
    <row r="11">
      <c r="A11" s="56" t="inlineStr">
        <is>
          <t>35.30.6C.02.27</t>
        </is>
      </c>
      <c r="B11" s="56" t="inlineStr">
        <is>
          <t>PEDIDO NP062931 INFLUENCIA DE LOS ACABADOS EN EL COMPOSTAJE DEL CUERO (COMPOST-LEATHER-ABLE II) INESCOP5-23TPA</t>
        </is>
      </c>
      <c r="C11" s="99" t="n">
        <v>4224</v>
      </c>
    </row>
    <row r="12">
      <c r="A12" s="54" t="inlineStr">
        <is>
          <t>35.30.6C.02.29</t>
        </is>
      </c>
      <c r="B12" s="54" t="inlineStr">
        <is>
          <t>Análisis de los cationes Mg, Na y K en CINCO muestras de yeso</t>
        </is>
      </c>
      <c r="C12" s="98" t="n">
        <v>506</v>
      </c>
    </row>
    <row r="13">
      <c r="A13" s="56" t="inlineStr">
        <is>
          <t>35.30.6C.02.30</t>
        </is>
      </c>
      <c r="B13" s="56" t="inlineStr">
        <is>
          <t>Análisis de los cationes Mg, Na y K en DOS muestras de yeso</t>
        </is>
      </c>
      <c r="C13" s="99" t="n">
        <v>202.4</v>
      </c>
    </row>
    <row r="14">
      <c r="A14" s="54" t="inlineStr">
        <is>
          <t>35.30.6C.02.31</t>
        </is>
      </c>
      <c r="B14" s="54" t="inlineStr">
        <is>
          <t>Análisis de los cationes Mg, Na y K en CINCO muestras de yeso YESOSTORRIQUE3-24TPA</t>
        </is>
      </c>
      <c r="C14" s="98" t="n">
        <v>506</v>
      </c>
    </row>
    <row r="15">
      <c r="A15" s="56" t="inlineStr">
        <is>
          <t>35.30.6C.02.32</t>
        </is>
      </c>
      <c r="B15" s="56" t="inlineStr">
        <is>
          <t>Análisis de los cationes Mg, Na y K en DOS muestras de yeso</t>
        </is>
      </c>
      <c r="C15" s="99" t="n">
        <v>202.4</v>
      </c>
    </row>
    <row r="16">
      <c r="A16" s="54" t="inlineStr">
        <is>
          <t>35.30.6C.02.34</t>
        </is>
      </c>
      <c r="B16" s="54" t="inlineStr">
        <is>
          <t>Análisis de los cationes Mg, Na y K en CUATRO muestras de yeso</t>
        </is>
      </c>
      <c r="C16" s="98" t="n">
        <v>404.8</v>
      </c>
    </row>
    <row r="17">
      <c r="A17" s="56" t="inlineStr">
        <is>
          <t>35.30.6C.02.35</t>
        </is>
      </c>
      <c r="B17" s="56" t="inlineStr">
        <is>
          <t>REALIZACIÓN DE ENSAYOS DE ANÁLISIS TÉRMICO EN MATERIALES POLIMÉRICOS Referencia del pedido: PS000347913</t>
        </is>
      </c>
      <c r="C17" s="99" t="n">
        <v>2640</v>
      </c>
    </row>
    <row r="18">
      <c r="A18" s="54" t="inlineStr">
        <is>
          <t>35.30.6C.02.36</t>
        </is>
      </c>
      <c r="B18" s="54" t="inlineStr">
        <is>
          <t>CARACTERIZACIÓN Y EXTRACCIÓN DE ALGAS AUTÓCTONAS DEL MEDITERRÁNEO Y SU APLICACIÓN COMO GELIFICANTES ALIMENTARIOS</t>
        </is>
      </c>
      <c r="C18" s="98" t="n">
        <v>6468</v>
      </c>
    </row>
    <row r="19">
      <c r="A19" s="56" t="inlineStr">
        <is>
          <t>35.30.6C.02.36</t>
        </is>
      </c>
      <c r="B19" s="56" t="inlineStr">
        <is>
          <t>SEGUNDO PAGO DEL CONTRATO CARACTERIZACIÓN Y EXTRACCIÓN DE ALGAS AUTÓCTONAS DEL MEDITERRÁNEO Y SU APLICACIÓN COMO GELIFICANTES ALIMENTARIOS. INVESTIGACIÓN DE EXTRACTOS DE ALGA NOVEDOSOS APLICADOS AL DESARROLLO DE FORMULACIONES PARA GOLOSINAS VEGANAS. EXPEDIENTE IMIDCA/2023/23. CO-FINANCIADO POR EL INSTITUTO VALENCIANO DE COMPETITIVIDAD EMPRESARIAL (IVACE)</t>
        </is>
      </c>
      <c r="C19" s="99" t="n">
        <v>6468</v>
      </c>
    </row>
    <row r="20">
      <c r="A20" s="54" t="inlineStr">
        <is>
          <t>35.30.6C.02.37</t>
        </is>
      </c>
      <c r="B20" s="54" t="inlineStr">
        <is>
          <t>Purchase order 0000322629 ANALYSIS OF PLASTIC SAMPLES BY USING FOURIER-TRANSFORM INFRARED SPECTROSCOPY (FTIR) AND RAMAN SPECTROSCOPY (IFP1-24TPA)</t>
        </is>
      </c>
      <c r="C20" s="98" t="n">
        <v>2992</v>
      </c>
    </row>
    <row r="21">
      <c r="A21" s="56" t="inlineStr">
        <is>
          <t>35.30.6C.02.38</t>
        </is>
      </c>
      <c r="B21" s="56" t="inlineStr">
        <is>
          <t>Análisis de los cationes Mg, Na y K en TRES muestras de yeso</t>
        </is>
      </c>
      <c r="C21" s="99" t="n">
        <v>303.6</v>
      </c>
    </row>
    <row r="22">
      <c r="A22" s="54" t="inlineStr">
        <is>
          <t>35.30.6C.02.39</t>
        </is>
      </c>
      <c r="B22" s="54" t="inlineStr">
        <is>
          <t>Número PO 4624000283 DETERMINACIÓN DEL CONTENIDO DE METALES Y METALOIDES EN BIOMASA</t>
        </is>
      </c>
      <c r="C22" s="98" t="n">
        <v>1848</v>
      </c>
    </row>
    <row r="23">
      <c r="A23" s="56" t="inlineStr">
        <is>
          <t>35.30.6C.02.40</t>
        </is>
      </c>
      <c r="B23" s="56" t="inlineStr">
        <is>
          <t>Nº de Pedido: PC.24-2604 Proyecto: P24-043 WASTE2CHEMVALUES2024</t>
        </is>
      </c>
      <c r="C23" s="99" t="n">
        <v>5280</v>
      </c>
    </row>
    <row r="24">
      <c r="A24" s="54" t="inlineStr">
        <is>
          <t>35.30.6C.02.40</t>
        </is>
      </c>
      <c r="B24" s="54" t="inlineStr">
        <is>
          <t>Nº de Pedido: PC.24-2604 Proyecto: P24-043 WASTE2CHEMVALUES2024. "DEPOLIMERIZACIÓN DE LA LIGNINA  PARA LA GENERACIÓN DE PRODUCTOS DE ALTO VALOR AÑADIDO DE RESIDUOS DE BIOMASA" Segundo pago - 50% restante</t>
        </is>
      </c>
      <c r="C24" s="98" t="n">
        <v>5280</v>
      </c>
    </row>
    <row r="25">
      <c r="A25" s="56" t="inlineStr">
        <is>
          <t>35.30.6C.02.41</t>
        </is>
      </c>
      <c r="B25" s="56" t="inlineStr">
        <is>
          <t>Pedido PC.24-4126  Proyecto HEATEX  Contrato AITEX4-24T</t>
        </is>
      </c>
      <c r="C25" s="99" t="n">
        <v>4400</v>
      </c>
    </row>
    <row r="26">
      <c r="A26" s="54" t="inlineStr">
        <is>
          <t>35.30.6C.02.41</t>
        </is>
      </c>
      <c r="B26" s="54" t="inlineStr">
        <is>
          <t xml:space="preserve">Pedido PC.24-4126 Proyecto HEATEX Contrato AITEX4-24T - 2º PAGO "ADHESIVOS REVERSIBLES PARA LA UNIÓN Y EL DESENSAMBLADO DE PRODUCTOS DE CONSUMO COMPLEJOS" </t>
        </is>
      </c>
      <c r="C26" s="98" t="n">
        <v>4400</v>
      </c>
    </row>
    <row r="27">
      <c r="A27" s="56" t="inlineStr">
        <is>
          <t>35.30.6C.02.41</t>
        </is>
      </c>
      <c r="B27" s="56" t="inlineStr">
        <is>
          <t>Pedido PC.24-6798 Proyecto HEATEX_ Contrato AITEX4Anejomodificación-24T - 3er PAGO ADHESIVOS REVERSIBLES PARA LA UNIÓN Y EL DESENSAMBLADO DE PRODUCTOS DE CONSUMO COMPLEJOS</t>
        </is>
      </c>
      <c r="C27" s="99" t="n">
        <v>8800</v>
      </c>
    </row>
    <row r="28">
      <c r="A28" s="54" t="inlineStr">
        <is>
          <t>35.30.6C.02.42</t>
        </is>
      </c>
      <c r="B28" s="54" t="inlineStr">
        <is>
          <t>ANÁLISIS DE LOS CATIONES Mg, Na Y K EN DOS MUESTRAS DE YESO</t>
        </is>
      </c>
      <c r="C28" s="98" t="n">
        <v>202.4</v>
      </c>
    </row>
    <row r="29">
      <c r="A29" s="56" t="inlineStr">
        <is>
          <t>35.30.6C.02.43</t>
        </is>
      </c>
      <c r="B29" s="56" t="inlineStr">
        <is>
          <t>Determinación de la digestibilidad de piensos en acuicultura</t>
        </is>
      </c>
      <c r="C29" s="99" t="n">
        <v>1056</v>
      </c>
    </row>
    <row r="30">
      <c r="A30" s="54" t="inlineStr">
        <is>
          <t>35.30.6C.02.45</t>
        </is>
      </c>
      <c r="B30" s="54" t="inlineStr">
        <is>
          <t>50% INICIO PRESTACIÓN SERVICIOS PROVITAL2-24TPA OPTIMIZACIÓN DE UNA METODOLOGÍA MEDIANTE EXTRACCIÓN ASISTIDA POR ULTRASONIDOS PARA LA OBTENCIÓN DE UN EXTRACTO LIOFILIZADO RICO EN BOERAVINONAS A PARTIR DE LA RAÍZ DE BOERHAVIA DIFFUSA</t>
        </is>
      </c>
      <c r="C30" s="98" t="n">
        <v>2508</v>
      </c>
    </row>
    <row r="31">
      <c r="A31" s="56" t="inlineStr">
        <is>
          <t>35.30.6C.02.45</t>
        </is>
      </c>
      <c r="B31" s="56" t="inlineStr">
        <is>
          <t>OPTIMIZACIÓN DE UNA METODOLOGÍA MEDIANTE EXTRACCIÓN ASISTIDA POR ULTRASONIDOS PARA LA OBTENCIÓN DE UN EXTRACTO LIOFILIZADO RICO EN BOERAVINONAS A PARTIR DE LA RAÍZ DE BOERHAVIA DIFFUSA</t>
        </is>
      </c>
      <c r="C31" s="99" t="n">
        <v>2508</v>
      </c>
    </row>
    <row r="32">
      <c r="A32" s="54" t="inlineStr">
        <is>
          <t>35.30.6C.02.46</t>
        </is>
      </c>
      <c r="B32" s="54" t="inlineStr">
        <is>
          <t>Nº de Pedido: PC.24-2480     Proyecto: BIOACTIVE 2024 CARACTERIZACIÓN FISICOQUÍMICA DE EXTRACTOS VEGETALES</t>
        </is>
      </c>
      <c r="C32" s="98" t="n">
        <v>206.8</v>
      </c>
    </row>
    <row r="33">
      <c r="A33" s="56" t="inlineStr">
        <is>
          <t>35.30.6C.02.47</t>
        </is>
      </c>
      <c r="B33" s="56" t="inlineStr">
        <is>
          <t>EXTRACCION DE POLIFENOLES POR METODO NADES; Proyecto: P24-023 BIOACTIVE 2024; Nº de Pedido: PC.24-3123</t>
        </is>
      </c>
      <c r="C33" s="99" t="n">
        <v>2640</v>
      </c>
    </row>
    <row r="34">
      <c r="A34" s="54" t="inlineStr">
        <is>
          <t>35.30.6C.02.48</t>
        </is>
      </c>
      <c r="B34" s="54" t="inlineStr">
        <is>
          <t>NUTRICIONSELECTA1-23Y 1ª FACTURA 50% INICIO DE LA PRESTACIÓN SISTEMA DE APOYO INTEGRAL PARA LA GESTIÓN DEL SÍNDROME METABÓLICO: INTEGRACIÓN DE TECNOLOGÍAS AVANZADAS DE ENTRENAMIENTO Y MONITOREO DE GLUCOSA</t>
        </is>
      </c>
      <c r="C34" s="98" t="n">
        <v>6000</v>
      </c>
    </row>
    <row r="35">
      <c r="A35" s="56" t="inlineStr">
        <is>
          <t>35.30.6C.02.48</t>
        </is>
      </c>
      <c r="B35" s="56" t="inlineStr">
        <is>
          <t>NUTRICIONSELECTA1-23Y 2ª FACTURA 50% SISTEMA DE APOYO INTEGRAL PARA LA GESTIÓN DEL SÍNDROME METABÓLICO: INTEGRACIÓN DE TECNOLOGÍAS AVANZADAS DE ENTRENAMIENTO Y MONITOREO DE GLUCOSA</t>
        </is>
      </c>
      <c r="C35" s="99" t="n">
        <v>6000</v>
      </c>
    </row>
    <row r="36">
      <c r="A36" s="54" t="inlineStr">
        <is>
          <t>35.30.6C.02.49</t>
        </is>
      </c>
      <c r="B36" s="54" t="inlineStr">
        <is>
          <t>ANÁLISIS DE LOS CATIONES Mg, Na Y K EN SIETE MUESTRAS DE YESO</t>
        </is>
      </c>
      <c r="C36" s="98" t="n">
        <v>708.4</v>
      </c>
    </row>
    <row r="37">
      <c r="A37" s="56" t="inlineStr">
        <is>
          <t>35.30.6C.02.50</t>
        </is>
      </c>
      <c r="B37" s="56" t="inlineStr">
        <is>
          <t>EVALUACIÓN POR PARTE DEL EXPERTO TÉCNICO DEL PROYECTO 942.745</t>
        </is>
      </c>
      <c r="C37" s="99" t="n">
        <v>158.4</v>
      </c>
    </row>
    <row r="38">
      <c r="A38" s="54" t="inlineStr">
        <is>
          <t>35.30.6C.02.51</t>
        </is>
      </c>
      <c r="B38" s="54" t="inlineStr">
        <is>
          <t>ANÁLISIS DE POLIURETANOS MEDIANTE TÉCNICAS DE ESPECTROSCOPIA INFRARROJA Ref. pedido NP065212</t>
        </is>
      </c>
      <c r="C38" s="98" t="n">
        <v>2816</v>
      </c>
    </row>
    <row r="39">
      <c r="A39" s="56" t="inlineStr">
        <is>
          <t>35.30.6C.02.54</t>
        </is>
      </c>
      <c r="B39" s="56" t="inlineStr">
        <is>
          <t xml:space="preserve">PROYECTO 949.738 - INVESTIGACIÓN PARA LA REDUCCIÓN DE PLÁSTICO EN ESTRUCTURAS FLEXIBLE A TRAVÉS DE PAPEL RECICLADO </t>
        </is>
      </c>
      <c r="C39" s="99" t="n">
        <v>660</v>
      </c>
    </row>
    <row r="40">
      <c r="A40" s="54" t="inlineStr">
        <is>
          <t>35.30.6C.02.55</t>
        </is>
      </c>
      <c r="B40" s="54" t="inlineStr">
        <is>
          <t>Evaluación de Contenido y Ejecución del ejercicio 2023 del proyecto 952.383 - de la empresa EUROFINS IPROMA, S.L.U, titulado DETERMINACION DE COMPUESTOS ORGANICOS SEMIVOLATILES EN SOLIDOS</t>
        </is>
      </c>
      <c r="C40" s="98" t="n">
        <v>308</v>
      </c>
    </row>
    <row r="41">
      <c r="A41" s="56" t="inlineStr">
        <is>
          <t>35.30.6C.02.56</t>
        </is>
      </c>
      <c r="B41" s="56" t="inlineStr">
        <is>
          <t>PROYECTO 949.737 - INVESTIGACIÓN Y DESARROLLO DE ESTRUCTURAS MULTICAPAS COMPATIBLES Y CIRCULARES</t>
        </is>
      </c>
      <c r="C41" s="99" t="n">
        <v>660</v>
      </c>
    </row>
    <row r="42">
      <c r="A42" s="54" t="inlineStr">
        <is>
          <t>35.30.6C.02.57</t>
        </is>
      </c>
      <c r="B42" s="54" t="inlineStr">
        <is>
          <t>EIEHINSTITUTE2-22Y-PREDOC-INDC. IP responsable D. Alejandro Martínez Rodríguez</t>
        </is>
      </c>
      <c r="C42" s="98" t="n">
        <v>6144.74</v>
      </c>
    </row>
    <row r="43">
      <c r="A43" s="56" t="inlineStr">
        <is>
          <t>35.30.6C.02.58</t>
        </is>
      </c>
      <c r="B43" s="56" t="inlineStr">
        <is>
          <t xml:space="preserve">PROYECTO 952.162 - NOVEDOSO ESTUDIO DE MICROORGANISMOS EN PRODUCTOS ENVASADOS PARA MEJORAR LA SEGURIDAD ALIMENTARIA </t>
        </is>
      </c>
      <c r="C43" s="99" t="n">
        <v>660</v>
      </c>
    </row>
    <row r="44">
      <c r="A44" s="54" t="inlineStr">
        <is>
          <t>35.30.6C.02.60</t>
        </is>
      </c>
      <c r="B44" s="54" t="inlineStr">
        <is>
          <t>ANÁLISIS DE LOS CATIONES Mg, Na Y K EN DOS MUESTRAS DE YESO</t>
        </is>
      </c>
      <c r="C44" s="98" t="n">
        <v>202.4</v>
      </c>
    </row>
    <row r="45">
      <c r="A45" s="56" t="inlineStr">
        <is>
          <t>35.30.6C.02.61</t>
        </is>
      </c>
      <c r="B45" s="56" t="inlineStr">
        <is>
          <t>ANÁLISIS DE LOS CATIONES Mg, Na Y K EN SEIS MUESTRAS DE YESO</t>
        </is>
      </c>
      <c r="C45" s="99" t="n">
        <v>607.2</v>
      </c>
    </row>
    <row r="46">
      <c r="A46" s="54" t="inlineStr">
        <is>
          <t>35.30.6C.02.62</t>
        </is>
      </c>
      <c r="B46" s="54" t="inlineStr">
        <is>
          <t>Ref. Contrato: AITEX9-24I - Dra. Raquel Sánchez Romero DESARROLLO DE TÉCNICAS DE ADECUACIÓN PARA EL RECICLAJE DE ALTO VALOR DE RESIDUOS DEL TURISMO DE LA COMUNIDAD VALENCIANA  - PC24-4751 Proyecto P24-002 HOR-ECO</t>
        </is>
      </c>
      <c r="C46" s="98" t="n">
        <v>6160</v>
      </c>
    </row>
    <row r="47">
      <c r="A47" s="56" t="inlineStr">
        <is>
          <t>35.30.6P.00.36</t>
        </is>
      </c>
      <c r="B47" s="56" t="inlineStr">
        <is>
          <t>DEVOLUCIÓN DE INGRESO_ CARTA DE PAGO_ REFERENCIA: PID2020-116496RB-C21, ANUALIDAD: 2021</t>
        </is>
      </c>
      <c r="C47" s="99" t="n">
        <v>-1202.91</v>
      </c>
    </row>
    <row r="48">
      <c r="A48" s="54" t="inlineStr">
        <is>
          <t>35.30.6P.00.41</t>
        </is>
      </c>
      <c r="B48" s="54" t="inlineStr">
        <is>
          <t xml:space="preserve">ayudas INNVA1/2022/16, INNVA1/2022/26, INNVA1/2022/34, INNVA1/2022/36 </t>
        </is>
      </c>
      <c r="C48" s="98" t="n">
        <v>110071.1</v>
      </c>
    </row>
    <row r="49">
      <c r="A49" s="56" t="inlineStr">
        <is>
          <t>35.30.6P.00.41</t>
        </is>
      </c>
      <c r="B49" s="56" t="inlineStr">
        <is>
          <t xml:space="preserve">Minoración INNVA1/2022/16  </t>
        </is>
      </c>
      <c r="C49" s="99" t="n">
        <v>-2089.25</v>
      </c>
    </row>
    <row r="50">
      <c r="A50" s="54" t="inlineStr">
        <is>
          <t>35.30.6P.00.41</t>
        </is>
      </c>
      <c r="B50" s="54" t="inlineStr">
        <is>
          <t xml:space="preserve">Minoración ayudas INNVA1/2022/16 </t>
        </is>
      </c>
      <c r="C50" s="98" t="n">
        <v>-2350.2</v>
      </c>
    </row>
    <row r="51">
      <c r="A51" s="56" t="inlineStr">
        <is>
          <t>35.30.6P.00.42</t>
        </is>
      </c>
      <c r="B51" s="56" t="inlineStr">
        <is>
          <t>PID2021-126485OB-I00-126858NB-I00-126990NB-I00-127332NB-I00-127426OB-C22-127566NB-I00-127967NB-I00-127999NB-I00-128381NB-I00-128761OB-C21-128766OB-I00-128805NA-I00-128876OB-I00</t>
        </is>
      </c>
      <c r="C51" s="99" t="n">
        <v>5700</v>
      </c>
    </row>
    <row r="52">
      <c r="A52" s="54" t="inlineStr">
        <is>
          <t>35.30.6P.00.44</t>
        </is>
      </c>
      <c r="B52" s="54" t="inlineStr">
        <is>
          <t xml:space="preserve">Ayudas MFA/2022/001, MFA/2022/036, MFA/2022/045, MFA/2022/048, MFA/2022/058, MFA/2022/059, MFA/2022/061, MFA/2022/062 </t>
        </is>
      </c>
      <c r="C52" s="98" t="n">
        <v>38572.8</v>
      </c>
    </row>
    <row r="53">
      <c r="A53" s="56" t="inlineStr">
        <is>
          <t>35.30.6P.00.44</t>
        </is>
      </c>
      <c r="B53" s="56" t="inlineStr">
        <is>
          <t xml:space="preserve">Ayudas MFA/2022/001, MFA/2022/036, MFA/2022/045, MFA/2022/048, MFA/2022/058, MFA/2022/059, MFA/2022/061, MFA/2022/062 (ANUALIDAD 2023) </t>
        </is>
      </c>
      <c r="C53" s="99" t="n">
        <v>38572.8</v>
      </c>
    </row>
    <row r="54">
      <c r="A54" s="54" t="inlineStr">
        <is>
          <t>35.30.6P.00.49</t>
        </is>
      </c>
      <c r="B54" s="54" t="inlineStr">
        <is>
          <t>DEVOLUCIÓN DE INGRESOS_ MODELO 047_ Nº DE LIQUIDACIÓN: 46/2024/RAS/10325/1 Nº DE JUSTIFICANTE: 047/1/002551836_Nº DE REFERENCIA: 047/1/002551836</t>
        </is>
      </c>
      <c r="C54" s="98" t="n">
        <v>-2410.64</v>
      </c>
    </row>
    <row r="55">
      <c r="A55" s="56" t="inlineStr">
        <is>
          <t>35.30.6P.00.50</t>
        </is>
      </c>
      <c r="B55" s="56" t="inlineStr">
        <is>
          <t xml:space="preserve">INNEST/2023/7/10/11/13/14/15/20  </t>
        </is>
      </c>
      <c r="C55" s="99" t="n">
        <v>32745</v>
      </c>
    </row>
    <row r="56">
      <c r="A56" s="54" t="inlineStr">
        <is>
          <t>35.30.6P.00.51</t>
        </is>
      </c>
      <c r="B56" s="54" t="inlineStr">
        <is>
          <t>PROGRAMA AYUDAS ICAR 2023 PROYECTO LEVI</t>
        </is>
      </c>
      <c r="C56" s="98" t="n">
        <v>29621.74</v>
      </c>
    </row>
    <row r="57">
      <c r="A57" s="56" t="inlineStr">
        <is>
          <t>35.30.6P.00.58</t>
        </is>
      </c>
      <c r="B57" s="56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57" s="99" t="n">
        <v>90000</v>
      </c>
    </row>
    <row r="58">
      <c r="A58" s="54" t="inlineStr">
        <is>
          <t>35.30.6P.00.58</t>
        </is>
      </c>
      <c r="B58" s="54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58" s="98" t="n">
        <v>45480</v>
      </c>
    </row>
    <row r="59">
      <c r="A59" s="48" t="inlineStr">
        <is>
          <t>35.30.6X.00.06</t>
        </is>
      </c>
      <c r="B59" s="48" t="inlineStr">
        <is>
          <t>Cobro proyecto "Assessment of chemical risks and benefits connected with algae consumption"</t>
        </is>
      </c>
      <c r="C59" s="100" t="n">
        <v>14000</v>
      </c>
    </row>
    <row r="60">
      <c r="A60" s="48" t="inlineStr">
        <is>
          <t>Total</t>
        </is>
      </c>
      <c r="B60" s="48" t="n"/>
      <c r="C60" s="101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topLeftCell="A37" workbookViewId="0">
      <selection activeCell="E54" sqref="E54"/>
    </sheetView>
  </sheetViews>
  <sheetFormatPr baseColWidth="10" defaultRowHeight="15"/>
  <cols>
    <col width="17.42578125" customWidth="1" min="1" max="1"/>
    <col width="50.28515625" customWidth="1" min="2" max="2"/>
    <col width="15.28515625" customWidth="1" min="3" max="3"/>
  </cols>
  <sheetData>
    <row r="1">
      <c r="A1" s="72" t="inlineStr">
        <is>
          <t>Org. aplic.</t>
        </is>
      </c>
      <c r="B1" s="73" t="inlineStr">
        <is>
          <t>Descripción justificante</t>
        </is>
      </c>
      <c r="C1" s="73" t="inlineStr">
        <is>
          <t>Imp. aplic.</t>
        </is>
      </c>
    </row>
    <row r="2">
      <c r="A2" s="74" t="inlineStr">
        <is>
          <t>35.30.6C.00.04</t>
        </is>
      </c>
      <c r="B2" s="75" t="inlineStr">
        <is>
          <t>1'5% SOBRE LA FACTURACIÓN DEL PERÍODO 01/01/2024 A 31/12/2024 DE PRODUCTOS ASOCIADOS A LA REIVINDICACIÓN 8 DE LA PATENTE ES2265270</t>
        </is>
      </c>
      <c r="C2" s="102" t="n">
        <v>12495.31</v>
      </c>
    </row>
    <row r="3">
      <c r="A3" s="77" t="inlineStr">
        <is>
          <t>35.30.6C.00.22</t>
        </is>
      </c>
      <c r="B3" s="78" t="inlineStr">
        <is>
          <t>REGALIA 5% VENTAS 2024 CORRESPONDIENTE A LA PATENTE P201431797</t>
        </is>
      </c>
      <c r="C3" s="103" t="n">
        <v>360</v>
      </c>
    </row>
    <row r="4">
      <c r="A4" s="74" t="inlineStr">
        <is>
          <t>35.30.6C.01.54</t>
        </is>
      </c>
      <c r="B4" s="75" t="inlineStr">
        <is>
          <t>REGALÍA EN RELACIÓN AL REPORTE DE VENTAS 2024 (5%) "SMARTSORTER VISION A" CORRESPONDIENTE A LA PATENTE PCT/EP2020/025293</t>
        </is>
      </c>
      <c r="C4" s="102" t="n">
        <v>1800</v>
      </c>
    </row>
    <row r="5">
      <c r="A5" s="77" t="inlineStr">
        <is>
          <t>35.30.6C.02.21</t>
        </is>
      </c>
      <c r="B5" s="78" t="inlineStr">
        <is>
          <t>FISABIO1-23TPA - Segunda factura, 50% restante y fin de la prestación de servicios para la determinación del contenido del calcio, magnesio y mercurio en muestras de cabello humano empleado en una metodología mixta.</t>
        </is>
      </c>
      <c r="C5" s="103" t="n">
        <v>3688.52</v>
      </c>
    </row>
    <row r="6">
      <c r="A6" s="74" t="inlineStr">
        <is>
          <t>35.30.6C.02.33</t>
        </is>
      </c>
      <c r="B6" s="75" t="inlineStr">
        <is>
          <t>SYNTHOS1-24TPA - TAREAS DE ANÁLISIS DE MATERIAS PRIMAS DE INTERÉS PARA LA EMPRESA Y ASISTENCIA CIENTÍFICA-TÉCNICA PARA EL DESARROLLO DE SUS ACTIVIDADES EN EL CAMPO DE LA QUÍMICA ANALÍTICA.  Purchase order no 4500088423</t>
        </is>
      </c>
      <c r="C6" s="102" t="n">
        <v>5112.8</v>
      </c>
    </row>
    <row r="7">
      <c r="A7" s="77" t="inlineStr">
        <is>
          <t>35.30.6C.02.33</t>
        </is>
      </c>
      <c r="B7" s="78" t="inlineStr">
        <is>
          <t>SYNTHOS1-24TPA - TAREAS DE ANÁLISIS DE MATERIAS PRIMAS DE INTERÉS PARA LA EMPRESA Y ASISTENCIA CIENTÍFICA-TÉCNICA PARA EL DESARROLLO DE SUS ACTIVIDADES EN EL CAMPO DE LA QUÍMICA ANALÍTICA.  Purchase order no 4500088423</t>
        </is>
      </c>
      <c r="C7" s="103" t="n">
        <v>-5112.8</v>
      </c>
    </row>
    <row r="8">
      <c r="A8" s="74" t="inlineStr">
        <is>
          <t>35.30.6C.02.33</t>
        </is>
      </c>
      <c r="B8" s="75" t="inlineStr">
        <is>
          <t>TAREAS DE ANÁLISIS DE MATERIAS PRIMAS DE INTERÉS PARA LA EMPRESA Y ASISTENCIA CIENTÍFICA-TÉCNICA PARA EL DESARROLLO DE SUS ACTIVIDADES EN EL CAMPO DE LA QUÍMICA ANALÍTICA Purchase order no 4500088423</t>
        </is>
      </c>
      <c r="C8" s="102" t="n">
        <v>5112.8</v>
      </c>
    </row>
    <row r="9">
      <c r="A9" s="77" t="inlineStr">
        <is>
          <t>35.30.6C.02.41</t>
        </is>
      </c>
      <c r="B9" s="78" t="inlineStr">
        <is>
          <t>Pedido PC.25-0575 Proyecto HEATEX_ Contrato AITEX4Anejomodificación-24T - 4º PAGO - Último</t>
        </is>
      </c>
      <c r="C9" s="103" t="n">
        <v>8448</v>
      </c>
    </row>
    <row r="10">
      <c r="A10" s="74" t="inlineStr">
        <is>
          <t>35.30.6C.02.44</t>
        </is>
      </c>
      <c r="B10" s="75" t="inlineStr">
        <is>
          <t>TAREAS DE ANÁLISIS DE MATERIAS PRIMAS DE INTERÉS PARA LA EMPRESA Y ASISTENCIA CIENTÍFICA-TÉCNICA PARA EL DESARROLLO DE SUS ACTIVIDADES EN EL CAMPO DE LA QUÍMICA ANALÍTICA   Purchase order no 4500096190</t>
        </is>
      </c>
      <c r="C10" s="102" t="n">
        <v>3744.4</v>
      </c>
    </row>
    <row r="11">
      <c r="A11" s="77" t="inlineStr">
        <is>
          <t>35.30.6C.02.44</t>
        </is>
      </c>
      <c r="B11" s="78" t="inlineStr">
        <is>
          <t>TAREAS DE ANÁLISIS DE MATERIAS PRIMAS DE INTERÉS PARA LA EMPRESA Y ASISTENCIA CIENTÍFICA-TÉCNICA PARA EL DESARROLLO DE SUS ACTIVIDADES EN EL CAMPO DE LA QUÍMICA ANALÍTICA   Purchase order no 4500096190</t>
        </is>
      </c>
      <c r="C11" s="103" t="n">
        <v>-3744.4</v>
      </c>
    </row>
    <row r="12">
      <c r="A12" s="74" t="inlineStr">
        <is>
          <t>35.30.6C.02.44</t>
        </is>
      </c>
      <c r="B12" s="75" t="inlineStr">
        <is>
          <t>TAREAS DE ANÁLISIS DE MATERIAS PRIMAS DE INTERÉS PARA LA EMPRESA Y ASISTENCIA CIENTÍFICA-TÉCNICA PARA EL DESARROLLO DE SUS ACTIVIDADES EN EL CAMPO DE LA QUÍMICA ANALÍTICA. Purchase order no 4500096190</t>
        </is>
      </c>
      <c r="C12" s="102" t="n">
        <v>3744.4</v>
      </c>
    </row>
    <row r="13">
      <c r="A13" s="77" t="inlineStr">
        <is>
          <t>35.30.6C.02.52</t>
        </is>
      </c>
      <c r="B13" s="78" t="inlineStr">
        <is>
          <t>ENSAYOS DE CARACTERIZACIÓN MEDIANTE DSC, TGA, FTIR DE 4 MUESTRAS DE PET</t>
        </is>
      </c>
      <c r="C13" s="103" t="n">
        <v>880</v>
      </c>
    </row>
    <row r="14">
      <c r="A14" s="74" t="inlineStr">
        <is>
          <t>35.30.6C.02.59</t>
        </is>
      </c>
      <c r="B14" s="75" t="inlineStr">
        <is>
          <t>UV7-24TPA - DETERMINACIÓN MEDIANTE UHPLC/QQQ</t>
        </is>
      </c>
      <c r="C14" s="102" t="n">
        <v>616</v>
      </c>
    </row>
    <row r="15">
      <c r="A15" s="77" t="inlineStr">
        <is>
          <t>35.30.6C.02.63</t>
        </is>
      </c>
      <c r="B15" s="78" t="inlineStr">
        <is>
          <t>PRIMER PAGO para cubrir gastos iniciales de laboratorio necesarios para iniciar la ejecución del proyecto EUROSOL3-24Y cuya investigadora responsable es la Dra. Arántzazu Valdés García</t>
        </is>
      </c>
      <c r="C15" s="103" t="n">
        <v>4400</v>
      </c>
    </row>
    <row r="16">
      <c r="A16" s="74" t="inlineStr">
        <is>
          <t>35.30.6C.02.64</t>
        </is>
      </c>
      <c r="B16" s="75" t="inlineStr">
        <is>
          <t>Primer pago del 30% del presupuesto por los servicios del Proyecto Investigación y desarrollo SACIANS:  Estrategia Avanzada de Complementos Alimenticios para la Optimización de la Saciedad y Metabolismo Lipídico en la Madurez.</t>
        </is>
      </c>
      <c r="C16" s="102" t="n">
        <v>13200</v>
      </c>
    </row>
    <row r="17">
      <c r="A17" s="77" t="inlineStr">
        <is>
          <t>35.30.6C.02.64</t>
        </is>
      </c>
      <c r="B17" s="78" t="inlineStr">
        <is>
          <t>Segundo y último pago del 70% del presupuesto por los servicios del Proyecto Investigación y desarrollo SACIANS - NUTRICIONSELECTA1-24Y.  Estrategia Avanzada de Complementos Alimenticios para la Optimización de la Saciedad y Metabolismo Lipídico en la Madurez.</t>
        </is>
      </c>
      <c r="C17" s="103" t="n">
        <v>30800</v>
      </c>
    </row>
    <row r="18">
      <c r="A18" s="74" t="inlineStr">
        <is>
          <t>35.30.6C.02.65</t>
        </is>
      </c>
      <c r="B18" s="75" t="inlineStr">
        <is>
          <t>DETERMINACIÓN DE AZÚCARES EN PRODUCTOS DE CONFITERÍA MEDIANTE CROMATOGRAFÍA DE LÍQUIDOS</t>
        </is>
      </c>
      <c r="C18" s="102" t="n">
        <v>2640</v>
      </c>
    </row>
    <row r="19">
      <c r="A19" s="77" t="inlineStr">
        <is>
          <t>35.30.6C.02.66</t>
        </is>
      </c>
      <c r="B19" s="78" t="inlineStr">
        <is>
          <t>ANÁLISIS DE LOS CATIONES Mg, Na y K EN CUATRO MUESTRAS DE YESO</t>
        </is>
      </c>
      <c r="C19" s="103" t="n">
        <v>404.8</v>
      </c>
    </row>
    <row r="20">
      <c r="A20" s="74" t="inlineStr">
        <is>
          <t>35.30.6C.02.67</t>
        </is>
      </c>
      <c r="B20" s="75" t="inlineStr">
        <is>
          <t xml:space="preserve">AITEX2-25TPA </t>
        </is>
      </c>
      <c r="C20" s="102" t="n">
        <v>1584</v>
      </c>
    </row>
    <row r="21">
      <c r="A21" s="77" t="inlineStr">
        <is>
          <t>35.30.6C.02.68</t>
        </is>
      </c>
      <c r="B21" s="78" t="inlineStr">
        <is>
          <t>Pedido PC.25-1699 _ Contrato AITEX3-25TPA -  Primer pago 50% ESTUDIO DE LA VIABILIDAD DE LA OBTENCIÓN DE COMPUESTOS CON CAPACIDAD ANTIOXIDANTE A PARTIR DE RESIDUOS DE LIGNINA (P25-056 MAT4ENERGY)</t>
        </is>
      </c>
      <c r="C21" s="103" t="n">
        <v>1738</v>
      </c>
    </row>
    <row r="22">
      <c r="A22" s="74" t="inlineStr">
        <is>
          <t>35.30.6C.02.68</t>
        </is>
      </c>
      <c r="B22" s="75" t="inlineStr">
        <is>
          <t>Pedido PC.25-1699 _ Contrato AITEX3-25TPA - Segundo y último pago 50% ESTUDIO DE LA VIABILIDAD DE LA OBTENCIÓN DE COMPUESTOS CON CAPACIDAD ANTIOXIDANTE A PARTIR DE RESIDUOS DE LIGNINA (P25-056 MAT4ENERGY)</t>
        </is>
      </c>
      <c r="C22" s="102" t="n">
        <v>1738</v>
      </c>
    </row>
    <row r="23">
      <c r="A23" s="77" t="inlineStr">
        <is>
          <t>35.30.6C.02.69</t>
        </is>
      </c>
      <c r="B23" s="78" t="inlineStr">
        <is>
          <t>Analysis of plastic samples by using Fourier-transform infrared spectroscopy (FTIR) and Raman spectroscopy (134 samples) IFPEN Purchase Order_0000335132</t>
        </is>
      </c>
      <c r="C23" s="103" t="n">
        <v>4312</v>
      </c>
    </row>
    <row r="24">
      <c r="A24" s="74" t="inlineStr">
        <is>
          <t>35.30.6C.02.70</t>
        </is>
      </c>
      <c r="B24" s="75" t="inlineStr">
        <is>
          <t>ANÁLISIS DE LOS CATIONES Mg, Na Y K EN SEIS MUESTRAS DE YESO MINERAL (3) Y SEMIHIDRATO (3)</t>
        </is>
      </c>
      <c r="C24" s="102" t="n">
        <v>607.2</v>
      </c>
    </row>
    <row r="25">
      <c r="A25" s="77" t="inlineStr">
        <is>
          <t>35.30.6C.02.71</t>
        </is>
      </c>
      <c r="B25" s="78" t="inlineStr">
        <is>
          <t>ANÁLISIS DE LOS CATIONES Mg, Na Y K EN SIETE MUESTRAS DE YESO MINERAL</t>
        </is>
      </c>
      <c r="C25" s="103" t="n">
        <v>708.4</v>
      </c>
    </row>
    <row r="26">
      <c r="A26" s="74" t="inlineStr">
        <is>
          <t>35.30.6C.02.72</t>
        </is>
      </c>
      <c r="B26" s="75" t="inlineStr">
        <is>
          <t xml:space="preserve">UPV1-25TPA - Análisis elemental de productos acuícolas </t>
        </is>
      </c>
      <c r="C26" s="102" t="n">
        <v>1742.4</v>
      </c>
    </row>
    <row r="27">
      <c r="A27" s="77" t="inlineStr">
        <is>
          <t>35.30.6C.02.73</t>
        </is>
      </c>
      <c r="B27" s="78" t="inlineStr">
        <is>
          <t>Ref. Contrato: UPV2-25TPA_CARACTERIZACIÓN TÉRMICA DE MATERIALES COMPUESTOS DE ORIGEN RENOVABLE A PARTIR DE RESINAS TERMOPLÁSTICAS Y TERMOESTABLES NATURALES Y FIBRAS LIGNOCELULÓSICAS. Ref.: PB000424453</t>
        </is>
      </c>
      <c r="C27" s="103" t="n">
        <v>4400</v>
      </c>
    </row>
    <row r="28">
      <c r="A28" s="74" t="inlineStr">
        <is>
          <t>35.30.6C.02.74</t>
        </is>
      </c>
      <c r="B28" s="75" t="inlineStr">
        <is>
          <t>INNDIH-ENTERPRISEINCORP1-25T  enmarcado en el proyecto "InnDIH - Valencia Region Digital Innovation Hub". DESARROLLO DE UN SENSOR PARA LA DETERMINACIÓN DEL CONTENIDO DE ETANOL EN LA INDUSTRIA VITIVINÍCOLA</t>
        </is>
      </c>
      <c r="C28" s="102" t="n">
        <v>7500</v>
      </c>
    </row>
    <row r="29">
      <c r="A29" s="77" t="inlineStr">
        <is>
          <t>35.30.6C.02.75</t>
        </is>
      </c>
      <c r="B29" s="78" t="inlineStr">
        <is>
          <t>INNDIH-ENTERPRISEINCORP2-25T enmarcado en el proyecto "InnDIH - Valencia Region Digital Innovation Hub". DESARROLLO E IMPLEMENTACIÓN DE UN SISTEMA AVANZADO DE SENSORIZACIÓN PARA EL MONITOREO EN TIEMPO REAL DEL CONTENIDO DE SULFUROSO DURANTE EL PROCESO DE VINIFICACIÓN</t>
        </is>
      </c>
      <c r="C29" s="103" t="n">
        <v>7500</v>
      </c>
    </row>
    <row r="30">
      <c r="A30" s="74" t="inlineStr">
        <is>
          <t>35.30.6C.02.76</t>
        </is>
      </c>
      <c r="B30" s="75" t="inlineStr">
        <is>
          <t>EQA16-25TPA - EVALUACIÓN POR PARTE DE LA EXPERTA TÉCNICA DEL PROYECTO 957.365</t>
        </is>
      </c>
      <c r="C30" s="102" t="n">
        <v>501.6</v>
      </c>
    </row>
    <row r="31">
      <c r="A31" s="77" t="inlineStr">
        <is>
          <t>35.30.6C.02.77</t>
        </is>
      </c>
      <c r="B31" s="78" t="inlineStr">
        <is>
          <t>ENSAYO DSC DE 5 MUESTRAS</t>
        </is>
      </c>
      <c r="C31" s="103" t="n">
        <v>330</v>
      </c>
    </row>
    <row r="32">
      <c r="A32" s="74" t="inlineStr">
        <is>
          <t>35.30.6C.02.78</t>
        </is>
      </c>
      <c r="B32" s="75" t="inlineStr">
        <is>
          <t>ANÁLISIS DE LOS CATIONES Mg, Na Y K EN DOS MUESTRAS DE YESO MINERAL</t>
        </is>
      </c>
      <c r="C32" s="102" t="n">
        <v>202.4</v>
      </c>
    </row>
    <row r="33">
      <c r="A33" s="77" t="inlineStr">
        <is>
          <t>35.30.6C.02.79</t>
        </is>
      </c>
      <c r="B33" s="78" t="inlineStr">
        <is>
          <t>YESOSTORRIQUE10-25TPA - ANÁLISIS DE LOS CATIONES MG, NA Y K EN DOS MUESTRAS DE YESO MINERAL</t>
        </is>
      </c>
      <c r="C33" s="103" t="n">
        <v>202.4</v>
      </c>
    </row>
    <row r="34">
      <c r="A34" s="74" t="inlineStr">
        <is>
          <t>35.30.6C.02.80</t>
        </is>
      </c>
      <c r="B34" s="75" t="inlineStr">
        <is>
          <t>INNDIH-MEDITERRANEANALGAE1-25T enmarcado en el proyecto "InnDIH - Valencia Region Digital Innovation Hub" DESARROLLO DE UNA SOLUCIÓN TECNOLÓGICA AVANZADA PARA LA DESINFECCIÓN DE MATERIAS PRIMAS DE ORIGEN MARINO, CON ESPECIAL ATENCIÓN A LA PRESERVACIÓN DE SUS PROPIEDADES FUNCIONALES Y AL CUMPLIMIENTO DE LOS PRINCIPIOS DE SOSTENIBILIDAD E INNOVACIÓN</t>
        </is>
      </c>
      <c r="C34" s="102" t="n">
        <v>7500</v>
      </c>
    </row>
    <row r="35">
      <c r="A35" s="77" t="inlineStr">
        <is>
          <t>35.30.6C.02.81</t>
        </is>
      </c>
      <c r="B35" s="78" t="inlineStr">
        <is>
          <t>EVALUACIÓN POR PARTE DE LA EXPERTA TÉCNICA DEL PROYECTO 960.784  Ref. Contrato: EQA29-25TPA</t>
        </is>
      </c>
      <c r="C35" s="103" t="n">
        <v>308</v>
      </c>
    </row>
    <row r="36">
      <c r="A36" s="74" t="inlineStr">
        <is>
          <t>35.30.6C.02.82</t>
        </is>
      </c>
      <c r="B36" s="75" t="inlineStr">
        <is>
          <t>ICARBALLOTOME1-25TPA - Primer pago tras la autorización del servicios EVALUACIÓN DE TÉCNICAS DE TRITURADO DE HOJAS DE NÍSPERO Y LA DETERMINACIÓN DEL CONTENIDO TOTAL DE POLIFENOLES EN LAS MUESTRAS OBTENIDAS, INCLUYENDO  UNA MUESTRA DE REFERENCIA APORTADA POR LA EMPRESA</t>
        </is>
      </c>
      <c r="C36" s="102" t="n">
        <v>162.8</v>
      </c>
    </row>
    <row r="37">
      <c r="A37" s="77" t="inlineStr">
        <is>
          <t>35.30.6C.02.82</t>
        </is>
      </c>
      <c r="B37" s="78" t="inlineStr">
        <is>
          <t>ICARBALLOTOME1-25TPA - Segundo y último pago tras la realización de los servicios. EVALUACIÓN DE TÉCNICAS DE TRITURADO DE HOJAS DE NÍSPERO Y LA DETERMINACIÓN DEL CONTENIDO TOTAL DE POLIFENOLES EN LAS MUESTRAS OBTENIDAS, INCLUYENDO UNA MUESTRA DE REFERENCIA APORTADA POR LA EMPRESA</t>
        </is>
      </c>
      <c r="C37" s="103" t="n">
        <v>127.6</v>
      </c>
    </row>
    <row r="38">
      <c r="A38" s="74" t="inlineStr">
        <is>
          <t>35.30.6C.02.83</t>
        </is>
      </c>
      <c r="B38" s="75" t="inlineStr">
        <is>
          <t>ANÁLISIS DE LOS CATIONES Mg, Na Y K EN SEIS MUESTRAS DE YESO MINERAL Y UNA MUESTRA DE SH INTERPLAC</t>
        </is>
      </c>
      <c r="C38" s="102" t="n">
        <v>708.4</v>
      </c>
    </row>
    <row r="39">
      <c r="A39" s="77" t="inlineStr">
        <is>
          <t>35.30.6C.02.84</t>
        </is>
      </c>
      <c r="B39" s="78" t="inlineStr">
        <is>
          <t xml:space="preserve">AITEX11-25TPA - Proyecto MICRAM P24-030 (PC. 25-5444) ANÁLISIS FISICOQUÍMICO DE AEROGELES Y LAMINADOS </t>
        </is>
      </c>
      <c r="C39" s="103" t="n">
        <v>4444</v>
      </c>
    </row>
    <row r="40">
      <c r="A40" s="74" t="inlineStr">
        <is>
          <t>35.30.6C.02.85</t>
        </is>
      </c>
      <c r="B40" s="75" t="inlineStr">
        <is>
          <t xml:space="preserve">BORRELL1-25Y-IVACE - Primer pago del 25% del importe total del contrato NUEVO SISTEMA DE DETECCIÓN DE AMIGDALINA EN ALMENDRA </t>
        </is>
      </c>
      <c r="C40" s="102" t="n">
        <v>12012.5</v>
      </c>
    </row>
    <row r="41">
      <c r="A41" s="77" t="inlineStr">
        <is>
          <t>35.30.6C.02.87</t>
        </is>
      </c>
      <c r="B41" s="78" t="inlineStr">
        <is>
          <t>INNDIH-RUCHEY1-25T enmarcado en el proyecto "InnDIH - Valencia Region Digital Innovation Hub" DESARROLLO DE UNA SOLUCIÓN TECNOLÓGICA AVANZADA PARA LA DESINFECCIÓN DE MATERIAS PRIMAS DE ORIGEN VEGETAL</t>
        </is>
      </c>
      <c r="C41" s="103" t="n">
        <v>7000</v>
      </c>
    </row>
    <row r="42">
      <c r="A42" s="74" t="inlineStr">
        <is>
          <t>35.30.6C.02.88</t>
        </is>
      </c>
      <c r="B42" s="75" t="inlineStr">
        <is>
          <t>DEFINIR PROCESOS VIABLES Y SEGUROS DE RECICLADO Y DESINFECCIÓN DE MATERIAL ORTOPÉDICO, CON FOCO EN LA APLICACIÓN DE TECNOLOGÍAS INNOVADORAS COMO RADIACIÓN ULTRAVIOLETA (UV-C) Y MICROONDAS</t>
        </is>
      </c>
      <c r="C42" s="102" t="n">
        <v>3960</v>
      </c>
    </row>
    <row r="43">
      <c r="A43" s="77" t="inlineStr">
        <is>
          <t>35.30.6C.02.89</t>
        </is>
      </c>
      <c r="B43" s="78" t="inlineStr">
        <is>
          <t>UPV5-25TPA</t>
        </is>
      </c>
      <c r="C43" s="103" t="n">
        <v>2323.2</v>
      </c>
    </row>
    <row r="44">
      <c r="A44" s="74" t="inlineStr">
        <is>
          <t>35.30.6C.02.90</t>
        </is>
      </c>
      <c r="B44" s="75" t="inlineStr">
        <is>
          <t>INNDIH-CALPECH2-25APA enmarcado en el proyecto "InnDIH - Valencia Region Digital Innovation Hub" ASESORAMIENTO EN BÚSQUEDA DE FINANCIACIÓN Y PARTNERS EN EL MARCO DEL PROYECTO "INNDIH - VALENCIA REGION DIGITAL INNOVATION HUB", FINANCIADO AL 50% POR LA UNIÓN EUROPEA A TRAVÉS DEL PROGRAMA EUROPA DIGITAL1, EN PARTICULAR ESTA AYUDA SE HA OTORGADO MEDIANTE EL CONSORTIUM AGREEMENT NÚMERO 101083002 SUSCRITO CON LA COMISIÓN EUROPEA.</t>
        </is>
      </c>
      <c r="C44" s="102" t="n">
        <v>750</v>
      </c>
    </row>
    <row r="45">
      <c r="A45" s="77" t="inlineStr">
        <is>
          <t>35.30.6C.02.91</t>
        </is>
      </c>
      <c r="B45" s="78" t="inlineStr">
        <is>
          <t>INNDIH-INTK1-25APA enmarcado en el proyecto "InnDIH - Valencia Region Digital Innovation Hub". ASESORAMIENTO EN BÚSQUEDA DE FINANCIACIÓN Y PARTNERS EN EL MARCO DEL PROYECTO "INNDIH - VALENCIA REGION DIGITAL INNOVATION HUB", FINANCIADO AL 50% POR LA UNIÓN EUROPEA A TRAVÉS DEL PROGRAMA EUROPA DIGITAL1, EN  PARTICULAR ESTA AYUDA SE HA OTORGADO MEDIANTE EL CONSORTIUM AGREEMENT NÚMERO 101083002 SUSCRITO CON LA COMISIÓN EUROPEA.</t>
        </is>
      </c>
      <c r="C45" s="103" t="n">
        <v>750</v>
      </c>
    </row>
    <row r="46">
      <c r="A46" s="74" t="inlineStr">
        <is>
          <t>35.30.6C.02.92</t>
        </is>
      </c>
      <c r="B46" s="75" t="inlineStr">
        <is>
          <t>INNDIH-HYDROSPOWER1-25APA enmarcado en el proyecto "InnDIH - Valencia Region Digital Innovation Hub". ASESORAMIENTO EN BÚSQUEDA DE FINANCIACIÓN Y PARTNERS EN EL MARCO DEL PROYECTO "INNDIH - VALENCIA REGION DIGITAL INNOVATION HUB", FINANCIADO AL 50% POR LA UNIÓN EUROPEA A TRAVÉS DEL PROGRAMA EUROPA DIGITAL1, EN PARTICULAR ESTA AYUDA SE HA OTORGADO MEDIANTE EL CONSORTIUM AGREEMENT NÚMERO 101083002 SUSCRITO CON LA COMISIÓN EUROPEA.</t>
        </is>
      </c>
      <c r="C46" s="102" t="n">
        <v>750</v>
      </c>
    </row>
    <row r="47">
      <c r="A47" s="77" t="inlineStr">
        <is>
          <t>35.30.6C.02.93</t>
        </is>
      </c>
      <c r="B47" s="78" t="inlineStr">
        <is>
          <t>INNDIH-GOLDENOWL1-25APA enmarcado en el proyecto "InnDIH - Valencia Region Digital Innovation Hub" ASESORAMIENTO EN BÚSQUEDA DE FINANCIACIÓN Y PARTNERS EN EL MARCO DEL PROYECTO "INNDIH - VALENCIA REGION DIGITAL INNOVATION HUB", FINANCIADO AL 50% POR LA UNIÓN EUROPEA A TRAVÉS DEL PROGRAMA EUROPA DIGITAL1, EN PARTICULAR ESTA AYUDA SE HA OTORGADO MEDIANTE EL CONSORTIUM AGREEMENT NÚMERO 101083002 SUSCRITO CON LA COMISIÓN EUROPEA.</t>
        </is>
      </c>
      <c r="C47" s="103" t="n">
        <v>750</v>
      </c>
    </row>
    <row r="48">
      <c r="A48" s="74" t="inlineStr">
        <is>
          <t>35.30.6C.02.94</t>
        </is>
      </c>
      <c r="B48" s="75" t="inlineStr">
        <is>
          <t>INNDIH-EIEHINSTITUTE2-25APA enmarcado en el proyecto "InnDIH - Valencia Region Digital Innovation Hub". ASESORAMIENTO EN BÚSQUEDA DE FINANCIACIÓN Y PARTNERS EN EL MARCO DEL PROYECTO "INNDIH - VALENCIA REGION DIGITAL INNOVATION HUB", FINANCIADO AL 50% POR LA UNIÓN EUROPEA A TRAVÉS DEL PROGRAMA EUROPA DIGITAL1, EN PARTICULAR ESTA AYUDA SE HA OTORGADO MEDIANTE EL CONSORTIUM AGREEMENT NÚMERO 101083002 SUSCRITO CON LA COMISIÓN EUROPEA.</t>
        </is>
      </c>
      <c r="C48" s="102" t="n">
        <v>750</v>
      </c>
    </row>
    <row r="49">
      <c r="A49" s="77" t="inlineStr">
        <is>
          <t>35.30.6P.00.42</t>
        </is>
      </c>
      <c r="B49" s="78" t="inlineStr">
        <is>
          <t xml:space="preserve">ayudas PID2021-122320NA-I00, PID2021-123699NB-I00, PID2021-124741NB-I00, PID2021-124860NB-I00,PID2021-125387NB-I00, PID2021-126485OB-I00, PID2021-127332NB-I00, PID2021-127566NB-I00, PID2021-127967NB-I00, </t>
        </is>
      </c>
      <c r="C49" s="103" t="n">
        <v>38000</v>
      </c>
    </row>
    <row r="50">
      <c r="A50" s="74" t="inlineStr">
        <is>
          <t>35.30.6P.00.46</t>
        </is>
      </c>
      <c r="B50" s="75" t="inlineStr">
        <is>
          <t>DEVOLUCIÓN DE INGRESOS_ CARTA DE PAGO_ REFERENCIA: TED2021-130080B-I00, ANUALIDAD: 2023</t>
        </is>
      </c>
      <c r="C50" s="102" t="n">
        <v>-21650.83</v>
      </c>
    </row>
    <row r="51">
      <c r="A51" s="77" t="inlineStr">
        <is>
          <t>35.30.6P.00.50</t>
        </is>
      </c>
      <c r="B51" s="78" t="inlineStr">
        <is>
          <t>Ayudas INNEST/2023/7, INNEST/2023/10, INNEST/2023/11, INNEST/2023/13, INNEST/2023/14, INNEST/2023/15, INNEST/2023/20</t>
        </is>
      </c>
      <c r="C51" s="103" t="n">
        <v>47890</v>
      </c>
    </row>
    <row r="52">
      <c r="A52" s="74" t="inlineStr">
        <is>
          <t>35.30.6P.00.50</t>
        </is>
      </c>
      <c r="B52" s="75" t="inlineStr">
        <is>
          <t>Minoración INNEST/2023/15  INNEST/2023/11</t>
        </is>
      </c>
      <c r="C52" s="102" t="n">
        <v>-7527.84</v>
      </c>
    </row>
    <row r="53">
      <c r="A53" s="77" t="inlineStr">
        <is>
          <t>35.30.6P.00.58</t>
        </is>
      </c>
      <c r="B53" s="78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53" s="103" t="n">
        <v>7920</v>
      </c>
    </row>
    <row r="54">
      <c r="A54" s="74" t="inlineStr">
        <is>
          <t>35.30.6P.00.61</t>
        </is>
      </c>
      <c r="B54" s="75" t="inlineStr">
        <is>
          <t>PROGRAMA PROPIO DEL CENTRO DE GASTRONOMÍA DEL MEDITERRÁNEO (GASTERRA) UA_DENIA PARA EL FOMENTO DE LA I+D+I EN EL ÁMBITO DE LA GASTRONOMÍA 2025</t>
        </is>
      </c>
      <c r="C54" s="102" t="n">
        <v>3000</v>
      </c>
    </row>
    <row r="55">
      <c r="A55" s="77" t="inlineStr">
        <is>
          <t>35.30.6P.00.62</t>
        </is>
      </c>
      <c r="B55" s="78" t="inlineStr">
        <is>
          <t>PROGRAMA PROPIO DEL CENTRO DE GASTRONOMÍA DEL MEDITERRÁNEO (GASTERRA) UA_DENIA PARA EL FOMENTO DE LA I+D+I EN EL ÁMBITO DE LA GASTRONOMÍA 2025</t>
        </is>
      </c>
      <c r="C55" s="103" t="n">
        <v>3000</v>
      </c>
    </row>
    <row r="56">
      <c r="A56" s="74" t="inlineStr">
        <is>
          <t>35.30.6P.00.63</t>
        </is>
      </c>
      <c r="B56" s="75" t="inlineStr">
        <is>
          <t>PROGRAMA PROPIO DEL CENTRO DE GASTRONOMÍA DEL MEDITERRÁNEO (GASTERRA) UA_DENIA PARA EL FOMENTO DE LA I+D+I EN EL ÁMBITO DE LA GASTRONOMÍA 2025</t>
        </is>
      </c>
      <c r="C56" s="102" t="n">
        <v>3000</v>
      </c>
    </row>
    <row r="57">
      <c r="A57" s="77" t="inlineStr">
        <is>
          <t>35.30.6P.00.64</t>
        </is>
      </c>
      <c r="B57" s="78" t="inlineStr">
        <is>
          <t>PROGRAMA PROPIO DEL CENTRO DE GASTRONOMÍA DEL MEDITERRÁNEO (GASTERRA) UA_DENIA PARA EL FOMENTO DE LA I+D+I EN EL ÁMBITO DE LA GASTRONOMÍA 2025</t>
        </is>
      </c>
      <c r="C57" s="103" t="n">
        <v>2300</v>
      </c>
    </row>
    <row r="58">
      <c r="A58" s="74" t="inlineStr">
        <is>
          <t>35.30.6P.00.65</t>
        </is>
      </c>
      <c r="B58" s="75" t="inlineStr">
        <is>
          <t>Ingreso ayudas CIGE/2024/56/95/108/145/178/184/194/199/200/201/202/203/204/205/208/209/212/213</t>
        </is>
      </c>
      <c r="C58" s="102" t="n">
        <v>2000</v>
      </c>
    </row>
    <row r="59">
      <c r="A59" s="77" t="inlineStr">
        <is>
          <t>35.30.6P.00.66</t>
        </is>
      </c>
      <c r="B59" s="78" t="inlineStr">
        <is>
          <t>Ayudas JDC2024-053381-I, JDC2024-053381-I (DOT. ADICIONAL), JDC2024-055795-I, JDC2024-055795-I (DOT. ADICIONAL), JDC2024-055193-I, JDC2024-055193-I (DOT. ADICIONAL), JDC2024-054052-I,  JDC2024-053152-I, JDC2024-054052-I (DOT. ADICIONAL), JDC2024-053152-I (DOT. ADICIONAL), JDC2024-055709-I, JDC2024-055709-I (DOT. ADICIONAL)</t>
        </is>
      </c>
      <c r="C59" s="103" t="n">
        <v>3700</v>
      </c>
    </row>
    <row r="60" ht="15.75" customHeight="1" thickBot="1">
      <c r="A60" s="74" t="inlineStr">
        <is>
          <t>35.30.6Q.00.01</t>
        </is>
      </c>
      <c r="B60" s="75" t="inlineStr">
        <is>
          <t>Convenio ENTRE LA UNIVERSIDAD DE ALICANTE Y ALBIR CENTER S.L. Catedra SHA de Innovación en Salud y Bienestar, anualidad. octubre 2025 a octubre 2026</t>
        </is>
      </c>
      <c r="C60" s="102" t="n">
        <v>30000</v>
      </c>
    </row>
    <row r="61" ht="15.75" customHeight="1" thickTop="1">
      <c r="A61" s="80" t="inlineStr">
        <is>
          <t>Total</t>
        </is>
      </c>
      <c r="B61" s="81" t="n"/>
      <c r="C61" s="104" t="n">
        <v>275584.0599999999</v>
      </c>
    </row>
    <row r="64">
      <c r="B64" s="69" t="inlineStr">
        <is>
          <t>Total ingresos de investigación 2023-25</t>
        </is>
      </c>
      <c r="C64" s="105">
        <f>C61+Tabla2[[#Totals],[Imp.cob.aplic.]]+Tabla3[[#Totals],[Imp.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12" sqref="D12"/>
    </sheetView>
  </sheetViews>
  <sheetFormatPr baseColWidth="10" defaultRowHeight="15"/>
  <cols>
    <col width="16.42578125" customWidth="1" min="1" max="1"/>
    <col width="81" customWidth="1" min="2" max="2"/>
    <col width="15.42578125" customWidth="1" min="3" max="3"/>
  </cols>
  <sheetData>
    <row r="1">
      <c r="A1" s="53" t="inlineStr">
        <is>
          <t>Cód. org. aplic.</t>
        </is>
      </c>
      <c r="B1" s="53" t="inlineStr">
        <is>
          <t>Descripción justificante</t>
        </is>
      </c>
      <c r="C1" s="53" t="inlineStr">
        <is>
          <t>Imp.cob.aplic.</t>
        </is>
      </c>
    </row>
    <row r="2">
      <c r="A2" s="34" t="inlineStr">
        <is>
          <t>35.30.2T.00.03</t>
        </is>
      </c>
      <c r="B2" s="34" t="inlineStr">
        <is>
          <t xml:space="preserve">LIQ-TitProp_9389-1 Curso_2023-24_AñoCont_2023 - EXPERTO/A EN ELABORACIÓN ARTESANAL DE HELADOS </t>
        </is>
      </c>
      <c r="C2" s="92" t="n">
        <v>20272.5</v>
      </c>
    </row>
    <row r="3">
      <c r="A3" s="62" t="inlineStr">
        <is>
          <t>35.30.2T.00.03</t>
        </is>
      </c>
      <c r="B3" s="62" t="inlineStr">
        <is>
          <t xml:space="preserve">LIQ-TitProp_GK06-1 Curso_2023-24_AñoCont_2023 - ELABORACIÓN ARTESANAL DE HELADOS </t>
        </is>
      </c>
      <c r="C3" s="106" t="n">
        <v>9540</v>
      </c>
    </row>
    <row r="4">
      <c r="A4" s="48" t="inlineStr">
        <is>
          <t>Total</t>
        </is>
      </c>
      <c r="B4" s="48" t="n"/>
      <c r="C4" s="107">
        <f>SUBTOTAL(109,Tabla5[Imp.cob.aplic.])</f>
        <v/>
      </c>
    </row>
    <row r="5">
      <c r="C5" s="9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12" sqref="B12:C12"/>
    </sheetView>
  </sheetViews>
  <sheetFormatPr baseColWidth="10" defaultRowHeight="15"/>
  <cols>
    <col width="45.42578125" customWidth="1" min="2" max="2"/>
    <col width="17.42578125" customWidth="1" min="3" max="3"/>
  </cols>
  <sheetData>
    <row r="1">
      <c r="A1" s="58" t="inlineStr">
        <is>
          <t>Org. aplic.</t>
        </is>
      </c>
      <c r="B1" s="58" t="inlineStr">
        <is>
          <t>Descripción justificante</t>
        </is>
      </c>
      <c r="C1" s="58" t="inlineStr">
        <is>
          <t>Imp. aplic.</t>
        </is>
      </c>
    </row>
    <row r="2">
      <c r="A2" s="54" t="inlineStr">
        <is>
          <t>35.30.2T.00.03</t>
        </is>
      </c>
      <c r="B2" s="54" t="inlineStr">
        <is>
          <t>Saray  Simón Quijada. EXPERTO/A EN ELABORACIÓN ARTESANAL DE HELADOS</t>
        </is>
      </c>
      <c r="C2" s="98" t="n">
        <v>2686.97</v>
      </c>
    </row>
    <row r="3">
      <c r="A3" s="56" t="inlineStr">
        <is>
          <t>35.30.2T.00.03</t>
        </is>
      </c>
      <c r="B3" s="56" t="inlineStr">
        <is>
          <t>DINA ALSINA PÉREZ - GK06 - ELABORACIÓN ARTESANAL DE HELADOS</t>
        </is>
      </c>
      <c r="C3" s="99" t="n">
        <v>2650</v>
      </c>
    </row>
    <row r="4">
      <c r="A4" s="54" t="inlineStr">
        <is>
          <t>35.30.2T.00.03</t>
        </is>
      </c>
      <c r="B4" s="54" t="inlineStr">
        <is>
          <t>Regina Aparicio Bustabad. EXPERTO/A EN ELABORACIÓN ARTESANAL DE HELADOS</t>
        </is>
      </c>
      <c r="C4" s="98" t="n">
        <v>2686.97</v>
      </c>
    </row>
    <row r="5">
      <c r="A5" s="56" t="inlineStr">
        <is>
          <t>35.30.2T.00.03</t>
        </is>
      </c>
      <c r="B5" s="56" t="inlineStr">
        <is>
          <t>SARAY RUIZ RODRIGUEZ - PAGO TASAS MATRÍCULA GK06 - ELABORACIÓN ARTESANAL DE HELADOS</t>
        </is>
      </c>
      <c r="C5" s="99" t="n">
        <v>2650</v>
      </c>
    </row>
    <row r="6">
      <c r="A6" s="54" t="inlineStr">
        <is>
          <t>35.30.2T.00.03</t>
        </is>
      </c>
      <c r="B6" s="54" t="inlineStr">
        <is>
          <t xml:space="preserve">José Felipe Cortés Francés - GK35 Elaboración Artesanal de Helados (curso vinculado a experto) </t>
        </is>
      </c>
      <c r="C6" s="98" t="n">
        <v>2686.97</v>
      </c>
    </row>
    <row r="7">
      <c r="A7" s="56" t="inlineStr">
        <is>
          <t>35.30.2T.00.03</t>
        </is>
      </c>
      <c r="B7" s="56" t="inlineStr">
        <is>
          <t xml:space="preserve">LIQ-TitProp_9389-1 Curso_2024-25 AñoCont_2024 - EXPERTO/A EN ELABORACIÓN ARTESANAL DE HELADOS </t>
        </is>
      </c>
      <c r="C7" s="99" t="n">
        <v>4279.75</v>
      </c>
    </row>
    <row r="8">
      <c r="A8" s="65" t="inlineStr">
        <is>
          <t>35.30.2T.00.03</t>
        </is>
      </c>
      <c r="B8" s="65" t="inlineStr">
        <is>
          <t xml:space="preserve">LIQ-TitProp_GK35-1 Curso_2024-25 AñoCont_2024 - ELABORACIÓN ARTESANAL DE HELADOS </t>
        </is>
      </c>
      <c r="C8" s="108" t="n">
        <v>20988</v>
      </c>
    </row>
    <row r="9" customFormat="1" s="52">
      <c r="A9" s="67" t="inlineStr">
        <is>
          <t>Total</t>
        </is>
      </c>
      <c r="B9" s="67" t="n"/>
      <c r="C9" s="109">
        <f>SUBTOTAL(109,Tabla7[Imp.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C19" sqref="C19"/>
    </sheetView>
  </sheetViews>
  <sheetFormatPr baseColWidth="10" defaultRowHeight="15"/>
  <cols>
    <col width="18.42578125" customWidth="1" min="1" max="1"/>
    <col width="56.7109375" customWidth="1" min="2" max="2"/>
    <col width="19.7109375" customWidth="1" min="3" max="3"/>
  </cols>
  <sheetData>
    <row r="1">
      <c r="A1" s="83" t="inlineStr">
        <is>
          <t>Org. aplic.</t>
        </is>
      </c>
      <c r="B1" s="83" t="inlineStr">
        <is>
          <t>Descripción justificante</t>
        </is>
      </c>
      <c r="C1" s="110" t="inlineStr">
        <is>
          <t>Imp. aplic.</t>
        </is>
      </c>
    </row>
    <row r="2">
      <c r="A2" s="75" t="inlineStr">
        <is>
          <t>35.30.2T.00.03</t>
        </is>
      </c>
      <c r="B2" s="75" t="inlineStr">
        <is>
          <t>MONTIEL SILVESTRE ASENSI, EXPERTO/A EN ELABORACIÓN ARTESANAL DE HELADOS (PLAN 9398), RECIBO Nº2024735984372</t>
        </is>
      </c>
      <c r="C2" s="102" t="n">
        <v>2421.97</v>
      </c>
    </row>
    <row r="3">
      <c r="A3" s="78" t="inlineStr">
        <is>
          <t>35.30.2T.00.03</t>
        </is>
      </c>
      <c r="B3" s="78" t="inlineStr">
        <is>
          <t>ALEJANDRA GONZÁLEZ CABRERA, EXPERTO EN ELABORACIÓN ARTESANAL DE HELADOS (9389) REC REF 2025998786969.</t>
        </is>
      </c>
      <c r="C3" s="103" t="n">
        <v>2686.97</v>
      </c>
    </row>
    <row r="4">
      <c r="A4" s="75" t="inlineStr">
        <is>
          <t>35.30.2T.00.03</t>
        </is>
      </c>
      <c r="B4" s="75" t="inlineStr">
        <is>
          <t xml:space="preserve">LIQ-TitProp_GK35-N Curso_2025-26 AñoCont_2025 - ELABORACIÓN ARTESANAL DE HELADOS </t>
        </is>
      </c>
      <c r="C4" s="102" t="n">
        <v>30528</v>
      </c>
    </row>
    <row r="5">
      <c r="A5" s="78" t="inlineStr">
        <is>
          <t>35.30.2T.00.03</t>
        </is>
      </c>
      <c r="B5" s="78" t="inlineStr">
        <is>
          <t xml:space="preserve">LIQ-TitProp_9389-1 Curso_2025-26 AñoCont_2025 - EXPERTO/A EN ELABORACIÓN ARTESANAL DE HELADOS </t>
        </is>
      </c>
      <c r="C5" s="103" t="n">
        <v>4279.75</v>
      </c>
    </row>
    <row r="6">
      <c r="A6" s="75" t="inlineStr">
        <is>
          <t>35.30.2T.00.03</t>
        </is>
      </c>
      <c r="B6" s="75" t="inlineStr">
        <is>
          <t>LUIS FEDERICO MENÉNDEZ MOLINAS, ELABORACIÓN ARTESANAL DE HELADOS (GK35)  REF RECIBO:2025994285377.</t>
        </is>
      </c>
      <c r="C6" s="102" t="n">
        <v>2686.97</v>
      </c>
    </row>
    <row r="7">
      <c r="A7" s="75" t="inlineStr">
        <is>
          <t>10.91.2T.02.00</t>
        </is>
      </c>
      <c r="B7" s="75" t="inlineStr">
        <is>
          <t>LIQ-TitProp_GN79-N Curso_2025-26 AñoCont_2025 - ANÁLISIS MORFOLÓGICO Y COLORIMÉTRICO ALIMENTOS MEDIANTE TÉCNICAS DE IMAGEN</t>
        </is>
      </c>
      <c r="C7" s="102" t="n">
        <v>106.25</v>
      </c>
    </row>
    <row r="8">
      <c r="A8" s="85" t="inlineStr">
        <is>
          <t>10.91.2T.02.00</t>
        </is>
      </c>
      <c r="B8" s="85" t="inlineStr">
        <is>
          <t xml:space="preserve">LIQ-TitProp_GN79-2 Curso_2025-26 AñoCont_2025 - ANÁLISIS MORFOLÓGICO Y COLORIMÉTRICO ALIMENTOS MEDIANTE TÉCNICAS DE IMAGEN </t>
        </is>
      </c>
      <c r="C8" s="111" t="n">
        <v>63.75</v>
      </c>
    </row>
    <row r="9" customFormat="1" s="52">
      <c r="A9" s="87" t="inlineStr">
        <is>
          <t>Total</t>
        </is>
      </c>
      <c r="B9" s="87" t="n"/>
      <c r="C9" s="112">
        <f>SUBTOTAL(109,Tabla1[Imp. aplic.])</f>
        <v/>
      </c>
    </row>
    <row r="13">
      <c r="B13" s="69" t="inlineStr">
        <is>
          <t>Total ingresos formación 2023-25</t>
        </is>
      </c>
      <c r="C13" s="113">
        <f>Tabla1[[#Totals],[Imp. aplic.]]+Tabla5[[#Totals],[Imp.cob.aplic.]]+Tabla7[[#Totals],[Imp. aplic.]]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iipq@ua.es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2026-05-28T21:59:16Z</dcterms:modified>
  <cp:lastModifiedBy>mayte.pujalte</cp:lastModifiedBy>
</cp:coreProperties>
</file>