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'Tesis'!$A$1:$U$36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_-* #,##0.00_-;\-* #,##0.00_-;_-* &quot;-&quot;??_-;_-@_-"/>
    <numFmt numFmtId="166" formatCode="_-* #,##0.00\ _€_-;\-* #,##0.00\ _€_-;_-* &quot;-&quot;??\ _€_-;_-@_-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Tahoma"/>
      <family val="2"/>
      <color indexed="81"/>
      <sz val="9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3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3" fillId="0" borderId="0"/>
  </cellStyleXfs>
  <cellXfs count="86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 textRotation="90" wrapText="1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1"/>
    <xf numFmtId="0" fontId="2" fillId="4" borderId="2" pivotButton="0" quotePrefix="0" xfId="1"/>
    <xf numFmtId="0" fontId="10" fillId="6" borderId="1" applyAlignment="1" pivotButton="0" quotePrefix="0" xfId="0">
      <alignment horizontal="left" vertical="center"/>
    </xf>
    <xf numFmtId="164" fontId="2" fillId="4" borderId="0" pivotButton="0" quotePrefix="0" xfId="1"/>
    <xf numFmtId="0" fontId="2" fillId="4" borderId="0" applyAlignment="1" pivotButton="0" quotePrefix="0" xfId="1">
      <alignment horizontal="center"/>
    </xf>
    <xf numFmtId="0" fontId="0" fillId="0" borderId="1" applyAlignment="1" pivotButton="0" quotePrefix="0" xfId="0">
      <alignment horizontal="left"/>
    </xf>
    <xf numFmtId="165" fontId="0" fillId="8" borderId="3" pivotButton="0" quotePrefix="0" xfId="6"/>
    <xf numFmtId="165" fontId="0" fillId="0" borderId="3" pivotButton="0" quotePrefix="0" xfId="6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164" fontId="3" fillId="2" borderId="0" pivotButton="0" quotePrefix="0" xfId="1"/>
    <xf numFmtId="0" fontId="17" fillId="8" borderId="3" pivotButton="0" quotePrefix="0" xfId="0"/>
    <xf numFmtId="0" fontId="17" fillId="0" borderId="3" pivotButton="0" quotePrefix="0" xfId="0"/>
    <xf numFmtId="165" fontId="0" fillId="0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165" fontId="0" fillId="0" borderId="6" pivotButton="0" quotePrefix="0" xfId="6"/>
    <xf numFmtId="0" fontId="0" fillId="0" borderId="6" pivotButton="0" quotePrefix="0" xfId="0"/>
    <xf numFmtId="165" fontId="13" fillId="0" borderId="6" pivotButton="0" quotePrefix="0" xfId="0"/>
    <xf numFmtId="0" fontId="16" fillId="7" borderId="5" pivotButton="0" quotePrefix="0" xfId="0"/>
    <xf numFmtId="0" fontId="17" fillId="8" borderId="6" pivotButton="0" quotePrefix="0" xfId="0"/>
    <xf numFmtId="165" fontId="0" fillId="8" borderId="6" pivotButton="0" quotePrefix="0" xfId="6"/>
    <xf numFmtId="0" fontId="9" fillId="10" borderId="6" pivotButton="0" quotePrefix="0" xfId="0"/>
    <xf numFmtId="165" fontId="13" fillId="10" borderId="6" pivotButton="0" quotePrefix="0" xfId="0"/>
    <xf numFmtId="0" fontId="0" fillId="11" borderId="0" pivotButton="0" quotePrefix="0" xfId="0"/>
    <xf numFmtId="0" fontId="0" fillId="8" borderId="3" pivotButton="0" quotePrefix="0" xfId="0"/>
    <xf numFmtId="0" fontId="0" fillId="0" borderId="3" pivotButton="0" quotePrefix="0" xfId="0"/>
    <xf numFmtId="0" fontId="11" fillId="7" borderId="5" pivotButton="0" quotePrefix="0" xfId="0"/>
    <xf numFmtId="165" fontId="11" fillId="7" borderId="5" pivotButton="0" quotePrefix="0" xfId="6"/>
    <xf numFmtId="0" fontId="0" fillId="0" borderId="6" pivotButton="0" quotePrefix="0" xfId="0"/>
    <xf numFmtId="0" fontId="0" fillId="0" borderId="6" pivotButton="0" quotePrefix="0" xfId="0"/>
    <xf numFmtId="165" fontId="0" fillId="0" borderId="6" pivotButton="0" quotePrefix="0" xfId="0"/>
    <xf numFmtId="0" fontId="0" fillId="11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14" fillId="12" borderId="7" pivotButton="0" quotePrefix="0" xfId="0"/>
    <xf numFmtId="0" fontId="14" fillId="12" borderId="8" pivotButton="0" quotePrefix="0" xfId="0"/>
    <xf numFmtId="0" fontId="9" fillId="13" borderId="7" pivotButton="0" quotePrefix="0" xfId="0"/>
    <xf numFmtId="0" fontId="9" fillId="13" borderId="8" pivotButton="0" quotePrefix="0" xfId="0"/>
    <xf numFmtId="166" fontId="9" fillId="13" borderId="8" pivotButton="0" quotePrefix="0" xfId="6"/>
    <xf numFmtId="0" fontId="9" fillId="0" borderId="7" pivotButton="0" quotePrefix="0" xfId="0"/>
    <xf numFmtId="0" fontId="9" fillId="0" borderId="8" pivotButton="0" quotePrefix="0" xfId="0"/>
    <xf numFmtId="166" fontId="9" fillId="0" borderId="8" pivotButton="0" quotePrefix="0" xfId="6"/>
    <xf numFmtId="0" fontId="15" fillId="0" borderId="9" pivotButton="0" quotePrefix="0" xfId="0"/>
    <xf numFmtId="0" fontId="15" fillId="0" borderId="10" pivotButton="0" quotePrefix="0" xfId="0"/>
    <xf numFmtId="166" fontId="15" fillId="0" borderId="10" pivotButton="0" quotePrefix="0" xfId="6"/>
    <xf numFmtId="0" fontId="12" fillId="0" borderId="1" pivotButton="0" quotePrefix="0" xfId="0"/>
    <xf numFmtId="166" fontId="12" fillId="0" borderId="1" pivotButton="0" quotePrefix="0" xfId="6"/>
    <xf numFmtId="164" fontId="12" fillId="9" borderId="4" applyAlignment="1" pivotButton="0" quotePrefix="0" xfId="0">
      <alignment horizontal="center"/>
    </xf>
    <xf numFmtId="164" fontId="2" fillId="4" borderId="0" pivotButton="0" quotePrefix="0" xfId="1"/>
    <xf numFmtId="164" fontId="3" fillId="2" borderId="0" pivotButton="0" quotePrefix="0" xfId="1"/>
    <xf numFmtId="164" fontId="12" fillId="9" borderId="4" applyAlignment="1" pivotButton="0" quotePrefix="0" xfId="0">
      <alignment horizontal="center"/>
    </xf>
    <xf numFmtId="0" fontId="0" fillId="0" borderId="4" pivotButton="0" quotePrefix="0" xfId="0"/>
    <xf numFmtId="165" fontId="0" fillId="8" borderId="3" pivotButton="0" quotePrefix="0" xfId="6"/>
    <xf numFmtId="165" fontId="0" fillId="0" borderId="3" pivotButton="0" quotePrefix="0" xfId="6"/>
    <xf numFmtId="165" fontId="0" fillId="8" borderId="6" pivotButton="0" quotePrefix="0" xfId="6"/>
    <xf numFmtId="165" fontId="13" fillId="10" borderId="6" pivotButton="0" quotePrefix="0" xfId="0"/>
    <xf numFmtId="165" fontId="0" fillId="0" borderId="0" pivotButton="0" quotePrefix="0" xfId="0"/>
    <xf numFmtId="165" fontId="11" fillId="7" borderId="5" pivotButton="0" quotePrefix="0" xfId="6"/>
    <xf numFmtId="165" fontId="0" fillId="0" borderId="6" pivotButton="0" quotePrefix="0" xfId="6"/>
    <xf numFmtId="165" fontId="13" fillId="0" borderId="6" pivotButton="0" quotePrefix="0" xfId="0"/>
    <xf numFmtId="166" fontId="9" fillId="13" borderId="8" pivotButton="0" quotePrefix="0" xfId="6"/>
    <xf numFmtId="166" fontId="9" fillId="0" borderId="8" pivotButton="0" quotePrefix="0" xfId="6"/>
    <xf numFmtId="166" fontId="15" fillId="0" borderId="10" pivotButton="0" quotePrefix="0" xfId="6"/>
    <xf numFmtId="166" fontId="12" fillId="0" borderId="1" pivotButton="0" quotePrefix="0" xfId="6"/>
    <xf numFmtId="165" fontId="0" fillId="0" borderId="6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28"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21387280V</author>
  </authors>
  <commentList>
    <comment ref="B16" authorId="0" shapeId="0">
      <text>
        <t xml:space="preserve">Último sexenio 2001
</t>
      </text>
    </comment>
  </commentList>
</comments>
</file>

<file path=xl/tables/table1.xml><?xml version="1.0" encoding="utf-8"?>
<table xmlns="http://schemas.openxmlformats.org/spreadsheetml/2006/main" id="1" name="Tabla2" displayName="Tabla2" ref="A1:C79" headerRowCount="1" totalsRowCount="1" headerRowDxfId="27" totalsRowDxfId="24" headerRowBorderDxfId="26" tableBorderDxfId="25" totalsRowBorderDxfId="23">
  <autoFilter ref="A1:C78"/>
  <tableColumns count="3">
    <tableColumn id="1" name="Cód. org. aplic." totalsRowLabel="Total" dataDxfId="22" totalsRowDxfId="21"/>
    <tableColumn id="2" name="Descripción justificante" dataDxfId="20" totalsRowDxfId="19"/>
    <tableColumn id="3" name="Imp.cob.aplic." totalsRowFunction="sum" dataDxfId="18" totalsRowDxfId="17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96" headerRowCount="1" totalsRowCount="1" headerRowBorderDxfId="16" tableBorderDxfId="15" totalsRowBorderDxfId="14">
  <autoFilter ref="A1:C95"/>
  <tableColumns count="3">
    <tableColumn id="1" name="Org. aplic." totalsRowLabel="Total" dataDxfId="13" totalsRowDxfId="12"/>
    <tableColumn id="2" name="Descripción justificante" dataDxfId="11" totalsRowDxfId="10"/>
    <tableColumn id="3" name="Imp. aplic." totalsRowFunction="sum" dataDxfId="9" totalsRowDxfId="8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:C5" headerRowCount="1" totalsRowCount="1" headerRowDxfId="7" headerRowBorderDxfId="6" tableBorderDxfId="5" totalsRowBorderDxfId="4">
  <autoFilter ref="A1:C4"/>
  <tableColumns count="3">
    <tableColumn id="1" name="Cód. org. aplic." totalsRowLabel="Total"/>
    <tableColumn id="2" name="Descripción justificante"/>
    <tableColumn id="3" name="Imp.cob.aplic.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6" displayName="Tabla6" ref="A1:C6" headerRowCount="1" totalsRowCount="1" headerRowDxfId="3" headerRowBorderDxfId="2" tableBorderDxfId="1" totalsRowBorderDxfId="0">
  <autoFilter ref="A1:C5"/>
  <tableColumns count="3">
    <tableColumn id="1" name="Org. aplic." totalsRowLabel="Total"/>
    <tableColumn id="2" name="Descripción justificante"/>
    <tableColumn id="3" name="Imp. aplic.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78"/>
  <sheetViews>
    <sheetView showGridLines="0" topLeftCell="E40" zoomScaleNormal="100" workbookViewId="0">
      <selection activeCell="X68" sqref="X68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25.7109375" customWidth="1" style="6" min="10" max="10"/>
    <col width="5.140625" customWidth="1" style="6" min="11" max="12"/>
    <col width="5.28515625" customWidth="1" style="7" min="13" max="13"/>
    <col width="4.85546875" customWidth="1" style="6" min="14" max="14"/>
    <col width="5.28515625" customWidth="1" style="7" min="15" max="15"/>
    <col width="4.85546875" customWidth="1" style="6" min="16" max="16"/>
    <col width="3.5703125" customWidth="1" style="7" min="17" max="17"/>
    <col width="7.42578125" bestFit="1" customWidth="1" style="6" min="18" max="18"/>
    <col width="5.140625" customWidth="1" style="6" min="19" max="21"/>
    <col width="10.28515625" customWidth="1" style="6" min="22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8" t="inlineStr">
        <is>
          <t xml:space="preserve">U023 </t>
        </is>
      </c>
      <c r="B2" s="18" t="inlineStr">
        <is>
          <t xml:space="preserve">ADM. FACULTAD DE FILOSOFIA Y LETRAS </t>
        </is>
      </c>
      <c r="C2" s="18" t="inlineStr">
        <is>
          <t xml:space="preserve">DOCTORADO EN FILOSOFÍA Y LETRAS </t>
        </is>
      </c>
      <c r="D2" s="18" t="inlineStr">
        <is>
          <t xml:space="preserve">Linares Bernabeu, Esther </t>
        </is>
      </c>
      <c r="E2" s="18" t="inlineStr">
        <is>
          <t xml:space="preserve">La construcción discursiva de la identidad de género femenina en el monólogo humorístico subversivo </t>
        </is>
      </c>
      <c r="F2" s="18" t="inlineStr">
        <is>
          <t xml:space="preserve">05/02/2020 </t>
        </is>
      </c>
      <c r="G2" s="18" t="inlineStr">
        <is>
          <t xml:space="preserve">52747327R </t>
        </is>
      </c>
      <c r="H2" s="18" t="inlineStr">
        <is>
          <t xml:space="preserve">Director de tesis </t>
        </is>
      </c>
      <c r="I2" s="18" t="inlineStr">
        <is>
          <t xml:space="preserve">B115 </t>
        </is>
      </c>
      <c r="J2" s="18" t="inlineStr">
        <is>
          <t xml:space="preserve">FILOL. ESPAÑOLA, LINGÜÍSTICA GENERAL Y TEORIA DE LA LITERATURA </t>
        </is>
      </c>
      <c r="K2" s="18" t="n">
        <v>1</v>
      </c>
      <c r="L2" s="18" t="inlineStr">
        <is>
          <t>B115</t>
        </is>
      </c>
      <c r="M2" s="18" t="n">
        <v>2019</v>
      </c>
      <c r="N2" s="18" t="inlineStr">
        <is>
          <t>10.15</t>
        </is>
      </c>
      <c r="O2" s="18" t="inlineStr">
        <is>
          <t>10</t>
        </is>
      </c>
      <c r="P2" s="18" t="inlineStr">
        <is>
          <t>10.23</t>
        </is>
      </c>
      <c r="Q2" s="18" t="inlineStr">
        <is>
          <t>20</t>
        </is>
      </c>
      <c r="R2" s="18" t="n">
        <v>70</v>
      </c>
      <c r="S2" s="18" t="n">
        <v>0.7</v>
      </c>
      <c r="T2" s="18" t="n">
        <v>0.1</v>
      </c>
      <c r="U2" s="18" t="n">
        <v>0.2</v>
      </c>
    </row>
    <row r="3">
      <c r="A3" s="18" t="inlineStr">
        <is>
          <t xml:space="preserve">U023 </t>
        </is>
      </c>
      <c r="B3" s="18" t="inlineStr">
        <is>
          <t xml:space="preserve">ADM. FACULTAD DE FILOSOFIA Y LETRAS </t>
        </is>
      </c>
      <c r="C3" s="18" t="inlineStr">
        <is>
          <t xml:space="preserve">DOCTORADO EN FILOSOFÍA Y LETRAS </t>
        </is>
      </c>
      <c r="D3" s="18" t="inlineStr">
        <is>
          <t xml:space="preserve">Mateo Guillen, Copelia </t>
        </is>
      </c>
      <c r="E3" s="18" t="inlineStr">
        <is>
          <t xml:space="preserve">ONLINE STRATEGIES TO FOSTER AUTONOMOUS ENBLISH LANGUAGE LEARNING IN VIRUTAL ENVIRONMENTS: The case of teh COMALAT European Project </t>
        </is>
      </c>
      <c r="F3" s="18" t="inlineStr">
        <is>
          <t xml:space="preserve">29/07/2020 </t>
        </is>
      </c>
      <c r="G3" s="18" t="inlineStr">
        <is>
          <t xml:space="preserve">53214805G </t>
        </is>
      </c>
      <c r="H3" s="18" t="inlineStr">
        <is>
          <t xml:space="preserve">Director de tesis </t>
        </is>
      </c>
      <c r="I3" s="18" t="inlineStr">
        <is>
          <t xml:space="preserve">B116 </t>
        </is>
      </c>
      <c r="J3" s="18" t="inlineStr">
        <is>
          <t xml:space="preserve">FILOLOGÍA INGLESA </t>
        </is>
      </c>
      <c r="K3" s="18" t="n">
        <v>1</v>
      </c>
      <c r="L3" s="18" t="inlineStr">
        <is>
          <t>B116</t>
        </is>
      </c>
      <c r="M3" s="18" t="n">
        <v>2019</v>
      </c>
      <c r="N3" s="18" t="inlineStr">
        <is>
          <t>10.15</t>
        </is>
      </c>
      <c r="O3" s="18" t="inlineStr">
        <is>
          <t>50</t>
        </is>
      </c>
      <c r="P3" s="18" t="inlineStr"/>
      <c r="Q3" s="18" t="inlineStr"/>
      <c r="R3" s="18" t="n">
        <v>50</v>
      </c>
      <c r="S3" s="18" t="n">
        <v>0.5</v>
      </c>
      <c r="T3" s="18" t="n">
        <v>0.5</v>
      </c>
      <c r="U3" s="18" t="n">
        <v>0</v>
      </c>
    </row>
    <row r="4">
      <c r="A4" s="18" t="inlineStr">
        <is>
          <t xml:space="preserve">U023 </t>
        </is>
      </c>
      <c r="B4" s="18" t="inlineStr">
        <is>
          <t xml:space="preserve">ADM. FACULTAD DE FILOSOFIA Y LETRAS </t>
        </is>
      </c>
      <c r="C4" s="18" t="inlineStr">
        <is>
          <t xml:space="preserve">DOCTORADO EN FILOSOFÍA Y LETRAS </t>
        </is>
      </c>
      <c r="D4" s="18" t="inlineStr">
        <is>
          <t xml:space="preserve">Aliaga Aguza, Laura María </t>
        </is>
      </c>
      <c r="E4" s="18" t="inlineStr">
        <is>
          <t xml:space="preserve">ANÁLISIS LINGÜÍSTICO DEL HUMOR EN EL MEDIO AUDIOVISUAL: LAS ESTRATEGIAS HUMORÍSTICAS DE LA COMEDIA DE SITUACIÓN </t>
        </is>
      </c>
      <c r="F4" s="18" t="inlineStr">
        <is>
          <t xml:space="preserve">29/01/2020 </t>
        </is>
      </c>
      <c r="G4" s="18" t="inlineStr">
        <is>
          <t xml:space="preserve">52747327R </t>
        </is>
      </c>
      <c r="H4" s="18" t="inlineStr">
        <is>
          <t xml:space="preserve">Codirector de tesis </t>
        </is>
      </c>
      <c r="I4" s="18" t="inlineStr">
        <is>
          <t xml:space="preserve">B115 </t>
        </is>
      </c>
      <c r="J4" s="18" t="inlineStr">
        <is>
          <t xml:space="preserve">FILOL. ESPAÑOLA, LINGÜÍSTICA GENERAL Y TEORIA DE LA LITERATURA </t>
        </is>
      </c>
      <c r="K4" s="18" t="n">
        <v>0.5</v>
      </c>
      <c r="L4" s="18" t="inlineStr">
        <is>
          <t>B115</t>
        </is>
      </c>
      <c r="M4" s="18" t="n">
        <v>2019</v>
      </c>
      <c r="N4" s="18" t="inlineStr">
        <is>
          <t>10.15</t>
        </is>
      </c>
      <c r="O4" s="18" t="inlineStr">
        <is>
          <t>10</t>
        </is>
      </c>
      <c r="P4" s="18" t="inlineStr">
        <is>
          <t>10.23</t>
        </is>
      </c>
      <c r="Q4" s="18" t="inlineStr">
        <is>
          <t>20</t>
        </is>
      </c>
      <c r="R4" s="18" t="n">
        <v>70</v>
      </c>
      <c r="S4" s="18" t="n">
        <v>0.35</v>
      </c>
      <c r="T4" s="18" t="n">
        <v>0.05</v>
      </c>
      <c r="U4" s="18" t="n">
        <v>0.1</v>
      </c>
      <c r="V4" s="69" t="n"/>
    </row>
    <row r="5">
      <c r="A5" s="18" t="inlineStr">
        <is>
          <t xml:space="preserve">U025 </t>
        </is>
      </c>
      <c r="B5" s="18" t="inlineStr">
        <is>
          <t xml:space="preserve">ADM. FACULTAD DE DERECHO </t>
        </is>
      </c>
      <c r="C5" s="18" t="inlineStr">
        <is>
          <t xml:space="preserve">DOCTORADO EN DERECHO </t>
        </is>
      </c>
      <c r="D5" s="18" t="inlineStr">
        <is>
          <t xml:space="preserve">Aramburo Calle, Maximiliano Alberto </t>
        </is>
      </c>
      <c r="E5" s="18" t="inlineStr">
        <is>
          <t xml:space="preserve">Decisión judicial y prueba en la obra de Michele Taruffo </t>
        </is>
      </c>
      <c r="F5" s="18" t="inlineStr">
        <is>
          <t xml:space="preserve">07/07/2020 </t>
        </is>
      </c>
      <c r="G5" s="18" t="inlineStr">
        <is>
          <t xml:space="preserve">13051474D </t>
        </is>
      </c>
      <c r="H5" s="18" t="inlineStr">
        <is>
          <t xml:space="preserve">Codirector de tesis </t>
        </is>
      </c>
      <c r="I5" s="18" t="inlineStr">
        <is>
          <t xml:space="preserve">B152 </t>
        </is>
      </c>
      <c r="J5" s="18" t="inlineStr">
        <is>
          <t xml:space="preserve">FILOSOFÍA DEL DCHO .Y DCHO INTERNACIONAL PRIVADO </t>
        </is>
      </c>
      <c r="K5" s="18" t="n">
        <v>0.5</v>
      </c>
      <c r="L5" s="18" t="inlineStr">
        <is>
          <t>B152</t>
        </is>
      </c>
      <c r="M5" s="18" t="n">
        <v>2019</v>
      </c>
      <c r="N5" s="18" t="inlineStr">
        <is>
          <t>10.15</t>
        </is>
      </c>
      <c r="O5" s="18" t="inlineStr">
        <is>
          <t>10</t>
        </is>
      </c>
      <c r="P5" s="18" t="inlineStr"/>
      <c r="Q5" s="18" t="inlineStr"/>
      <c r="R5" s="18" t="n">
        <v>90</v>
      </c>
      <c r="S5" s="18" t="n">
        <v>0.45</v>
      </c>
      <c r="T5" s="18" t="n">
        <v>0.05</v>
      </c>
      <c r="U5" s="18" t="n">
        <v>0</v>
      </c>
    </row>
    <row r="6">
      <c r="A6" s="18" t="inlineStr">
        <is>
          <t xml:space="preserve">U022 </t>
        </is>
      </c>
      <c r="B6" s="18" t="inlineStr">
        <is>
          <t xml:space="preserve">ADM. FACULTAD DE CIENCIAS </t>
        </is>
      </c>
      <c r="C6" s="18" t="inlineStr">
        <is>
          <t xml:space="preserve">DOCTORADO EN CIENCIAS EXPERIMENTALES Y BIOSANITARIAS </t>
        </is>
      </c>
      <c r="D6" s="18" t="inlineStr">
        <is>
          <t xml:space="preserve">Vicente Alcalde, Nancy </t>
        </is>
      </c>
      <c r="E6" s="18" t="inlineStr">
        <is>
          <t xml:space="preserve">EVALUACIÓN DE LA COBERTURA VACUNAL EN LOS CENTROS PENITENCIARIOS ESPAÑOLES </t>
        </is>
      </c>
      <c r="F6" s="18" t="inlineStr">
        <is>
          <t xml:space="preserve">12/11/2020 </t>
        </is>
      </c>
      <c r="G6" s="18" t="inlineStr">
        <is>
          <t xml:space="preserve">21439023X </t>
        </is>
      </c>
      <c r="H6" s="18" t="inlineStr">
        <is>
          <t xml:space="preserve">Codirector de tesis </t>
        </is>
      </c>
      <c r="I6" s="18" t="inlineStr">
        <is>
          <t xml:space="preserve">B160 </t>
        </is>
      </c>
      <c r="J6" s="18" t="inlineStr">
        <is>
          <t xml:space="preserve">BIOTECNOLOGIA </t>
        </is>
      </c>
      <c r="K6" s="18" t="n">
        <v>0.5</v>
      </c>
      <c r="L6" s="18" t="inlineStr">
        <is>
          <t>B160</t>
        </is>
      </c>
      <c r="M6" s="18" t="n">
        <v>2019</v>
      </c>
      <c r="N6" s="18" t="inlineStr">
        <is>
          <t>10.15</t>
        </is>
      </c>
      <c r="O6" s="18" t="n">
        <v>10</v>
      </c>
      <c r="P6" s="18" t="inlineStr"/>
      <c r="Q6" s="18" t="n">
        <v>0</v>
      </c>
      <c r="R6" s="18" t="n">
        <v>90</v>
      </c>
      <c r="S6" s="18" t="n">
        <v>0.45</v>
      </c>
      <c r="T6" s="18" t="n">
        <v>0.05</v>
      </c>
      <c r="U6" s="18" t="n">
        <v>0</v>
      </c>
    </row>
    <row r="7">
      <c r="A7" s="18" t="inlineStr">
        <is>
          <t xml:space="preserve">U025 </t>
        </is>
      </c>
      <c r="B7" s="18" t="inlineStr">
        <is>
          <t xml:space="preserve">ADM. FACULTAD DE DERECHO </t>
        </is>
      </c>
      <c r="C7" s="18" t="inlineStr">
        <is>
          <t xml:space="preserve">DOCTORADO EN DERECHO </t>
        </is>
      </c>
      <c r="D7" s="18" t="inlineStr">
        <is>
          <t xml:space="preserve">Ciofalo Lagos, Kira </t>
        </is>
      </c>
      <c r="E7" s="18" t="inlineStr">
        <is>
          <t xml:space="preserve">Giovanni Tarello y la Escuela Genovesa. Un estudio de filosofía analítica del derecho </t>
        </is>
      </c>
      <c r="F7" s="18" t="inlineStr">
        <is>
          <t xml:space="preserve">17/12/2020 </t>
        </is>
      </c>
      <c r="G7" s="18" t="inlineStr">
        <is>
          <t xml:space="preserve">13051474D </t>
        </is>
      </c>
      <c r="H7" s="18" t="inlineStr">
        <is>
          <t xml:space="preserve">Codirector de tesis </t>
        </is>
      </c>
      <c r="I7" s="18" t="inlineStr">
        <is>
          <t xml:space="preserve">B152 </t>
        </is>
      </c>
      <c r="J7" s="18" t="inlineStr">
        <is>
          <t xml:space="preserve">FILOSOFÍA DEL DCHO .Y DCHO INTERNACIONAL PRIVADO </t>
        </is>
      </c>
      <c r="K7" s="18" t="n">
        <v>0.5</v>
      </c>
      <c r="L7" s="18" t="inlineStr">
        <is>
          <t>B152</t>
        </is>
      </c>
      <c r="M7" s="18" t="n">
        <v>2019</v>
      </c>
      <c r="N7" s="18" t="inlineStr">
        <is>
          <t>10.15</t>
        </is>
      </c>
      <c r="O7" s="18" t="n">
        <v>10</v>
      </c>
      <c r="P7" s="18" t="inlineStr"/>
      <c r="Q7" s="18" t="n">
        <v>0</v>
      </c>
      <c r="R7" s="18" t="n">
        <v>90</v>
      </c>
      <c r="S7" s="18" t="n">
        <v>0.45</v>
      </c>
      <c r="T7" s="18" t="n">
        <v>0.05</v>
      </c>
      <c r="U7" s="18" t="n">
        <v>0</v>
      </c>
    </row>
    <row r="8">
      <c r="A8" s="19" t="inlineStr">
        <is>
          <t xml:space="preserve">B172 </t>
        </is>
      </c>
      <c r="B8" s="19" t="inlineStr">
        <is>
          <t xml:space="preserve">TRADUCCIÓN E INTERPRETACIÓN </t>
        </is>
      </c>
      <c r="C8" s="18" t="inlineStr">
        <is>
          <t xml:space="preserve">DOCTORADO EN TRADUCTOLOGÍA, TRADUCCIÓN PROFESIONAL Y AUDIOVISUAL </t>
        </is>
      </c>
      <c r="D8" s="18" t="inlineStr">
        <is>
          <t xml:space="preserve">López Medel, María </t>
        </is>
      </c>
      <c r="E8" s="18" t="inlineStr">
        <is>
          <t xml:space="preserve">Traducción no sexista en la Unión Europea. Recomendaciones, aplicación y propuesta de guía </t>
        </is>
      </c>
      <c r="F8" s="18" t="inlineStr">
        <is>
          <t xml:space="preserve">26/07/2021 </t>
        </is>
      </c>
      <c r="G8" s="18" t="inlineStr">
        <is>
          <t xml:space="preserve">34829970N </t>
        </is>
      </c>
      <c r="H8" s="18" t="inlineStr">
        <is>
          <t xml:space="preserve">Codirector de tesis </t>
        </is>
      </c>
      <c r="I8" s="18" t="inlineStr">
        <is>
          <t xml:space="preserve">B172 </t>
        </is>
      </c>
      <c r="J8" s="18" t="inlineStr">
        <is>
          <t xml:space="preserve">TRADUCCIÓN E INTERPRETACIÓN </t>
        </is>
      </c>
      <c r="K8" s="18" t="n">
        <v>0.5</v>
      </c>
      <c r="L8" s="18" t="inlineStr">
        <is>
          <t>B172</t>
        </is>
      </c>
      <c r="M8" s="18" t="n">
        <v>2020</v>
      </c>
      <c r="N8" s="18" t="inlineStr">
        <is>
          <t>10.15</t>
        </is>
      </c>
      <c r="O8" s="18" t="n">
        <v>15</v>
      </c>
      <c r="P8" s="18" t="inlineStr"/>
      <c r="Q8" s="18" t="n">
        <v>0</v>
      </c>
      <c r="R8" s="18" t="n">
        <v>85</v>
      </c>
      <c r="S8" s="18" t="n">
        <v>0.425</v>
      </c>
      <c r="T8" s="18" t="n">
        <v>0.075</v>
      </c>
      <c r="U8" s="18" t="n">
        <v>0</v>
      </c>
    </row>
    <row r="9">
      <c r="A9" s="19" t="inlineStr">
        <is>
          <t xml:space="preserve">U022 </t>
        </is>
      </c>
      <c r="B9" s="19" t="inlineStr">
        <is>
          <t xml:space="preserve">ADM. FACULTAD DE CIENCIAS </t>
        </is>
      </c>
      <c r="C9" s="18" t="inlineStr">
        <is>
          <t xml:space="preserve">DOCTORADO EN CIENCIAS EXPERIMENTALES Y BIOSANITARIAS </t>
        </is>
      </c>
      <c r="D9" s="18" t="inlineStr">
        <is>
          <t xml:space="preserve">Pascual García, Sandra </t>
        </is>
      </c>
      <c r="E9" s="18" t="inlineStr">
        <is>
          <t xml:space="preserve">Biomarcadores predictivos de actividad, pronóstico y/o respuesta al tratamiento en pacientes con Artritis Reumatoide. Uso de las células madre mesenquimales como herramienta inmunomoduladora. </t>
        </is>
      </c>
      <c r="F9" s="18" t="inlineStr">
        <is>
          <t xml:space="preserve">18/12/2020 </t>
        </is>
      </c>
      <c r="G9" s="18" t="inlineStr">
        <is>
          <t xml:space="preserve">21439023X </t>
        </is>
      </c>
      <c r="H9" s="18" t="inlineStr">
        <is>
          <t xml:space="preserve">Codirector de tesis </t>
        </is>
      </c>
      <c r="I9" s="18" t="inlineStr">
        <is>
          <t xml:space="preserve">B160 </t>
        </is>
      </c>
      <c r="J9" s="18" t="inlineStr">
        <is>
          <t xml:space="preserve">BIOTECNOLOGIA </t>
        </is>
      </c>
      <c r="K9" s="18" t="n">
        <v>0.5</v>
      </c>
      <c r="L9" s="18" t="inlineStr">
        <is>
          <t>B160</t>
        </is>
      </c>
      <c r="M9" s="18" t="n">
        <v>2020</v>
      </c>
      <c r="N9" s="18" t="inlineStr">
        <is>
          <t>10.15</t>
        </is>
      </c>
      <c r="O9" s="18" t="n">
        <v>10</v>
      </c>
      <c r="P9" s="18" t="inlineStr"/>
      <c r="Q9" s="18" t="n">
        <v>0</v>
      </c>
      <c r="R9" s="18" t="n">
        <v>90</v>
      </c>
      <c r="S9" s="18" t="n">
        <v>0.45</v>
      </c>
      <c r="T9" s="18" t="n">
        <v>0.05</v>
      </c>
      <c r="U9" s="18" t="n">
        <v>0</v>
      </c>
    </row>
    <row r="10">
      <c r="A10" s="19" t="inlineStr">
        <is>
          <t xml:space="preserve">U023 </t>
        </is>
      </c>
      <c r="B10" s="19" t="inlineStr">
        <is>
          <t xml:space="preserve">ADM. FACULTAD DE FILOSOFIA Y LETRAS </t>
        </is>
      </c>
      <c r="C10" s="18" t="inlineStr">
        <is>
          <t xml:space="preserve">DOCTORADO EN FILOSOFÍA Y LETRAS </t>
        </is>
      </c>
      <c r="D10" s="18" t="inlineStr">
        <is>
          <t xml:space="preserve">Monzó Jiménez, Luis Antonio </t>
        </is>
      </c>
      <c r="E10" s="18" t="inlineStr">
        <is>
          <t xml:space="preserve">EDUCACIÓN LITERARIA EN LOS ESTUDIOS UNIVERSITARIOS DE ESPAÑOL POR PARTE DE ALUMNADO NO NATIVO </t>
        </is>
      </c>
      <c r="F10" s="18" t="inlineStr">
        <is>
          <t xml:space="preserve">22/02/2021 </t>
        </is>
      </c>
      <c r="G10" s="18" t="inlineStr">
        <is>
          <t xml:space="preserve">29008698V </t>
        </is>
      </c>
      <c r="H10" s="18" t="inlineStr">
        <is>
          <t xml:space="preserve">Codirector de tesis </t>
        </is>
      </c>
      <c r="I10" s="18" t="inlineStr">
        <is>
          <t xml:space="preserve">B115 </t>
        </is>
      </c>
      <c r="J10" s="18" t="inlineStr">
        <is>
          <t xml:space="preserve">FILOL. ESPAÑOLA, LINGÜÍSTICA GENERAL Y TEORIA DE LA LITERATURA </t>
        </is>
      </c>
      <c r="K10" s="18" t="n">
        <v>0.5</v>
      </c>
      <c r="L10" s="18" t="inlineStr">
        <is>
          <t>B115</t>
        </is>
      </c>
      <c r="M10" s="18" t="n">
        <v>2020</v>
      </c>
      <c r="N10" s="18" t="inlineStr">
        <is>
          <t>10.15</t>
        </is>
      </c>
      <c r="O10" s="18" t="n">
        <v>10</v>
      </c>
      <c r="P10" s="18" t="inlineStr"/>
      <c r="Q10" s="18" t="n">
        <v>0</v>
      </c>
      <c r="R10" s="18" t="n">
        <v>90</v>
      </c>
      <c r="S10" s="18" t="n">
        <v>0.45</v>
      </c>
      <c r="T10" s="18" t="n">
        <v>0.05</v>
      </c>
      <c r="U10" s="18" t="n">
        <v>0</v>
      </c>
    </row>
    <row r="11">
      <c r="A11" s="19" t="inlineStr">
        <is>
          <t xml:space="preserve">U023 </t>
        </is>
      </c>
      <c r="B11" s="19" t="inlineStr">
        <is>
          <t xml:space="preserve">ADM. FACULTAD DE FILOSOFIA Y LETRAS </t>
        </is>
      </c>
      <c r="C11" s="18" t="inlineStr">
        <is>
          <t xml:space="preserve">DOCTORADO EN FILOSOFÍA Y LETRAS </t>
        </is>
      </c>
      <c r="D11" s="18" t="inlineStr">
        <is>
          <t xml:space="preserve">Quevedo Atienza, María Ángeles </t>
        </is>
      </c>
      <c r="E11" s="18" t="inlineStr">
        <is>
          <t xml:space="preserve">NECESIDADES LINGÜÍSTICAS EN ESPAÑOL ACADÉMICO COMO L2 DE ESTUDIANTES INTERNACIONALES EN PROGRAMAS DE MOVILIDAD. ESTUDIO COMPARATIVO EN TRES UNIVERSIDADES PRIVADAS ESPAÑOLAS. </t>
        </is>
      </c>
      <c r="F11" s="18" t="inlineStr">
        <is>
          <t xml:space="preserve">23/07/2021 </t>
        </is>
      </c>
      <c r="G11" s="18" t="inlineStr">
        <is>
          <t xml:space="preserve">29008698V </t>
        </is>
      </c>
      <c r="H11" s="18" t="inlineStr">
        <is>
          <t xml:space="preserve">Codirector de tesis </t>
        </is>
      </c>
      <c r="I11" s="18" t="inlineStr">
        <is>
          <t xml:space="preserve">B115 </t>
        </is>
      </c>
      <c r="J11" s="18" t="inlineStr">
        <is>
          <t xml:space="preserve">FILOL. ESPAÑOLA, LINGÜÍSTICA GENERAL Y TEORIA DE LA LITERATURA </t>
        </is>
      </c>
      <c r="K11" s="18" t="n">
        <v>0.5</v>
      </c>
      <c r="L11" s="18" t="inlineStr">
        <is>
          <t>B115</t>
        </is>
      </c>
      <c r="M11" s="18" t="n">
        <v>2020</v>
      </c>
      <c r="N11" s="18" t="inlineStr">
        <is>
          <t>10.15</t>
        </is>
      </c>
      <c r="O11" s="18" t="n">
        <v>10</v>
      </c>
      <c r="P11" s="18" t="inlineStr"/>
      <c r="Q11" s="18" t="n">
        <v>0</v>
      </c>
      <c r="R11" s="18" t="n">
        <v>90</v>
      </c>
      <c r="S11" s="18" t="n">
        <v>0.45</v>
      </c>
      <c r="T11" s="18" t="n">
        <v>0.05</v>
      </c>
      <c r="U11" s="18" t="n">
        <v>0</v>
      </c>
    </row>
    <row r="12">
      <c r="A12" s="18" t="inlineStr">
        <is>
          <t xml:space="preserve">U025 </t>
        </is>
      </c>
      <c r="B12" s="18" t="inlineStr">
        <is>
          <t xml:space="preserve">ADM. FACULTAD DE DERECHO </t>
        </is>
      </c>
      <c r="C12" s="18" t="inlineStr">
        <is>
          <t xml:space="preserve">DOCTORADO EN DERECHO </t>
        </is>
      </c>
      <c r="D12" s="18" t="inlineStr">
        <is>
          <t xml:space="preserve">Misseri , Lucas Emmanuel </t>
        </is>
      </c>
      <c r="E12" s="18" t="inlineStr">
        <is>
          <t xml:space="preserve">El Derecho en la Utopía: Análisis de la evolución histórica de ambos conceptos desde su oposición hasta su complementariedad </t>
        </is>
      </c>
      <c r="F12" s="18" t="inlineStr">
        <is>
          <t xml:space="preserve">09/07/2021 </t>
        </is>
      </c>
      <c r="G12" s="18" t="inlineStr">
        <is>
          <t xml:space="preserve">13051474D </t>
        </is>
      </c>
      <c r="H12" s="18" t="inlineStr">
        <is>
          <t xml:space="preserve">Codirector de tesis </t>
        </is>
      </c>
      <c r="I12" s="18" t="inlineStr">
        <is>
          <t xml:space="preserve">B152 </t>
        </is>
      </c>
      <c r="J12" s="18" t="inlineStr">
        <is>
          <t xml:space="preserve">FILOSOFÍA DEL DCHO .Y DCHO INTERNACIONAL PRIVADO </t>
        </is>
      </c>
      <c r="K12" s="18" t="n">
        <v>0.5</v>
      </c>
      <c r="L12" s="18" t="inlineStr">
        <is>
          <t>B152</t>
        </is>
      </c>
      <c r="M12" s="18" t="n">
        <v>2020</v>
      </c>
      <c r="N12" s="18" t="inlineStr">
        <is>
          <t>10.15</t>
        </is>
      </c>
      <c r="O12" s="18" t="n">
        <v>10</v>
      </c>
      <c r="P12" s="18" t="inlineStr"/>
      <c r="Q12" s="18" t="n">
        <v>0</v>
      </c>
      <c r="R12" s="18" t="n">
        <v>90</v>
      </c>
      <c r="S12" s="18" t="n">
        <v>0.45</v>
      </c>
      <c r="T12" s="18" t="n">
        <v>0.05</v>
      </c>
      <c r="U12" s="18" t="n">
        <v>0</v>
      </c>
    </row>
    <row r="13">
      <c r="A13" s="18" t="inlineStr">
        <is>
          <t xml:space="preserve">B166 </t>
        </is>
      </c>
      <c r="B13" s="18" t="inlineStr">
        <is>
          <t xml:space="preserve">INNOVACIÓN Y FORMACIÓN DIDÁCTICA </t>
        </is>
      </c>
      <c r="C13" s="18" t="inlineStr">
        <is>
          <t xml:space="preserve">DOCTORADO EN INVESTIGACIÓN EDUCATIVA </t>
        </is>
      </c>
      <c r="D13" s="18" t="inlineStr">
        <is>
          <t xml:space="preserve">Contreras de la Llave, Natalia </t>
        </is>
      </c>
      <c r="E13" s="18" t="inlineStr">
        <is>
          <t xml:space="preserve">Cine y prespetiva de género como herramientas de transformación social en la didáctica del Español como Lengua Extranjera </t>
        </is>
      </c>
      <c r="F13" s="18" t="inlineStr">
        <is>
          <t xml:space="preserve">18/02/2022 </t>
        </is>
      </c>
      <c r="G13" s="18" t="inlineStr">
        <is>
          <t xml:space="preserve">29008698V </t>
        </is>
      </c>
      <c r="H13" s="18" t="inlineStr">
        <is>
          <t xml:space="preserve">Codirector de tesis </t>
        </is>
      </c>
      <c r="I13" s="18" t="inlineStr">
        <is>
          <t xml:space="preserve">B115 </t>
        </is>
      </c>
      <c r="J13" s="18" t="inlineStr">
        <is>
          <t xml:space="preserve">FILOL. ESPAÑOLA, LINGÜÍSTICA GENERAL Y TEORIA DE LA LITERATURA </t>
        </is>
      </c>
      <c r="K13" s="18" t="n">
        <v>0.5</v>
      </c>
      <c r="L13" s="18" t="inlineStr">
        <is>
          <t>B115</t>
        </is>
      </c>
      <c r="M13" s="18" t="n">
        <v>2021</v>
      </c>
      <c r="N13" s="18" t="inlineStr">
        <is>
          <t>10.15</t>
        </is>
      </c>
      <c r="O13" s="18" t="n">
        <v>10</v>
      </c>
      <c r="P13" s="18" t="inlineStr"/>
      <c r="Q13" s="18" t="n">
        <v>0</v>
      </c>
      <c r="R13" s="18" t="n">
        <v>90</v>
      </c>
      <c r="S13" s="18" t="n">
        <v>0.45</v>
      </c>
      <c r="T13" s="18" t="n">
        <v>0.05</v>
      </c>
      <c r="U13" s="18" t="n">
        <v>0</v>
      </c>
    </row>
    <row r="14">
      <c r="A14" s="20" t="inlineStr">
        <is>
          <t xml:space="preserve">B166 </t>
        </is>
      </c>
      <c r="B14" s="20" t="inlineStr">
        <is>
          <t xml:space="preserve">INNOVACIÓN Y FORMACIÓN DIDÁCTICA </t>
        </is>
      </c>
      <c r="C14" s="18" t="inlineStr">
        <is>
          <t xml:space="preserve">DOCTORADO EN INVESTIGACIÓN EDUCATIVA </t>
        </is>
      </c>
      <c r="D14" s="18" t="inlineStr">
        <is>
          <t xml:space="preserve">López Medina, Julián </t>
        </is>
      </c>
      <c r="E14" s="18" t="inlineStr">
        <is>
          <t xml:space="preserve">La dimensión intercultural en una pedagogía crítica de lenguas adicionales: creencias del profesorado en formación </t>
        </is>
      </c>
      <c r="F14" s="18" t="inlineStr">
        <is>
          <t xml:space="preserve">14/02/2022 </t>
        </is>
      </c>
      <c r="G14" s="18" t="inlineStr">
        <is>
          <t xml:space="preserve">29008698V </t>
        </is>
      </c>
      <c r="H14" s="18" t="inlineStr">
        <is>
          <t xml:space="preserve">Codirector de tesis </t>
        </is>
      </c>
      <c r="I14" s="18" t="inlineStr">
        <is>
          <t xml:space="preserve">B115 </t>
        </is>
      </c>
      <c r="J14" s="18" t="inlineStr">
        <is>
          <t xml:space="preserve">FILOL. ESPAÑOLA, LINGÜÍSTICA GENERAL Y TEORIA DE LA LITERATURA </t>
        </is>
      </c>
      <c r="K14" s="18" t="n">
        <v>0.5</v>
      </c>
      <c r="L14" s="18" t="inlineStr">
        <is>
          <t>B115</t>
        </is>
      </c>
      <c r="M14" s="18" t="n">
        <v>2021</v>
      </c>
      <c r="N14" s="18" t="inlineStr">
        <is>
          <t>10.15</t>
        </is>
      </c>
      <c r="O14" s="18" t="n">
        <v>10</v>
      </c>
      <c r="P14" s="18" t="inlineStr"/>
      <c r="Q14" s="18" t="n">
        <v>0</v>
      </c>
      <c r="R14" s="18" t="n">
        <v>90</v>
      </c>
      <c r="S14" s="18" t="n">
        <v>0.45</v>
      </c>
      <c r="T14" s="18" t="n">
        <v>0.05</v>
      </c>
      <c r="U14" s="18" t="n">
        <v>0</v>
      </c>
    </row>
    <row r="15">
      <c r="A15" s="20" t="inlineStr">
        <is>
          <t xml:space="preserve">B172 </t>
        </is>
      </c>
      <c r="B15" s="20" t="inlineStr">
        <is>
          <t xml:space="preserve">TRADUCCIÓN E INTERPRETACIÓN </t>
        </is>
      </c>
      <c r="C15" s="18" t="inlineStr">
        <is>
          <t xml:space="preserve">DOCTORADO EN TRADUCTOLOGÍA, TRADUCCIÓN PROFESIONAL Y AUDIOVISUAL </t>
        </is>
      </c>
      <c r="D15" s="18" t="inlineStr">
        <is>
          <t xml:space="preserve">Pérez Estevan, Elena </t>
        </is>
      </c>
      <c r="E15" s="18" t="inlineStr">
        <is>
          <t xml:space="preserve">Interpretación en final de vida y duelo. Un modelo psicolingüístico de análisis aplicado a situaciones de malas noticias, últimos días y duelo. </t>
        </is>
      </c>
      <c r="F15" s="18" t="inlineStr">
        <is>
          <t xml:space="preserve">30/03/2022 </t>
        </is>
      </c>
      <c r="G15" s="18" t="inlineStr">
        <is>
          <t xml:space="preserve">48364398K </t>
        </is>
      </c>
      <c r="H15" s="18" t="inlineStr">
        <is>
          <t xml:space="preserve">Director de tesis </t>
        </is>
      </c>
      <c r="I15" s="18" t="inlineStr">
        <is>
          <t xml:space="preserve">B172 </t>
        </is>
      </c>
      <c r="J15" s="18" t="inlineStr">
        <is>
          <t xml:space="preserve">TRADUCCIÓN E INTERPRETACIÓN </t>
        </is>
      </c>
      <c r="K15" s="18" t="n">
        <v>1</v>
      </c>
      <c r="L15" s="18" t="inlineStr">
        <is>
          <t>B172</t>
        </is>
      </c>
      <c r="M15" s="18" t="n">
        <v>2021</v>
      </c>
      <c r="N15" s="18" t="inlineStr">
        <is>
          <t>10.15</t>
        </is>
      </c>
      <c r="O15" s="18" t="n">
        <v>10</v>
      </c>
      <c r="P15" s="18" t="inlineStr"/>
      <c r="Q15" s="18" t="n">
        <v>0</v>
      </c>
      <c r="R15" s="18" t="n">
        <v>90</v>
      </c>
      <c r="S15" s="18" t="n">
        <v>0.9</v>
      </c>
      <c r="T15" s="18" t="n">
        <v>0.1</v>
      </c>
      <c r="U15" s="18" t="n">
        <v>0</v>
      </c>
    </row>
    <row r="16">
      <c r="A16" s="20" t="inlineStr">
        <is>
          <t xml:space="preserve">U022 </t>
        </is>
      </c>
      <c r="B16" s="20" t="inlineStr">
        <is>
          <t xml:space="preserve">ADM. FACULTAD DE CIENCIAS </t>
        </is>
      </c>
      <c r="C16" s="18" t="inlineStr">
        <is>
          <t xml:space="preserve">DOCTORADO EN CIENCIAS EXPERIMENTALES Y BIOSANITARIAS </t>
        </is>
      </c>
      <c r="D16" s="18" t="inlineStr">
        <is>
          <t xml:space="preserve">Montoyo Pujol, Yoel Genaro </t>
        </is>
      </c>
      <c r="E16" s="18" t="inlineStr">
        <is>
          <t xml:space="preserve">¿Expresión génica de puntos de control inmunológicos y vías relacionadas en cáncer de mama: Estudio clínico-patológico e in vitro en líneas celulares, mamosferas y co-cultivos.¿ </t>
        </is>
      </c>
      <c r="F16" s="18" t="inlineStr">
        <is>
          <t xml:space="preserve">11/03/2022 </t>
        </is>
      </c>
      <c r="G16" s="18" t="inlineStr">
        <is>
          <t xml:space="preserve">21439023X </t>
        </is>
      </c>
      <c r="H16" s="18" t="inlineStr">
        <is>
          <t xml:space="preserve">Codirector de tesis </t>
        </is>
      </c>
      <c r="I16" s="18" t="inlineStr">
        <is>
          <t xml:space="preserve">B160 </t>
        </is>
      </c>
      <c r="J16" s="18" t="inlineStr">
        <is>
          <t xml:space="preserve">BIOTECNOLOGIA </t>
        </is>
      </c>
      <c r="K16" s="18" t="n">
        <v>0.5</v>
      </c>
      <c r="L16" s="18" t="inlineStr">
        <is>
          <t>B160</t>
        </is>
      </c>
      <c r="M16" s="18" t="n">
        <v>2021</v>
      </c>
      <c r="N16" s="18" t="inlineStr">
        <is>
          <t>10.15</t>
        </is>
      </c>
      <c r="O16" s="18" t="n">
        <v>10</v>
      </c>
      <c r="P16" s="18" t="inlineStr"/>
      <c r="Q16" s="18" t="n">
        <v>0</v>
      </c>
      <c r="R16" s="18" t="n">
        <v>90</v>
      </c>
      <c r="S16" s="18" t="n">
        <v>0.45</v>
      </c>
      <c r="T16" s="18" t="n">
        <v>0.05</v>
      </c>
      <c r="U16" s="18" t="n">
        <v>0</v>
      </c>
    </row>
    <row r="17">
      <c r="A17" s="20" t="inlineStr">
        <is>
          <t xml:space="preserve">U023 </t>
        </is>
      </c>
      <c r="B17" s="20" t="inlineStr">
        <is>
          <t xml:space="preserve">ADM. FACULTAD DE FILOSOFIA Y LETRAS </t>
        </is>
      </c>
      <c r="C17" s="18" t="inlineStr">
        <is>
          <t xml:space="preserve">DOCTORADO EN FILOSOFÍA Y LETRAS </t>
        </is>
      </c>
      <c r="D17" s="18" t="inlineStr">
        <is>
          <t xml:space="preserve">Amador Solano, María Gabriela </t>
        </is>
      </c>
      <c r="E17" s="18" t="inlineStr">
        <is>
          <t xml:space="preserve">La competencia docente en la formación del profesorado de Español como Segunda Lengua en Costa Rica. Diseño de un plan curricular de capacitación profesional </t>
        </is>
      </c>
      <c r="F17" s="18" t="inlineStr">
        <is>
          <t xml:space="preserve">25/05/2022 </t>
        </is>
      </c>
      <c r="G17" s="18" t="inlineStr">
        <is>
          <t xml:space="preserve">29008698V </t>
        </is>
      </c>
      <c r="H17" s="18" t="inlineStr">
        <is>
          <t xml:space="preserve">Director de tesis </t>
        </is>
      </c>
      <c r="I17" s="18" t="inlineStr">
        <is>
          <t xml:space="preserve">B115 </t>
        </is>
      </c>
      <c r="J17" s="18" t="inlineStr">
        <is>
          <t xml:space="preserve">FILOL. ESPAÑOLA, LINGÜÍSTICA GENERAL Y TEORIA DE LA LITERATURA </t>
        </is>
      </c>
      <c r="K17" s="18" t="n">
        <v>1</v>
      </c>
      <c r="L17" s="18" t="inlineStr">
        <is>
          <t>B115</t>
        </is>
      </c>
      <c r="M17" s="18" t="n">
        <v>2021</v>
      </c>
      <c r="N17" s="18" t="inlineStr">
        <is>
          <t>10.15</t>
        </is>
      </c>
      <c r="O17" s="18" t="n">
        <v>10</v>
      </c>
      <c r="P17" s="18" t="inlineStr"/>
      <c r="Q17" s="18" t="n">
        <v>0</v>
      </c>
      <c r="R17" s="18" t="n">
        <v>90</v>
      </c>
      <c r="S17" s="18" t="n">
        <v>0.9</v>
      </c>
      <c r="T17" s="18" t="n">
        <v>0.1</v>
      </c>
      <c r="U17" s="18" t="n">
        <v>0</v>
      </c>
    </row>
    <row r="18">
      <c r="A18" s="20" t="inlineStr">
        <is>
          <t xml:space="preserve">U023 </t>
        </is>
      </c>
      <c r="B18" s="20" t="inlineStr">
        <is>
          <t xml:space="preserve">ADM. FACULTAD DE FILOSOFIA Y LETRAS </t>
        </is>
      </c>
      <c r="C18" s="18" t="inlineStr">
        <is>
          <t xml:space="preserve">DOCTORADO EN FILOSOFÍA Y LETRAS </t>
        </is>
      </c>
      <c r="D18" s="18" t="inlineStr">
        <is>
          <t xml:space="preserve">Llorens Simón, Eva María </t>
        </is>
      </c>
      <c r="E18" s="18" t="inlineStr">
        <is>
          <t xml:space="preserve">"Emociones y polaridad en un corpus especializado sobre lenguaje turístico. Análisis contrastivo de elementos recurrentes y fundamentos cognitivos en inglés y en español" </t>
        </is>
      </c>
      <c r="F18" s="18" t="inlineStr">
        <is>
          <t xml:space="preserve">03/02/2022 </t>
        </is>
      </c>
      <c r="G18" s="18" t="inlineStr">
        <is>
          <t xml:space="preserve">21481015G </t>
        </is>
      </c>
      <c r="H18" s="18" t="inlineStr">
        <is>
          <t xml:space="preserve">Director de tesis </t>
        </is>
      </c>
      <c r="I18" s="18" t="inlineStr">
        <is>
          <t xml:space="preserve">B116 </t>
        </is>
      </c>
      <c r="J18" s="18" t="inlineStr">
        <is>
          <t xml:space="preserve">FILOLOGÍA INGLESA </t>
        </is>
      </c>
      <c r="K18" s="18" t="n">
        <v>1</v>
      </c>
      <c r="L18" s="18" t="inlineStr">
        <is>
          <t>B116</t>
        </is>
      </c>
      <c r="M18" s="18" t="n">
        <v>2021</v>
      </c>
      <c r="N18" s="18" t="inlineStr">
        <is>
          <t>10.15</t>
        </is>
      </c>
      <c r="O18" s="18" t="n">
        <v>50</v>
      </c>
      <c r="P18" s="18" t="inlineStr"/>
      <c r="Q18" s="18" t="n">
        <v>0</v>
      </c>
      <c r="R18" s="18" t="n">
        <v>50</v>
      </c>
      <c r="S18" s="18" t="n">
        <v>0.5</v>
      </c>
      <c r="T18" s="18" t="n">
        <v>0.5</v>
      </c>
      <c r="U18" s="18" t="n">
        <v>0</v>
      </c>
    </row>
    <row r="19">
      <c r="A19" s="18" t="inlineStr">
        <is>
          <t xml:space="preserve">U023 </t>
        </is>
      </c>
      <c r="B19" s="18" t="inlineStr">
        <is>
          <t xml:space="preserve">ADM. FACULTAD DE FILOSOFIA Y LETRAS </t>
        </is>
      </c>
      <c r="C19" s="18" t="inlineStr">
        <is>
          <t xml:space="preserve">DOCTORADO EN FILOSOFÍA Y LETRAS </t>
        </is>
      </c>
      <c r="D19" s="18" t="inlineStr">
        <is>
          <t xml:space="preserve">Marrahi Gómez, Victor </t>
        </is>
      </c>
      <c r="E19" s="18" t="inlineStr">
        <is>
          <t xml:space="preserve">La Realidad Aumentada (RA) en el aprendizaje del inglés: análisis de la eficacia de su uso en el léxico y la gramática. </t>
        </is>
      </c>
      <c r="F19" s="18" t="inlineStr">
        <is>
          <t xml:space="preserve">22/07/2022 </t>
        </is>
      </c>
      <c r="G19" s="18" t="inlineStr">
        <is>
          <t xml:space="preserve">22145079N </t>
        </is>
      </c>
      <c r="H19" s="18" t="inlineStr">
        <is>
          <t xml:space="preserve">Director de tesis </t>
        </is>
      </c>
      <c r="I19" s="18" t="inlineStr">
        <is>
          <t xml:space="preserve">B116 </t>
        </is>
      </c>
      <c r="J19" s="18" t="inlineStr">
        <is>
          <t xml:space="preserve">FILOLOGÍA INGLESA </t>
        </is>
      </c>
      <c r="K19" s="18" t="n">
        <v>1</v>
      </c>
      <c r="L19" s="18" t="inlineStr">
        <is>
          <t>B116</t>
        </is>
      </c>
      <c r="M19" s="18" t="n">
        <v>2021</v>
      </c>
      <c r="N19" s="18" t="inlineStr">
        <is>
          <t>10.15</t>
        </is>
      </c>
      <c r="O19" s="18" t="n">
        <v>10</v>
      </c>
      <c r="P19" s="18" t="inlineStr"/>
      <c r="Q19" s="18" t="n">
        <v>0</v>
      </c>
      <c r="R19" s="18" t="n">
        <v>90</v>
      </c>
      <c r="S19" s="18" t="n">
        <v>0.9</v>
      </c>
      <c r="T19" s="18" t="n">
        <v>0.1</v>
      </c>
      <c r="U19" s="18" t="n">
        <v>0</v>
      </c>
      <c r="W19" s="22" t="n"/>
    </row>
    <row r="20">
      <c r="A20" s="18" t="inlineStr">
        <is>
          <t xml:space="preserve">U023 </t>
        </is>
      </c>
      <c r="B20" s="18" t="inlineStr">
        <is>
          <t xml:space="preserve">ADM. FACULTAD DE FILOSOFIA Y LETRAS </t>
        </is>
      </c>
      <c r="C20" s="18" t="inlineStr">
        <is>
          <t xml:space="preserve">DOCTORADO EN FILOSOFÍA Y LETRAS </t>
        </is>
      </c>
      <c r="D20" s="18" t="inlineStr">
        <is>
          <t xml:space="preserve">Fang Liu, Fang </t>
        </is>
      </c>
      <c r="E20" s="18" t="inlineStr">
        <is>
          <t xml:space="preserve">El certificado CCC en China y la consecución del KNOWHOW de la auditoría china: Características y análisis </t>
        </is>
      </c>
      <c r="F20" s="18" t="inlineStr">
        <is>
          <t xml:space="preserve">12/09/2022 </t>
        </is>
      </c>
      <c r="G20" s="18" t="inlineStr">
        <is>
          <t xml:space="preserve">22121930R </t>
        </is>
      </c>
      <c r="H20" s="18" t="inlineStr">
        <is>
          <t xml:space="preserve">Director de tesis </t>
        </is>
      </c>
      <c r="I20" s="18" t="inlineStr">
        <is>
          <t xml:space="preserve">B115 </t>
        </is>
      </c>
      <c r="J20" s="18" t="inlineStr">
        <is>
          <t xml:space="preserve">FILOL. ESPAÑOLA, LINGÜÍSTICA GENERAL Y TEORIA DE LA LITERATURA </t>
        </is>
      </c>
      <c r="K20" s="18" t="n">
        <v>1</v>
      </c>
      <c r="L20" s="18" t="inlineStr">
        <is>
          <t>B115</t>
        </is>
      </c>
      <c r="M20" s="18" t="n">
        <v>2021</v>
      </c>
      <c r="N20" s="18" t="inlineStr">
        <is>
          <t>10.15</t>
        </is>
      </c>
      <c r="O20" s="18" t="n">
        <v>10</v>
      </c>
      <c r="P20" s="18" t="inlineStr"/>
      <c r="Q20" s="18" t="n">
        <v>0</v>
      </c>
      <c r="R20" s="18" t="n">
        <v>90</v>
      </c>
      <c r="S20" s="18" t="n">
        <v>0.9</v>
      </c>
      <c r="T20" s="18" t="n">
        <v>0.1</v>
      </c>
      <c r="U20" s="18" t="n">
        <v>0</v>
      </c>
    </row>
    <row r="21">
      <c r="A21" s="18" t="inlineStr">
        <is>
          <t xml:space="preserve">U023 </t>
        </is>
      </c>
      <c r="B21" s="18" t="inlineStr">
        <is>
          <t xml:space="preserve">ADM. FACULTAD DE FILOSOFIA Y LETRAS </t>
        </is>
      </c>
      <c r="C21" s="18" t="inlineStr">
        <is>
          <t xml:space="preserve">DOCTORADO EN FILOSOFÍA Y LETRAS </t>
        </is>
      </c>
      <c r="D21" s="18" t="inlineStr">
        <is>
          <t xml:space="preserve">Gariano , Elvira </t>
        </is>
      </c>
      <c r="E21" s="18" t="inlineStr">
        <is>
          <t xml:space="preserve">La transposición legislativa europea en materia de enseñanza de idiomas en Italia y su repercusión en el español como lengua extanjera </t>
        </is>
      </c>
      <c r="F21" s="18" t="inlineStr">
        <is>
          <t xml:space="preserve">11/05/2022 </t>
        </is>
      </c>
      <c r="G21" s="18" t="inlineStr">
        <is>
          <t xml:space="preserve">05150725J </t>
        </is>
      </c>
      <c r="H21" s="18" t="inlineStr">
        <is>
          <t xml:space="preserve">Director de tesis </t>
        </is>
      </c>
      <c r="I21" s="18" t="inlineStr">
        <is>
          <t xml:space="preserve">B115 </t>
        </is>
      </c>
      <c r="J21" s="18" t="inlineStr">
        <is>
          <t xml:space="preserve">FILOL. ESPAÑOLA, LINGÜÍSTICA GENERAL Y TEORIA DE LA LITERATURA </t>
        </is>
      </c>
      <c r="K21" s="18" t="n">
        <v>1</v>
      </c>
      <c r="L21" s="18" t="inlineStr">
        <is>
          <t>B115</t>
        </is>
      </c>
      <c r="M21" s="18" t="n">
        <v>2021</v>
      </c>
      <c r="N21" s="18" t="inlineStr">
        <is>
          <t>10.15</t>
        </is>
      </c>
      <c r="O21" s="18" t="n">
        <v>10</v>
      </c>
      <c r="P21" s="18" t="inlineStr">
        <is>
          <t>10.25</t>
        </is>
      </c>
      <c r="Q21" s="18" t="n">
        <v>30</v>
      </c>
      <c r="R21" s="18" t="n">
        <v>60</v>
      </c>
      <c r="S21" s="18" t="n">
        <v>0.6</v>
      </c>
      <c r="T21" s="18" t="n">
        <v>0.1</v>
      </c>
      <c r="U21" s="18" t="n">
        <v>0.3</v>
      </c>
    </row>
    <row r="22">
      <c r="A22" s="18" t="inlineStr">
        <is>
          <t xml:space="preserve">U073 </t>
        </is>
      </c>
      <c r="B22" s="18" t="inlineStr">
        <is>
          <t xml:space="preserve">ADM. I.U. INVESTIGACIÓN DE ESTUDIOS DE GÉNERO </t>
        </is>
      </c>
      <c r="C22" s="18" t="inlineStr">
        <is>
          <t xml:space="preserve">DOCTORADO EN ESTUDIOS INTERDISCIPLINARES DE GÉNERO </t>
        </is>
      </c>
      <c r="D22" s="18" t="inlineStr">
        <is>
          <t xml:space="preserve">Ráez Domínguez, María </t>
        </is>
      </c>
      <c r="E22" s="18" t="inlineStr">
        <is>
          <t xml:space="preserve">"Análisis discursivo y violencias simbólicas en torno a la mujer subsahariana. Una comparación de los discursos de violencia en servicios públicos y organizaciones no gubernamentales". </t>
        </is>
      </c>
      <c r="F22" s="18" t="inlineStr">
        <is>
          <t xml:space="preserve">04/05/2022 </t>
        </is>
      </c>
      <c r="G22" s="18" t="inlineStr">
        <is>
          <t xml:space="preserve">26226014B </t>
        </is>
      </c>
      <c r="H22" s="18" t="inlineStr">
        <is>
          <t xml:space="preserve">Director de tesis </t>
        </is>
      </c>
      <c r="I22" s="18" t="inlineStr">
        <is>
          <t xml:space="preserve">B116 </t>
        </is>
      </c>
      <c r="J22" s="18" t="inlineStr">
        <is>
          <t xml:space="preserve">FILOLOGÍA INGLESA </t>
        </is>
      </c>
      <c r="K22" s="18" t="n">
        <v>1</v>
      </c>
      <c r="L22" s="18" t="inlineStr">
        <is>
          <t>B116</t>
        </is>
      </c>
      <c r="M22" s="18" t="n">
        <v>2021</v>
      </c>
      <c r="N22" s="18" t="inlineStr">
        <is>
          <t>10.15</t>
        </is>
      </c>
      <c r="O22" s="18" t="n">
        <v>10</v>
      </c>
      <c r="P22" s="18" t="inlineStr">
        <is>
          <t>10.23</t>
        </is>
      </c>
      <c r="Q22" s="18" t="n">
        <v>20</v>
      </c>
      <c r="R22" s="18" t="n">
        <v>70</v>
      </c>
      <c r="S22" s="18" t="n">
        <v>0.7</v>
      </c>
      <c r="T22" s="18" t="n">
        <v>0.1</v>
      </c>
      <c r="U22" s="18" t="n">
        <v>0.2</v>
      </c>
    </row>
    <row r="23">
      <c r="A23" s="18" t="inlineStr">
        <is>
          <t xml:space="preserve">U022 </t>
        </is>
      </c>
      <c r="B23" s="18" t="inlineStr">
        <is>
          <t xml:space="preserve">ADM. FACULTAD DE CIENCIAS </t>
        </is>
      </c>
      <c r="C23" s="18" t="inlineStr">
        <is>
          <t xml:space="preserve">DOCTORADO EN CIENCIAS EXPERIMENTALES Y BIOSANITARIAS </t>
        </is>
      </c>
      <c r="D23" s="18" t="inlineStr">
        <is>
          <t>García Martínez, Miguel Ángel</t>
        </is>
      </c>
      <c r="E23" s="18" t="inlineStr">
        <is>
          <t xml:space="preserve">CARACTERIZACIÓN DEL SÍNDROME DE INFLAMACIÓN, INMUNOSUPRESIÓN Y CATABOLISMO PERSISTENTE, SIGNIFICADO EN LA CRONIFICACIÓN DEL PACIENTE CRÍTICAMENTE ENFERMO, Y SU INCIDENCIA EN LAS UNIDADES DE MEDICINA INTENSIVA ESPAÑOLAS </t>
        </is>
      </c>
      <c r="F23" s="18" t="inlineStr">
        <is>
          <t xml:space="preserve">27/09/2023 </t>
        </is>
      </c>
      <c r="G23" s="18" t="inlineStr">
        <is>
          <t xml:space="preserve">21439023X </t>
        </is>
      </c>
      <c r="H23" s="18" t="inlineStr">
        <is>
          <t xml:space="preserve">Director de tesis </t>
        </is>
      </c>
      <c r="I23" s="18" t="inlineStr">
        <is>
          <t xml:space="preserve">B160 </t>
        </is>
      </c>
      <c r="J23" s="18" t="inlineStr">
        <is>
          <t xml:space="preserve">BIOTECNOLOGIA </t>
        </is>
      </c>
      <c r="K23" s="18" t="n">
        <v>1</v>
      </c>
      <c r="L23" s="18" t="inlineStr">
        <is>
          <t>B160</t>
        </is>
      </c>
      <c r="M23" s="18" t="n">
        <v>2022</v>
      </c>
      <c r="N23" s="18" t="inlineStr">
        <is>
          <t>10.15</t>
        </is>
      </c>
      <c r="O23" s="18" t="n">
        <v>10</v>
      </c>
      <c r="P23" s="18" t="inlineStr"/>
      <c r="Q23" s="18" t="n">
        <v>0</v>
      </c>
      <c r="R23" s="18" t="n">
        <v>90</v>
      </c>
      <c r="S23" s="18" t="n">
        <v>0.9</v>
      </c>
      <c r="T23" s="18" t="n">
        <v>0.1</v>
      </c>
      <c r="U23" s="18" t="n">
        <v>0</v>
      </c>
    </row>
    <row r="24">
      <c r="A24" s="18" t="inlineStr">
        <is>
          <t xml:space="preserve">U023 </t>
        </is>
      </c>
      <c r="B24" s="18" t="inlineStr">
        <is>
          <t xml:space="preserve">ADM. FACULTAD DE FILOSOFIA Y LETRAS </t>
        </is>
      </c>
      <c r="C24" s="18" t="inlineStr">
        <is>
          <t xml:space="preserve">DOCTORADO EN FILOSOFÍA Y LETRAS </t>
        </is>
      </c>
      <c r="D24" s="18" t="inlineStr">
        <is>
          <t>Pomata García, Joan Antoni</t>
        </is>
      </c>
      <c r="E24" s="18" t="inlineStr">
        <is>
          <t xml:space="preserve">Simulación de inmersión lingüística con ELEcante: un videojuego educativo para la adquisición de español como lengua extranjera </t>
        </is>
      </c>
      <c r="F24" s="18" t="inlineStr">
        <is>
          <t xml:space="preserve">14/11/2022 </t>
        </is>
      </c>
      <c r="G24" s="18" t="inlineStr">
        <is>
          <t xml:space="preserve">21442493F </t>
        </is>
      </c>
      <c r="H24" s="18" t="inlineStr">
        <is>
          <t xml:space="preserve">Director de tesis </t>
        </is>
      </c>
      <c r="I24" s="18" t="inlineStr">
        <is>
          <t xml:space="preserve">B115 </t>
        </is>
      </c>
      <c r="J24" s="18" t="inlineStr">
        <is>
          <t xml:space="preserve">FILOL. ESPAÑOLA, LINGÜÍSTICA GENERAL Y TEORIA DE LA LITERATURA </t>
        </is>
      </c>
      <c r="K24" s="18" t="n">
        <v>1</v>
      </c>
      <c r="L24" s="18" t="inlineStr">
        <is>
          <t>B115</t>
        </is>
      </c>
      <c r="M24" s="18" t="n">
        <v>2022</v>
      </c>
      <c r="N24" s="18" t="inlineStr">
        <is>
          <t>10.15</t>
        </is>
      </c>
      <c r="O24" s="18" t="n">
        <v>10</v>
      </c>
      <c r="P24" s="18" t="inlineStr">
        <is>
          <t>10.23</t>
        </is>
      </c>
      <c r="Q24" s="18" t="n">
        <v>10</v>
      </c>
      <c r="R24" s="18" t="n">
        <v>80</v>
      </c>
      <c r="S24" s="18" t="n">
        <v>0.8</v>
      </c>
      <c r="T24" s="18" t="n">
        <v>0.1</v>
      </c>
      <c r="U24" s="18" t="n">
        <v>0.1</v>
      </c>
    </row>
    <row r="25">
      <c r="A25" s="18" t="inlineStr">
        <is>
          <t xml:space="preserve">U025 </t>
        </is>
      </c>
      <c r="B25" s="18" t="inlineStr">
        <is>
          <t xml:space="preserve">ADM. FACULTAD DE DERECHO </t>
        </is>
      </c>
      <c r="C25" s="18" t="inlineStr">
        <is>
          <t xml:space="preserve">DOCTORADO EN DERECHO </t>
        </is>
      </c>
      <c r="D25" s="18" t="inlineStr">
        <is>
          <t>Vergara Sandoval, Rafael Rubén</t>
        </is>
      </c>
      <c r="E25" s="18" t="inlineStr">
        <is>
          <t xml:space="preserve">Un "Tribunal Constitucional" al margen de la "Constitución" </t>
        </is>
      </c>
      <c r="F25" s="18" t="inlineStr">
        <is>
          <t xml:space="preserve">16/12/2022 </t>
        </is>
      </c>
      <c r="G25" s="18" t="inlineStr">
        <is>
          <t xml:space="preserve">13051474D </t>
        </is>
      </c>
      <c r="H25" s="18" t="inlineStr">
        <is>
          <t xml:space="preserve">Codirector de tesis </t>
        </is>
      </c>
      <c r="I25" s="18" t="inlineStr">
        <is>
          <t xml:space="preserve">B152 </t>
        </is>
      </c>
      <c r="J25" s="18" t="inlineStr">
        <is>
          <t xml:space="preserve">FILOSOFÍA DEL DCHO .Y DCHO INTERNACIONAL PRIVADO </t>
        </is>
      </c>
      <c r="K25" s="18" t="n">
        <v>0.5</v>
      </c>
      <c r="L25" s="18" t="inlineStr">
        <is>
          <t>B152</t>
        </is>
      </c>
      <c r="M25" s="18" t="n">
        <v>2022</v>
      </c>
      <c r="N25" s="18" t="inlineStr">
        <is>
          <t>10.15</t>
        </is>
      </c>
      <c r="O25" s="18" t="n">
        <v>10</v>
      </c>
      <c r="P25" s="18" t="inlineStr"/>
      <c r="Q25" s="18" t="n">
        <v>0</v>
      </c>
      <c r="R25" s="18" t="n">
        <v>90</v>
      </c>
      <c r="S25" s="18" t="n">
        <v>0.45</v>
      </c>
      <c r="T25" s="18" t="n">
        <v>0.05</v>
      </c>
      <c r="U25" s="18" t="n">
        <v>0</v>
      </c>
    </row>
    <row r="26">
      <c r="A26" s="18" t="inlineStr">
        <is>
          <t xml:space="preserve">U025 </t>
        </is>
      </c>
      <c r="B26" s="18" t="inlineStr">
        <is>
          <t xml:space="preserve">ADM. FACULTAD DE DERECHO </t>
        </is>
      </c>
      <c r="C26" s="18" t="inlineStr">
        <is>
          <t xml:space="preserve">DOCTORADO EN DERECHO </t>
        </is>
      </c>
      <c r="D26" s="18" t="inlineStr">
        <is>
          <t>Cevallos Cedeño, Danny José</t>
        </is>
      </c>
      <c r="E26" s="18" t="inlineStr">
        <is>
          <t xml:space="preserve">El constitucionalismo jurídico y la institución del amparo </t>
        </is>
      </c>
      <c r="F26" s="18" t="inlineStr">
        <is>
          <t xml:space="preserve">02/12/2022 </t>
        </is>
      </c>
      <c r="G26" s="18" t="inlineStr">
        <is>
          <t xml:space="preserve">13051474D </t>
        </is>
      </c>
      <c r="H26" s="18" t="inlineStr">
        <is>
          <t xml:space="preserve">Codirector de tesis </t>
        </is>
      </c>
      <c r="I26" s="18" t="inlineStr">
        <is>
          <t xml:space="preserve">B152 </t>
        </is>
      </c>
      <c r="J26" s="18" t="inlineStr">
        <is>
          <t xml:space="preserve">FILOSOFÍA DEL DCHO .Y DCHO INTERNACIONAL PRIVADO </t>
        </is>
      </c>
      <c r="K26" s="18" t="n">
        <v>0.5</v>
      </c>
      <c r="L26" s="18" t="inlineStr">
        <is>
          <t>B152</t>
        </is>
      </c>
      <c r="M26" s="18" t="n">
        <v>2022</v>
      </c>
      <c r="N26" s="18" t="inlineStr">
        <is>
          <t>10.15</t>
        </is>
      </c>
      <c r="O26" s="18" t="n">
        <v>10</v>
      </c>
      <c r="P26" s="18" t="inlineStr"/>
      <c r="Q26" s="18" t="n">
        <v>0</v>
      </c>
      <c r="R26" s="18" t="n">
        <v>90</v>
      </c>
      <c r="S26" s="18" t="n">
        <v>0.45</v>
      </c>
      <c r="T26" s="18" t="n">
        <v>0.05</v>
      </c>
      <c r="U26" s="18" t="n">
        <v>0</v>
      </c>
    </row>
    <row r="27">
      <c r="A27" s="18" t="inlineStr">
        <is>
          <t xml:space="preserve">U073 </t>
        </is>
      </c>
      <c r="B27" s="18" t="inlineStr">
        <is>
          <t xml:space="preserve">I.U. INVESTIGACIÓN DE ESTUDIOS DE GÉNERO (10.23) </t>
        </is>
      </c>
      <c r="C27" s="18" t="inlineStr">
        <is>
          <t xml:space="preserve">DOCTORADO EN ESTUDIOS INTERDISCIPLINARES DE GÉNERO </t>
        </is>
      </c>
      <c r="D27" s="18" t="inlineStr">
        <is>
          <t>Soria Berrocosa, María Soledad</t>
        </is>
      </c>
      <c r="E27" s="18" t="inlineStr">
        <is>
          <t xml:space="preserve">Rachilde. De la petite ouvrière des Lettres à la femme-critique littéraire au 'Mercure de France' </t>
        </is>
      </c>
      <c r="F27" s="18" t="inlineStr">
        <is>
          <t xml:space="preserve">14/09/2023 </t>
        </is>
      </c>
      <c r="G27" s="18" t="inlineStr">
        <is>
          <t xml:space="preserve">21417486R </t>
        </is>
      </c>
      <c r="H27" s="18" t="inlineStr">
        <is>
          <t xml:space="preserve">Director de tesis </t>
        </is>
      </c>
      <c r="I27" s="18" t="inlineStr">
        <is>
          <t xml:space="preserve">B114 </t>
        </is>
      </c>
      <c r="J27" s="18" t="inlineStr">
        <is>
          <t xml:space="preserve">FILOLOGIAS INTEGRADAS </t>
        </is>
      </c>
      <c r="K27" s="18" t="n">
        <v>1</v>
      </c>
      <c r="L27" s="18" t="inlineStr">
        <is>
          <t>B114</t>
        </is>
      </c>
      <c r="M27" s="18" t="n">
        <v>2022</v>
      </c>
      <c r="N27" s="18" t="inlineStr">
        <is>
          <t>10.15</t>
        </is>
      </c>
      <c r="O27" s="18" t="n">
        <v>10</v>
      </c>
      <c r="P27" s="18" t="inlineStr">
        <is>
          <t>10.23</t>
        </is>
      </c>
      <c r="Q27" s="18" t="n">
        <v>20</v>
      </c>
      <c r="R27" s="18" t="n">
        <v>70</v>
      </c>
      <c r="S27" s="18" t="n">
        <v>0.7</v>
      </c>
      <c r="T27" s="18" t="n">
        <v>0.1</v>
      </c>
      <c r="U27" s="18" t="n">
        <v>0.2</v>
      </c>
    </row>
    <row r="28">
      <c r="A28" s="18" t="inlineStr">
        <is>
          <t>U023</t>
        </is>
      </c>
      <c r="B28" s="18" t="inlineStr">
        <is>
          <t>ADM. FACULTAD DE FILOSOFIA Y LETRAS</t>
        </is>
      </c>
      <c r="C28" s="18" t="inlineStr">
        <is>
          <t>DOCTORADO EN FILOSOFÍA Y LETRAS</t>
        </is>
      </c>
      <c r="D28" s="18" t="inlineStr">
        <is>
          <t>Melero Carnero, Laura</t>
        </is>
      </c>
      <c r="E28" s="18" t="inlineStr">
        <is>
          <t>Recursos y estrategias discursivas en textos sobre la visibilidad de las mujeres y el lenguaje igualitario en el columnismo lingüístico y en las redes sociales: análisis y comparación</t>
        </is>
      </c>
      <c r="F28" s="18" t="inlineStr">
        <is>
          <t>18/03/2024</t>
        </is>
      </c>
      <c r="G28" s="18" t="inlineStr">
        <is>
          <t>21442493F</t>
        </is>
      </c>
      <c r="H28" s="18" t="inlineStr">
        <is>
          <t>Director de tesis</t>
        </is>
      </c>
      <c r="I28" s="18" t="inlineStr">
        <is>
          <t>B115</t>
        </is>
      </c>
      <c r="J28" s="18" t="inlineStr">
        <is>
          <t>FILOL. ESPAÑOLA, LINGÜÍSTICA GENERAL Y TEORIA DE LA LITERATURA</t>
        </is>
      </c>
      <c r="K28" s="18" t="n">
        <v>1</v>
      </c>
      <c r="L28" s="18" t="inlineStr">
        <is>
          <t>B115</t>
        </is>
      </c>
      <c r="M28" s="18" t="n">
        <v>2023</v>
      </c>
      <c r="N28" s="18" t="inlineStr">
        <is>
          <t>10.15</t>
        </is>
      </c>
      <c r="O28" s="18" t="inlineStr">
        <is>
          <t>10</t>
        </is>
      </c>
      <c r="P28" s="18" t="inlineStr">
        <is>
          <t>10.23</t>
        </is>
      </c>
      <c r="Q28" s="18" t="inlineStr">
        <is>
          <t>10</t>
        </is>
      </c>
      <c r="R28" s="18" t="n">
        <v>80</v>
      </c>
      <c r="S28" s="18" t="n">
        <v>0.8</v>
      </c>
      <c r="T28" s="18" t="n">
        <v>0.1</v>
      </c>
      <c r="U28" s="18" t="n">
        <v>0.1</v>
      </c>
      <c r="V28" s="6" t="inlineStr">
        <is>
          <t>S</t>
        </is>
      </c>
    </row>
    <row r="29">
      <c r="A29" s="18" t="inlineStr">
        <is>
          <t>U023</t>
        </is>
      </c>
      <c r="B29" s="18" t="inlineStr">
        <is>
          <t>ADM. FACULTAD DE FILOSOFIA Y LETRAS</t>
        </is>
      </c>
      <c r="C29" s="18" t="inlineStr">
        <is>
          <t>DOCTORADO EN FILOSOFÍA Y LETRAS</t>
        </is>
      </c>
      <c r="D29" s="18" t="inlineStr">
        <is>
          <t>Martínez Quiles, María Teresa</t>
        </is>
      </c>
      <c r="E29" s="18" t="inlineStr">
        <is>
          <t>Writing the Friend, Writing Difference: A Study of Contemporary Female Friendship in Fiction by Diaspora Women Authors</t>
        </is>
      </c>
      <c r="F29" s="18" t="inlineStr">
        <is>
          <t>12/01/2024</t>
        </is>
      </c>
      <c r="G29" s="18" t="inlineStr">
        <is>
          <t>34895192Y</t>
        </is>
      </c>
      <c r="H29" s="18" t="inlineStr">
        <is>
          <t>Director de tesis</t>
        </is>
      </c>
      <c r="I29" s="18" t="inlineStr">
        <is>
          <t>B116</t>
        </is>
      </c>
      <c r="J29" s="18" t="inlineStr">
        <is>
          <t>FILOLOGÍA INGLESA</t>
        </is>
      </c>
      <c r="K29" s="18" t="n">
        <v>1</v>
      </c>
      <c r="L29" s="18" t="inlineStr">
        <is>
          <t>B116</t>
        </is>
      </c>
      <c r="M29" s="18" t="n">
        <v>2023</v>
      </c>
      <c r="N29" s="18" t="inlineStr">
        <is>
          <t>10.15</t>
        </is>
      </c>
      <c r="O29" s="18" t="inlineStr">
        <is>
          <t>10</t>
        </is>
      </c>
      <c r="P29" s="18" t="inlineStr"/>
      <c r="Q29" s="18" t="inlineStr"/>
      <c r="R29" s="18" t="n">
        <v>90</v>
      </c>
      <c r="S29" s="18" t="n">
        <v>0.9</v>
      </c>
      <c r="T29" s="18" t="n">
        <v>0.1</v>
      </c>
      <c r="U29" s="18" t="n">
        <v>0</v>
      </c>
      <c r="V29" s="6" t="inlineStr">
        <is>
          <t>S</t>
        </is>
      </c>
    </row>
    <row r="30">
      <c r="A30" s="18" t="inlineStr">
        <is>
          <t>U023</t>
        </is>
      </c>
      <c r="B30" s="18" t="inlineStr">
        <is>
          <t>ADM. FACULTAD DE FILOSOFIA Y LETRAS</t>
        </is>
      </c>
      <c r="C30" s="18" t="inlineStr">
        <is>
          <t>DOCTORADO EN FILOSOFÍA Y LETRAS</t>
        </is>
      </c>
      <c r="D30" s="18" t="inlineStr">
        <is>
          <t>Chen , Yanxia</t>
        </is>
      </c>
      <c r="E30" s="18" t="inlineStr">
        <is>
          <t>LA APLICACIÓN DE LOS DISCURSOS HUMORÍSTICOS A LA ENSEÑANZA DE CHINO COMO LENGUA EXTRANJERA</t>
        </is>
      </c>
      <c r="F30" s="18" t="inlineStr">
        <is>
          <t>19/07/2024</t>
        </is>
      </c>
      <c r="G30" s="18" t="inlineStr">
        <is>
          <t>45273600D</t>
        </is>
      </c>
      <c r="H30" s="18" t="inlineStr">
        <is>
          <t>Director de tesis</t>
        </is>
      </c>
      <c r="I30" s="18" t="inlineStr">
        <is>
          <t>B116</t>
        </is>
      </c>
      <c r="J30" s="18" t="inlineStr">
        <is>
          <t>FILOLOGÍA INGLESA</t>
        </is>
      </c>
      <c r="K30" s="18" t="n">
        <v>1</v>
      </c>
      <c r="L30" s="18" t="inlineStr">
        <is>
          <t>B116</t>
        </is>
      </c>
      <c r="M30" s="18" t="n">
        <v>2023</v>
      </c>
      <c r="N30" s="18" t="inlineStr">
        <is>
          <t>10.15</t>
        </is>
      </c>
      <c r="O30" s="18" t="inlineStr">
        <is>
          <t>50</t>
        </is>
      </c>
      <c r="P30" s="18" t="inlineStr"/>
      <c r="Q30" s="18" t="inlineStr"/>
      <c r="R30" s="18" t="n">
        <v>50</v>
      </c>
      <c r="S30" s="18" t="n">
        <v>0.5</v>
      </c>
      <c r="T30" s="18" t="n">
        <v>0.5</v>
      </c>
      <c r="U30" s="18" t="n">
        <v>0</v>
      </c>
      <c r="V30" s="6" t="inlineStr">
        <is>
          <t>S</t>
        </is>
      </c>
    </row>
    <row r="31">
      <c r="A31" s="18" t="inlineStr">
        <is>
          <t>U023</t>
        </is>
      </c>
      <c r="B31" s="18" t="inlineStr">
        <is>
          <t>ADM. FACULTAD DE FILOSOFIA Y LETRAS</t>
        </is>
      </c>
      <c r="C31" s="18" t="inlineStr">
        <is>
          <t>DOCTORADO EN FILOSOFÍA Y LETRAS</t>
        </is>
      </c>
      <c r="D31" s="18" t="inlineStr">
        <is>
          <t>Goddard , Max Benjamin</t>
        </is>
      </c>
      <c r="E31" s="18" t="inlineStr">
        <is>
          <t>La integración del DST (Digital Storytelling) en la formación del profesorado de inglés como lengua extranjera (EFL)</t>
        </is>
      </c>
      <c r="F31" s="18" t="inlineStr">
        <is>
          <t>05/03/2024</t>
        </is>
      </c>
      <c r="G31" s="18" t="inlineStr">
        <is>
          <t>22145079N</t>
        </is>
      </c>
      <c r="H31" s="18" t="inlineStr">
        <is>
          <t>Director de tesis</t>
        </is>
      </c>
      <c r="I31" s="18" t="inlineStr">
        <is>
          <t>B116</t>
        </is>
      </c>
      <c r="J31" s="18" t="inlineStr">
        <is>
          <t>FILOLOGÍA INGLESA</t>
        </is>
      </c>
      <c r="K31" s="18" t="n">
        <v>1</v>
      </c>
      <c r="L31" s="18" t="inlineStr">
        <is>
          <t>B116</t>
        </is>
      </c>
      <c r="M31" s="18" t="n">
        <v>2023</v>
      </c>
      <c r="N31" s="18" t="inlineStr">
        <is>
          <t>10.15</t>
        </is>
      </c>
      <c r="O31" s="18" t="inlineStr">
        <is>
          <t>50</t>
        </is>
      </c>
      <c r="P31" s="18" t="inlineStr"/>
      <c r="Q31" s="18" t="inlineStr"/>
      <c r="R31" s="18" t="n">
        <v>50</v>
      </c>
      <c r="S31" s="18" t="n">
        <v>0.5</v>
      </c>
      <c r="T31" s="18" t="n">
        <v>0.5</v>
      </c>
      <c r="U31" s="18" t="n">
        <v>0</v>
      </c>
      <c r="V31" s="6" t="inlineStr">
        <is>
          <t>S</t>
        </is>
      </c>
    </row>
    <row r="32">
      <c r="A32" s="18" t="inlineStr">
        <is>
          <t>U023</t>
        </is>
      </c>
      <c r="B32" s="18" t="inlineStr">
        <is>
          <t>ADM. FACULTAD DE FILOSOFIA Y LETRAS</t>
        </is>
      </c>
      <c r="C32" s="18" t="inlineStr">
        <is>
          <t>DOCTORADO EN TRANSFERENCIAS INTERCULTURALES E HISTÓRICAS EN LA EUROPA MEDIE</t>
        </is>
      </c>
      <c r="D32" s="18" t="inlineStr">
        <is>
          <t>Priskomatis , Theodoros</t>
        </is>
      </c>
      <c r="E32" s="18" t="inlineStr">
        <is>
          <t>Multicultural/intercultural education prospective for the study of the relationship between extra-curricular athletic activities and academic performance in college students</t>
        </is>
      </c>
      <c r="F32" s="18" t="inlineStr">
        <is>
          <t>05/06/2024</t>
        </is>
      </c>
      <c r="G32" s="18" t="inlineStr">
        <is>
          <t>48719167S</t>
        </is>
      </c>
      <c r="H32" s="18" t="inlineStr">
        <is>
          <t>Codirector de tesis</t>
        </is>
      </c>
      <c r="I32" s="18" t="inlineStr">
        <is>
          <t>B142</t>
        </is>
      </c>
      <c r="J32" s="18" t="inlineStr">
        <is>
          <t>FILOLOGÍA CATALANA</t>
        </is>
      </c>
      <c r="K32" s="18" t="n">
        <v>0.5</v>
      </c>
      <c r="L32" s="18" t="inlineStr">
        <is>
          <t>B142</t>
        </is>
      </c>
      <c r="M32" s="18" t="n">
        <v>2023</v>
      </c>
      <c r="N32" s="18" t="inlineStr">
        <is>
          <t>10.15</t>
        </is>
      </c>
      <c r="O32" s="18" t="inlineStr">
        <is>
          <t>10</t>
        </is>
      </c>
      <c r="P32" s="18" t="inlineStr">
        <is>
          <t>10.08</t>
        </is>
      </c>
      <c r="Q32" s="18" t="inlineStr">
        <is>
          <t>50</t>
        </is>
      </c>
      <c r="R32" s="18" t="n">
        <v>40</v>
      </c>
      <c r="S32" s="18" t="n">
        <v>0.2</v>
      </c>
      <c r="T32" s="18" t="n">
        <v>0.05</v>
      </c>
      <c r="U32" s="18" t="n">
        <v>0.25</v>
      </c>
      <c r="V32" s="6" t="inlineStr">
        <is>
          <t>S</t>
        </is>
      </c>
    </row>
    <row r="33">
      <c r="A33" s="18" t="inlineStr">
        <is>
          <t>U023</t>
        </is>
      </c>
      <c r="B33" s="18" t="inlineStr">
        <is>
          <t>ADM. FACULTAD DE FILOSOFIA Y LETRAS</t>
        </is>
      </c>
      <c r="C33" s="18" t="inlineStr">
        <is>
          <t>DOCTORADO EN TRANSFERENCIAS INTERCULTURALES E HISTÓRICAS EN LA EUROPA MEDIE</t>
        </is>
      </c>
      <c r="D33" s="18" t="inlineStr">
        <is>
          <t>Bouchtsis , Marinos</t>
        </is>
      </c>
      <c r="E33" s="18" t="inlineStr">
        <is>
          <t>Management and lifelong training of human resources in Education Services and Educational Organizations. Evaluation methods and tools.</t>
        </is>
      </c>
      <c r="F33" s="18" t="inlineStr">
        <is>
          <t>27/06/2024</t>
        </is>
      </c>
      <c r="G33" s="18" t="inlineStr">
        <is>
          <t>48669570Y</t>
        </is>
      </c>
      <c r="H33" s="18" t="inlineStr">
        <is>
          <t>Codirector de tesis</t>
        </is>
      </c>
      <c r="I33" s="18" t="inlineStr">
        <is>
          <t>B142</t>
        </is>
      </c>
      <c r="J33" s="18" t="inlineStr">
        <is>
          <t>FILOLOGÍA CATALANA</t>
        </is>
      </c>
      <c r="K33" s="18" t="n">
        <v>0.5</v>
      </c>
      <c r="L33" s="18" t="inlineStr">
        <is>
          <t>B142</t>
        </is>
      </c>
      <c r="M33" s="18" t="n">
        <v>2023</v>
      </c>
      <c r="N33" s="18" t="inlineStr">
        <is>
          <t>10.15</t>
        </is>
      </c>
      <c r="O33" s="18" t="inlineStr">
        <is>
          <t>10</t>
        </is>
      </c>
      <c r="P33" s="18" t="inlineStr">
        <is>
          <t>10.08</t>
        </is>
      </c>
      <c r="Q33" s="18" t="inlineStr">
        <is>
          <t>50</t>
        </is>
      </c>
      <c r="R33" s="18" t="n">
        <v>40</v>
      </c>
      <c r="S33" s="18" t="n">
        <v>0.2</v>
      </c>
      <c r="T33" s="18" t="n">
        <v>0.05</v>
      </c>
      <c r="U33" s="18" t="n">
        <v>0.25</v>
      </c>
      <c r="V33" s="6" t="inlineStr">
        <is>
          <t>S</t>
        </is>
      </c>
    </row>
    <row r="34">
      <c r="A34" s="18" t="inlineStr">
        <is>
          <t>U023</t>
        </is>
      </c>
      <c r="B34" s="18" t="inlineStr">
        <is>
          <t>ADM. FACULTAD DE FILOSOFIA Y LETRAS</t>
        </is>
      </c>
      <c r="C34" s="18" t="inlineStr">
        <is>
          <t>DOCTORADO EN TRANSFERENCIAS INTERCULTURALES E HISTÓRICAS EN LA EUROPA MEDIE</t>
        </is>
      </c>
      <c r="D34" s="18" t="inlineStr">
        <is>
          <t>lamprou , charilaos</t>
        </is>
      </c>
      <c r="E34" s="18" t="inlineStr">
        <is>
          <t>Educational technologies in the teaching of mathematics to people with special educational The role of personality and the development of motivation.</t>
        </is>
      </c>
      <c r="F34" s="18" t="inlineStr">
        <is>
          <t>09/07/2024</t>
        </is>
      </c>
      <c r="G34" s="18" t="inlineStr">
        <is>
          <t>48669570Y</t>
        </is>
      </c>
      <c r="H34" s="18" t="inlineStr">
        <is>
          <t>Codirector de tesis</t>
        </is>
      </c>
      <c r="I34" s="18" t="inlineStr">
        <is>
          <t>B142</t>
        </is>
      </c>
      <c r="J34" s="18" t="inlineStr">
        <is>
          <t>FILOLOGÍA CATALANA</t>
        </is>
      </c>
      <c r="K34" s="18" t="n">
        <v>0.5</v>
      </c>
      <c r="L34" s="18" t="inlineStr">
        <is>
          <t>B142</t>
        </is>
      </c>
      <c r="M34" s="18" t="n">
        <v>2023</v>
      </c>
      <c r="N34" s="18" t="inlineStr">
        <is>
          <t>10.15</t>
        </is>
      </c>
      <c r="O34" s="18" t="inlineStr">
        <is>
          <t>10</t>
        </is>
      </c>
      <c r="P34" s="18" t="inlineStr">
        <is>
          <t>10.08</t>
        </is>
      </c>
      <c r="Q34" s="18" t="inlineStr">
        <is>
          <t>50</t>
        </is>
      </c>
      <c r="R34" s="18" t="n">
        <v>40</v>
      </c>
      <c r="S34" s="18" t="n">
        <v>0.2</v>
      </c>
      <c r="T34" s="18" t="n">
        <v>0.05</v>
      </c>
      <c r="U34" s="18" t="n">
        <v>0.25</v>
      </c>
      <c r="V34" s="6" t="inlineStr">
        <is>
          <t>S</t>
        </is>
      </c>
    </row>
    <row r="35">
      <c r="A35" s="18" t="inlineStr">
        <is>
          <t>ZZ</t>
        </is>
      </c>
      <c r="B35" s="18" t="inlineStr">
        <is>
          <t>SIN ASIGNAR</t>
        </is>
      </c>
      <c r="C35" s="18" t="inlineStr">
        <is>
          <t>DOCTORADO EN TRANSFERENCIAS INTERCULTURALES E HISTÓRICAS EN LA EUROPA MEDIE</t>
        </is>
      </c>
      <c r="D35" s="18" t="inlineStr">
        <is>
          <t>Nicolás Flores, Fernando</t>
        </is>
      </c>
      <c r="E35" s="18" t="inlineStr">
        <is>
          <t>EL TEATRO DE TEMÁTICA GRECOLATINA Y SU APLICACIÓN DIDÁCTICA EN EL ÁMBITO LAS HUMANIDADES. ESTUDIO DE CASO PARTICULAR</t>
        </is>
      </c>
      <c r="F35" s="18" t="inlineStr">
        <is>
          <t>17/07/2024</t>
        </is>
      </c>
      <c r="G35" s="18" t="inlineStr">
        <is>
          <t>21428371F</t>
        </is>
      </c>
      <c r="H35" s="18" t="inlineStr">
        <is>
          <t>Codirector de tesis</t>
        </is>
      </c>
      <c r="I35" s="18" t="inlineStr">
        <is>
          <t>B166</t>
        </is>
      </c>
      <c r="J35" s="18" t="inlineStr">
        <is>
          <t>INNOVACIÓN Y FORMACIÓN DIDÁCTICA</t>
        </is>
      </c>
      <c r="K35" s="18" t="n">
        <v>0.5</v>
      </c>
      <c r="L35" s="18" t="inlineStr">
        <is>
          <t>B166</t>
        </is>
      </c>
      <c r="M35" s="18" t="n">
        <v>2023</v>
      </c>
      <c r="N35" s="18" t="inlineStr">
        <is>
          <t>10.15</t>
        </is>
      </c>
      <c r="O35" s="18" t="inlineStr">
        <is>
          <t>20</t>
        </is>
      </c>
      <c r="P35" s="18" t="inlineStr"/>
      <c r="Q35" s="18" t="inlineStr"/>
      <c r="R35" s="18" t="n">
        <v>80</v>
      </c>
      <c r="S35" s="18" t="n">
        <v>0.4</v>
      </c>
      <c r="T35" s="18" t="n">
        <v>0.1</v>
      </c>
      <c r="U35" s="18" t="n">
        <v>0</v>
      </c>
      <c r="V35" s="6" t="inlineStr">
        <is>
          <t>S</t>
        </is>
      </c>
    </row>
    <row r="36">
      <c r="A36" s="18" t="inlineStr">
        <is>
          <t>U023</t>
        </is>
      </c>
      <c r="B36" s="18" t="inlineStr">
        <is>
          <t>ADM. FACULTAD DE FILOSOFIA Y LETRAS</t>
        </is>
      </c>
      <c r="C36" s="18" t="inlineStr">
        <is>
          <t>DOCTORADO EN FILOSOFÍA Y LETRAS</t>
        </is>
      </c>
      <c r="D36" s="18" t="inlineStr">
        <is>
          <t>Ortuño Centenero, Daniel</t>
        </is>
      </c>
      <c r="E36" s="18" t="inlineStr">
        <is>
          <t>El verbo besar en el contexto de las relaciones interpersonales en castellano, francés y catalán: Estudio morfosemántico, contrastivo y diacrónico</t>
        </is>
      </c>
      <c r="F36" s="18" t="inlineStr">
        <is>
          <t>21/09/2024</t>
        </is>
      </c>
      <c r="G36" s="18" t="inlineStr">
        <is>
          <t>21436895K</t>
        </is>
      </c>
      <c r="H36" s="18" t="inlineStr">
        <is>
          <t>Codirector de tesis</t>
        </is>
      </c>
      <c r="I36" s="18" t="inlineStr">
        <is>
          <t>B114</t>
        </is>
      </c>
      <c r="J36" s="18" t="inlineStr">
        <is>
          <t>FILOLOGIAS INTEGRADAS</t>
        </is>
      </c>
      <c r="K36" s="18" t="n">
        <v>0.5</v>
      </c>
      <c r="L36" s="18" t="inlineStr">
        <is>
          <t>B114</t>
        </is>
      </c>
      <c r="M36" s="18" t="n">
        <v>2023</v>
      </c>
      <c r="N36" s="18" t="inlineStr">
        <is>
          <t>10.15</t>
        </is>
      </c>
      <c r="O36" s="18" t="inlineStr">
        <is>
          <t>20</t>
        </is>
      </c>
      <c r="P36" s="18" t="inlineStr"/>
      <c r="Q36" s="18" t="inlineStr"/>
      <c r="R36" s="18" t="n">
        <v>80</v>
      </c>
      <c r="S36" s="18" t="n">
        <v>0.4</v>
      </c>
      <c r="T36" s="18" t="n">
        <v>0.1</v>
      </c>
      <c r="U36" s="18" t="n">
        <v>0</v>
      </c>
      <c r="V36" s="6" t="inlineStr">
        <is>
          <t>S</t>
        </is>
      </c>
    </row>
    <row r="37">
      <c r="A37" s="18" t="inlineStr">
        <is>
          <t xml:space="preserve">U023 </t>
        </is>
      </c>
      <c r="B37" s="18" t="inlineStr">
        <is>
          <t xml:space="preserve">ADM. FACULTAD DE FILOSOFIA Y LETRAS </t>
        </is>
      </c>
      <c r="C37" s="18" t="inlineStr">
        <is>
          <t xml:space="preserve">DOCTORADO EN FILOSOFÍA Y LETRAS </t>
        </is>
      </c>
      <c r="D37" s="18" t="inlineStr">
        <is>
          <t xml:space="preserve">Martínez Copete, Antonio </t>
        </is>
      </c>
      <c r="E37" s="18" t="inlineStr">
        <is>
          <t xml:space="preserve">The effects of captioning and viewing original versions in english on long-term acquisition and comprehension of the english language </t>
        </is>
      </c>
      <c r="F37" s="18" t="inlineStr">
        <is>
          <t xml:space="preserve">10/07/2020 </t>
        </is>
      </c>
      <c r="G37" s="18" t="inlineStr">
        <is>
          <t xml:space="preserve">76414567B </t>
        </is>
      </c>
      <c r="H37" s="18" t="inlineStr">
        <is>
          <t xml:space="preserve">Director de tesis </t>
        </is>
      </c>
      <c r="I37" s="18" t="inlineStr">
        <is>
          <t xml:space="preserve">B116 </t>
        </is>
      </c>
      <c r="J37" s="18" t="inlineStr">
        <is>
          <t xml:space="preserve">FILOLOGÍA INGLESA </t>
        </is>
      </c>
      <c r="K37" s="18" t="n">
        <v>1</v>
      </c>
      <c r="L37" s="18" t="inlineStr">
        <is>
          <t>B116</t>
        </is>
      </c>
      <c r="M37" s="18" t="n">
        <v>2019</v>
      </c>
      <c r="N37" s="18" t="inlineStr">
        <is>
          <t>10.23</t>
        </is>
      </c>
      <c r="O37" s="18" t="n">
        <v>20</v>
      </c>
      <c r="P37" s="18" t="inlineStr">
        <is>
          <t>10.15</t>
        </is>
      </c>
      <c r="Q37" s="18" t="n">
        <v>20</v>
      </c>
      <c r="R37" s="18" t="n">
        <v>60</v>
      </c>
      <c r="S37" s="18" t="n">
        <v>0.6</v>
      </c>
      <c r="T37" s="18" t="n">
        <v>0.2</v>
      </c>
      <c r="U37" s="18" t="n">
        <v>0.2</v>
      </c>
    </row>
    <row r="38">
      <c r="A38" s="18" t="inlineStr">
        <is>
          <t xml:space="preserve">U023 </t>
        </is>
      </c>
      <c r="B38" s="18" t="inlineStr">
        <is>
          <t xml:space="preserve">ADM. FACULTAD DE FILOSOFIA Y LETRAS </t>
        </is>
      </c>
      <c r="C38" s="18" t="inlineStr">
        <is>
          <t xml:space="preserve">DOCTORADO EN FILOSOFÍA Y LETRAS </t>
        </is>
      </c>
      <c r="D38" s="18" t="inlineStr">
        <is>
          <t xml:space="preserve">Sinyashina , Ekaterina </t>
        </is>
      </c>
      <c r="E38" s="18" t="inlineStr">
        <is>
          <t xml:space="preserve">THE EFFECTIVENESS OF WATHING CAPTIONED AUTHENTIC VIDEOS FOR INCIDENTAL VOCABULARY LEARNING: THE REPETITION VARIABLE </t>
        </is>
      </c>
      <c r="F38" s="18" t="inlineStr">
        <is>
          <t xml:space="preserve">10/06/2020 </t>
        </is>
      </c>
      <c r="G38" s="18" t="inlineStr">
        <is>
          <t xml:space="preserve">76414567B </t>
        </is>
      </c>
      <c r="H38" s="18" t="inlineStr">
        <is>
          <t xml:space="preserve">Director de tesis </t>
        </is>
      </c>
      <c r="I38" s="18" t="inlineStr">
        <is>
          <t xml:space="preserve">B116 </t>
        </is>
      </c>
      <c r="J38" s="18" t="inlineStr">
        <is>
          <t xml:space="preserve">FILOLOGÍA INGLESA </t>
        </is>
      </c>
      <c r="K38" s="18" t="n">
        <v>1</v>
      </c>
      <c r="L38" s="18" t="inlineStr">
        <is>
          <t>B116</t>
        </is>
      </c>
      <c r="M38" s="18" t="n">
        <v>2019</v>
      </c>
      <c r="N38" s="18" t="inlineStr">
        <is>
          <t>10.23</t>
        </is>
      </c>
      <c r="O38" s="18" t="n">
        <v>20</v>
      </c>
      <c r="P38" s="18" t="inlineStr">
        <is>
          <t>10.15</t>
        </is>
      </c>
      <c r="Q38" s="18" t="n">
        <v>20</v>
      </c>
      <c r="R38" s="18" t="n">
        <v>60</v>
      </c>
      <c r="S38" s="18" t="n">
        <v>0.6</v>
      </c>
      <c r="T38" s="18" t="n">
        <v>0.2</v>
      </c>
      <c r="U38" s="18" t="n">
        <v>0.2</v>
      </c>
    </row>
    <row r="39">
      <c r="A39" s="18" t="inlineStr">
        <is>
          <t xml:space="preserve">U023 </t>
        </is>
      </c>
      <c r="B39" s="18" t="inlineStr">
        <is>
          <t xml:space="preserve">ADM. FACULTAD DE FILOSOFIA Y LETRAS </t>
        </is>
      </c>
      <c r="C39" s="18" t="inlineStr">
        <is>
          <t xml:space="preserve">DOCTORADO EN TRANSFERENCIAS INTERCULTURALES E HISTÓRICAS EN LA EUROPA MEDIE </t>
        </is>
      </c>
      <c r="D39" s="18" t="inlineStr">
        <is>
          <t xml:space="preserve">Escolano Marín, Xènia </t>
        </is>
      </c>
      <c r="E39" s="18" t="inlineStr">
        <is>
          <t xml:space="preserve">Diccionari electrònic bilingüe català&gt;anglés de locucions referencials idiomàtiques de somatismes </t>
        </is>
      </c>
      <c r="F39" s="18" t="inlineStr">
        <is>
          <t xml:space="preserve">22/07/2021 </t>
        </is>
      </c>
      <c r="G39" s="18" t="inlineStr">
        <is>
          <t xml:space="preserve">44762589N </t>
        </is>
      </c>
      <c r="H39" s="18" t="inlineStr">
        <is>
          <t xml:space="preserve">Codirector de tesis </t>
        </is>
      </c>
      <c r="I39" s="18" t="inlineStr">
        <is>
          <t xml:space="preserve">B142 </t>
        </is>
      </c>
      <c r="J39" s="18" t="inlineStr">
        <is>
          <t xml:space="preserve">FILOLOGÍA CATALANA </t>
        </is>
      </c>
      <c r="K39" s="18" t="n">
        <v>0.5</v>
      </c>
      <c r="L39" s="18" t="inlineStr">
        <is>
          <t>B142</t>
        </is>
      </c>
      <c r="M39" s="18" t="n">
        <v>2020</v>
      </c>
      <c r="N39" s="18" t="inlineStr">
        <is>
          <t>10.08</t>
        </is>
      </c>
      <c r="O39" s="18" t="n">
        <v>50</v>
      </c>
      <c r="P39" s="18" t="inlineStr">
        <is>
          <t>10.15</t>
        </is>
      </c>
      <c r="Q39" s="18" t="n">
        <v>10</v>
      </c>
      <c r="R39" s="18" t="n">
        <v>40</v>
      </c>
      <c r="S39" s="18" t="n">
        <v>0.2</v>
      </c>
      <c r="T39" s="18" t="n">
        <v>0.25</v>
      </c>
      <c r="U39" s="18" t="n">
        <v>0.05</v>
      </c>
    </row>
    <row r="40">
      <c r="A40" s="18" t="inlineStr">
        <is>
          <t xml:space="preserve">U023 </t>
        </is>
      </c>
      <c r="B40" s="18" t="inlineStr">
        <is>
          <t xml:space="preserve">ADM. FACULTAD DE FILOSOFIA Y LETRAS </t>
        </is>
      </c>
      <c r="C40" s="18" t="inlineStr">
        <is>
          <t xml:space="preserve">DOCTORADO EN TRANSFERENCIAS INTERCULTURALES E HISTÓRICAS EN LA EUROPA MEDIE </t>
        </is>
      </c>
      <c r="D40" s="18" t="inlineStr">
        <is>
          <t xml:space="preserve">Escolano Marín, Xènia </t>
        </is>
      </c>
      <c r="E40" s="18" t="inlineStr">
        <is>
          <t xml:space="preserve">Diccionari electrònic bilingüe català&gt;anglés de locucions referencials idiomàtiques de somatismes </t>
        </is>
      </c>
      <c r="F40" s="18" t="inlineStr">
        <is>
          <t xml:space="preserve">22/07/2021 </t>
        </is>
      </c>
      <c r="G40" s="18" t="inlineStr">
        <is>
          <t xml:space="preserve">25122167A </t>
        </is>
      </c>
      <c r="H40" s="18" t="inlineStr">
        <is>
          <t xml:space="preserve">Codirector de tesis </t>
        </is>
      </c>
      <c r="I40" s="18" t="inlineStr">
        <is>
          <t xml:space="preserve">B142 </t>
        </is>
      </c>
      <c r="J40" s="18" t="inlineStr">
        <is>
          <t xml:space="preserve">FILOLOGÍA CATALANA </t>
        </is>
      </c>
      <c r="K40" s="18" t="n">
        <v>0.5</v>
      </c>
      <c r="L40" s="18" t="inlineStr">
        <is>
          <t>B142</t>
        </is>
      </c>
      <c r="M40" s="18" t="n">
        <v>2020</v>
      </c>
      <c r="N40" s="18" t="inlineStr">
        <is>
          <t>10.08</t>
        </is>
      </c>
      <c r="O40" s="18" t="n">
        <v>50</v>
      </c>
      <c r="P40" s="18" t="inlineStr">
        <is>
          <t>10.15</t>
        </is>
      </c>
      <c r="Q40" s="18" t="n">
        <v>10</v>
      </c>
      <c r="R40" s="18" t="n">
        <v>40</v>
      </c>
      <c r="S40" s="18" t="n">
        <v>0.2</v>
      </c>
      <c r="T40" s="18" t="n">
        <v>0.25</v>
      </c>
      <c r="U40" s="18" t="n">
        <v>0.05</v>
      </c>
    </row>
    <row r="41">
      <c r="A41" s="18" t="inlineStr">
        <is>
          <t xml:space="preserve">U023 </t>
        </is>
      </c>
      <c r="B41" s="18" t="inlineStr">
        <is>
          <t xml:space="preserve">ADM. FACULTAD DE FILOSOFIA Y LETRAS </t>
        </is>
      </c>
      <c r="C41" s="18" t="inlineStr">
        <is>
          <t xml:space="preserve">DOCTORADO EN FILOSOFÍA Y LETRAS </t>
        </is>
      </c>
      <c r="D41" s="18" t="inlineStr">
        <is>
          <t xml:space="preserve">Espinosa Zaragoza, Isabel </t>
        </is>
      </c>
      <c r="E41" s="18" t="inlineStr">
        <is>
          <t xml:space="preserve">A STUDY OF COLOUR NAMES IN THE COSMETIC INDUSTRY </t>
        </is>
      </c>
      <c r="F41" s="18" t="inlineStr">
        <is>
          <t xml:space="preserve">04/04/2022 </t>
        </is>
      </c>
      <c r="G41" s="18" t="inlineStr">
        <is>
          <t xml:space="preserve">76414567B </t>
        </is>
      </c>
      <c r="H41" s="18" t="inlineStr">
        <is>
          <t xml:space="preserve">Director de tesis </t>
        </is>
      </c>
      <c r="I41" s="18" t="inlineStr">
        <is>
          <t xml:space="preserve">B116 </t>
        </is>
      </c>
      <c r="J41" s="18" t="inlineStr">
        <is>
          <t xml:space="preserve">FILOLOGÍA INGLESA </t>
        </is>
      </c>
      <c r="K41" s="18" t="n">
        <v>1</v>
      </c>
      <c r="L41" s="18" t="inlineStr">
        <is>
          <t>B116</t>
        </is>
      </c>
      <c r="M41" s="18" t="n">
        <v>2021</v>
      </c>
      <c r="N41" s="18" t="inlineStr">
        <is>
          <t>10.23</t>
        </is>
      </c>
      <c r="O41" s="18" t="n">
        <v>20</v>
      </c>
      <c r="P41" s="18" t="inlineStr">
        <is>
          <t>10.15</t>
        </is>
      </c>
      <c r="Q41" s="18" t="n">
        <v>20</v>
      </c>
      <c r="R41" s="18" t="n">
        <v>60</v>
      </c>
      <c r="S41" s="18" t="n">
        <v>0.6</v>
      </c>
      <c r="T41" s="18" t="n">
        <v>0.2</v>
      </c>
      <c r="U41" s="18" t="n">
        <v>0.2</v>
      </c>
    </row>
    <row r="42">
      <c r="A42" s="18" t="inlineStr">
        <is>
          <t xml:space="preserve">U023 </t>
        </is>
      </c>
      <c r="B42" s="18" t="inlineStr">
        <is>
          <t xml:space="preserve">ADM. FACULTAD DE FILOSOFIA Y LETRAS </t>
        </is>
      </c>
      <c r="C42" s="18" t="inlineStr">
        <is>
          <t xml:space="preserve">DOCTORADO EN TRANSFERENCIAS INTERCULTURALES E HISTÓRICAS EN LA EUROPA MEDIE </t>
        </is>
      </c>
      <c r="D42" s="18" t="inlineStr">
        <is>
          <t>Rentzi , Argyro</t>
        </is>
      </c>
      <c r="E42" s="18" t="inlineStr">
        <is>
          <t xml:space="preserve">Intercultural transmission perspective in using school leadership of social justice to include refugee and migrant children into Greek Public Primary Education:perceptions of school principals. </t>
        </is>
      </c>
      <c r="F42" s="18" t="inlineStr">
        <is>
          <t xml:space="preserve">17/03/2023 </t>
        </is>
      </c>
      <c r="G42" s="18" t="inlineStr">
        <is>
          <t xml:space="preserve">44762589N </t>
        </is>
      </c>
      <c r="H42" s="18" t="inlineStr">
        <is>
          <t xml:space="preserve">Codirector de tesis </t>
        </is>
      </c>
      <c r="I42" s="18" t="inlineStr">
        <is>
          <t xml:space="preserve">B142 </t>
        </is>
      </c>
      <c r="J42" s="18" t="inlineStr">
        <is>
          <t xml:space="preserve">FILOLOGÍA CATALANA </t>
        </is>
      </c>
      <c r="K42" s="18" t="n">
        <v>0.5</v>
      </c>
      <c r="L42" s="18" t="inlineStr">
        <is>
          <t>B142</t>
        </is>
      </c>
      <c r="M42" s="18" t="n">
        <v>2022</v>
      </c>
      <c r="N42" s="18" t="inlineStr">
        <is>
          <t>10.08</t>
        </is>
      </c>
      <c r="O42" s="18" t="n">
        <v>50</v>
      </c>
      <c r="P42" s="18" t="inlineStr">
        <is>
          <t>10.15</t>
        </is>
      </c>
      <c r="Q42" s="18" t="n">
        <v>10</v>
      </c>
      <c r="R42" s="18" t="n">
        <v>40</v>
      </c>
      <c r="S42" s="18" t="n">
        <v>0.2</v>
      </c>
      <c r="T42" s="18" t="n">
        <v>0.25</v>
      </c>
      <c r="U42" s="18" t="n">
        <v>0.05</v>
      </c>
    </row>
    <row r="43">
      <c r="A43" s="18" t="inlineStr">
        <is>
          <t xml:space="preserve">U023 </t>
        </is>
      </c>
      <c r="B43" s="18" t="inlineStr">
        <is>
          <t xml:space="preserve">ADM. FACULTAD DE FILOSOFIA Y LETRAS </t>
        </is>
      </c>
      <c r="C43" s="18" t="inlineStr">
        <is>
          <t xml:space="preserve">DOCTORADO EN TRANSFERENCIAS INTERCULTURALES E HISTÓRICAS EN LA EUROPA MEDIE </t>
        </is>
      </c>
      <c r="D43" s="18" t="inlineStr">
        <is>
          <t>Rentzi , Argyro</t>
        </is>
      </c>
      <c r="E43" s="18" t="inlineStr">
        <is>
          <t xml:space="preserve">Intercultural transmission perspective in using school leadership of social justice to include refugee and migrant children into Greek Public Primary Education:perceptions of school principals. </t>
        </is>
      </c>
      <c r="F43" s="18" t="inlineStr">
        <is>
          <t xml:space="preserve">17/03/2023 </t>
        </is>
      </c>
      <c r="G43" s="18" t="inlineStr">
        <is>
          <t xml:space="preserve">25122167A </t>
        </is>
      </c>
      <c r="H43" s="18" t="inlineStr">
        <is>
          <t xml:space="preserve">Codirector de tesis </t>
        </is>
      </c>
      <c r="I43" s="18" t="inlineStr">
        <is>
          <t xml:space="preserve">B142 </t>
        </is>
      </c>
      <c r="J43" s="18" t="inlineStr">
        <is>
          <t xml:space="preserve">FILOLOGÍA CATALANA </t>
        </is>
      </c>
      <c r="K43" s="18" t="n">
        <v>0.5</v>
      </c>
      <c r="L43" s="18" t="inlineStr">
        <is>
          <t>B142</t>
        </is>
      </c>
      <c r="M43" s="18" t="n">
        <v>2022</v>
      </c>
      <c r="N43" s="18" t="inlineStr">
        <is>
          <t>10.08</t>
        </is>
      </c>
      <c r="O43" s="18" t="n">
        <v>50</v>
      </c>
      <c r="P43" s="18" t="inlineStr">
        <is>
          <t>10.15</t>
        </is>
      </c>
      <c r="Q43" s="18" t="n">
        <v>10</v>
      </c>
      <c r="R43" s="18" t="n">
        <v>40</v>
      </c>
      <c r="S43" s="18" t="n">
        <v>0.2</v>
      </c>
      <c r="T43" s="18" t="n">
        <v>0.25</v>
      </c>
      <c r="U43" s="18" t="n">
        <v>0.05</v>
      </c>
    </row>
    <row r="44">
      <c r="A44" s="18" t="inlineStr">
        <is>
          <t xml:space="preserve">U023 </t>
        </is>
      </c>
      <c r="B44" s="18" t="inlineStr">
        <is>
          <t xml:space="preserve">ADM. FACULTAD DE FILOSOFIA Y LETRAS </t>
        </is>
      </c>
      <c r="C44" s="18" t="inlineStr">
        <is>
          <t xml:space="preserve">DOCTORADO EN TRANSFERENCIAS INTERCULTURALES E HISTÓRICAS EN LA EUROPA MEDIE </t>
        </is>
      </c>
      <c r="D44" s="18" t="inlineStr">
        <is>
          <t>Giatra , Diamantina</t>
        </is>
      </c>
      <c r="E44" s="18" t="inlineStr">
        <is>
          <t xml:space="preserve">Intercultural transmission perspective in human, social and cultural capital reinforcement through the analysis of eLifelong Education in health services. Field of research: The human resources of the General Hospital of Patras Agios Andreas </t>
        </is>
      </c>
      <c r="F44" s="18" t="inlineStr">
        <is>
          <t xml:space="preserve">17/03/2023 </t>
        </is>
      </c>
      <c r="G44" s="18" t="inlineStr">
        <is>
          <t xml:space="preserve">44762589N </t>
        </is>
      </c>
      <c r="H44" s="18" t="inlineStr">
        <is>
          <t xml:space="preserve">Codirector de tesis </t>
        </is>
      </c>
      <c r="I44" s="18" t="inlineStr">
        <is>
          <t xml:space="preserve">B142 </t>
        </is>
      </c>
      <c r="J44" s="18" t="inlineStr">
        <is>
          <t xml:space="preserve">FILOLOGÍA CATALANA </t>
        </is>
      </c>
      <c r="K44" s="18" t="n">
        <v>0.5</v>
      </c>
      <c r="L44" s="18" t="inlineStr">
        <is>
          <t>B142</t>
        </is>
      </c>
      <c r="M44" s="18" t="n">
        <v>2022</v>
      </c>
      <c r="N44" s="18" t="inlineStr">
        <is>
          <t>10.08</t>
        </is>
      </c>
      <c r="O44" s="18" t="n">
        <v>50</v>
      </c>
      <c r="P44" s="18" t="inlineStr">
        <is>
          <t>10.15</t>
        </is>
      </c>
      <c r="Q44" s="18" t="n">
        <v>10</v>
      </c>
      <c r="R44" s="18" t="n">
        <v>40</v>
      </c>
      <c r="S44" s="18" t="n">
        <v>0.2</v>
      </c>
      <c r="T44" s="18" t="n">
        <v>0.25</v>
      </c>
      <c r="U44" s="18" t="n">
        <v>0.05</v>
      </c>
    </row>
    <row r="45">
      <c r="A45" s="18" t="inlineStr">
        <is>
          <t xml:space="preserve">U023 </t>
        </is>
      </c>
      <c r="B45" s="18" t="inlineStr">
        <is>
          <t xml:space="preserve">ADM. FACULTAD DE FILOSOFIA Y LETRAS </t>
        </is>
      </c>
      <c r="C45" s="18" t="inlineStr">
        <is>
          <t xml:space="preserve">DOCTORADO EN TRANSFERENCIAS INTERCULTURALES E HISTÓRICAS EN LA EUROPA MEDIE </t>
        </is>
      </c>
      <c r="D45" s="18" t="inlineStr">
        <is>
          <t>Giatra , Diamantina</t>
        </is>
      </c>
      <c r="E45" s="18" t="inlineStr">
        <is>
          <t xml:space="preserve">Intercultural transmission perspective in human, social and cultural capital reinforcement through the analysis of eLifelong Education in health services. Field of research: The human resources of the General Hospital of Patras Agios Andreas </t>
        </is>
      </c>
      <c r="F45" s="18" t="inlineStr">
        <is>
          <t xml:space="preserve">17/03/2023 </t>
        </is>
      </c>
      <c r="G45" s="18" t="inlineStr">
        <is>
          <t xml:space="preserve">25122167A </t>
        </is>
      </c>
      <c r="H45" s="18" t="inlineStr">
        <is>
          <t xml:space="preserve">Codirector de tesis </t>
        </is>
      </c>
      <c r="I45" s="18" t="inlineStr">
        <is>
          <t xml:space="preserve">B142 </t>
        </is>
      </c>
      <c r="J45" s="18" t="inlineStr">
        <is>
          <t xml:space="preserve">FILOLOGÍA CATALANA </t>
        </is>
      </c>
      <c r="K45" s="18" t="n">
        <v>0.5</v>
      </c>
      <c r="L45" s="18" t="inlineStr">
        <is>
          <t>B142</t>
        </is>
      </c>
      <c r="M45" s="18" t="n">
        <v>2022</v>
      </c>
      <c r="N45" s="18" t="inlineStr">
        <is>
          <t>10.08</t>
        </is>
      </c>
      <c r="O45" s="18" t="n">
        <v>50</v>
      </c>
      <c r="P45" s="18" t="inlineStr">
        <is>
          <t>10.15</t>
        </is>
      </c>
      <c r="Q45" s="18" t="n">
        <v>10</v>
      </c>
      <c r="R45" s="18" t="n">
        <v>40</v>
      </c>
      <c r="S45" s="18" t="n">
        <v>0.2</v>
      </c>
      <c r="T45" s="18" t="n">
        <v>0.25</v>
      </c>
      <c r="U45" s="18" t="n">
        <v>0.05</v>
      </c>
    </row>
    <row r="46">
      <c r="A46" s="18" t="inlineStr">
        <is>
          <t xml:space="preserve">U023 </t>
        </is>
      </c>
      <c r="B46" s="18" t="inlineStr">
        <is>
          <t xml:space="preserve">ADM. FACULTAD DE FILOSOFIA Y LETRAS </t>
        </is>
      </c>
      <c r="C46" s="18" t="inlineStr">
        <is>
          <t xml:space="preserve">DOCTORADO EN TRANSFERENCIAS INTERCULTURALES E HISTÓRICAS EN LA EUROPA MEDIE </t>
        </is>
      </c>
      <c r="D46" s="18" t="inlineStr">
        <is>
          <t>Kartezinis , Kosmas</t>
        </is>
      </c>
      <c r="E46" s="18" t="inlineStr">
        <is>
          <t xml:space="preserve">From the New Public Management to the New Public Governance through the social phenomenon of multiculturalism - the challenges and prospects for the modern societies. The case of Spain and Greece. </t>
        </is>
      </c>
      <c r="F46" s="18" t="inlineStr">
        <is>
          <t xml:space="preserve">17/03/2023 </t>
        </is>
      </c>
      <c r="G46" s="18" t="inlineStr">
        <is>
          <t xml:space="preserve">21687362H </t>
        </is>
      </c>
      <c r="H46" s="18" t="inlineStr">
        <is>
          <t xml:space="preserve">Codirector de tesis </t>
        </is>
      </c>
      <c r="I46" s="18" t="inlineStr">
        <is>
          <t xml:space="preserve">B142 </t>
        </is>
      </c>
      <c r="J46" s="18" t="inlineStr">
        <is>
          <t xml:space="preserve">FILOLOGÍA CATALANA </t>
        </is>
      </c>
      <c r="K46" s="18" t="n">
        <v>0.5</v>
      </c>
      <c r="L46" s="18" t="inlineStr">
        <is>
          <t>B142</t>
        </is>
      </c>
      <c r="M46" s="18" t="n">
        <v>2022</v>
      </c>
      <c r="N46" s="18" t="inlineStr">
        <is>
          <t>10.08</t>
        </is>
      </c>
      <c r="O46" s="18" t="n">
        <v>50</v>
      </c>
      <c r="P46" s="18" t="inlineStr">
        <is>
          <t>10.15</t>
        </is>
      </c>
      <c r="Q46" s="18" t="n">
        <v>10</v>
      </c>
      <c r="R46" s="18" t="n">
        <v>40</v>
      </c>
      <c r="S46" s="18" t="n">
        <v>0.2</v>
      </c>
      <c r="T46" s="18" t="n">
        <v>0.25</v>
      </c>
      <c r="U46" s="18" t="n">
        <v>0.05</v>
      </c>
    </row>
    <row r="47">
      <c r="A47" s="18" t="inlineStr">
        <is>
          <t xml:space="preserve">U023 </t>
        </is>
      </c>
      <c r="B47" s="18" t="inlineStr">
        <is>
          <t xml:space="preserve">ADM. FACULTAD DE FILOSOFIA Y LETRAS </t>
        </is>
      </c>
      <c r="C47" s="18" t="inlineStr">
        <is>
          <t xml:space="preserve">DOCTORADO EN TRANSFERENCIAS INTERCULTURALES E HISTÓRICAS EN LA EUROPA MEDIE </t>
        </is>
      </c>
      <c r="D47" s="18" t="inlineStr">
        <is>
          <t>Kartezinis , Kosmas</t>
        </is>
      </c>
      <c r="E47" s="18" t="inlineStr">
        <is>
          <t xml:space="preserve">From the New Public Management to the New Public Governance through the social phenomenon of multiculturalism - the challenges and prospects for the modern societies. The case of Spain and Greece. </t>
        </is>
      </c>
      <c r="F47" s="18" t="inlineStr">
        <is>
          <t xml:space="preserve">17/03/2023 </t>
        </is>
      </c>
      <c r="G47" s="18" t="inlineStr">
        <is>
          <t xml:space="preserve">25122167A </t>
        </is>
      </c>
      <c r="H47" s="18" t="inlineStr">
        <is>
          <t xml:space="preserve">Codirector de tesis </t>
        </is>
      </c>
      <c r="I47" s="18" t="inlineStr">
        <is>
          <t xml:space="preserve">B142 </t>
        </is>
      </c>
      <c r="J47" s="18" t="inlineStr">
        <is>
          <t xml:space="preserve">FILOLOGÍA CATALANA </t>
        </is>
      </c>
      <c r="K47" s="18" t="n">
        <v>0.5</v>
      </c>
      <c r="L47" s="18" t="inlineStr">
        <is>
          <t>B142</t>
        </is>
      </c>
      <c r="M47" s="18" t="n">
        <v>2022</v>
      </c>
      <c r="N47" s="18" t="inlineStr">
        <is>
          <t>10.08</t>
        </is>
      </c>
      <c r="O47" s="18" t="n">
        <v>50</v>
      </c>
      <c r="P47" s="18" t="inlineStr">
        <is>
          <t>10.15</t>
        </is>
      </c>
      <c r="Q47" s="18" t="n">
        <v>10</v>
      </c>
      <c r="R47" s="18" t="n">
        <v>40</v>
      </c>
      <c r="S47" s="18" t="n">
        <v>0.2</v>
      </c>
      <c r="T47" s="18" t="n">
        <v>0.25</v>
      </c>
      <c r="U47" s="18" t="n">
        <v>0.05</v>
      </c>
    </row>
    <row r="48">
      <c r="A48" s="18" t="inlineStr">
        <is>
          <t xml:space="preserve">U023 </t>
        </is>
      </c>
      <c r="B48" s="18" t="inlineStr">
        <is>
          <t xml:space="preserve">ADM. FACULTAD DE FILOSOFIA Y LETRAS </t>
        </is>
      </c>
      <c r="C48" s="18" t="inlineStr">
        <is>
          <t xml:space="preserve">DOCTORADO EN TRANSFERENCIAS INTERCULTURALES E HISTÓRICAS EN LA EUROPA MEDIE </t>
        </is>
      </c>
      <c r="D48" s="18" t="inlineStr">
        <is>
          <t>Lalos , Christos</t>
        </is>
      </c>
      <c r="E48" s="18" t="inlineStr">
        <is>
          <t xml:space="preserve">LIFELONG TRAINING OF CIVIL SERVANTS ON INFORMATION SYSTEMS IN THE FIELD OF HEALTH </t>
        </is>
      </c>
      <c r="F48" s="18" t="inlineStr">
        <is>
          <t xml:space="preserve">17/03/2023 </t>
        </is>
      </c>
      <c r="G48" s="18" t="inlineStr">
        <is>
          <t xml:space="preserve">44762589N </t>
        </is>
      </c>
      <c r="H48" s="18" t="inlineStr">
        <is>
          <t xml:space="preserve">Codirector de tesis </t>
        </is>
      </c>
      <c r="I48" s="18" t="inlineStr">
        <is>
          <t xml:space="preserve">B142 </t>
        </is>
      </c>
      <c r="J48" s="18" t="inlineStr">
        <is>
          <t xml:space="preserve">FILOLOGÍA CATALANA </t>
        </is>
      </c>
      <c r="K48" s="18" t="n">
        <v>0.5</v>
      </c>
      <c r="L48" s="18" t="inlineStr">
        <is>
          <t>B142</t>
        </is>
      </c>
      <c r="M48" s="18" t="n">
        <v>2022</v>
      </c>
      <c r="N48" s="18" t="inlineStr">
        <is>
          <t>10.08</t>
        </is>
      </c>
      <c r="O48" s="18" t="n">
        <v>50</v>
      </c>
      <c r="P48" s="18" t="inlineStr">
        <is>
          <t>10.15</t>
        </is>
      </c>
      <c r="Q48" s="18" t="n">
        <v>10</v>
      </c>
      <c r="R48" s="18" t="n">
        <v>40</v>
      </c>
      <c r="S48" s="18" t="n">
        <v>0.2</v>
      </c>
      <c r="T48" s="18" t="n">
        <v>0.25</v>
      </c>
      <c r="U48" s="18" t="n">
        <v>0.05</v>
      </c>
    </row>
    <row r="49">
      <c r="A49" s="18" t="inlineStr">
        <is>
          <t xml:space="preserve">U023 </t>
        </is>
      </c>
      <c r="B49" s="18" t="inlineStr">
        <is>
          <t xml:space="preserve">ADM. FACULTAD DE FILOSOFIA Y LETRAS </t>
        </is>
      </c>
      <c r="C49" s="18" t="inlineStr">
        <is>
          <t xml:space="preserve">DOCTORADO EN TRANSFERENCIAS INTERCULTURALES E HISTÓRICAS EN LA EUROPA MEDIE </t>
        </is>
      </c>
      <c r="D49" s="18" t="inlineStr">
        <is>
          <t>Lalos , Christos</t>
        </is>
      </c>
      <c r="E49" s="18" t="inlineStr">
        <is>
          <t xml:space="preserve">LIFELONG TRAINING OF CIVIL SERVANTS ON INFORMATION SYSTEMS IN THE FIELD OF HEALTH </t>
        </is>
      </c>
      <c r="F49" s="18" t="inlineStr">
        <is>
          <t xml:space="preserve">17/03/2023 </t>
        </is>
      </c>
      <c r="G49" s="18" t="inlineStr">
        <is>
          <t xml:space="preserve">25122167A </t>
        </is>
      </c>
      <c r="H49" s="18" t="inlineStr">
        <is>
          <t xml:space="preserve">Codirector de tesis </t>
        </is>
      </c>
      <c r="I49" s="18" t="inlineStr">
        <is>
          <t xml:space="preserve">B142 </t>
        </is>
      </c>
      <c r="J49" s="18" t="inlineStr">
        <is>
          <t xml:space="preserve">FILOLOGÍA CATALANA </t>
        </is>
      </c>
      <c r="K49" s="18" t="n">
        <v>0.5</v>
      </c>
      <c r="L49" s="18" t="inlineStr">
        <is>
          <t>B142</t>
        </is>
      </c>
      <c r="M49" s="18" t="n">
        <v>2022</v>
      </c>
      <c r="N49" s="18" t="inlineStr">
        <is>
          <t>10.08</t>
        </is>
      </c>
      <c r="O49" s="18" t="n">
        <v>50</v>
      </c>
      <c r="P49" s="18" t="inlineStr">
        <is>
          <t>10.15</t>
        </is>
      </c>
      <c r="Q49" s="18" t="n">
        <v>10</v>
      </c>
      <c r="R49" s="18" t="n">
        <v>40</v>
      </c>
      <c r="S49" s="18" t="n">
        <v>0.2</v>
      </c>
      <c r="T49" s="18" t="n">
        <v>0.25</v>
      </c>
      <c r="U49" s="18" t="n">
        <v>0.05</v>
      </c>
    </row>
    <row r="50">
      <c r="A50" s="18" t="inlineStr">
        <is>
          <t xml:space="preserve">U023 </t>
        </is>
      </c>
      <c r="B50" s="18" t="inlineStr">
        <is>
          <t xml:space="preserve">ADM. FACULTAD DE FILOSOFIA Y LETRAS </t>
        </is>
      </c>
      <c r="C50" s="18" t="inlineStr">
        <is>
          <t xml:space="preserve">DOCTORADO EN TRANSFERENCIAS INTERCULTURALES E HISTÓRICAS EN LA EUROPA MEDIE </t>
        </is>
      </c>
      <c r="D50" s="18" t="inlineStr">
        <is>
          <t>michalopoulos , petros</t>
        </is>
      </c>
      <c r="E50" s="18" t="inlineStr">
        <is>
          <t xml:space="preserve">Management and continue training of human resourses in Intercultural Europe-the case of Greek Public companies. </t>
        </is>
      </c>
      <c r="F50" s="18" t="inlineStr">
        <is>
          <t xml:space="preserve">17/03/2023 </t>
        </is>
      </c>
      <c r="G50" s="18" t="inlineStr">
        <is>
          <t xml:space="preserve">21687362H </t>
        </is>
      </c>
      <c r="H50" s="18" t="inlineStr">
        <is>
          <t xml:space="preserve">Codirector de tesis </t>
        </is>
      </c>
      <c r="I50" s="18" t="inlineStr">
        <is>
          <t xml:space="preserve">B142 </t>
        </is>
      </c>
      <c r="J50" s="18" t="inlineStr">
        <is>
          <t xml:space="preserve">FILOLOGÍA CATALANA </t>
        </is>
      </c>
      <c r="K50" s="18" t="n">
        <v>0.5</v>
      </c>
      <c r="L50" s="18" t="inlineStr">
        <is>
          <t>B142</t>
        </is>
      </c>
      <c r="M50" s="18" t="n">
        <v>2022</v>
      </c>
      <c r="N50" s="18" t="inlineStr">
        <is>
          <t>10.08</t>
        </is>
      </c>
      <c r="O50" s="18" t="n">
        <v>50</v>
      </c>
      <c r="P50" s="18" t="inlineStr">
        <is>
          <t>10.15</t>
        </is>
      </c>
      <c r="Q50" s="18" t="n">
        <v>10</v>
      </c>
      <c r="R50" s="18" t="n">
        <v>40</v>
      </c>
      <c r="S50" s="18" t="n">
        <v>0.2</v>
      </c>
      <c r="T50" s="18" t="n">
        <v>0.25</v>
      </c>
      <c r="U50" s="18" t="n">
        <v>0.05</v>
      </c>
    </row>
    <row r="51">
      <c r="A51" s="18" t="inlineStr">
        <is>
          <t xml:space="preserve">U023 </t>
        </is>
      </c>
      <c r="B51" s="18" t="inlineStr">
        <is>
          <t xml:space="preserve">ADM. FACULTAD DE FILOSOFIA Y LETRAS </t>
        </is>
      </c>
      <c r="C51" s="18" t="inlineStr">
        <is>
          <t xml:space="preserve">DOCTORADO EN TRANSFERENCIAS INTERCULTURALES E HISTÓRICAS EN LA EUROPA MEDIE </t>
        </is>
      </c>
      <c r="D51" s="18" t="inlineStr">
        <is>
          <t>michalopoulos , petros</t>
        </is>
      </c>
      <c r="E51" s="18" t="inlineStr">
        <is>
          <t xml:space="preserve">Management and continue training of human resourses in Intercultural Europe-the case of Greek Public companies. </t>
        </is>
      </c>
      <c r="F51" s="18" t="inlineStr">
        <is>
          <t xml:space="preserve">17/03/2023 </t>
        </is>
      </c>
      <c r="G51" s="18" t="inlineStr">
        <is>
          <t xml:space="preserve">25122167A </t>
        </is>
      </c>
      <c r="H51" s="18" t="inlineStr">
        <is>
          <t xml:space="preserve">Codirector de tesis </t>
        </is>
      </c>
      <c r="I51" s="18" t="inlineStr">
        <is>
          <t xml:space="preserve">B142 </t>
        </is>
      </c>
      <c r="J51" s="18" t="inlineStr">
        <is>
          <t xml:space="preserve">FILOLOGÍA CATALANA </t>
        </is>
      </c>
      <c r="K51" s="18" t="n">
        <v>0.5</v>
      </c>
      <c r="L51" s="18" t="inlineStr">
        <is>
          <t>B142</t>
        </is>
      </c>
      <c r="M51" s="18" t="n">
        <v>2022</v>
      </c>
      <c r="N51" s="18" t="inlineStr">
        <is>
          <t>10.08</t>
        </is>
      </c>
      <c r="O51" s="18" t="n">
        <v>50</v>
      </c>
      <c r="P51" s="18" t="inlineStr">
        <is>
          <t>10.15</t>
        </is>
      </c>
      <c r="Q51" s="18" t="n">
        <v>10</v>
      </c>
      <c r="R51" s="18" t="n">
        <v>40</v>
      </c>
      <c r="S51" s="18" t="n">
        <v>0.2</v>
      </c>
      <c r="T51" s="18" t="n">
        <v>0.25</v>
      </c>
      <c r="U51" s="18" t="n">
        <v>0.05</v>
      </c>
    </row>
    <row r="52">
      <c r="A52" s="18" t="inlineStr">
        <is>
          <t xml:space="preserve">U023 </t>
        </is>
      </c>
      <c r="B52" s="18" t="inlineStr">
        <is>
          <t>ADM. FACULTAD DE FILOSOFIA Y LETRAS</t>
        </is>
      </c>
      <c r="C52" s="18" t="inlineStr">
        <is>
          <t>DOCTORADO EN TRANSFERENCIAS INTERCULTURALES E HISTÓRICAS EN LA EUROPA MEDIE</t>
        </is>
      </c>
      <c r="D52" s="18" t="inlineStr">
        <is>
          <t>Castillo Ochoa, Ruth Carolina</t>
        </is>
      </c>
      <c r="E52" s="18" t="inlineStr">
        <is>
          <t>LA RELATIVIDAD GENERAL DE EINSTEIN Y EL PROBLEMA DE LOS TÉRMINOS TEORICOS E INOBSERVABLES: WEYL, HUSSERL, NEELAMKAVIL</t>
        </is>
      </c>
      <c r="F52" s="18" t="inlineStr">
        <is>
          <t>29/09/2023</t>
        </is>
      </c>
      <c r="G52" s="18" t="inlineStr">
        <is>
          <t xml:space="preserve">25122167A </t>
        </is>
      </c>
      <c r="H52" s="18" t="inlineStr">
        <is>
          <t>Codirector de tesis</t>
        </is>
      </c>
      <c r="I52" s="18" t="inlineStr">
        <is>
          <t>B142</t>
        </is>
      </c>
      <c r="J52" s="18" t="inlineStr">
        <is>
          <t>FILOLOGÍA CATALANA</t>
        </is>
      </c>
      <c r="K52" s="18" t="n">
        <v>0.5</v>
      </c>
      <c r="L52" s="18" t="inlineStr">
        <is>
          <t>B142</t>
        </is>
      </c>
      <c r="M52" s="18" t="n">
        <v>2022</v>
      </c>
      <c r="N52" s="18" t="inlineStr">
        <is>
          <t>10.08</t>
        </is>
      </c>
      <c r="O52" s="18" t="n">
        <v>50</v>
      </c>
      <c r="P52" s="18" t="inlineStr">
        <is>
          <t>10.15</t>
        </is>
      </c>
      <c r="Q52" s="18" t="n">
        <v>10</v>
      </c>
      <c r="R52" s="18" t="n">
        <v>40</v>
      </c>
      <c r="S52" s="18" t="n">
        <v>0.2</v>
      </c>
      <c r="T52" s="18" t="n">
        <v>0.25</v>
      </c>
      <c r="U52" s="18" t="n">
        <v>0.05</v>
      </c>
    </row>
    <row r="53">
      <c r="A53" s="18" t="inlineStr">
        <is>
          <t xml:space="preserve">U023 </t>
        </is>
      </c>
      <c r="B53" s="18" t="inlineStr">
        <is>
          <t>ADM. FACULTAD DE FILOSOFIA Y LETRAS</t>
        </is>
      </c>
      <c r="C53" s="18" t="inlineStr">
        <is>
          <t>DOCTORADO EN TRANSFERENCIAS INTERCULTURALES E HISTÓRICAS EN LA EUROPA MEDIE</t>
        </is>
      </c>
      <c r="D53" s="18" t="inlineStr">
        <is>
          <t>Iannaccone , Giuseppe</t>
        </is>
      </c>
      <c r="E53" s="18" t="inlineStr">
        <is>
          <t>La manipulación retórica en el discurso político: de la Antigüedad hasta nuestros días.Técnicas innovadoras para el estudio del discurso político</t>
        </is>
      </c>
      <c r="F53" s="18" t="inlineStr">
        <is>
          <t>29/09/2023</t>
        </is>
      </c>
      <c r="G53" s="18" t="inlineStr">
        <is>
          <t xml:space="preserve">25122167A </t>
        </is>
      </c>
      <c r="H53" s="18" t="inlineStr">
        <is>
          <t>Codirector de tesis</t>
        </is>
      </c>
      <c r="I53" s="18" t="inlineStr">
        <is>
          <t>B142</t>
        </is>
      </c>
      <c r="J53" s="18" t="inlineStr">
        <is>
          <t>FILOLOGÍA CATALANA</t>
        </is>
      </c>
      <c r="K53" s="18" t="n">
        <v>0.5</v>
      </c>
      <c r="L53" s="18" t="inlineStr">
        <is>
          <t>B142</t>
        </is>
      </c>
      <c r="M53" s="18" t="n">
        <v>2022</v>
      </c>
      <c r="N53" s="18" t="inlineStr">
        <is>
          <t>10.08</t>
        </is>
      </c>
      <c r="O53" s="18" t="n">
        <v>50</v>
      </c>
      <c r="P53" s="18" t="inlineStr">
        <is>
          <t>10.15</t>
        </is>
      </c>
      <c r="Q53" s="18" t="n">
        <v>10</v>
      </c>
      <c r="R53" s="18" t="n">
        <v>40</v>
      </c>
      <c r="S53" s="18" t="n">
        <v>0.2</v>
      </c>
      <c r="T53" s="18" t="n">
        <v>0.25</v>
      </c>
      <c r="U53" s="18" t="n">
        <v>0.05</v>
      </c>
    </row>
    <row r="54">
      <c r="A54" s="18" t="inlineStr">
        <is>
          <t>U023</t>
        </is>
      </c>
      <c r="B54" s="18" t="inlineStr">
        <is>
          <t>ADM. FACULTAD DE FILOSOFIA Y LETRAS</t>
        </is>
      </c>
      <c r="C54" s="18" t="inlineStr">
        <is>
          <t>DOCTORADO EN FILOSOFÍA Y LETRAS</t>
        </is>
      </c>
      <c r="D54" s="18" t="inlineStr">
        <is>
          <t>Merino González, Alicia</t>
        </is>
      </c>
      <c r="E54" s="18" t="inlineStr">
        <is>
          <t>LA ADQUISICIÓN DE LA CONCIENCIA FRASEOLÓGICA EN EL TRASTORNO DEL ESPECTRO AUTISTA DE GRADO 1</t>
        </is>
      </c>
      <c r="F54" s="18" t="inlineStr">
        <is>
          <t>21/02/2024</t>
        </is>
      </c>
      <c r="G54" s="18" t="inlineStr">
        <is>
          <t>46085014Y</t>
        </is>
      </c>
      <c r="H54" s="18" t="inlineStr">
        <is>
          <t>Director de tesis</t>
        </is>
      </c>
      <c r="I54" s="18" t="inlineStr">
        <is>
          <t>B115</t>
        </is>
      </c>
      <c r="J54" s="18" t="inlineStr">
        <is>
          <t>FILOL. ESPAÑOLA, LINGÜÍSTICA GENERAL Y TEORIA DE LA LITERATURA</t>
        </is>
      </c>
      <c r="K54" s="18" t="n">
        <v>1</v>
      </c>
      <c r="L54" s="18" t="inlineStr">
        <is>
          <t>B115</t>
        </is>
      </c>
      <c r="M54" s="18" t="n">
        <v>2023</v>
      </c>
      <c r="N54" s="18" t="inlineStr">
        <is>
          <t>10.23</t>
        </is>
      </c>
      <c r="O54" s="18" t="inlineStr">
        <is>
          <t>20</t>
        </is>
      </c>
      <c r="P54" s="18" t="inlineStr">
        <is>
          <t>10.15</t>
        </is>
      </c>
      <c r="Q54" s="18" t="inlineStr">
        <is>
          <t>10</t>
        </is>
      </c>
      <c r="R54" s="18" t="n">
        <v>70</v>
      </c>
      <c r="S54" s="18" t="n">
        <v>0.7</v>
      </c>
      <c r="T54" s="18" t="n">
        <v>0.2</v>
      </c>
      <c r="U54" s="18" t="n">
        <v>0.1</v>
      </c>
    </row>
    <row r="55">
      <c r="A55" s="18" t="inlineStr">
        <is>
          <t>U023</t>
        </is>
      </c>
      <c r="B55" s="18" t="inlineStr">
        <is>
          <t>ADM. FACULTAD DE FILOSOFIA Y LETRAS</t>
        </is>
      </c>
      <c r="C55" s="18" t="inlineStr">
        <is>
          <t>DOCTORADO EN TRANSFERENCIAS INTERCULTURALES E HISTÓRICAS EN LA EUROPA MEDIE</t>
        </is>
      </c>
      <c r="D55" s="18" t="inlineStr">
        <is>
          <t>Martínez Pérez, Antoni Vicent</t>
        </is>
      </c>
      <c r="E55" s="18" t="inlineStr">
        <is>
          <t>Evolució semàntica i gramaticalització del verb pensar (segles XII-XVI): un estudi de corpus segons la semàntica diacrònica cognitiva i la Teoria de la Inferència Invitada</t>
        </is>
      </c>
      <c r="F55" s="18" t="inlineStr">
        <is>
          <t>10/09/2024</t>
        </is>
      </c>
      <c r="G55" s="18" t="inlineStr">
        <is>
          <t>52911805Y</t>
        </is>
      </c>
      <c r="H55" s="18" t="inlineStr">
        <is>
          <t>Codirector de tesis</t>
        </is>
      </c>
      <c r="I55" s="18" t="inlineStr">
        <is>
          <t>B142</t>
        </is>
      </c>
      <c r="J55" s="18" t="inlineStr">
        <is>
          <t>FILOLOGÍA CATALANA</t>
        </is>
      </c>
      <c r="K55" s="18" t="n">
        <v>0.5</v>
      </c>
      <c r="L55" s="18" t="inlineStr">
        <is>
          <t>B142</t>
        </is>
      </c>
      <c r="M55" s="18" t="n">
        <v>2023</v>
      </c>
      <c r="N55" s="18" t="inlineStr">
        <is>
          <t>10.08</t>
        </is>
      </c>
      <c r="O55" s="18" t="inlineStr">
        <is>
          <t>50</t>
        </is>
      </c>
      <c r="P55" s="18" t="inlineStr">
        <is>
          <t>10.15</t>
        </is>
      </c>
      <c r="Q55" s="18" t="inlineStr">
        <is>
          <t>10</t>
        </is>
      </c>
      <c r="R55" s="18" t="n">
        <v>40</v>
      </c>
      <c r="S55" s="18" t="n">
        <v>0.2</v>
      </c>
      <c r="T55" s="18" t="n">
        <v>0.25</v>
      </c>
      <c r="U55" s="18" t="n">
        <v>0.05</v>
      </c>
    </row>
    <row r="56">
      <c r="A56" s="18" t="inlineStr">
        <is>
          <t>U023</t>
        </is>
      </c>
      <c r="B56" s="18" t="inlineStr">
        <is>
          <t>ADM. FACULTAD DE FILOSOFIA Y LETRAS</t>
        </is>
      </c>
      <c r="C56" s="18" t="inlineStr">
        <is>
          <t>DOCTORADO EN TRANSFERENCIAS INTERCULTURALES E HISTÓRICAS EN LA EUROPA MEDIE</t>
        </is>
      </c>
      <c r="D56" s="18" t="inlineStr">
        <is>
          <t>Martínez Pérez, Antoni Vicent</t>
        </is>
      </c>
      <c r="E56" s="18" t="inlineStr">
        <is>
          <t>Evolució semàntica i gramaticalització del verb pensar (segles XII-XVI): un estudi de corpus segons la semàntica diacrònica cognitiva i la Teoria de la Inferència Invitada</t>
        </is>
      </c>
      <c r="F56" s="18" t="inlineStr">
        <is>
          <t>10/09/2024</t>
        </is>
      </c>
      <c r="G56" s="18" t="inlineStr">
        <is>
          <t>25119289T</t>
        </is>
      </c>
      <c r="H56" s="18" t="inlineStr">
        <is>
          <t>Codirector de tesis</t>
        </is>
      </c>
      <c r="I56" s="18" t="inlineStr">
        <is>
          <t>B142</t>
        </is>
      </c>
      <c r="J56" s="18" t="inlineStr">
        <is>
          <t>FILOLOGÍA CATALANA</t>
        </is>
      </c>
      <c r="K56" s="18" t="n">
        <v>0.5</v>
      </c>
      <c r="L56" s="18" t="inlineStr">
        <is>
          <t>B142</t>
        </is>
      </c>
      <c r="M56" s="18" t="n">
        <v>2023</v>
      </c>
      <c r="N56" s="18" t="inlineStr">
        <is>
          <t>10.08</t>
        </is>
      </c>
      <c r="O56" s="18" t="inlineStr">
        <is>
          <t>50</t>
        </is>
      </c>
      <c r="P56" s="18" t="inlineStr">
        <is>
          <t>10.15</t>
        </is>
      </c>
      <c r="Q56" s="18" t="inlineStr">
        <is>
          <t>10</t>
        </is>
      </c>
      <c r="R56" s="18" t="n">
        <v>40</v>
      </c>
      <c r="S56" s="18" t="n">
        <v>0.2</v>
      </c>
      <c r="T56" s="18" t="n">
        <v>0.25</v>
      </c>
      <c r="U56" s="18" t="n">
        <v>0.05</v>
      </c>
    </row>
    <row r="57">
      <c r="A57" s="18" t="inlineStr">
        <is>
          <t>U023</t>
        </is>
      </c>
      <c r="B57" s="18" t="inlineStr">
        <is>
          <t>ADM. FACULTAD DE FILOSOFIA Y LETRAS</t>
        </is>
      </c>
      <c r="C57" s="18" t="inlineStr">
        <is>
          <t>DOCTORADO EN TRANSFERENCIAS INTERCULTURALES E HISTÓRICAS EN LA EUROPA MEDIE</t>
        </is>
      </c>
      <c r="D57" s="18" t="inlineStr">
        <is>
          <t>Konaki , Paraskevi</t>
        </is>
      </c>
      <c r="E57" s="18" t="inlineStr">
        <is>
          <t>Psychosocial difficulties of students with disabilities and special educational needs through counseling</t>
        </is>
      </c>
      <c r="F57" s="18" t="inlineStr">
        <is>
          <t>04/06/2024</t>
        </is>
      </c>
      <c r="G57" s="18" t="inlineStr">
        <is>
          <t>44762589N</t>
        </is>
      </c>
      <c r="H57" s="18" t="inlineStr">
        <is>
          <t>Codirector de tesis</t>
        </is>
      </c>
      <c r="I57" s="18" t="inlineStr">
        <is>
          <t>B142</t>
        </is>
      </c>
      <c r="J57" s="18" t="inlineStr">
        <is>
          <t>FILOLOGÍA CATALANA</t>
        </is>
      </c>
      <c r="K57" s="18" t="n">
        <v>0.5</v>
      </c>
      <c r="L57" s="18" t="inlineStr">
        <is>
          <t>B142</t>
        </is>
      </c>
      <c r="M57" s="18" t="n">
        <v>2023</v>
      </c>
      <c r="N57" s="18" t="inlineStr">
        <is>
          <t>10.08</t>
        </is>
      </c>
      <c r="O57" s="18" t="inlineStr">
        <is>
          <t>50</t>
        </is>
      </c>
      <c r="P57" s="18" t="inlineStr">
        <is>
          <t>10.15</t>
        </is>
      </c>
      <c r="Q57" s="18" t="inlineStr">
        <is>
          <t>10</t>
        </is>
      </c>
      <c r="R57" s="18" t="n">
        <v>40</v>
      </c>
      <c r="S57" s="18" t="n">
        <v>0.2</v>
      </c>
      <c r="T57" s="18" t="n">
        <v>0.25</v>
      </c>
      <c r="U57" s="18" t="n">
        <v>0.05</v>
      </c>
    </row>
    <row r="58">
      <c r="A58" s="18" t="inlineStr">
        <is>
          <t>U023</t>
        </is>
      </c>
      <c r="B58" s="18" t="inlineStr">
        <is>
          <t>ADM. FACULTAD DE FILOSOFIA Y LETRAS</t>
        </is>
      </c>
      <c r="C58" s="18" t="inlineStr">
        <is>
          <t>DOCTORADO EN TRANSFERENCIAS INTERCULTURALES E HISTÓRICAS EN LA EUROPA MEDIE</t>
        </is>
      </c>
      <c r="D58" s="18" t="inlineStr">
        <is>
          <t>Konaki , Paraskevi</t>
        </is>
      </c>
      <c r="E58" s="18" t="inlineStr">
        <is>
          <t>Psychosocial difficulties of students with disabilities and special educational needs through counseling</t>
        </is>
      </c>
      <c r="F58" s="18" t="inlineStr">
        <is>
          <t>04/06/2024</t>
        </is>
      </c>
      <c r="G58" s="18" t="inlineStr">
        <is>
          <t>21687362H</t>
        </is>
      </c>
      <c r="H58" s="18" t="inlineStr">
        <is>
          <t>Codirector de tesis</t>
        </is>
      </c>
      <c r="I58" s="18" t="inlineStr">
        <is>
          <t>B142</t>
        </is>
      </c>
      <c r="J58" s="18" t="inlineStr">
        <is>
          <t>FILOLOGÍA CATALANA</t>
        </is>
      </c>
      <c r="K58" s="18" t="n">
        <v>0.5</v>
      </c>
      <c r="L58" s="18" t="inlineStr">
        <is>
          <t>B142</t>
        </is>
      </c>
      <c r="M58" s="18" t="n">
        <v>2023</v>
      </c>
      <c r="N58" s="18" t="inlineStr">
        <is>
          <t>10.08</t>
        </is>
      </c>
      <c r="O58" s="18" t="inlineStr">
        <is>
          <t>50</t>
        </is>
      </c>
      <c r="P58" s="18" t="inlineStr">
        <is>
          <t>10.15</t>
        </is>
      </c>
      <c r="Q58" s="18" t="inlineStr">
        <is>
          <t>10</t>
        </is>
      </c>
      <c r="R58" s="18" t="n">
        <v>40</v>
      </c>
      <c r="S58" s="18" t="n">
        <v>0.2</v>
      </c>
      <c r="T58" s="18" t="n">
        <v>0.25</v>
      </c>
      <c r="U58" s="18" t="n">
        <v>0.05</v>
      </c>
    </row>
    <row r="59">
      <c r="A59" s="18" t="inlineStr">
        <is>
          <t>U023</t>
        </is>
      </c>
      <c r="B59" s="18" t="inlineStr">
        <is>
          <t>ADM. FACULTAD DE FILOSOFIA Y LETRAS</t>
        </is>
      </c>
      <c r="C59" s="18" t="inlineStr">
        <is>
          <t>DOCTORADO EN TRANSFERENCIAS INTERCULTURALES E HISTÓRICAS EN LA EUROPA MEDIE</t>
        </is>
      </c>
      <c r="D59" s="18" t="inlineStr">
        <is>
          <t>Tsekouras , Ilias</t>
        </is>
      </c>
      <c r="E59" s="18" t="inlineStr">
        <is>
          <t>Special Education in Greek Multicultural and Inclusive School Classrooms: A primary Research in Secondary Education Schools of Ioannina</t>
        </is>
      </c>
      <c r="F59" s="18" t="inlineStr">
        <is>
          <t>04/06/2024</t>
        </is>
      </c>
      <c r="G59" s="18" t="inlineStr">
        <is>
          <t>44762589N</t>
        </is>
      </c>
      <c r="H59" s="18" t="inlineStr">
        <is>
          <t>Codirector de tesis</t>
        </is>
      </c>
      <c r="I59" s="18" t="inlineStr">
        <is>
          <t>B142</t>
        </is>
      </c>
      <c r="J59" s="18" t="inlineStr">
        <is>
          <t>FILOLOGÍA CATALANA</t>
        </is>
      </c>
      <c r="K59" s="18" t="n">
        <v>0.5</v>
      </c>
      <c r="L59" s="18" t="inlineStr">
        <is>
          <t>B142</t>
        </is>
      </c>
      <c r="M59" s="18" t="n">
        <v>2023</v>
      </c>
      <c r="N59" s="18" t="inlineStr">
        <is>
          <t>10.08</t>
        </is>
      </c>
      <c r="O59" s="18" t="inlineStr">
        <is>
          <t>50</t>
        </is>
      </c>
      <c r="P59" s="18" t="inlineStr">
        <is>
          <t>10.15</t>
        </is>
      </c>
      <c r="Q59" s="18" t="inlineStr">
        <is>
          <t>10</t>
        </is>
      </c>
      <c r="R59" s="18" t="n">
        <v>40</v>
      </c>
      <c r="S59" s="18" t="n">
        <v>0.2</v>
      </c>
      <c r="T59" s="18" t="n">
        <v>0.25</v>
      </c>
      <c r="U59" s="18" t="n">
        <v>0.05</v>
      </c>
    </row>
    <row r="60">
      <c r="A60" s="18" t="inlineStr">
        <is>
          <t>U023</t>
        </is>
      </c>
      <c r="B60" s="18" t="inlineStr">
        <is>
          <t>ADM. FACULTAD DE FILOSOFIA Y LETRAS</t>
        </is>
      </c>
      <c r="C60" s="18" t="inlineStr">
        <is>
          <t>DOCTORADO EN TRANSFERENCIAS INTERCULTURALES E HISTÓRICAS EN LA EUROPA MEDIE</t>
        </is>
      </c>
      <c r="D60" s="18" t="inlineStr">
        <is>
          <t>Tsekouras , Ilias</t>
        </is>
      </c>
      <c r="E60" s="18" t="inlineStr">
        <is>
          <t>Special Education in Greek Multicultural and Inclusive School Classrooms: A primary Research in Secondary Education Schools of Ioannina</t>
        </is>
      </c>
      <c r="F60" s="18" t="inlineStr">
        <is>
          <t>04/06/2024</t>
        </is>
      </c>
      <c r="G60" s="18" t="inlineStr">
        <is>
          <t>21687362H</t>
        </is>
      </c>
      <c r="H60" s="18" t="inlineStr">
        <is>
          <t>Codirector de tesis</t>
        </is>
      </c>
      <c r="I60" s="18" t="inlineStr">
        <is>
          <t>B142</t>
        </is>
      </c>
      <c r="J60" s="18" t="inlineStr">
        <is>
          <t>FILOLOGÍA CATALANA</t>
        </is>
      </c>
      <c r="K60" s="18" t="n">
        <v>0.5</v>
      </c>
      <c r="L60" s="18" t="inlineStr">
        <is>
          <t>B142</t>
        </is>
      </c>
      <c r="M60" s="18" t="n">
        <v>2023</v>
      </c>
      <c r="N60" s="18" t="inlineStr">
        <is>
          <t>10.08</t>
        </is>
      </c>
      <c r="O60" s="18" t="inlineStr">
        <is>
          <t>50</t>
        </is>
      </c>
      <c r="P60" s="18" t="inlineStr">
        <is>
          <t>10.15</t>
        </is>
      </c>
      <c r="Q60" s="18" t="inlineStr">
        <is>
          <t>10</t>
        </is>
      </c>
      <c r="R60" s="18" t="n">
        <v>40</v>
      </c>
      <c r="S60" s="18" t="n">
        <v>0.2</v>
      </c>
      <c r="T60" s="18" t="n">
        <v>0.25</v>
      </c>
      <c r="U60" s="18" t="n">
        <v>0.05</v>
      </c>
    </row>
    <row r="61">
      <c r="A61" s="18" t="inlineStr">
        <is>
          <t>U023</t>
        </is>
      </c>
      <c r="B61" s="18" t="inlineStr">
        <is>
          <t>ADM. FACULTAD DE FILOSOFIA Y LETRAS</t>
        </is>
      </c>
      <c r="C61" s="18" t="inlineStr">
        <is>
          <t>DOCTORADO EN TRANSFERENCIAS INTERCULTURALES E HISTÓRICAS EN LA EUROPA MEDIE</t>
        </is>
      </c>
      <c r="D61" s="18" t="inlineStr">
        <is>
          <t>Priskomatis , Theodoros</t>
        </is>
      </c>
      <c r="E61" s="18" t="inlineStr">
        <is>
          <t>Multicultural/intercultural education prospective for the study of the relationship between extra-curricular athletic activities and academic performance in college students</t>
        </is>
      </c>
      <c r="F61" s="18" t="inlineStr">
        <is>
          <t>05/06/2024</t>
        </is>
      </c>
      <c r="G61" s="18" t="inlineStr">
        <is>
          <t>21687362H</t>
        </is>
      </c>
      <c r="H61" s="18" t="inlineStr">
        <is>
          <t>Codirector de tesis</t>
        </is>
      </c>
      <c r="I61" s="18" t="inlineStr">
        <is>
          <t>B142</t>
        </is>
      </c>
      <c r="J61" s="18" t="inlineStr">
        <is>
          <t>FILOLOGÍA CATALANA</t>
        </is>
      </c>
      <c r="K61" s="18" t="n">
        <v>0.5</v>
      </c>
      <c r="L61" s="18" t="inlineStr">
        <is>
          <t>B142</t>
        </is>
      </c>
      <c r="M61" s="18" t="n">
        <v>2023</v>
      </c>
      <c r="N61" s="18" t="inlineStr">
        <is>
          <t>10.08</t>
        </is>
      </c>
      <c r="O61" s="18" t="inlineStr">
        <is>
          <t>50</t>
        </is>
      </c>
      <c r="P61" s="18" t="inlineStr">
        <is>
          <t>10.15</t>
        </is>
      </c>
      <c r="Q61" s="18" t="inlineStr">
        <is>
          <t>10</t>
        </is>
      </c>
      <c r="R61" s="18" t="n">
        <v>40</v>
      </c>
      <c r="S61" s="18" t="n">
        <v>0.2</v>
      </c>
      <c r="T61" s="18" t="n">
        <v>0.25</v>
      </c>
      <c r="U61" s="18" t="n">
        <v>0.05</v>
      </c>
    </row>
    <row r="62">
      <c r="A62" s="18" t="inlineStr">
        <is>
          <t>U023</t>
        </is>
      </c>
      <c r="B62" s="18" t="inlineStr">
        <is>
          <t>ADM. FACULTAD DE FILOSOFIA Y LETRAS</t>
        </is>
      </c>
      <c r="C62" s="18" t="inlineStr">
        <is>
          <t>DOCTORADO EN TRANSFERENCIAS INTERCULTURALES E HISTÓRICAS EN LA EUROPA MEDIE</t>
        </is>
      </c>
      <c r="D62" s="18" t="inlineStr">
        <is>
          <t>choleva , magdalini</t>
        </is>
      </c>
      <c r="E62" s="18" t="inlineStr">
        <is>
          <t>THE INTERCULTURAL APPROACH TO TRAINING OF ORGANIZATIONAL CULTURE AND HUMAN RESOURCES IN THE GREEK PUBLIC HOSPITAL SECTOR</t>
        </is>
      </c>
      <c r="F62" s="18" t="inlineStr">
        <is>
          <t>27/06/2024</t>
        </is>
      </c>
      <c r="G62" s="18" t="inlineStr">
        <is>
          <t>21687362H</t>
        </is>
      </c>
      <c r="H62" s="18" t="inlineStr">
        <is>
          <t>Codirector de tesis</t>
        </is>
      </c>
      <c r="I62" s="18" t="inlineStr">
        <is>
          <t>B142</t>
        </is>
      </c>
      <c r="J62" s="18" t="inlineStr">
        <is>
          <t>FILOLOGÍA CATALANA</t>
        </is>
      </c>
      <c r="K62" s="18" t="n">
        <v>0.5</v>
      </c>
      <c r="L62" s="18" t="inlineStr">
        <is>
          <t>B142</t>
        </is>
      </c>
      <c r="M62" s="18" t="n">
        <v>2023</v>
      </c>
      <c r="N62" s="18" t="inlineStr">
        <is>
          <t>10.08</t>
        </is>
      </c>
      <c r="O62" s="18" t="inlineStr">
        <is>
          <t>50</t>
        </is>
      </c>
      <c r="P62" s="18" t="inlineStr">
        <is>
          <t>10.15</t>
        </is>
      </c>
      <c r="Q62" s="18" t="inlineStr">
        <is>
          <t>10</t>
        </is>
      </c>
      <c r="R62" s="18" t="n">
        <v>40</v>
      </c>
      <c r="S62" s="18" t="n">
        <v>0.2</v>
      </c>
      <c r="T62" s="18" t="n">
        <v>0.25</v>
      </c>
      <c r="U62" s="18" t="n">
        <v>0.05</v>
      </c>
    </row>
    <row r="63">
      <c r="A63" s="18" t="inlineStr">
        <is>
          <t>U023</t>
        </is>
      </c>
      <c r="B63" s="18" t="inlineStr">
        <is>
          <t>ADM. FACULTAD DE FILOSOFIA Y LETRAS</t>
        </is>
      </c>
      <c r="C63" s="18" t="inlineStr">
        <is>
          <t>DOCTORADO EN TRANSFERENCIAS INTERCULTURALES E HISTÓRICAS EN LA EUROPA MEDIE</t>
        </is>
      </c>
      <c r="D63" s="18" t="inlineStr">
        <is>
          <t>choleva , magdalini</t>
        </is>
      </c>
      <c r="E63" s="18" t="inlineStr">
        <is>
          <t>THE INTERCULTURAL APPROACH TO TRAINING OF ORGANIZATIONAL CULTURE AND HUMAN RESOURCES IN THE GREEK PUBLIC HOSPITAL SECTOR</t>
        </is>
      </c>
      <c r="F63" s="18" t="inlineStr">
        <is>
          <t>27/06/2024</t>
        </is>
      </c>
      <c r="G63" s="18" t="inlineStr">
        <is>
          <t>25122167A</t>
        </is>
      </c>
      <c r="H63" s="18" t="inlineStr">
        <is>
          <t>Codirector de tesis</t>
        </is>
      </c>
      <c r="I63" s="18" t="inlineStr">
        <is>
          <t>B142</t>
        </is>
      </c>
      <c r="J63" s="18" t="inlineStr">
        <is>
          <t>FILOLOGÍA CATALANA</t>
        </is>
      </c>
      <c r="K63" s="18" t="n">
        <v>0.5</v>
      </c>
      <c r="L63" s="18" t="inlineStr">
        <is>
          <t>B142</t>
        </is>
      </c>
      <c r="M63" s="18" t="n">
        <v>2023</v>
      </c>
      <c r="N63" s="18" t="inlineStr">
        <is>
          <t>10.08</t>
        </is>
      </c>
      <c r="O63" s="18" t="inlineStr">
        <is>
          <t>50</t>
        </is>
      </c>
      <c r="P63" s="18" t="inlineStr">
        <is>
          <t>10.15</t>
        </is>
      </c>
      <c r="Q63" s="18" t="inlineStr">
        <is>
          <t>10</t>
        </is>
      </c>
      <c r="R63" s="18" t="n">
        <v>40</v>
      </c>
      <c r="S63" s="18" t="n">
        <v>0.2</v>
      </c>
      <c r="T63" s="18" t="n">
        <v>0.25</v>
      </c>
      <c r="U63" s="18" t="n">
        <v>0.05</v>
      </c>
    </row>
    <row r="64">
      <c r="A64" s="18" t="inlineStr">
        <is>
          <t>U023</t>
        </is>
      </c>
      <c r="B64" s="18" t="inlineStr">
        <is>
          <t>ADM. FACULTAD DE FILOSOFIA Y LETRAS</t>
        </is>
      </c>
      <c r="C64" s="18" t="inlineStr">
        <is>
          <t>DOCTORADO EN TRANSFERENCIAS INTERCULTURALES E HISTÓRICAS EN LA EUROPA MEDIE</t>
        </is>
      </c>
      <c r="D64" s="18" t="inlineStr">
        <is>
          <t>Bouchtsis , Marinos</t>
        </is>
      </c>
      <c r="E64" s="18" t="inlineStr">
        <is>
          <t>Management and lifelong training of human resources in Education Services and Educational Organizations. Evaluation methods and tools.</t>
        </is>
      </c>
      <c r="F64" s="18" t="inlineStr">
        <is>
          <t>27/06/2024</t>
        </is>
      </c>
      <c r="G64" s="18" t="inlineStr">
        <is>
          <t>79101713K</t>
        </is>
      </c>
      <c r="H64" s="18" t="inlineStr">
        <is>
          <t>Codirector de tesis</t>
        </is>
      </c>
      <c r="I64" s="18" t="inlineStr">
        <is>
          <t>B142</t>
        </is>
      </c>
      <c r="J64" s="18" t="inlineStr">
        <is>
          <t>FILOLOGÍA CATALANA</t>
        </is>
      </c>
      <c r="K64" s="18" t="n">
        <v>0.5</v>
      </c>
      <c r="L64" s="18" t="inlineStr">
        <is>
          <t>B142</t>
        </is>
      </c>
      <c r="M64" s="18" t="n">
        <v>2023</v>
      </c>
      <c r="N64" s="18" t="inlineStr">
        <is>
          <t>10.08</t>
        </is>
      </c>
      <c r="O64" s="18" t="inlineStr">
        <is>
          <t>50</t>
        </is>
      </c>
      <c r="P64" s="18" t="inlineStr">
        <is>
          <t>10.15</t>
        </is>
      </c>
      <c r="Q64" s="18" t="inlineStr">
        <is>
          <t>10</t>
        </is>
      </c>
      <c r="R64" s="18" t="n">
        <v>40</v>
      </c>
      <c r="S64" s="18" t="n">
        <v>0.2</v>
      </c>
      <c r="T64" s="18" t="n">
        <v>0.25</v>
      </c>
      <c r="U64" s="18" t="n">
        <v>0.05</v>
      </c>
    </row>
    <row r="65">
      <c r="A65" s="18" t="inlineStr">
        <is>
          <t>U023</t>
        </is>
      </c>
      <c r="B65" s="18" t="inlineStr">
        <is>
          <t>ADM. FACULTAD DE FILOSOFIA Y LETRAS</t>
        </is>
      </c>
      <c r="C65" s="18" t="inlineStr">
        <is>
          <t>DOCTORADO EN TRANSFERENCIAS INTERCULTURALES E HISTÓRICAS EN LA EUROPA MEDIE</t>
        </is>
      </c>
      <c r="D65" s="18" t="inlineStr">
        <is>
          <t>lamprou , charilaos</t>
        </is>
      </c>
      <c r="E65" s="18" t="inlineStr">
        <is>
          <t>Educational technologies in the teaching of mathematics to people with special educational The role of personality and the development of motivation.</t>
        </is>
      </c>
      <c r="F65" s="18" t="inlineStr">
        <is>
          <t>09/07/2024</t>
        </is>
      </c>
      <c r="G65" s="18" t="inlineStr">
        <is>
          <t>79101713K</t>
        </is>
      </c>
      <c r="H65" s="18" t="inlineStr">
        <is>
          <t>Codirector de tesis</t>
        </is>
      </c>
      <c r="I65" s="18" t="inlineStr">
        <is>
          <t>B142</t>
        </is>
      </c>
      <c r="J65" s="18" t="inlineStr">
        <is>
          <t>FILOLOGÍA CATALANA</t>
        </is>
      </c>
      <c r="K65" s="18" t="n">
        <v>0.5</v>
      </c>
      <c r="L65" s="18" t="inlineStr">
        <is>
          <t>B142</t>
        </is>
      </c>
      <c r="M65" s="18" t="n">
        <v>2023</v>
      </c>
      <c r="N65" s="18" t="inlineStr">
        <is>
          <t>10.08</t>
        </is>
      </c>
      <c r="O65" s="18" t="inlineStr">
        <is>
          <t>50</t>
        </is>
      </c>
      <c r="P65" s="18" t="inlineStr">
        <is>
          <t>10.15</t>
        </is>
      </c>
      <c r="Q65" s="18" t="inlineStr">
        <is>
          <t>10</t>
        </is>
      </c>
      <c r="R65" s="18" t="n">
        <v>40</v>
      </c>
      <c r="S65" s="18" t="n">
        <v>0.2</v>
      </c>
      <c r="T65" s="18" t="n">
        <v>0.25</v>
      </c>
      <c r="U65" s="18" t="n">
        <v>0.05</v>
      </c>
    </row>
    <row r="66">
      <c r="A66" s="18" t="inlineStr">
        <is>
          <t>B172</t>
        </is>
      </c>
      <c r="B66" s="18" t="inlineStr">
        <is>
          <t>Traducción e Interpretación</t>
        </is>
      </c>
      <c r="C66" s="18" t="inlineStr">
        <is>
          <t>DOCTORADO EN TRADUCTOLOGÍA, TRADUCCIÓN PROFESIONAL Y AUDIOVISUAL</t>
        </is>
      </c>
      <c r="D66" s="18" t="inlineStr">
        <is>
          <t>Picazo Izquierdo, Alicia</t>
        </is>
      </c>
      <c r="E66" s="18" t="inlineStr">
        <is>
          <t>Estudio analítico de la traducción automática de protocolos de ensayos clínicos: propuesta de patrones de posedición</t>
        </is>
      </c>
      <c r="F66" s="18" t="inlineStr">
        <is>
          <t>07/07/2025</t>
        </is>
      </c>
      <c r="G66" s="18" t="inlineStr">
        <is>
          <t>34829970N</t>
        </is>
      </c>
      <c r="H66" s="18" t="inlineStr">
        <is>
          <t>Director de tesis</t>
        </is>
      </c>
      <c r="I66" s="18" t="inlineStr">
        <is>
          <t>B172</t>
        </is>
      </c>
      <c r="J66" s="18" t="inlineStr">
        <is>
          <t>Traducción e Interpretación</t>
        </is>
      </c>
      <c r="K66" s="18" t="n">
        <v>1</v>
      </c>
      <c r="L66" s="18" t="inlineStr">
        <is>
          <t>B172</t>
        </is>
      </c>
      <c r="M66" s="18" t="n">
        <v>2024</v>
      </c>
      <c r="N66" s="18" t="inlineStr">
        <is>
          <t>10.15</t>
        </is>
      </c>
      <c r="O66" s="18" t="inlineStr">
        <is>
          <t>15</t>
        </is>
      </c>
      <c r="P66" s="18" t="inlineStr"/>
      <c r="Q66" s="18" t="inlineStr"/>
      <c r="R66" s="18" t="n">
        <v>85</v>
      </c>
      <c r="S66" s="18" t="n">
        <v>0.85</v>
      </c>
      <c r="T66" s="18" t="n">
        <v>0.15</v>
      </c>
      <c r="U66" s="18" t="n">
        <v>0</v>
      </c>
    </row>
    <row r="67">
      <c r="A67" s="18" t="inlineStr">
        <is>
          <t>B172</t>
        </is>
      </c>
      <c r="B67" s="18" t="inlineStr">
        <is>
          <t>Traducción e Interpretación</t>
        </is>
      </c>
      <c r="C67" s="18" t="inlineStr">
        <is>
          <t>DOCTORADO EN TRADUCTOLOGÍA, TRADUCCIÓN PROFESIONAL Y AUDIOVISUAL</t>
        </is>
      </c>
      <c r="D67" s="18" t="inlineStr">
        <is>
          <t>Monteagudo Medina, Mary Ann Elsa</t>
        </is>
      </c>
      <c r="E67" s="18" t="inlineStr">
        <is>
          <t>Variación terminológica y fraseológica en escrituras de constitución y contratos comerciales: estrategias para la traducción jurídica entre Perú y Estados Unidos</t>
        </is>
      </c>
      <c r="F67" s="18" t="inlineStr">
        <is>
          <t>05/05/2025</t>
        </is>
      </c>
      <c r="G67" s="18" t="inlineStr">
        <is>
          <t>21481015G</t>
        </is>
      </c>
      <c r="H67" s="18" t="inlineStr">
        <is>
          <t>Director de tesis</t>
        </is>
      </c>
      <c r="I67" s="18" t="inlineStr">
        <is>
          <t>B116</t>
        </is>
      </c>
      <c r="J67" s="18" t="inlineStr">
        <is>
          <t>Filología Inglesa</t>
        </is>
      </c>
      <c r="K67" s="18" t="n">
        <v>1</v>
      </c>
      <c r="L67" s="18" t="inlineStr">
        <is>
          <t>B116</t>
        </is>
      </c>
      <c r="M67" s="18" t="n">
        <v>2024</v>
      </c>
      <c r="N67" s="18" t="inlineStr">
        <is>
          <t>10.15</t>
        </is>
      </c>
      <c r="O67" s="18" t="inlineStr">
        <is>
          <t>50</t>
        </is>
      </c>
      <c r="P67" s="18" t="inlineStr"/>
      <c r="Q67" s="18" t="inlineStr"/>
      <c r="R67" s="18" t="n">
        <v>50</v>
      </c>
      <c r="S67" s="18" t="n">
        <v>0.5</v>
      </c>
      <c r="T67" s="18" t="n">
        <v>0.5</v>
      </c>
      <c r="U67" s="18" t="n">
        <v>0</v>
      </c>
    </row>
    <row r="68">
      <c r="A68" s="18" t="inlineStr">
        <is>
          <t>B172</t>
        </is>
      </c>
      <c r="B68" s="18" t="inlineStr">
        <is>
          <t>Traducción e Interpretación</t>
        </is>
      </c>
      <c r="C68" s="18" t="inlineStr">
        <is>
          <t>DOCTORADO EN TRADUCTOLOGÍA, TRADUCCIÓN PROFESIONAL Y AUDIOVISUAL</t>
        </is>
      </c>
      <c r="D68" s="18" t="inlineStr">
        <is>
          <t>López Díez, Alba</t>
        </is>
      </c>
      <c r="E68" s="18" t="inlineStr">
        <is>
          <t>Traducción económica e investigación por autores europeos. Estudio bibliométrico</t>
        </is>
      </c>
      <c r="F68" s="18" t="inlineStr">
        <is>
          <t>04/07/2025</t>
        </is>
      </c>
      <c r="G68" s="18" t="inlineStr">
        <is>
          <t>48351663M</t>
        </is>
      </c>
      <c r="H68" s="18" t="inlineStr">
        <is>
          <t>Director de tesis</t>
        </is>
      </c>
      <c r="I68" s="18" t="inlineStr">
        <is>
          <t>B172</t>
        </is>
      </c>
      <c r="J68" s="18" t="inlineStr">
        <is>
          <t>Traducción e Interpretación</t>
        </is>
      </c>
      <c r="K68" s="18" t="n">
        <v>1</v>
      </c>
      <c r="L68" s="18" t="inlineStr">
        <is>
          <t>B172</t>
        </is>
      </c>
      <c r="M68" s="18" t="n">
        <v>2024</v>
      </c>
      <c r="N68" s="18" t="inlineStr">
        <is>
          <t>10.15</t>
        </is>
      </c>
      <c r="O68" s="18" t="inlineStr">
        <is>
          <t>10</t>
        </is>
      </c>
      <c r="P68" s="18" t="inlineStr"/>
      <c r="Q68" s="18" t="inlineStr"/>
      <c r="R68" s="18" t="n">
        <v>90</v>
      </c>
      <c r="S68" s="18" t="n">
        <v>0.9</v>
      </c>
      <c r="T68" s="18" t="n">
        <v>0.1</v>
      </c>
      <c r="U68" s="18" t="n">
        <v>0</v>
      </c>
    </row>
    <row r="69">
      <c r="A69" s="18" t="inlineStr">
        <is>
          <t>U022</t>
        </is>
      </c>
      <c r="B69" s="18" t="inlineStr">
        <is>
          <t>Administración Facultad de Ciencias</t>
        </is>
      </c>
      <c r="C69" s="18" t="inlineStr">
        <is>
          <t>DOCTORADO EN CIENCIAS EXPERIMENTALES Y BIOSANITARIAS</t>
        </is>
      </c>
      <c r="D69" s="18" t="inlineStr">
        <is>
          <t>Villalba García, Jose Fernando</t>
        </is>
      </c>
      <c r="E69" s="18" t="inlineStr">
        <is>
          <t>ENSAYO CLÍNICO DE EFICACIA Y NO INFERIORIDAD, CRUZADO, ALEATORIZADO Y 
MULTICÉNTRICO ENTRE DOS FORMULACIONES TÓPICAS DE CAPSAICINA 0.75 mg/g
PARA EL ALIVIO DEL DOLOR MODERADO A SEVERO EN LA NEUROPATÍA DIABÉTICA
DOLOROSA, EN PIE DIABÉTICO</t>
        </is>
      </c>
      <c r="F69" s="18" t="inlineStr">
        <is>
          <t>14/03/2025</t>
        </is>
      </c>
      <c r="G69" s="18" t="inlineStr">
        <is>
          <t>21439023X</t>
        </is>
      </c>
      <c r="H69" s="18" t="inlineStr">
        <is>
          <t>Director de tesis</t>
        </is>
      </c>
      <c r="I69" s="18" t="inlineStr">
        <is>
          <t>B160</t>
        </is>
      </c>
      <c r="J69" s="18" t="inlineStr">
        <is>
          <t>Biotecnología</t>
        </is>
      </c>
      <c r="K69" s="18" t="n">
        <v>1</v>
      </c>
      <c r="L69" s="18" t="inlineStr">
        <is>
          <t>B160</t>
        </is>
      </c>
      <c r="M69" s="18" t="n">
        <v>2024</v>
      </c>
      <c r="N69" s="18" t="inlineStr">
        <is>
          <t>10.15</t>
        </is>
      </c>
      <c r="O69" s="18" t="inlineStr">
        <is>
          <t>10</t>
        </is>
      </c>
      <c r="P69" s="18" t="inlineStr"/>
      <c r="Q69" s="18" t="inlineStr"/>
      <c r="R69" s="18" t="n">
        <v>90</v>
      </c>
      <c r="S69" s="18" t="n">
        <v>0.9</v>
      </c>
      <c r="T69" s="18" t="n">
        <v>0.1</v>
      </c>
      <c r="U69" s="18" t="n">
        <v>0</v>
      </c>
    </row>
    <row r="70">
      <c r="A70" s="18" t="inlineStr">
        <is>
          <t>U023</t>
        </is>
      </c>
      <c r="B70" s="18" t="inlineStr">
        <is>
          <t>Administración Facultad de Filosofía y Letras</t>
        </is>
      </c>
      <c r="C70" s="18" t="inlineStr">
        <is>
          <t>DOCTORADO EN FILOSOFÍA Y LETRAS</t>
        </is>
      </c>
      <c r="D70" s="18" t="inlineStr">
        <is>
          <t>CANTO MORENO, JORGE</t>
        </is>
      </c>
      <c r="E70" s="18" t="inlineStr">
        <is>
          <t>LA DIMENSIÓN SOCIOAFECTIVA E INTERCULTURAL DEL HUMOR EN LA ENSEÑANZA DEL ESPAÑOL (ELE) EN LA EDUCACIÓN SUPERIOR DE HABLA GERMANA</t>
        </is>
      </c>
      <c r="F70" s="18" t="inlineStr">
        <is>
          <t>29/09/2025</t>
        </is>
      </c>
      <c r="G70" s="18" t="inlineStr">
        <is>
          <t>22121930R</t>
        </is>
      </c>
      <c r="H70" s="18" t="inlineStr">
        <is>
          <t>Director de tesis</t>
        </is>
      </c>
      <c r="I70" s="18" t="inlineStr">
        <is>
          <t>B115</t>
        </is>
      </c>
      <c r="J70" s="18" t="inlineStr">
        <is>
          <t>Filología Española, Lingüística General y Teoría de la Literatura</t>
        </is>
      </c>
      <c r="K70" s="18" t="n">
        <v>1</v>
      </c>
      <c r="L70" s="18" t="inlineStr">
        <is>
          <t>B115</t>
        </is>
      </c>
      <c r="M70" s="18" t="n">
        <v>2024</v>
      </c>
      <c r="N70" s="18" t="inlineStr">
        <is>
          <t>10.15</t>
        </is>
      </c>
      <c r="O70" s="18" t="inlineStr">
        <is>
          <t>10</t>
        </is>
      </c>
      <c r="P70" s="18" t="inlineStr"/>
      <c r="Q70" s="18" t="inlineStr"/>
      <c r="R70" s="18" t="n">
        <v>90</v>
      </c>
      <c r="S70" s="18" t="n">
        <v>0.9</v>
      </c>
      <c r="T70" s="18" t="n">
        <v>0.1</v>
      </c>
      <c r="U70" s="18" t="n">
        <v>0</v>
      </c>
    </row>
    <row r="71">
      <c r="A71" s="18" t="inlineStr">
        <is>
          <t>U023</t>
        </is>
      </c>
      <c r="B71" s="18" t="inlineStr">
        <is>
          <t>Administración Facultad de Filosofía y Letras</t>
        </is>
      </c>
      <c r="C71" s="18" t="inlineStr">
        <is>
          <t>DOCTORADO EN FILOSOFÍA Y LETRAS</t>
        </is>
      </c>
      <c r="D71" s="18" t="inlineStr">
        <is>
          <t>Jesús Ortiz, Esther</t>
        </is>
      </c>
      <c r="E71" s="18" t="inlineStr">
        <is>
          <t>Mejora de la competencia en lengua inglesa a través de la localización de videojuegos y la Traducción Audiovisual Didáctica</t>
        </is>
      </c>
      <c r="F71" s="18" t="inlineStr">
        <is>
          <t>25/07/2025</t>
        </is>
      </c>
      <c r="G71" s="18" t="inlineStr">
        <is>
          <t>74230456A</t>
        </is>
      </c>
      <c r="H71" s="18" t="inlineStr">
        <is>
          <t>Director de tesis</t>
        </is>
      </c>
      <c r="I71" s="18" t="inlineStr">
        <is>
          <t>B116</t>
        </is>
      </c>
      <c r="J71" s="18" t="inlineStr">
        <is>
          <t>Filología Inglesa</t>
        </is>
      </c>
      <c r="K71" s="18" t="n">
        <v>1</v>
      </c>
      <c r="L71" s="18" t="inlineStr">
        <is>
          <t>B116</t>
        </is>
      </c>
      <c r="M71" s="18" t="n">
        <v>2024</v>
      </c>
      <c r="N71" s="18" t="inlineStr">
        <is>
          <t>10.15</t>
        </is>
      </c>
      <c r="O71" s="18" t="inlineStr">
        <is>
          <t>50</t>
        </is>
      </c>
      <c r="P71" s="18" t="inlineStr"/>
      <c r="Q71" s="18" t="inlineStr"/>
      <c r="R71" s="18" t="n">
        <v>50</v>
      </c>
      <c r="S71" s="18" t="n">
        <v>0.5</v>
      </c>
      <c r="T71" s="18" t="n">
        <v>0.5</v>
      </c>
      <c r="U71" s="18" t="n">
        <v>0</v>
      </c>
    </row>
    <row r="72">
      <c r="A72" s="18" t="inlineStr">
        <is>
          <t>U023</t>
        </is>
      </c>
      <c r="B72" s="18" t="inlineStr">
        <is>
          <t>Administración Facultad de Filosofía y Letras</t>
        </is>
      </c>
      <c r="C72" s="18" t="inlineStr">
        <is>
          <t>DOCTORADO EN FILOSOFÍA Y LETRAS</t>
        </is>
      </c>
      <c r="D72" s="18" t="inlineStr">
        <is>
          <t>Martínez Belda, Juan Carlos</t>
        </is>
      </c>
      <c r="E72" s="18" t="inlineStr">
        <is>
          <t>El espacio fonológico común en bilingües</t>
        </is>
      </c>
      <c r="F72" s="18" t="inlineStr">
        <is>
          <t>31/01/2025</t>
        </is>
      </c>
      <c r="G72" s="18" t="inlineStr">
        <is>
          <t>29162329P</t>
        </is>
      </c>
      <c r="H72" s="18" t="inlineStr">
        <is>
          <t>Director de tesis</t>
        </is>
      </c>
      <c r="I72" s="18" t="inlineStr">
        <is>
          <t>B115</t>
        </is>
      </c>
      <c r="J72" s="18" t="inlineStr">
        <is>
          <t>Filología Española, Lingüística General y Teoría de la Literatura</t>
        </is>
      </c>
      <c r="K72" s="18" t="n">
        <v>1</v>
      </c>
      <c r="L72" s="18" t="inlineStr">
        <is>
          <t>B115</t>
        </is>
      </c>
      <c r="M72" s="18" t="n">
        <v>2024</v>
      </c>
      <c r="N72" s="18" t="inlineStr">
        <is>
          <t>10.15</t>
        </is>
      </c>
      <c r="O72" s="18" t="inlineStr">
        <is>
          <t>10</t>
        </is>
      </c>
      <c r="P72" s="18" t="inlineStr"/>
      <c r="Q72" s="18" t="inlineStr"/>
      <c r="R72" s="18" t="n">
        <v>90</v>
      </c>
      <c r="S72" s="18" t="n">
        <v>0.9</v>
      </c>
      <c r="T72" s="18" t="n">
        <v>0.1</v>
      </c>
      <c r="U72" s="18" t="n">
        <v>0</v>
      </c>
    </row>
    <row r="73">
      <c r="A73" s="18" t="inlineStr">
        <is>
          <t>U023</t>
        </is>
      </c>
      <c r="B73" s="18" t="inlineStr">
        <is>
          <t>Administración Facultad de Filosofía y Letras</t>
        </is>
      </c>
      <c r="C73" s="18" t="inlineStr">
        <is>
          <t>DOCTORADO EN FILOSOFÍA Y LETRAS</t>
        </is>
      </c>
      <c r="D73" s="18" t="inlineStr">
        <is>
          <t>BELOVA , KSENIIA</t>
        </is>
      </c>
      <c r="E73" s="18" t="inlineStr">
        <is>
          <t>THE LANGUAGE OF HOMOPHOBIC HATE SPEECH: GRAMMATICAL AND DISCURSIVE CHARACTERISTICS</t>
        </is>
      </c>
      <c r="F73" s="18" t="inlineStr">
        <is>
          <t>17/03/2025</t>
        </is>
      </c>
      <c r="G73" s="18" t="inlineStr">
        <is>
          <t>21436412K</t>
        </is>
      </c>
      <c r="H73" s="18" t="inlineStr">
        <is>
          <t>Director de tesis</t>
        </is>
      </c>
      <c r="I73" s="18" t="inlineStr">
        <is>
          <t>B116</t>
        </is>
      </c>
      <c r="J73" s="18" t="inlineStr">
        <is>
          <t>Filología Inglesa</t>
        </is>
      </c>
      <c r="K73" s="18" t="n">
        <v>1</v>
      </c>
      <c r="L73" s="18" t="inlineStr">
        <is>
          <t>B116</t>
        </is>
      </c>
      <c r="M73" s="18" t="n">
        <v>2024</v>
      </c>
      <c r="N73" s="18" t="inlineStr">
        <is>
          <t>10.15</t>
        </is>
      </c>
      <c r="O73" s="18" t="inlineStr">
        <is>
          <t>50</t>
        </is>
      </c>
      <c r="P73" s="18" t="inlineStr"/>
      <c r="Q73" s="18" t="inlineStr"/>
      <c r="R73" s="18" t="n">
        <v>50</v>
      </c>
      <c r="S73" s="18" t="n">
        <v>0.5</v>
      </c>
      <c r="T73" s="18" t="n">
        <v>0.5</v>
      </c>
      <c r="U73" s="18" t="n">
        <v>0</v>
      </c>
    </row>
    <row r="74">
      <c r="A74" s="18" t="inlineStr">
        <is>
          <t>U025</t>
        </is>
      </c>
      <c r="B74" s="18" t="inlineStr">
        <is>
          <t>Administración Facultad de Derecho</t>
        </is>
      </c>
      <c r="C74" s="18" t="inlineStr">
        <is>
          <t>DOCTORADO EN DERECHO</t>
        </is>
      </c>
      <c r="D74" s="18" t="inlineStr">
        <is>
          <t>Buzón Ibáñez, Rafael</t>
        </is>
      </c>
      <c r="E74" s="18" t="inlineStr">
        <is>
          <t>La filosofía del derecho de Manuel Atienza</t>
        </is>
      </c>
      <c r="F74" s="18" t="inlineStr">
        <is>
          <t>24/01/2025</t>
        </is>
      </c>
      <c r="G74" s="18" t="inlineStr">
        <is>
          <t>21455081Z</t>
        </is>
      </c>
      <c r="H74" s="18" t="inlineStr">
        <is>
          <t>Codirector de tesis</t>
        </is>
      </c>
      <c r="I74" s="18" t="inlineStr">
        <is>
          <t>B152</t>
        </is>
      </c>
      <c r="J74" s="18" t="inlineStr">
        <is>
          <t>Filosofía del Derecho y Derecho Internacional Privado</t>
        </is>
      </c>
      <c r="K74" s="18" t="n">
        <v>0.5</v>
      </c>
      <c r="L74" s="18" t="inlineStr">
        <is>
          <t>B152</t>
        </is>
      </c>
      <c r="M74" s="18" t="n">
        <v>2024</v>
      </c>
      <c r="N74" s="18" t="inlineStr">
        <is>
          <t>10.15</t>
        </is>
      </c>
      <c r="O74" s="18" t="inlineStr">
        <is>
          <t>10</t>
        </is>
      </c>
      <c r="P74" s="18" t="inlineStr"/>
      <c r="Q74" s="18" t="inlineStr"/>
      <c r="R74" s="18" t="n">
        <v>90</v>
      </c>
      <c r="S74" s="18" t="n">
        <v>0.45</v>
      </c>
      <c r="T74" s="18" t="n">
        <v>0.05</v>
      </c>
      <c r="U74" s="18" t="n">
        <v>0</v>
      </c>
    </row>
    <row r="75">
      <c r="A75" s="18" t="inlineStr">
        <is>
          <t>U023</t>
        </is>
      </c>
      <c r="B75" s="18" t="inlineStr">
        <is>
          <t>Administración Facultad de Filosofía y Letras</t>
        </is>
      </c>
      <c r="C75" s="18" t="inlineStr">
        <is>
          <t>DOCTORADO EN FILOSOFÍA Y LETRAS</t>
        </is>
      </c>
      <c r="D75" s="18" t="inlineStr">
        <is>
          <t>Torres Soler, Julio</t>
        </is>
      </c>
      <c r="E75" s="18" t="inlineStr">
        <is>
          <t>Evolución semántica y gramaticalización de los verbos llevar y traer</t>
        </is>
      </c>
      <c r="F75" s="18" t="inlineStr">
        <is>
          <t>09/12/2024</t>
        </is>
      </c>
      <c r="G75" s="18" t="inlineStr">
        <is>
          <t>05150725J</t>
        </is>
      </c>
      <c r="H75" s="18" t="inlineStr">
        <is>
          <t>Codirector de tesis</t>
        </is>
      </c>
      <c r="I75" s="18" t="inlineStr">
        <is>
          <t>B115</t>
        </is>
      </c>
      <c r="J75" s="18" t="inlineStr">
        <is>
          <t>Filología Española, Lingüística General y Teoría de la Literatura</t>
        </is>
      </c>
      <c r="K75" s="18" t="n">
        <v>0.5</v>
      </c>
      <c r="L75" s="18" t="inlineStr">
        <is>
          <t>B115</t>
        </is>
      </c>
      <c r="M75" s="18" t="n">
        <v>2024</v>
      </c>
      <c r="N75" s="18" t="inlineStr">
        <is>
          <t>10.25</t>
        </is>
      </c>
      <c r="O75" s="18" t="inlineStr">
        <is>
          <t>30</t>
        </is>
      </c>
      <c r="P75" s="18" t="inlineStr">
        <is>
          <t>10.15</t>
        </is>
      </c>
      <c r="Q75" s="18" t="inlineStr">
        <is>
          <t>10</t>
        </is>
      </c>
      <c r="R75" s="18" t="n">
        <v>60</v>
      </c>
      <c r="S75" s="18" t="n">
        <v>0.3</v>
      </c>
      <c r="T75" s="18" t="n">
        <v>0.15</v>
      </c>
      <c r="U75" s="18" t="n">
        <v>0.05</v>
      </c>
    </row>
    <row r="76">
      <c r="A76" s="18" t="inlineStr">
        <is>
          <t>U023</t>
        </is>
      </c>
      <c r="B76" s="18" t="inlineStr">
        <is>
          <t>Administración Facultad de Filosofía y Letras</t>
        </is>
      </c>
      <c r="C76" s="18" t="inlineStr">
        <is>
          <t>DOCTORADO EN FILOSOFÍA Y LETRAS</t>
        </is>
      </c>
      <c r="D76" s="18" t="inlineStr">
        <is>
          <t>Stihi , Nabil</t>
        </is>
      </c>
      <c r="E76" s="18" t="inlineStr">
        <is>
          <t>EL DESARROLLO DE LA EXPRESIÓN ORAL EN LA ENSEÑANZA APRENDIZAJE DEL ESPAÑOL LENGUA EXTRANJERA PARA ESTUDIANTES ARGELINOS</t>
        </is>
      </c>
      <c r="F76" s="18" t="inlineStr">
        <is>
          <t>11/07/2025</t>
        </is>
      </c>
      <c r="G76" s="18" t="inlineStr">
        <is>
          <t>21442493F</t>
        </is>
      </c>
      <c r="H76" s="18" t="inlineStr">
        <is>
          <t>Director de tesis</t>
        </is>
      </c>
      <c r="I76" s="18" t="inlineStr">
        <is>
          <t>B115</t>
        </is>
      </c>
      <c r="J76" s="18" t="inlineStr">
        <is>
          <t>Filología Española, Lingüística General y Teoría de la Literatura</t>
        </is>
      </c>
      <c r="K76" s="18" t="n">
        <v>1</v>
      </c>
      <c r="L76" s="18" t="inlineStr">
        <is>
          <t>B115</t>
        </is>
      </c>
      <c r="M76" s="18" t="n">
        <v>2024</v>
      </c>
      <c r="N76" s="18" t="inlineStr">
        <is>
          <t>10.23</t>
        </is>
      </c>
      <c r="O76" s="18" t="inlineStr">
        <is>
          <t>10</t>
        </is>
      </c>
      <c r="P76" s="18" t="inlineStr">
        <is>
          <t>10.15</t>
        </is>
      </c>
      <c r="Q76" s="18" t="inlineStr">
        <is>
          <t>10</t>
        </is>
      </c>
      <c r="R76" s="18" t="n">
        <v>80</v>
      </c>
      <c r="S76" s="18" t="n">
        <v>0.8</v>
      </c>
      <c r="T76" s="18" t="n">
        <v>0.1</v>
      </c>
      <c r="U76" s="18" t="n">
        <v>0.1</v>
      </c>
    </row>
    <row r="77">
      <c r="A77" s="18" t="inlineStr">
        <is>
          <t>U073</t>
        </is>
      </c>
      <c r="B77" s="18" t="inlineStr">
        <is>
          <t>Instituto Universitario Investigación de Estudios de Género (10.23)</t>
        </is>
      </c>
      <c r="C77" s="18" t="inlineStr">
        <is>
          <t>DOCTORADO EN ESTUDIOS INTERDISCIPLINARES DE GÉNERO</t>
        </is>
      </c>
      <c r="D77" s="18" t="inlineStr">
        <is>
          <t>Campoy Martínez, Alba</t>
        </is>
      </c>
      <c r="E77" s="18" t="inlineStr">
        <is>
          <t>Feminismo en el cine de animación de Hayao Miyazaki: Análisis del discurso lingüístico y visual basado en el empoderamiento femenino de las protagonistas y antagonistas de La princesa Mononoke (1997), El viaje de Chihiro (2001) y El castillo ambulant</t>
        </is>
      </c>
      <c r="F77" s="18" t="inlineStr">
        <is>
          <t>23/05/2025</t>
        </is>
      </c>
      <c r="G77" s="18" t="inlineStr">
        <is>
          <t>26226014B</t>
        </is>
      </c>
      <c r="H77" s="18" t="inlineStr">
        <is>
          <t>Director de tesis</t>
        </is>
      </c>
      <c r="I77" s="18" t="inlineStr">
        <is>
          <t>B116</t>
        </is>
      </c>
      <c r="J77" s="18" t="inlineStr">
        <is>
          <t>Filología Inglesa</t>
        </is>
      </c>
      <c r="K77" s="18" t="n">
        <v>1</v>
      </c>
      <c r="L77" s="18" t="inlineStr">
        <is>
          <t>B116</t>
        </is>
      </c>
      <c r="M77" s="18" t="n">
        <v>2024</v>
      </c>
      <c r="N77" s="18" t="inlineStr">
        <is>
          <t>10.23</t>
        </is>
      </c>
      <c r="O77" s="18" t="inlineStr">
        <is>
          <t>20</t>
        </is>
      </c>
      <c r="P77" s="18" t="inlineStr">
        <is>
          <t>10.15</t>
        </is>
      </c>
      <c r="Q77" s="18" t="inlineStr">
        <is>
          <t>10</t>
        </is>
      </c>
      <c r="R77" s="18" t="n">
        <v>70</v>
      </c>
      <c r="S77" s="18" t="n">
        <v>0.7</v>
      </c>
      <c r="T77" s="18" t="n">
        <v>0.2</v>
      </c>
      <c r="U77" s="18" t="n">
        <v>0.1</v>
      </c>
    </row>
    <row r="78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7" t="n"/>
      <c r="N78" s="26" t="n"/>
      <c r="O78" s="27" t="n"/>
      <c r="P78" s="26" t="n"/>
      <c r="Q78" s="27" t="n"/>
      <c r="R78" s="26" t="n"/>
      <c r="S78" s="26" t="n"/>
      <c r="T78" s="70">
        <f>SUM(T2:T36,U37:U65,T66:T74,U75:U77)</f>
        <v/>
      </c>
      <c r="U78" s="26" t="n"/>
    </row>
  </sheetData>
  <autoFilter ref="A1:U36"/>
  <printOptions horizontalCentered="1"/>
  <pageMargins left="0.1968503937007874" right="0.1968503937007874" top="0.3937007874015748" bottom="0.3937007874015748" header="0.7874015748031497" footer="0"/>
  <pageSetup orientation="landscape" paperSize="9" scale="92" fitToHeight="22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46"/>
  <sheetViews>
    <sheetView zoomScaleNormal="100" workbookViewId="0">
      <selection activeCell="V5" sqref="V5"/>
    </sheetView>
  </sheetViews>
  <sheetFormatPr baseColWidth="10" defaultColWidth="11.42578125" defaultRowHeight="12.75"/>
  <cols>
    <col width="10.5703125" bestFit="1" customWidth="1" style="11" min="1" max="1"/>
    <col width="40.28515625" bestFit="1" customWidth="1" style="11" min="2" max="2"/>
    <col width="14.5703125" bestFit="1" customWidth="1" style="11" min="3" max="3"/>
    <col width="3.28515625" bestFit="1" customWidth="1" style="11" min="4" max="9"/>
    <col width="13.140625" bestFit="1" customWidth="1" style="11" min="10" max="10"/>
    <col width="5.28515625" bestFit="1" customWidth="1" style="11" min="11" max="11"/>
    <col width="5.7109375" bestFit="1" customWidth="1" style="11" min="12" max="12"/>
    <col width="5.7109375" bestFit="1" customWidth="1" style="12" min="13" max="14"/>
    <col width="5.7109375" bestFit="1" customWidth="1" style="11" min="15" max="15"/>
    <col width="5.7109375" bestFit="1" customWidth="1" style="12" min="16" max="16"/>
    <col width="5.7109375" bestFit="1" customWidth="1" style="11" min="17" max="19"/>
    <col width="11.42578125" customWidth="1" style="11" min="20" max="16384"/>
  </cols>
  <sheetData>
    <row r="1" ht="65.09999999999999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5" customHeight="1">
      <c r="A2" s="16" t="inlineStr">
        <is>
          <t>09306886M</t>
        </is>
      </c>
      <c r="B2" s="16" t="inlineStr">
        <is>
          <t>Marcos Alba, Carlos Luis</t>
        </is>
      </c>
      <c r="C2" s="16" t="inlineStr">
        <is>
          <t>FUNCIONARIO</t>
        </is>
      </c>
      <c r="D2" s="16" t="n"/>
      <c r="E2" s="16" t="n"/>
      <c r="F2" s="16" t="n"/>
      <c r="G2" s="16" t="n"/>
      <c r="H2" s="16" t="n">
        <v>1</v>
      </c>
      <c r="I2" s="16" t="n"/>
      <c r="J2" s="16" t="n">
        <v>1</v>
      </c>
      <c r="K2" s="16" t="inlineStr">
        <is>
          <t>B187</t>
        </is>
      </c>
      <c r="L2" s="17" t="inlineStr">
        <is>
          <t>10.15</t>
        </is>
      </c>
      <c r="M2" s="17" t="inlineStr">
        <is>
          <t>10</t>
        </is>
      </c>
      <c r="N2" s="17" t="inlineStr"/>
      <c r="O2" s="17" t="inlineStr"/>
      <c r="P2" s="53" t="n">
        <v>90</v>
      </c>
      <c r="Q2" s="53" t="n">
        <v>0.1</v>
      </c>
      <c r="R2" s="53" t="n">
        <v>0</v>
      </c>
      <c r="S2" s="53" t="n">
        <v>0.9</v>
      </c>
    </row>
    <row r="3" ht="15" customHeight="1">
      <c r="A3" s="16" t="inlineStr">
        <is>
          <t>13051474D</t>
        </is>
      </c>
      <c r="B3" s="16" t="inlineStr">
        <is>
          <t>Atienza Rodríguez, Manuel</t>
        </is>
      </c>
      <c r="C3" s="16" t="inlineStr">
        <is>
          <t>Emérito</t>
        </is>
      </c>
      <c r="D3" s="16" t="n"/>
      <c r="E3" s="16" t="n"/>
      <c r="F3" s="16" t="n"/>
      <c r="G3" s="16" t="n"/>
      <c r="H3" s="16" t="n"/>
      <c r="I3" s="16" t="n">
        <v>1</v>
      </c>
      <c r="J3" s="16" t="n">
        <v>1</v>
      </c>
      <c r="K3" s="16" t="inlineStr">
        <is>
          <t>B152</t>
        </is>
      </c>
      <c r="L3" s="17" t="inlineStr">
        <is>
          <t>10.15</t>
        </is>
      </c>
      <c r="M3" s="17" t="inlineStr">
        <is>
          <t>10</t>
        </is>
      </c>
      <c r="N3" s="17" t="inlineStr"/>
      <c r="O3" s="17" t="inlineStr"/>
      <c r="P3" s="53" t="n">
        <v>90</v>
      </c>
      <c r="Q3" s="53" t="n">
        <v>0.1</v>
      </c>
      <c r="R3" s="53" t="n">
        <v>0</v>
      </c>
      <c r="S3" s="53" t="n">
        <v>0.9</v>
      </c>
    </row>
    <row r="4" ht="15" customHeight="1">
      <c r="A4" s="16" t="inlineStr">
        <is>
          <t>13992123G</t>
        </is>
      </c>
      <c r="B4" s="16" t="inlineStr">
        <is>
          <t>Sinyashina Sinyashina, Ekaterina</t>
        </is>
      </c>
      <c r="C4" s="16" t="inlineStr">
        <is>
          <t>NO FUNCIONARIO</t>
        </is>
      </c>
      <c r="D4" s="16" t="n"/>
      <c r="E4" s="16" t="n"/>
      <c r="F4" s="16" t="n"/>
      <c r="G4" s="16" t="n"/>
      <c r="H4" s="16" t="n"/>
      <c r="I4" s="16" t="n">
        <v>1</v>
      </c>
      <c r="J4" s="16" t="n">
        <v>1</v>
      </c>
      <c r="K4" s="16" t="inlineStr">
        <is>
          <t>B116</t>
        </is>
      </c>
      <c r="L4" s="17" t="inlineStr">
        <is>
          <t>10.15</t>
        </is>
      </c>
      <c r="M4" s="17" t="inlineStr">
        <is>
          <t>30</t>
        </is>
      </c>
      <c r="N4" s="17" t="inlineStr"/>
      <c r="O4" s="17" t="inlineStr"/>
      <c r="P4" s="53" t="n">
        <v>70</v>
      </c>
      <c r="Q4" s="53" t="n">
        <v>0.3</v>
      </c>
      <c r="R4" s="53" t="n">
        <v>0</v>
      </c>
      <c r="S4" s="53" t="n">
        <v>0.7</v>
      </c>
    </row>
    <row r="5" ht="15" customHeight="1">
      <c r="A5" s="16" t="inlineStr">
        <is>
          <t>21428371F</t>
        </is>
      </c>
      <c r="B5" s="16" t="inlineStr">
        <is>
          <t>del Olmo Ibáñez, María Teresa</t>
        </is>
      </c>
      <c r="C5" s="16" t="inlineStr">
        <is>
          <t>NO FUNCIONARIO</t>
        </is>
      </c>
      <c r="D5" s="16" t="n"/>
      <c r="E5" s="16" t="n"/>
      <c r="F5" s="16" t="n"/>
      <c r="G5" s="16" t="n"/>
      <c r="H5" s="16" t="n"/>
      <c r="I5" s="16" t="n">
        <v>1</v>
      </c>
      <c r="J5" s="16" t="n">
        <v>1</v>
      </c>
      <c r="K5" s="16" t="inlineStr">
        <is>
          <t>B166</t>
        </is>
      </c>
      <c r="L5" s="17" t="inlineStr">
        <is>
          <t>10.15</t>
        </is>
      </c>
      <c r="M5" s="17" t="inlineStr">
        <is>
          <t>20</t>
        </is>
      </c>
      <c r="N5" s="17" t="inlineStr"/>
      <c r="O5" s="17" t="inlineStr"/>
      <c r="P5" s="53" t="n">
        <v>80</v>
      </c>
      <c r="Q5" s="53" t="n">
        <v>0.2</v>
      </c>
      <c r="R5" s="53" t="n">
        <v>0</v>
      </c>
      <c r="S5" s="53" t="n">
        <v>0.8</v>
      </c>
    </row>
    <row r="6" ht="15" customHeight="1">
      <c r="A6" s="16" t="inlineStr">
        <is>
          <t>21436412K</t>
        </is>
      </c>
      <c r="B6" s="16" t="inlineStr">
        <is>
          <t>Guillén Nieto, Victoria Loreto</t>
        </is>
      </c>
      <c r="C6" s="16" t="inlineStr">
        <is>
          <t>FUNCIONARIO</t>
        </is>
      </c>
      <c r="D6" s="16" t="n"/>
      <c r="E6" s="16" t="n"/>
      <c r="F6" s="16" t="n">
        <v>1</v>
      </c>
      <c r="G6" s="16" t="n"/>
      <c r="H6" s="16" t="n"/>
      <c r="I6" s="16" t="n"/>
      <c r="J6" s="16" t="n">
        <v>1</v>
      </c>
      <c r="K6" s="16" t="inlineStr">
        <is>
          <t>B116</t>
        </is>
      </c>
      <c r="L6" s="17" t="inlineStr">
        <is>
          <t>10.15</t>
        </is>
      </c>
      <c r="M6" s="17" t="inlineStr">
        <is>
          <t>50</t>
        </is>
      </c>
      <c r="N6" s="17" t="inlineStr"/>
      <c r="O6" s="17" t="inlineStr"/>
      <c r="P6" s="53" t="n">
        <v>50</v>
      </c>
      <c r="Q6" s="53" t="n">
        <v>0.5</v>
      </c>
      <c r="R6" s="53" t="n">
        <v>0</v>
      </c>
      <c r="S6" s="53" t="n">
        <v>0.5</v>
      </c>
    </row>
    <row r="7" ht="15" customHeight="1">
      <c r="A7" s="16" t="inlineStr">
        <is>
          <t>21439023X</t>
        </is>
      </c>
      <c r="B7" s="16" t="inlineStr">
        <is>
          <t>Sempere Ortells, José Miguel</t>
        </is>
      </c>
      <c r="C7" s="23" t="inlineStr">
        <is>
          <t>FUNCIONARIO</t>
        </is>
      </c>
      <c r="D7" s="16" t="n"/>
      <c r="E7" s="16" t="n"/>
      <c r="F7" s="16" t="n"/>
      <c r="G7" s="16" t="n"/>
      <c r="H7" s="16" t="n"/>
      <c r="I7" s="16" t="n">
        <v>1</v>
      </c>
      <c r="J7" s="16" t="n">
        <v>1</v>
      </c>
      <c r="K7" s="16" t="inlineStr">
        <is>
          <t>B160</t>
        </is>
      </c>
      <c r="L7" s="17" t="inlineStr">
        <is>
          <t>10.15</t>
        </is>
      </c>
      <c r="M7" s="17" t="inlineStr">
        <is>
          <t>10</t>
        </is>
      </c>
      <c r="N7" s="17" t="inlineStr"/>
      <c r="O7" s="17" t="inlineStr"/>
      <c r="P7" s="53" t="n">
        <v>90</v>
      </c>
      <c r="Q7" s="53" t="n">
        <v>0.1</v>
      </c>
      <c r="R7" s="53" t="n">
        <v>0</v>
      </c>
      <c r="S7" s="53" t="n">
        <v>0.9</v>
      </c>
    </row>
    <row r="8" ht="15" customHeight="1">
      <c r="A8" s="16" t="inlineStr">
        <is>
          <t>21446823J</t>
        </is>
      </c>
      <c r="B8" s="16" t="inlineStr">
        <is>
          <t>Congost Maestre, Nereida</t>
        </is>
      </c>
      <c r="C8" s="16" t="inlineStr">
        <is>
          <t>FUNCIONARIO</t>
        </is>
      </c>
      <c r="D8" s="16" t="n"/>
      <c r="E8" s="16" t="n"/>
      <c r="F8" s="16" t="n">
        <v>1</v>
      </c>
      <c r="G8" s="16" t="n"/>
      <c r="H8" s="16" t="n"/>
      <c r="I8" s="16" t="n"/>
      <c r="J8" s="16" t="n">
        <v>1</v>
      </c>
      <c r="K8" s="16" t="inlineStr">
        <is>
          <t>B116</t>
        </is>
      </c>
      <c r="L8" s="17" t="inlineStr">
        <is>
          <t>10.15</t>
        </is>
      </c>
      <c r="M8" s="17" t="inlineStr">
        <is>
          <t>50</t>
        </is>
      </c>
      <c r="N8" s="17" t="inlineStr"/>
      <c r="O8" s="17" t="inlineStr"/>
      <c r="P8" s="53" t="n">
        <v>50</v>
      </c>
      <c r="Q8" s="53" t="n">
        <v>0.5</v>
      </c>
      <c r="R8" s="53" t="n">
        <v>0</v>
      </c>
      <c r="S8" s="53" t="n">
        <v>0.5</v>
      </c>
    </row>
    <row r="9" ht="15" customHeight="1">
      <c r="A9" s="16" t="inlineStr">
        <is>
          <t>21455766D</t>
        </is>
      </c>
      <c r="B9" s="16" t="inlineStr">
        <is>
          <t>Campos Pardillos, Miguel Ángel</t>
        </is>
      </c>
      <c r="C9" s="16" t="inlineStr">
        <is>
          <t>FUNCIONARIO</t>
        </is>
      </c>
      <c r="D9" s="16" t="n"/>
      <c r="E9" s="16" t="n"/>
      <c r="F9" s="16" t="n"/>
      <c r="G9" s="16" t="n"/>
      <c r="H9" s="16" t="n">
        <v>1</v>
      </c>
      <c r="I9" s="16" t="n"/>
      <c r="J9" s="16" t="n">
        <v>1</v>
      </c>
      <c r="K9" s="16" t="inlineStr">
        <is>
          <t>B116</t>
        </is>
      </c>
      <c r="L9" s="17" t="inlineStr">
        <is>
          <t>10.15</t>
        </is>
      </c>
      <c r="M9" s="17" t="inlineStr">
        <is>
          <t>50</t>
        </is>
      </c>
      <c r="N9" s="17" t="inlineStr"/>
      <c r="O9" s="17" t="inlineStr"/>
      <c r="P9" s="53" t="n">
        <v>50</v>
      </c>
      <c r="Q9" s="53" t="n">
        <v>0.5</v>
      </c>
      <c r="R9" s="53" t="n">
        <v>0</v>
      </c>
      <c r="S9" s="53" t="n">
        <v>0.5</v>
      </c>
    </row>
    <row r="10" ht="15" customHeight="1">
      <c r="A10" s="16" t="inlineStr">
        <is>
          <t>21481015G</t>
        </is>
      </c>
      <c r="B10" s="16" t="inlineStr">
        <is>
          <t>Vargas Sierra, Chelo</t>
        </is>
      </c>
      <c r="C10" s="16" t="inlineStr">
        <is>
          <t>FUNCIONARIO</t>
        </is>
      </c>
      <c r="D10" s="16" t="n"/>
      <c r="E10" s="16" t="n"/>
      <c r="F10" s="16" t="n">
        <v>1</v>
      </c>
      <c r="G10" s="16" t="n"/>
      <c r="H10" s="16" t="n"/>
      <c r="I10" s="16" t="n"/>
      <c r="J10" s="16" t="n">
        <v>1</v>
      </c>
      <c r="K10" s="16" t="inlineStr">
        <is>
          <t>B116</t>
        </is>
      </c>
      <c r="L10" s="17" t="inlineStr">
        <is>
          <t>10.15</t>
        </is>
      </c>
      <c r="M10" s="17" t="inlineStr">
        <is>
          <t>50</t>
        </is>
      </c>
      <c r="N10" s="17" t="inlineStr"/>
      <c r="O10" s="17" t="inlineStr"/>
      <c r="P10" s="53" t="n">
        <v>50</v>
      </c>
      <c r="Q10" s="53" t="n">
        <v>0.5</v>
      </c>
      <c r="R10" s="53" t="n">
        <v>0</v>
      </c>
      <c r="S10" s="53" t="n">
        <v>0.5</v>
      </c>
    </row>
    <row r="11" ht="15" customHeight="1">
      <c r="A11" s="16" t="inlineStr">
        <is>
          <t>21491026X</t>
        </is>
      </c>
      <c r="B11" s="16" t="inlineStr">
        <is>
          <t>Pacheco Baldó, Rosa María</t>
        </is>
      </c>
      <c r="C11" s="16" t="inlineStr">
        <is>
          <t>FUNCIONARIO</t>
        </is>
      </c>
      <c r="D11" s="16" t="n"/>
      <c r="E11" s="16" t="n"/>
      <c r="F11" s="16" t="n"/>
      <c r="G11" s="16" t="n"/>
      <c r="H11" s="16" t="n"/>
      <c r="I11" s="16" t="n">
        <v>1</v>
      </c>
      <c r="J11" s="16" t="n">
        <v>1</v>
      </c>
      <c r="K11" s="16" t="inlineStr">
        <is>
          <t>B116</t>
        </is>
      </c>
      <c r="L11" s="17" t="inlineStr">
        <is>
          <t>10.15</t>
        </is>
      </c>
      <c r="M11" s="17" t="inlineStr">
        <is>
          <t>50</t>
        </is>
      </c>
      <c r="N11" s="17" t="inlineStr"/>
      <c r="O11" s="17" t="inlineStr"/>
      <c r="P11" s="53" t="n">
        <v>50</v>
      </c>
      <c r="Q11" s="53" t="n">
        <v>0.5</v>
      </c>
      <c r="R11" s="53" t="n">
        <v>0</v>
      </c>
      <c r="S11" s="53" t="n">
        <v>0.5</v>
      </c>
    </row>
    <row r="12" ht="15" customHeight="1">
      <c r="A12" s="16" t="inlineStr">
        <is>
          <t>21672037B</t>
        </is>
      </c>
      <c r="B12" s="16" t="inlineStr">
        <is>
          <t>Llorens Simón, Eva María</t>
        </is>
      </c>
      <c r="C12" s="16" t="inlineStr">
        <is>
          <t>NO FUNCIONARIO</t>
        </is>
      </c>
      <c r="D12" s="16" t="n"/>
      <c r="E12" s="16" t="n"/>
      <c r="F12" s="16" t="n"/>
      <c r="G12" s="16" t="n"/>
      <c r="H12" s="16" t="n">
        <v>1</v>
      </c>
      <c r="I12" s="16" t="n"/>
      <c r="J12" s="16" t="n">
        <v>1</v>
      </c>
      <c r="K12" s="16" t="inlineStr">
        <is>
          <t>B116</t>
        </is>
      </c>
      <c r="L12" s="17" t="inlineStr">
        <is>
          <t>10.15</t>
        </is>
      </c>
      <c r="M12" s="17" t="inlineStr">
        <is>
          <t>50</t>
        </is>
      </c>
      <c r="N12" s="17" t="inlineStr"/>
      <c r="O12" s="17" t="inlineStr"/>
      <c r="P12" s="53" t="n">
        <v>50</v>
      </c>
      <c r="Q12" s="53" t="n">
        <v>0.5</v>
      </c>
      <c r="R12" s="53" t="n">
        <v>0</v>
      </c>
      <c r="S12" s="53" t="n">
        <v>0.5</v>
      </c>
    </row>
    <row r="13" ht="15" customHeight="1">
      <c r="A13" s="16" t="inlineStr">
        <is>
          <t>21687362H</t>
        </is>
      </c>
      <c r="B13" s="16" t="inlineStr">
        <is>
          <t>Antolí Martínez, Jordi Manuel</t>
        </is>
      </c>
      <c r="C13" s="16" t="inlineStr">
        <is>
          <t>FUNCIONARIO</t>
        </is>
      </c>
      <c r="D13" s="16" t="n"/>
      <c r="E13" s="16" t="n"/>
      <c r="F13" s="16" t="n"/>
      <c r="G13" s="16" t="n"/>
      <c r="H13" s="16" t="n">
        <v>1</v>
      </c>
      <c r="I13" s="16" t="n">
        <v>1</v>
      </c>
      <c r="J13" s="16" t="n">
        <v>2</v>
      </c>
      <c r="K13" s="16" t="inlineStr">
        <is>
          <t>B142</t>
        </is>
      </c>
      <c r="L13" s="17" t="inlineStr">
        <is>
          <t>10.15</t>
        </is>
      </c>
      <c r="M13" s="17" t="inlineStr">
        <is>
          <t>10</t>
        </is>
      </c>
      <c r="N13" s="17" t="inlineStr">
        <is>
          <t>10.08</t>
        </is>
      </c>
      <c r="O13" s="17" t="inlineStr">
        <is>
          <t>50</t>
        </is>
      </c>
      <c r="P13" s="53" t="n">
        <v>40</v>
      </c>
      <c r="Q13" s="53" t="n">
        <v>0.2</v>
      </c>
      <c r="R13" s="53" t="n">
        <v>1</v>
      </c>
      <c r="S13" s="53" t="n">
        <v>0.8</v>
      </c>
    </row>
    <row r="14" ht="15" customHeight="1">
      <c r="A14" s="16" t="inlineStr">
        <is>
          <t>22121930R</t>
        </is>
      </c>
      <c r="B14" s="16" t="inlineStr">
        <is>
          <t>Martínez Egido, José Joaquín</t>
        </is>
      </c>
      <c r="C14" s="16" t="inlineStr">
        <is>
          <t>FUNCIONARIO</t>
        </is>
      </c>
      <c r="D14" s="16" t="n"/>
      <c r="E14" s="16" t="n"/>
      <c r="F14" s="16" t="n"/>
      <c r="G14" s="16" t="n">
        <v>1</v>
      </c>
      <c r="H14" s="16" t="n"/>
      <c r="I14" s="16" t="n"/>
      <c r="J14" s="16" t="n">
        <v>1</v>
      </c>
      <c r="K14" s="16" t="inlineStr">
        <is>
          <t>B115</t>
        </is>
      </c>
      <c r="L14" s="17" t="inlineStr">
        <is>
          <t>10.15</t>
        </is>
      </c>
      <c r="M14" s="17" t="inlineStr">
        <is>
          <t>10</t>
        </is>
      </c>
      <c r="N14" s="17" t="inlineStr"/>
      <c r="O14" s="17" t="inlineStr"/>
      <c r="P14" s="53" t="n">
        <v>90</v>
      </c>
      <c r="Q14" s="53" t="n">
        <v>0.1</v>
      </c>
      <c r="R14" s="53" t="n">
        <v>0</v>
      </c>
      <c r="S14" s="53" t="n">
        <v>0.9</v>
      </c>
    </row>
    <row r="15" ht="15" customHeight="1">
      <c r="A15" s="16" t="inlineStr">
        <is>
          <t>22145079N</t>
        </is>
      </c>
      <c r="B15" s="16" t="inlineStr">
        <is>
          <t>Belda Medina, Jose Ramon</t>
        </is>
      </c>
      <c r="C15" s="23" t="inlineStr">
        <is>
          <t>FUNCIONARIO</t>
        </is>
      </c>
      <c r="D15" s="16" t="n"/>
      <c r="E15" s="16" t="n"/>
      <c r="F15" s="16" t="n">
        <v>1</v>
      </c>
      <c r="G15" s="16" t="n"/>
      <c r="H15" s="16" t="n"/>
      <c r="I15" s="16" t="n"/>
      <c r="J15" s="16" t="n">
        <v>1</v>
      </c>
      <c r="K15" s="16" t="inlineStr">
        <is>
          <t>B116</t>
        </is>
      </c>
      <c r="L15" s="17" t="inlineStr">
        <is>
          <t>10.15</t>
        </is>
      </c>
      <c r="M15" s="17" t="inlineStr">
        <is>
          <t>50</t>
        </is>
      </c>
      <c r="N15" s="17" t="inlineStr"/>
      <c r="O15" s="17" t="inlineStr"/>
      <c r="P15" s="53" t="n">
        <v>50</v>
      </c>
      <c r="Q15" s="53" t="n">
        <v>0.5</v>
      </c>
      <c r="R15" s="53" t="n">
        <v>0</v>
      </c>
      <c r="S15" s="53" t="n">
        <v>0.5</v>
      </c>
    </row>
    <row r="16" ht="15" customHeight="1">
      <c r="A16" s="32" t="inlineStr">
        <is>
          <t>25119289T</t>
        </is>
      </c>
      <c r="B16" s="32" t="inlineStr">
        <is>
          <t>Martínez Pérez, Josep</t>
        </is>
      </c>
      <c r="C16" s="33" t="inlineStr">
        <is>
          <t>Vivos</t>
        </is>
      </c>
      <c r="D16" s="32" t="n"/>
      <c r="E16" s="32" t="n"/>
      <c r="F16" s="32" t="n"/>
      <c r="G16" s="32" t="n"/>
      <c r="H16" s="32" t="n"/>
      <c r="I16" s="32" t="n">
        <v>1</v>
      </c>
      <c r="J16" s="16" t="n">
        <v>1</v>
      </c>
      <c r="K16" s="16" t="inlineStr">
        <is>
          <t>B142</t>
        </is>
      </c>
      <c r="L16" s="17" t="inlineStr">
        <is>
          <t>10.15</t>
        </is>
      </c>
      <c r="M16" s="17" t="inlineStr">
        <is>
          <t>10</t>
        </is>
      </c>
      <c r="N16" s="17" t="inlineStr">
        <is>
          <t>10.08</t>
        </is>
      </c>
      <c r="O16" s="17" t="inlineStr">
        <is>
          <t>50</t>
        </is>
      </c>
      <c r="P16" s="53" t="n">
        <v>40</v>
      </c>
      <c r="Q16" s="53" t="n">
        <v>0.1</v>
      </c>
      <c r="R16" s="53" t="n">
        <v>0.5</v>
      </c>
      <c r="S16" s="53" t="n">
        <v>0.4</v>
      </c>
    </row>
    <row r="17" ht="15" customHeight="1">
      <c r="A17" s="16" t="inlineStr">
        <is>
          <t>25122167A</t>
        </is>
      </c>
      <c r="B17" s="16" t="inlineStr">
        <is>
          <t>Martínez Pérez, Vicent</t>
        </is>
      </c>
      <c r="C17" s="16" t="n">
        <v>6</v>
      </c>
      <c r="D17" s="16" t="n"/>
      <c r="E17" s="16" t="n"/>
      <c r="F17" s="16" t="n"/>
      <c r="G17" s="16" t="n"/>
      <c r="H17" s="16" t="n"/>
      <c r="I17" s="16" t="n">
        <v>1</v>
      </c>
      <c r="J17" s="16" t="n">
        <v>1</v>
      </c>
      <c r="K17" s="16" t="inlineStr">
        <is>
          <t>B142</t>
        </is>
      </c>
      <c r="L17" s="17" t="inlineStr">
        <is>
          <t>10.15</t>
        </is>
      </c>
      <c r="M17" s="17" t="inlineStr">
        <is>
          <t>10</t>
        </is>
      </c>
      <c r="N17" s="17" t="inlineStr">
        <is>
          <t>10.08</t>
        </is>
      </c>
      <c r="O17" s="17" t="inlineStr">
        <is>
          <t>50</t>
        </is>
      </c>
      <c r="P17" s="53" t="n">
        <v>40</v>
      </c>
      <c r="Q17" s="53" t="n">
        <v>0.1</v>
      </c>
      <c r="R17" s="53" t="n">
        <v>0.5</v>
      </c>
      <c r="S17" s="53" t="n">
        <v>0.4</v>
      </c>
    </row>
    <row r="18" ht="15" customHeight="1">
      <c r="A18" s="16" t="inlineStr">
        <is>
          <t>29008698V</t>
        </is>
      </c>
      <c r="B18" s="16" t="inlineStr">
        <is>
          <t>Pastor Cesteros, Susana</t>
        </is>
      </c>
      <c r="C18" s="16" t="inlineStr">
        <is>
          <t>FUNCIONARIO</t>
        </is>
      </c>
      <c r="D18" s="16" t="n"/>
      <c r="E18" s="16" t="n"/>
      <c r="F18" s="16" t="n"/>
      <c r="G18" s="16" t="n"/>
      <c r="H18" s="16" t="n">
        <v>1</v>
      </c>
      <c r="I18" s="16" t="n"/>
      <c r="J18" s="16" t="n">
        <v>1</v>
      </c>
      <c r="K18" s="16" t="inlineStr">
        <is>
          <t>B115</t>
        </is>
      </c>
      <c r="L18" s="17" t="inlineStr">
        <is>
          <t>10.15</t>
        </is>
      </c>
      <c r="M18" s="17" t="inlineStr">
        <is>
          <t>10</t>
        </is>
      </c>
      <c r="N18" s="17" t="inlineStr"/>
      <c r="O18" s="17" t="inlineStr"/>
      <c r="P18" s="53" t="n">
        <v>90</v>
      </c>
      <c r="Q18" s="53" t="n">
        <v>0.1</v>
      </c>
      <c r="R18" s="53" t="n">
        <v>0</v>
      </c>
      <c r="S18" s="53" t="n">
        <v>0.9</v>
      </c>
    </row>
    <row r="19" ht="15" customHeight="1">
      <c r="A19" s="16" t="inlineStr">
        <is>
          <t>29162329P</t>
        </is>
      </c>
      <c r="B19" s="16" t="inlineStr">
        <is>
          <t>Padilla García, José Antonio</t>
        </is>
      </c>
      <c r="C19" s="16" t="inlineStr">
        <is>
          <t>FUNCIONARIO</t>
        </is>
      </c>
      <c r="D19" s="16" t="n"/>
      <c r="E19" s="16" t="n">
        <v>1</v>
      </c>
      <c r="F19" s="16" t="n"/>
      <c r="G19" s="16" t="n"/>
      <c r="H19" s="16" t="n"/>
      <c r="I19" s="16" t="n"/>
      <c r="J19" s="16" t="n">
        <v>1</v>
      </c>
      <c r="K19" s="16" t="inlineStr">
        <is>
          <t>B115</t>
        </is>
      </c>
      <c r="L19" s="17" t="inlineStr">
        <is>
          <t>10.15</t>
        </is>
      </c>
      <c r="M19" s="17" t="inlineStr">
        <is>
          <t>10</t>
        </is>
      </c>
      <c r="N19" s="17" t="inlineStr"/>
      <c r="O19" s="17" t="inlineStr"/>
      <c r="P19" s="53" t="n">
        <v>90</v>
      </c>
      <c r="Q19" s="53" t="n">
        <v>0.1</v>
      </c>
      <c r="R19" s="53" t="n">
        <v>0</v>
      </c>
      <c r="S19" s="53" t="n">
        <v>0.9</v>
      </c>
    </row>
    <row r="20" ht="15" customHeight="1">
      <c r="A20" s="16" t="inlineStr">
        <is>
          <t>44752168X</t>
        </is>
      </c>
      <c r="B20" s="16" t="inlineStr">
        <is>
          <t>Alvarado Ortega, María Belén</t>
        </is>
      </c>
      <c r="C20" s="16" t="inlineStr">
        <is>
          <t>FUNCIONARIO</t>
        </is>
      </c>
      <c r="D20" s="16" t="n"/>
      <c r="E20" s="16" t="n">
        <v>1</v>
      </c>
      <c r="F20" s="16" t="n"/>
      <c r="G20" s="16" t="n"/>
      <c r="H20" s="16" t="n"/>
      <c r="I20" s="16" t="n"/>
      <c r="J20" s="16" t="n">
        <v>1</v>
      </c>
      <c r="K20" s="16" t="inlineStr">
        <is>
          <t>B115</t>
        </is>
      </c>
      <c r="L20" s="17" t="inlineStr">
        <is>
          <t>10.15</t>
        </is>
      </c>
      <c r="M20" s="17" t="inlineStr">
        <is>
          <t>20</t>
        </is>
      </c>
      <c r="N20" s="17" t="inlineStr">
        <is>
          <t>10.25</t>
        </is>
      </c>
      <c r="O20" s="17" t="inlineStr">
        <is>
          <t>10</t>
        </is>
      </c>
      <c r="P20" s="53" t="n">
        <v>70</v>
      </c>
      <c r="Q20" s="53" t="n">
        <v>0.2</v>
      </c>
      <c r="R20" s="53" t="n">
        <v>0.1</v>
      </c>
      <c r="S20" s="53" t="n">
        <v>0.7</v>
      </c>
    </row>
    <row r="21" ht="15" customHeight="1">
      <c r="A21" s="16" t="inlineStr">
        <is>
          <t>44762589N</t>
        </is>
      </c>
      <c r="B21" s="16" t="inlineStr">
        <is>
          <t>Sánchez López, Elena</t>
        </is>
      </c>
      <c r="C21" s="16" t="inlineStr">
        <is>
          <t>FUNCIONARIO</t>
        </is>
      </c>
      <c r="D21" s="16" t="n"/>
      <c r="E21" s="16" t="n"/>
      <c r="F21" s="16" t="n">
        <v>1</v>
      </c>
      <c r="G21" s="16" t="n">
        <v>1</v>
      </c>
      <c r="H21" s="16" t="n"/>
      <c r="I21" s="16" t="n"/>
      <c r="J21" s="16" t="n">
        <v>2</v>
      </c>
      <c r="K21" s="16" t="inlineStr">
        <is>
          <t>B142</t>
        </is>
      </c>
      <c r="L21" s="17" t="inlineStr">
        <is>
          <t>10.15</t>
        </is>
      </c>
      <c r="M21" s="17" t="inlineStr">
        <is>
          <t>10</t>
        </is>
      </c>
      <c r="N21" s="17" t="inlineStr">
        <is>
          <t>10.08</t>
        </is>
      </c>
      <c r="O21" s="17" t="inlineStr">
        <is>
          <t>50</t>
        </is>
      </c>
      <c r="P21" s="53" t="n">
        <v>40</v>
      </c>
      <c r="Q21" s="53" t="n">
        <v>0.2</v>
      </c>
      <c r="R21" s="53" t="n">
        <v>1</v>
      </c>
      <c r="S21" s="53" t="n">
        <v>0.8</v>
      </c>
    </row>
    <row r="22" ht="15" customHeight="1">
      <c r="A22" s="16" t="inlineStr">
        <is>
          <t>45273600D</t>
        </is>
      </c>
      <c r="B22" s="16" t="inlineStr">
        <is>
          <t>Yus Ramos, Francisco Benigno</t>
        </is>
      </c>
      <c r="C22" s="16" t="inlineStr">
        <is>
          <t>FUNCIONARIO</t>
        </is>
      </c>
      <c r="D22" s="16" t="n"/>
      <c r="E22" s="16" t="n"/>
      <c r="F22" s="16" t="n"/>
      <c r="G22" s="16" t="n"/>
      <c r="H22" s="16" t="n">
        <v>1</v>
      </c>
      <c r="I22" s="16" t="n"/>
      <c r="J22" s="16" t="n">
        <v>1</v>
      </c>
      <c r="K22" s="16" t="inlineStr">
        <is>
          <t>B116</t>
        </is>
      </c>
      <c r="L22" s="17" t="inlineStr">
        <is>
          <t>10.15</t>
        </is>
      </c>
      <c r="M22" s="17" t="inlineStr">
        <is>
          <t>50</t>
        </is>
      </c>
      <c r="N22" s="17" t="inlineStr"/>
      <c r="O22" s="17" t="inlineStr"/>
      <c r="P22" s="53" t="n">
        <v>50</v>
      </c>
      <c r="Q22" s="53" t="n">
        <v>0.5</v>
      </c>
      <c r="R22" s="53" t="n">
        <v>0</v>
      </c>
      <c r="S22" s="53" t="n">
        <v>0.5</v>
      </c>
    </row>
    <row r="23" ht="15" customHeight="1">
      <c r="A23" s="32" t="inlineStr">
        <is>
          <t>46085014Y</t>
        </is>
      </c>
      <c r="B23" s="32" t="inlineStr">
        <is>
          <t>Timofeeva Timofeev, Larissa</t>
        </is>
      </c>
      <c r="C23" s="33" t="inlineStr">
        <is>
          <t>FUNCIONARIO</t>
        </is>
      </c>
      <c r="D23" s="32" t="n">
        <v>1</v>
      </c>
      <c r="E23" s="32" t="n"/>
      <c r="F23" s="32" t="n"/>
      <c r="G23" s="32" t="n"/>
      <c r="H23" s="32" t="n"/>
      <c r="I23" s="32" t="n"/>
      <c r="J23" s="16" t="n">
        <v>1</v>
      </c>
      <c r="K23" s="16" t="inlineStr">
        <is>
          <t>B115</t>
        </is>
      </c>
      <c r="L23" s="17" t="inlineStr">
        <is>
          <t>10.15</t>
        </is>
      </c>
      <c r="M23" s="17" t="inlineStr">
        <is>
          <t>10</t>
        </is>
      </c>
      <c r="N23" s="17" t="inlineStr">
        <is>
          <t>10.23</t>
        </is>
      </c>
      <c r="O23" s="17" t="inlineStr">
        <is>
          <t>20</t>
        </is>
      </c>
      <c r="P23" s="53" t="n">
        <v>70</v>
      </c>
      <c r="Q23" s="53" t="n">
        <v>0.1</v>
      </c>
      <c r="R23" s="53" t="n">
        <v>0.2</v>
      </c>
      <c r="S23" s="53" t="n">
        <v>0.7</v>
      </c>
    </row>
    <row r="24" ht="15" customHeight="1">
      <c r="A24" s="16" t="inlineStr">
        <is>
          <t>48351663M</t>
        </is>
      </c>
      <c r="B24" s="16" t="inlineStr">
        <is>
          <t>Gallego Hernández, Daniel Emilio</t>
        </is>
      </c>
      <c r="C24" s="16" t="inlineStr">
        <is>
          <t>FUNCIONARIO</t>
        </is>
      </c>
      <c r="D24" s="16" t="n">
        <v>1</v>
      </c>
      <c r="E24" s="16" t="n"/>
      <c r="F24" s="16" t="n"/>
      <c r="G24" s="16" t="n"/>
      <c r="H24" s="16" t="n"/>
      <c r="I24" s="16" t="n"/>
      <c r="J24" s="16" t="n">
        <v>1</v>
      </c>
      <c r="K24" s="16" t="inlineStr">
        <is>
          <t>B172</t>
        </is>
      </c>
      <c r="L24" s="17" t="inlineStr">
        <is>
          <t>10.15</t>
        </is>
      </c>
      <c r="M24" s="17" t="inlineStr">
        <is>
          <t>10</t>
        </is>
      </c>
      <c r="N24" s="17" t="inlineStr"/>
      <c r="O24" s="17" t="inlineStr"/>
      <c r="P24" s="53" t="n">
        <v>90</v>
      </c>
      <c r="Q24" s="53" t="n">
        <v>0.1</v>
      </c>
      <c r="R24" s="53" t="n">
        <v>0</v>
      </c>
      <c r="S24" s="53" t="n">
        <v>0.9</v>
      </c>
    </row>
    <row r="25" ht="15" customHeight="1">
      <c r="A25" s="16" t="inlineStr">
        <is>
          <t>48355574Y</t>
        </is>
      </c>
      <c r="B25" s="16" t="inlineStr">
        <is>
          <t>Sanderson Pastor, John Douglas</t>
        </is>
      </c>
      <c r="C25" s="16" t="inlineStr">
        <is>
          <t>FUNCIONARIO</t>
        </is>
      </c>
      <c r="D25" s="16" t="n"/>
      <c r="E25" s="16" t="n"/>
      <c r="F25" s="16" t="n"/>
      <c r="G25" s="16" t="n"/>
      <c r="H25" s="16" t="n"/>
      <c r="I25" s="16" t="n">
        <v>1</v>
      </c>
      <c r="J25" s="16" t="n">
        <v>1</v>
      </c>
      <c r="K25" s="16" t="inlineStr">
        <is>
          <t>B116</t>
        </is>
      </c>
      <c r="L25" s="17" t="inlineStr">
        <is>
          <t>10.15</t>
        </is>
      </c>
      <c r="M25" s="17" t="inlineStr">
        <is>
          <t>10</t>
        </is>
      </c>
      <c r="N25" s="17" t="inlineStr"/>
      <c r="O25" s="17" t="inlineStr"/>
      <c r="P25" s="53" t="n">
        <v>90</v>
      </c>
      <c r="Q25" s="53" t="n">
        <v>0.1</v>
      </c>
      <c r="R25" s="53" t="n">
        <v>0</v>
      </c>
      <c r="S25" s="53" t="n">
        <v>0.9</v>
      </c>
    </row>
    <row r="26" ht="15" customHeight="1">
      <c r="A26" s="16" t="inlineStr">
        <is>
          <t>48364398K</t>
        </is>
      </c>
      <c r="B26" s="16" t="inlineStr">
        <is>
          <t>Iliescu Gheorghiu, Catalina Anca</t>
        </is>
      </c>
      <c r="C26" s="16" t="inlineStr">
        <is>
          <t>FUNCIONARIO</t>
        </is>
      </c>
      <c r="D26" s="16" t="n"/>
      <c r="E26" s="16" t="n"/>
      <c r="F26" s="16" t="n"/>
      <c r="G26" s="16" t="n"/>
      <c r="H26" s="16" t="n"/>
      <c r="I26" s="16" t="n">
        <v>1</v>
      </c>
      <c r="J26" s="16" t="n">
        <v>1</v>
      </c>
      <c r="K26" s="16" t="inlineStr">
        <is>
          <t>B172</t>
        </is>
      </c>
      <c r="L26" s="17" t="inlineStr">
        <is>
          <t>10.15</t>
        </is>
      </c>
      <c r="M26" s="17" t="inlineStr">
        <is>
          <t>10</t>
        </is>
      </c>
      <c r="N26" s="17" t="inlineStr"/>
      <c r="O26" s="17" t="inlineStr"/>
      <c r="P26" s="53" t="n">
        <v>90</v>
      </c>
      <c r="Q26" s="53" t="n">
        <v>0.1</v>
      </c>
      <c r="R26" s="53" t="n">
        <v>0</v>
      </c>
      <c r="S26" s="53" t="n">
        <v>0.9</v>
      </c>
    </row>
    <row r="27" ht="15" customHeight="1">
      <c r="A27" s="16" t="inlineStr">
        <is>
          <t>52747327R</t>
        </is>
      </c>
      <c r="B27" s="16" t="inlineStr">
        <is>
          <t>Ruiz Gurillo, Leonor</t>
        </is>
      </c>
      <c r="C27" s="16" t="inlineStr">
        <is>
          <t>FUNCIONARIO</t>
        </is>
      </c>
      <c r="D27" s="16" t="n"/>
      <c r="E27" s="16" t="n"/>
      <c r="F27" s="16" t="n"/>
      <c r="G27" s="16" t="n">
        <v>1</v>
      </c>
      <c r="H27" s="16" t="n"/>
      <c r="I27" s="16" t="n"/>
      <c r="J27" s="16" t="n">
        <v>1</v>
      </c>
      <c r="K27" s="16" t="inlineStr">
        <is>
          <t>B115</t>
        </is>
      </c>
      <c r="L27" s="17" t="inlineStr">
        <is>
          <t>10.15</t>
        </is>
      </c>
      <c r="M27" s="17" t="inlineStr">
        <is>
          <t>40</t>
        </is>
      </c>
      <c r="N27" s="17" t="inlineStr"/>
      <c r="O27" s="17" t="inlineStr"/>
      <c r="P27" s="53" t="n">
        <v>60</v>
      </c>
      <c r="Q27" s="53" t="n">
        <v>0.4</v>
      </c>
      <c r="R27" s="53" t="n">
        <v>0</v>
      </c>
      <c r="S27" s="53" t="n">
        <v>0.6</v>
      </c>
    </row>
    <row r="28" ht="15" customHeight="1">
      <c r="A28" s="16" t="inlineStr">
        <is>
          <t>52911805Y</t>
        </is>
      </c>
      <c r="B28" s="16" t="inlineStr">
        <is>
          <t>Montserrat Buendia, Sandra</t>
        </is>
      </c>
      <c r="C28" s="16" t="inlineStr">
        <is>
          <t>Vivos</t>
        </is>
      </c>
      <c r="D28" s="16" t="n"/>
      <c r="E28" s="16" t="n"/>
      <c r="F28" s="16" t="n"/>
      <c r="G28" s="16" t="n"/>
      <c r="H28" s="16" t="n"/>
      <c r="I28" s="16" t="n">
        <v>1</v>
      </c>
      <c r="J28" s="16" t="n">
        <v>1</v>
      </c>
      <c r="K28" s="16" t="inlineStr">
        <is>
          <t>B142</t>
        </is>
      </c>
      <c r="L28" s="17" t="inlineStr">
        <is>
          <t>10.15</t>
        </is>
      </c>
      <c r="M28" s="17" t="inlineStr">
        <is>
          <t>10</t>
        </is>
      </c>
      <c r="N28" s="17" t="inlineStr">
        <is>
          <t>10.08</t>
        </is>
      </c>
      <c r="O28" s="17" t="inlineStr">
        <is>
          <t>50</t>
        </is>
      </c>
      <c r="P28" s="53" t="n">
        <v>40</v>
      </c>
      <c r="Q28" s="53" t="n">
        <v>0.1</v>
      </c>
      <c r="R28" s="53" t="n">
        <v>0.5</v>
      </c>
      <c r="S28" s="53" t="n">
        <v>0.4</v>
      </c>
    </row>
    <row r="29" ht="15" customHeight="1">
      <c r="A29" s="16" t="inlineStr">
        <is>
          <t>74192819V</t>
        </is>
      </c>
      <c r="B29" s="16" t="inlineStr">
        <is>
          <t>Lillo Buades, Antonio</t>
        </is>
      </c>
      <c r="C29" s="16" t="inlineStr">
        <is>
          <t>FUNCIONARIO</t>
        </is>
      </c>
      <c r="D29" s="16" t="n"/>
      <c r="E29" s="16" t="n">
        <v>1</v>
      </c>
      <c r="F29" s="16" t="n"/>
      <c r="G29" s="16" t="n"/>
      <c r="H29" s="16" t="n"/>
      <c r="I29" s="16" t="n"/>
      <c r="J29" s="16" t="n">
        <v>1</v>
      </c>
      <c r="K29" s="16" t="inlineStr">
        <is>
          <t>B116</t>
        </is>
      </c>
      <c r="L29" s="17" t="inlineStr">
        <is>
          <t>10.15</t>
        </is>
      </c>
      <c r="M29" s="17" t="inlineStr">
        <is>
          <t>30</t>
        </is>
      </c>
      <c r="N29" s="17" t="inlineStr"/>
      <c r="O29" s="17" t="inlineStr"/>
      <c r="P29" s="53" t="n">
        <v>70</v>
      </c>
      <c r="Q29" s="53" t="n">
        <v>0.3</v>
      </c>
      <c r="R29" s="53" t="n">
        <v>0</v>
      </c>
      <c r="S29" s="53" t="n">
        <v>0.7</v>
      </c>
    </row>
    <row r="30" ht="15" customHeight="1">
      <c r="A30" s="16" t="inlineStr">
        <is>
          <t>74230456A</t>
        </is>
      </c>
      <c r="B30" s="16" t="inlineStr">
        <is>
          <t>Calvo Ferrer, José Ramón</t>
        </is>
      </c>
      <c r="C30" s="23" t="inlineStr">
        <is>
          <t>FUNCIONARIO</t>
        </is>
      </c>
      <c r="D30" s="16" t="n"/>
      <c r="E30" s="16" t="n"/>
      <c r="F30" s="16" t="n"/>
      <c r="G30" s="16" t="n">
        <v>2</v>
      </c>
      <c r="H30" s="16" t="n"/>
      <c r="I30" s="16" t="n"/>
      <c r="J30" s="16" t="n">
        <v>2</v>
      </c>
      <c r="K30" s="16" t="inlineStr">
        <is>
          <t>B116</t>
        </is>
      </c>
      <c r="L30" s="17" t="inlineStr">
        <is>
          <t>10.15</t>
        </is>
      </c>
      <c r="M30" s="17" t="inlineStr">
        <is>
          <t>50</t>
        </is>
      </c>
      <c r="N30" s="17" t="inlineStr"/>
      <c r="O30" s="17" t="inlineStr"/>
      <c r="P30" s="53" t="n">
        <v>50</v>
      </c>
      <c r="Q30" s="53" t="n">
        <v>1</v>
      </c>
      <c r="R30" s="53" t="n">
        <v>0</v>
      </c>
      <c r="S30" s="53" t="n">
        <v>1</v>
      </c>
    </row>
    <row r="31" ht="15" customHeight="1">
      <c r="A31" s="32" t="inlineStr">
        <is>
          <t>74242314Q</t>
        </is>
      </c>
      <c r="B31" s="32" t="inlineStr">
        <is>
          <t>Serrano Bertos, Elena</t>
        </is>
      </c>
      <c r="C31" s="33" t="inlineStr">
        <is>
          <t>NO FUNCIONARIO</t>
        </is>
      </c>
      <c r="D31" s="32" t="n"/>
      <c r="E31" s="32" t="n"/>
      <c r="F31" s="32" t="n"/>
      <c r="G31" s="32" t="n">
        <v>1</v>
      </c>
      <c r="H31" s="32" t="n"/>
      <c r="I31" s="32" t="n"/>
      <c r="J31" s="32" t="n">
        <v>1</v>
      </c>
      <c r="K31" s="16" t="inlineStr">
        <is>
          <t>B172</t>
        </is>
      </c>
      <c r="L31" s="34" t="inlineStr">
        <is>
          <t>10.15</t>
        </is>
      </c>
      <c r="M31" s="34" t="inlineStr">
        <is>
          <t>25</t>
        </is>
      </c>
      <c r="N31" s="34" t="inlineStr"/>
      <c r="O31" s="34" t="inlineStr"/>
      <c r="P31" s="54" t="n">
        <v>75</v>
      </c>
      <c r="Q31" s="54" t="n">
        <v>0.25</v>
      </c>
      <c r="R31" s="54" t="n">
        <v>0</v>
      </c>
      <c r="S31" s="54" t="n">
        <v>0.75</v>
      </c>
    </row>
    <row r="32" ht="15" customHeight="1">
      <c r="A32" s="32" t="inlineStr">
        <is>
          <t>76414567B</t>
        </is>
      </c>
      <c r="B32" s="32" t="inlineStr">
        <is>
          <t>Balteiro Fernández, María Isabel</t>
        </is>
      </c>
      <c r="C32" s="33" t="inlineStr">
        <is>
          <t>FUNCIONARIO</t>
        </is>
      </c>
      <c r="D32" s="32" t="n">
        <v>1</v>
      </c>
      <c r="E32" s="32" t="n"/>
      <c r="F32" s="32" t="n"/>
      <c r="G32" s="32" t="n"/>
      <c r="H32" s="32" t="n"/>
      <c r="I32" s="32" t="n"/>
      <c r="J32" s="32" t="n">
        <v>1</v>
      </c>
      <c r="K32" s="16" t="inlineStr">
        <is>
          <t>B116</t>
        </is>
      </c>
      <c r="L32" s="34" t="inlineStr">
        <is>
          <t>10.15</t>
        </is>
      </c>
      <c r="M32" s="34" t="inlineStr">
        <is>
          <t>20</t>
        </is>
      </c>
      <c r="N32" s="34" t="inlineStr">
        <is>
          <t>10.23</t>
        </is>
      </c>
      <c r="O32" s="34" t="inlineStr">
        <is>
          <t>20</t>
        </is>
      </c>
      <c r="P32" s="54" t="n">
        <v>60</v>
      </c>
      <c r="Q32" s="54" t="n">
        <v>0.2</v>
      </c>
      <c r="R32" s="54" t="n">
        <v>0.2</v>
      </c>
      <c r="S32" s="54" t="n">
        <v>0.6</v>
      </c>
    </row>
    <row r="33" ht="15" customHeight="1">
      <c r="A33" s="16" t="inlineStr">
        <is>
          <t>77718607C</t>
        </is>
      </c>
      <c r="B33" s="16" t="inlineStr">
        <is>
          <t>Soto Almela, Jorge</t>
        </is>
      </c>
      <c r="C33" s="23" t="inlineStr">
        <is>
          <t>FUNCIONARIO</t>
        </is>
      </c>
      <c r="D33" s="16" t="n"/>
      <c r="E33" s="16" t="n"/>
      <c r="F33" s="16" t="n"/>
      <c r="G33" s="16" t="n"/>
      <c r="H33" s="16" t="n"/>
      <c r="I33" s="16" t="n">
        <v>2</v>
      </c>
      <c r="J33" s="16" t="n">
        <v>2</v>
      </c>
      <c r="K33" s="16" t="inlineStr">
        <is>
          <t>B116</t>
        </is>
      </c>
      <c r="L33" s="34" t="inlineStr">
        <is>
          <t>10.15</t>
        </is>
      </c>
      <c r="M33" s="34" t="inlineStr">
        <is>
          <t>20</t>
        </is>
      </c>
      <c r="N33" s="34" t="inlineStr"/>
      <c r="O33" s="34" t="inlineStr"/>
      <c r="P33" s="54" t="n">
        <v>80</v>
      </c>
      <c r="Q33" s="54" t="n">
        <v>0.4</v>
      </c>
      <c r="R33" s="54" t="n">
        <v>0</v>
      </c>
      <c r="S33" s="54" t="n">
        <v>1.6</v>
      </c>
    </row>
    <row r="34" ht="15" customHeight="1">
      <c r="A34" s="16" t="inlineStr">
        <is>
          <t>79101713K</t>
        </is>
      </c>
      <c r="B34" s="16" t="inlineStr">
        <is>
          <t>Guardiola Savall, Maria Isabel</t>
        </is>
      </c>
      <c r="C34" s="16" t="inlineStr">
        <is>
          <t>FUNCIONARIO</t>
        </is>
      </c>
      <c r="D34" s="16" t="n"/>
      <c r="E34" s="16" t="n"/>
      <c r="F34" s="16" t="n"/>
      <c r="G34" s="16" t="n"/>
      <c r="H34" s="16" t="n">
        <v>1</v>
      </c>
      <c r="I34" s="16" t="n"/>
      <c r="J34" s="16" t="n">
        <v>1</v>
      </c>
      <c r="K34" s="16" t="inlineStr">
        <is>
          <t>B142</t>
        </is>
      </c>
      <c r="L34" s="17" t="inlineStr">
        <is>
          <t>10.15</t>
        </is>
      </c>
      <c r="M34" s="17" t="inlineStr">
        <is>
          <t>10</t>
        </is>
      </c>
      <c r="N34" s="17" t="inlineStr">
        <is>
          <t>10.08</t>
        </is>
      </c>
      <c r="O34" s="17" t="inlineStr">
        <is>
          <t>50</t>
        </is>
      </c>
      <c r="P34" s="53" t="n">
        <v>40</v>
      </c>
      <c r="Q34" s="53" t="n">
        <v>0.1</v>
      </c>
      <c r="R34" s="53" t="n">
        <v>0.5</v>
      </c>
      <c r="S34" s="53" t="n">
        <v>0.4</v>
      </c>
    </row>
    <row r="35" ht="15" customHeight="1">
      <c r="A35" s="16" t="inlineStr">
        <is>
          <t>05150725J</t>
        </is>
      </c>
      <c r="B35" s="16" t="inlineStr">
        <is>
          <t>Cifuentes Honrubia, José Luis</t>
        </is>
      </c>
      <c r="C35" s="16" t="inlineStr">
        <is>
          <t>FUNCIONARIO</t>
        </is>
      </c>
      <c r="D35" s="16" t="n"/>
      <c r="E35" s="16" t="n"/>
      <c r="F35" s="16" t="n"/>
      <c r="G35" s="16" t="n">
        <v>1</v>
      </c>
      <c r="H35" s="16" t="n"/>
      <c r="I35" s="16" t="n"/>
      <c r="J35" s="16" t="n">
        <v>1</v>
      </c>
      <c r="K35" s="16" t="inlineStr">
        <is>
          <t>B115</t>
        </is>
      </c>
      <c r="L35" s="17" t="inlineStr">
        <is>
          <t>10.25</t>
        </is>
      </c>
      <c r="M35" s="17" t="inlineStr">
        <is>
          <t>30</t>
        </is>
      </c>
      <c r="N35" s="17" t="inlineStr">
        <is>
          <t>10.15</t>
        </is>
      </c>
      <c r="O35" s="17" t="inlineStr">
        <is>
          <t>10</t>
        </is>
      </c>
      <c r="P35" s="53" t="n">
        <v>60</v>
      </c>
      <c r="Q35" s="53" t="n">
        <v>0.3</v>
      </c>
      <c r="R35" s="53" t="n">
        <v>0.1</v>
      </c>
      <c r="S35" s="53" t="n">
        <v>0.6</v>
      </c>
    </row>
    <row r="36" ht="15" customHeight="1">
      <c r="A36" s="16" t="inlineStr">
        <is>
          <t>20033585X</t>
        </is>
      </c>
      <c r="B36" s="16" t="inlineStr">
        <is>
          <t>Montes Fernández, Antonia</t>
        </is>
      </c>
      <c r="C36" s="16" t="inlineStr">
        <is>
          <t>FUNCIONARIO</t>
        </is>
      </c>
      <c r="D36" s="16" t="n"/>
      <c r="E36" s="16" t="n"/>
      <c r="F36" s="16" t="n"/>
      <c r="G36" s="16" t="n">
        <v>1</v>
      </c>
      <c r="H36" s="16" t="n"/>
      <c r="I36" s="16" t="n"/>
      <c r="J36" s="16" t="n">
        <v>1</v>
      </c>
      <c r="K36" s="16" t="inlineStr">
        <is>
          <t>B172</t>
        </is>
      </c>
      <c r="L36" s="17" t="inlineStr">
        <is>
          <t>10.23</t>
        </is>
      </c>
      <c r="M36" s="17" t="inlineStr">
        <is>
          <t>20</t>
        </is>
      </c>
      <c r="N36" s="17" t="inlineStr">
        <is>
          <t>10.15</t>
        </is>
      </c>
      <c r="O36" s="17" t="inlineStr">
        <is>
          <t>10</t>
        </is>
      </c>
      <c r="P36" s="53" t="n">
        <v>70</v>
      </c>
      <c r="Q36" s="53" t="n">
        <v>0.2</v>
      </c>
      <c r="R36" s="53" t="n">
        <v>0.1</v>
      </c>
      <c r="S36" s="53" t="n">
        <v>0.7</v>
      </c>
    </row>
    <row r="37" ht="15" customHeight="1">
      <c r="A37" s="16" t="inlineStr">
        <is>
          <t>21417486R</t>
        </is>
      </c>
      <c r="B37" s="16" t="inlineStr">
        <is>
          <t>Sirvent Ramos, María Ángeles</t>
        </is>
      </c>
      <c r="C37" s="16" t="inlineStr">
        <is>
          <t>FUNCIONARIO</t>
        </is>
      </c>
      <c r="D37" s="16" t="n"/>
      <c r="E37" s="16" t="n"/>
      <c r="F37" s="16" t="n"/>
      <c r="G37" s="16" t="n"/>
      <c r="H37" s="16" t="n"/>
      <c r="I37" s="16" t="n">
        <v>1</v>
      </c>
      <c r="J37" s="16" t="n">
        <v>1</v>
      </c>
      <c r="K37" s="16" t="inlineStr">
        <is>
          <t>B114</t>
        </is>
      </c>
      <c r="L37" s="17" t="inlineStr">
        <is>
          <t>10.23</t>
        </is>
      </c>
      <c r="M37" s="17" t="inlineStr">
        <is>
          <t>20</t>
        </is>
      </c>
      <c r="N37" s="17" t="inlineStr">
        <is>
          <t>10.15</t>
        </is>
      </c>
      <c r="O37" s="17" t="inlineStr">
        <is>
          <t>10</t>
        </is>
      </c>
      <c r="P37" s="53" t="n">
        <v>70</v>
      </c>
      <c r="Q37" s="53" t="n">
        <v>0.2</v>
      </c>
      <c r="R37" s="53" t="n">
        <v>0.1</v>
      </c>
      <c r="S37" s="53" t="n">
        <v>0.7</v>
      </c>
    </row>
    <row r="38" ht="15" customHeight="1">
      <c r="A38" s="16" t="inlineStr">
        <is>
          <t>21442493F</t>
        </is>
      </c>
      <c r="B38" s="16" t="inlineStr">
        <is>
          <t>Marimón Llorca, María del Carmen</t>
        </is>
      </c>
      <c r="C38" s="16" t="inlineStr">
        <is>
          <t>FUNCIONARIO</t>
        </is>
      </c>
      <c r="D38" s="16" t="n"/>
      <c r="E38" s="16" t="n"/>
      <c r="F38" s="16" t="n"/>
      <c r="G38" s="16" t="n">
        <v>1</v>
      </c>
      <c r="H38" s="16" t="n"/>
      <c r="I38" s="16" t="n"/>
      <c r="J38" s="16" t="n">
        <v>1</v>
      </c>
      <c r="K38" s="16" t="inlineStr">
        <is>
          <t>B115</t>
        </is>
      </c>
      <c r="L38" s="17" t="inlineStr">
        <is>
          <t>10.23</t>
        </is>
      </c>
      <c r="M38" s="17" t="inlineStr">
        <is>
          <t>10</t>
        </is>
      </c>
      <c r="N38" s="17" t="inlineStr">
        <is>
          <t>10.15</t>
        </is>
      </c>
      <c r="O38" s="17" t="inlineStr">
        <is>
          <t>10</t>
        </is>
      </c>
      <c r="P38" s="53" t="n">
        <v>80</v>
      </c>
      <c r="Q38" s="53" t="n">
        <v>0.1</v>
      </c>
      <c r="R38" s="53" t="n">
        <v>0.1</v>
      </c>
      <c r="S38" s="53" t="n">
        <v>0.8</v>
      </c>
    </row>
    <row r="39" ht="15" customHeight="1">
      <c r="A39" s="16" t="inlineStr">
        <is>
          <t>22128337Z</t>
        </is>
      </c>
      <c r="B39" s="16" t="inlineStr">
        <is>
          <t>Corbi Saez, Maria Isabel</t>
        </is>
      </c>
      <c r="C39" s="16" t="inlineStr">
        <is>
          <t>FUNCIONARIO</t>
        </is>
      </c>
      <c r="D39" s="16" t="n"/>
      <c r="E39" s="16" t="n"/>
      <c r="F39" s="16" t="n"/>
      <c r="G39" s="16" t="n"/>
      <c r="H39" s="16" t="n"/>
      <c r="I39" s="16" t="n">
        <v>1</v>
      </c>
      <c r="J39" s="16" t="n">
        <v>1</v>
      </c>
      <c r="K39" s="16" t="inlineStr">
        <is>
          <t>B114</t>
        </is>
      </c>
      <c r="L39" s="17" t="inlineStr">
        <is>
          <t>10.23</t>
        </is>
      </c>
      <c r="M39" s="17" t="inlineStr">
        <is>
          <t>20</t>
        </is>
      </c>
      <c r="N39" s="17" t="inlineStr">
        <is>
          <t>10.15</t>
        </is>
      </c>
      <c r="O39" s="17" t="inlineStr">
        <is>
          <t>10</t>
        </is>
      </c>
      <c r="P39" s="53" t="n">
        <v>70</v>
      </c>
      <c r="Q39" s="53" t="n">
        <v>0.2</v>
      </c>
      <c r="R39" s="53" t="n">
        <v>0.1</v>
      </c>
      <c r="S39" s="53" t="n">
        <v>0.7</v>
      </c>
    </row>
    <row r="40" ht="15" customHeight="1">
      <c r="A40" s="16" t="inlineStr">
        <is>
          <t>25128914B</t>
        </is>
      </c>
      <c r="B40" s="16" t="inlineStr">
        <is>
          <t>Santamaría Pérez, Mª Isabel</t>
        </is>
      </c>
      <c r="C40" s="23" t="inlineStr">
        <is>
          <t>FUNCIONARIO</t>
        </is>
      </c>
      <c r="D40" s="16" t="n"/>
      <c r="E40" s="16" t="n"/>
      <c r="F40" s="16" t="n"/>
      <c r="G40" s="16" t="n"/>
      <c r="H40" s="16" t="n"/>
      <c r="I40" s="16" t="n">
        <v>1</v>
      </c>
      <c r="J40" s="16" t="n">
        <v>1</v>
      </c>
      <c r="K40" s="16" t="inlineStr">
        <is>
          <t>B115</t>
        </is>
      </c>
      <c r="L40" s="17" t="inlineStr">
        <is>
          <t>10.23</t>
        </is>
      </c>
      <c r="M40" s="17" t="inlineStr">
        <is>
          <t>20</t>
        </is>
      </c>
      <c r="N40" s="17" t="inlineStr">
        <is>
          <t>10.15</t>
        </is>
      </c>
      <c r="O40" s="17" t="inlineStr">
        <is>
          <t>10</t>
        </is>
      </c>
      <c r="P40" s="53" t="n">
        <v>70</v>
      </c>
      <c r="Q40" s="53" t="n">
        <v>0.2</v>
      </c>
      <c r="R40" s="53" t="n">
        <v>0.1</v>
      </c>
      <c r="S40" s="53" t="n">
        <v>0.7</v>
      </c>
    </row>
    <row r="41" ht="15" customHeight="1">
      <c r="A41" s="16" t="inlineStr">
        <is>
          <t>26226014B</t>
        </is>
      </c>
      <c r="B41" s="16" t="inlineStr">
        <is>
          <t>Martínez Lirola, María</t>
        </is>
      </c>
      <c r="C41" s="23" t="inlineStr">
        <is>
          <t>FUNCIONARIO</t>
        </is>
      </c>
      <c r="D41" s="16" t="n"/>
      <c r="E41" s="16" t="n"/>
      <c r="F41" s="16" t="n">
        <v>1</v>
      </c>
      <c r="G41" s="16" t="n"/>
      <c r="H41" s="16" t="n"/>
      <c r="I41" s="16" t="n"/>
      <c r="J41" s="16" t="n">
        <v>1</v>
      </c>
      <c r="K41" s="16" t="inlineStr">
        <is>
          <t>B116</t>
        </is>
      </c>
      <c r="L41" s="34" t="inlineStr">
        <is>
          <t>10.23</t>
        </is>
      </c>
      <c r="M41" s="34" t="inlineStr">
        <is>
          <t>20</t>
        </is>
      </c>
      <c r="N41" s="34" t="inlineStr">
        <is>
          <t>10.15</t>
        </is>
      </c>
      <c r="O41" s="34" t="inlineStr">
        <is>
          <t>10</t>
        </is>
      </c>
      <c r="P41" s="54" t="n">
        <v>70</v>
      </c>
      <c r="Q41" s="54" t="n">
        <v>0.2</v>
      </c>
      <c r="R41" s="54" t="n">
        <v>0.1</v>
      </c>
      <c r="S41" s="54" t="n">
        <v>0.7</v>
      </c>
    </row>
    <row r="42" ht="15" customHeight="1">
      <c r="A42" s="16" t="inlineStr">
        <is>
          <t>48669570Y</t>
        </is>
      </c>
      <c r="B42" s="16" t="inlineStr">
        <is>
          <t>Garcia Sebastià, Josep Vicent</t>
        </is>
      </c>
      <c r="C42" s="23" t="inlineStr">
        <is>
          <t>NO FUNCIONARIO</t>
        </is>
      </c>
      <c r="D42" s="16" t="n"/>
      <c r="E42" s="16" t="n"/>
      <c r="F42" s="16" t="n"/>
      <c r="G42" s="16" t="n"/>
      <c r="H42" s="16" t="n"/>
      <c r="I42" s="16" t="n">
        <v>1</v>
      </c>
      <c r="J42" s="16" t="n">
        <v>1</v>
      </c>
      <c r="K42" s="16" t="inlineStr">
        <is>
          <t>B142</t>
        </is>
      </c>
      <c r="L42" s="34" t="inlineStr">
        <is>
          <t>10.08</t>
        </is>
      </c>
      <c r="M42" s="34" t="inlineStr">
        <is>
          <t>50</t>
        </is>
      </c>
      <c r="N42" s="34" t="inlineStr">
        <is>
          <t>10.15</t>
        </is>
      </c>
      <c r="O42" s="34" t="inlineStr">
        <is>
          <t>10</t>
        </is>
      </c>
      <c r="P42" s="54" t="n">
        <v>40</v>
      </c>
      <c r="Q42" s="54" t="n">
        <v>0.5</v>
      </c>
      <c r="R42" s="54" t="n">
        <v>0.1</v>
      </c>
      <c r="S42" s="54" t="n">
        <v>0.4</v>
      </c>
    </row>
    <row r="43" ht="15" customHeight="1">
      <c r="A43" s="16" t="inlineStr">
        <is>
          <t>48719167S</t>
        </is>
      </c>
      <c r="B43" s="16" t="inlineStr">
        <is>
          <t>Martínez Martínez, Caterina</t>
        </is>
      </c>
      <c r="C43" s="23" t="inlineStr">
        <is>
          <t>NO FUNCIONARIO</t>
        </is>
      </c>
      <c r="D43" s="16" t="n"/>
      <c r="E43" s="16" t="n"/>
      <c r="F43" s="16" t="n"/>
      <c r="G43" s="16" t="n"/>
      <c r="H43" s="16" t="n"/>
      <c r="I43" s="16" t="n">
        <v>1</v>
      </c>
      <c r="J43" s="16" t="n">
        <v>1</v>
      </c>
      <c r="K43" s="16" t="inlineStr">
        <is>
          <t>B142</t>
        </is>
      </c>
      <c r="L43" s="34" t="inlineStr">
        <is>
          <t>10.08</t>
        </is>
      </c>
      <c r="M43" s="34" t="inlineStr">
        <is>
          <t>50</t>
        </is>
      </c>
      <c r="N43" s="34" t="inlineStr">
        <is>
          <t>10.15</t>
        </is>
      </c>
      <c r="O43" s="34" t="inlineStr">
        <is>
          <t>10</t>
        </is>
      </c>
      <c r="P43" s="54" t="n">
        <v>40</v>
      </c>
      <c r="Q43" s="54" t="n">
        <v>0.5</v>
      </c>
      <c r="R43" s="54" t="n">
        <v>0.1</v>
      </c>
      <c r="S43" s="54" t="n">
        <v>0.4</v>
      </c>
    </row>
    <row r="44" ht="15" customHeight="1">
      <c r="A44" s="16" t="inlineStr">
        <is>
          <t>49625619Z</t>
        </is>
      </c>
      <c r="B44" s="16" t="inlineStr">
        <is>
          <t>Sánchez Fajardo, José Antonio</t>
        </is>
      </c>
      <c r="C44" s="23" t="inlineStr">
        <is>
          <t>FUNCIONARIO</t>
        </is>
      </c>
      <c r="D44" s="16" t="n"/>
      <c r="E44" s="16" t="n"/>
      <c r="F44" s="16" t="n"/>
      <c r="G44" s="16" t="n">
        <v>1</v>
      </c>
      <c r="H44" s="16" t="n"/>
      <c r="I44" s="16" t="n"/>
      <c r="J44" s="16" t="n">
        <v>1</v>
      </c>
      <c r="K44" s="16" t="inlineStr">
        <is>
          <t>B116</t>
        </is>
      </c>
      <c r="L44" s="34" t="inlineStr">
        <is>
          <t>10.25</t>
        </is>
      </c>
      <c r="M44" s="34" t="inlineStr">
        <is>
          <t>20</t>
        </is>
      </c>
      <c r="N44" s="34" t="inlineStr">
        <is>
          <t>10.15</t>
        </is>
      </c>
      <c r="O44" s="34" t="inlineStr">
        <is>
          <t>20</t>
        </is>
      </c>
      <c r="P44" s="54" t="n">
        <v>60</v>
      </c>
      <c r="Q44" s="54" t="n">
        <v>0.2</v>
      </c>
      <c r="R44" s="54" t="n">
        <v>0.2</v>
      </c>
      <c r="S44" s="54" t="n">
        <v>0.6</v>
      </c>
    </row>
    <row r="45" ht="15" customHeight="1">
      <c r="A45" s="16" t="inlineStr">
        <is>
          <t>53240328C</t>
        </is>
      </c>
      <c r="B45" s="16" t="inlineStr">
        <is>
          <t>Rodríguez Lifante, Alberto</t>
        </is>
      </c>
      <c r="C45" s="23" t="inlineStr">
        <is>
          <t>FUNCIONARIO</t>
        </is>
      </c>
      <c r="D45" s="16" t="n"/>
      <c r="E45" s="16" t="n"/>
      <c r="F45" s="16" t="n"/>
      <c r="G45" s="16" t="n"/>
      <c r="H45" s="16" t="n"/>
      <c r="I45" s="16" t="n">
        <v>2</v>
      </c>
      <c r="J45" s="16" t="n">
        <v>2</v>
      </c>
      <c r="K45" s="16" t="inlineStr">
        <is>
          <t>B115</t>
        </is>
      </c>
      <c r="L45" s="34" t="inlineStr">
        <is>
          <t>10.22</t>
        </is>
      </c>
      <c r="M45" s="34" t="inlineStr">
        <is>
          <t>40</t>
        </is>
      </c>
      <c r="N45" s="34" t="inlineStr">
        <is>
          <t>10.15</t>
        </is>
      </c>
      <c r="O45" s="34" t="inlineStr">
        <is>
          <t>20</t>
        </is>
      </c>
      <c r="P45" s="54" t="n">
        <v>40</v>
      </c>
      <c r="Q45" s="54" t="n">
        <v>0.8</v>
      </c>
      <c r="R45" s="54" t="n">
        <v>0.4</v>
      </c>
      <c r="S45" s="54" t="n">
        <v>0.8</v>
      </c>
    </row>
    <row r="46" ht="15" customHeight="1">
      <c r="A46" s="35" t="n"/>
      <c r="B46" s="35" t="n"/>
      <c r="C46" s="36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71">
        <f>SUM(R35:R45,Q2:Q34)</f>
        <v/>
      </c>
      <c r="R46" s="72" t="n"/>
      <c r="S46" s="35" t="n"/>
    </row>
  </sheetData>
  <mergeCells count="1">
    <mergeCell ref="Q46:R46"/>
  </mergeCells>
  <pageMargins left="0.3937007874015748" right="0.3937007874015748" top="0.3937007874015748" bottom="0.3937007874015748" header="0.3149606299212598" footer="0.3149606299212598"/>
  <pageSetup orientation="landscape" paperSize="9" scale="92" fitToHeight="2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0"/>
  <sheetViews>
    <sheetView topLeftCell="A55" workbookViewId="0">
      <selection activeCell="G26" sqref="G26"/>
    </sheetView>
  </sheetViews>
  <sheetFormatPr baseColWidth="10" defaultRowHeight="15"/>
  <cols>
    <col width="17" customWidth="1" min="1" max="1"/>
    <col width="73.42578125" customWidth="1" min="2" max="2"/>
    <col width="16" customWidth="1" min="3" max="3"/>
  </cols>
  <sheetData>
    <row r="1">
      <c r="A1" s="40" t="inlineStr">
        <is>
          <t>Cód. org. aplic.</t>
        </is>
      </c>
      <c r="B1" s="40" t="inlineStr">
        <is>
          <t>Descripción justificante</t>
        </is>
      </c>
      <c r="C1" s="40" t="inlineStr">
        <is>
          <t>Imp.cob.aplic.</t>
        </is>
      </c>
    </row>
    <row r="2">
      <c r="A2" s="29" t="inlineStr">
        <is>
          <t>41.20.6C.00.10</t>
        </is>
      </c>
      <c r="B2" s="29" t="inlineStr">
        <is>
          <t>Traducción del texto "coinmotion-quaterly-report-Q2-2022", de una longitud de 3478 palabras.</t>
        </is>
      </c>
      <c r="C2" s="73" t="n">
        <v>260.15</v>
      </c>
    </row>
    <row r="3">
      <c r="A3" s="30" t="inlineStr">
        <is>
          <t>41.20.6C.00.11</t>
        </is>
      </c>
      <c r="B3" s="30" t="inlineStr">
        <is>
          <t>Segundo pago establecido en el Covenio firmado con la Universidad de Alicante para la cofinanciaciónn conducente a una tesis doctoral para la realización del proyecto "Análisis del discurso biomédico: La difusión oral y escrita de textos sobre reproducción asisitida a través de Internet y redes sociales"</t>
        </is>
      </c>
      <c r="C3" s="74" t="n">
        <v>6000</v>
      </c>
    </row>
    <row r="4">
      <c r="A4" s="29" t="inlineStr">
        <is>
          <t>41.20.6C.00.11</t>
        </is>
      </c>
      <c r="B4" s="29" t="inlineStr">
        <is>
          <t>Tercer pago establecido en el Convenio firmado entre IVF-SPAIN ALICANTE, S.L. y la Universidad de Alicante para la cofinanciación conducente a una tesis doctoral para la realización del proyecto "Análisis del discurso biomédico: La difusión oral y escrita de textos sobre reproducción asistida a través de Internet y redes sociales".</t>
        </is>
      </c>
      <c r="C4" s="73" t="n">
        <v>6000</v>
      </c>
    </row>
    <row r="5">
      <c r="A5" s="30" t="inlineStr">
        <is>
          <t>41.20.6C.00.12</t>
        </is>
      </c>
      <c r="B5" s="30" t="inlineStr">
        <is>
          <t>TRADUCCION DEL TEXTO "COINMOTION -QUARTERLY-REPORT-Q3-2022"</t>
        </is>
      </c>
      <c r="C5" s="74" t="n">
        <v>212.8</v>
      </c>
    </row>
    <row r="6">
      <c r="A6" s="29" t="inlineStr">
        <is>
          <t>41.20.6C.00.13</t>
        </is>
      </c>
      <c r="B6" s="29" t="inlineStr">
        <is>
          <t xml:space="preserve">FACTURACIÓ AL SI DEL CONTRACTE KIOBUS1-23A, DESEMBRE DE 2023 </t>
        </is>
      </c>
      <c r="C6" s="73" t="n">
        <v>31680</v>
      </c>
    </row>
    <row r="7">
      <c r="A7" s="30" t="inlineStr">
        <is>
          <t>41.20.6G.00.11</t>
        </is>
      </c>
      <c r="B7" s="30" t="inlineStr">
        <is>
          <t>Inscripción Carmen Valero Garcés, al 2º Congreso Internacional de Lingüística Digital</t>
        </is>
      </c>
      <c r="C7" s="74" t="n">
        <v>70</v>
      </c>
    </row>
    <row r="8">
      <c r="A8" s="29" t="inlineStr">
        <is>
          <t>41.20.6G.00.11</t>
        </is>
      </c>
      <c r="B8" s="29" t="inlineStr">
        <is>
          <t>lInscripción por asistencia y participación al "2º Congreso Internacional de Lingüística Digital (CILIDI)" de Elena Domínguez Romero.</t>
        </is>
      </c>
      <c r="C8" s="73" t="n">
        <v>70</v>
      </c>
    </row>
    <row r="9">
      <c r="A9" s="30" t="inlineStr">
        <is>
          <t>41.20.6G.00.11</t>
        </is>
      </c>
      <c r="B9" s="30" t="inlineStr">
        <is>
          <t>Inscripción por asistencia y participación del "2º Congreso Internacional de Lingüística Digital (CILIDI)" de Kristina S. Despot.</t>
        </is>
      </c>
      <c r="C9" s="74" t="n">
        <v>90</v>
      </c>
    </row>
    <row r="10">
      <c r="A10" s="29" t="inlineStr">
        <is>
          <t>41.20.6G.00.11</t>
        </is>
      </c>
      <c r="B10" s="29" t="inlineStr">
        <is>
          <t>Inscripción Katrin Herget, al congreso Internacional de Lingüística Digital</t>
        </is>
      </c>
      <c r="C10" s="73" t="n">
        <v>70</v>
      </c>
    </row>
    <row r="11">
      <c r="A11" s="30" t="inlineStr">
        <is>
          <t>41.20.6G.00.11</t>
        </is>
      </c>
      <c r="B11" s="30" t="inlineStr">
        <is>
          <t>Inscripción por asistencia y participación al "2º Congreso Internacional de Lingüística Digital (CILIDI)" de Alicia Ricart Vayá.</t>
        </is>
      </c>
      <c r="C11" s="74" t="n">
        <v>70</v>
      </c>
    </row>
    <row r="12">
      <c r="A12" s="29" t="inlineStr">
        <is>
          <t>41.20.6G.00.11</t>
        </is>
      </c>
      <c r="B12" s="29" t="inlineStr">
        <is>
          <t xml:space="preserve">Liquid_03_JyC_CILIDI_ </t>
        </is>
      </c>
      <c r="C12" s="73" t="n">
        <v>2160</v>
      </c>
    </row>
    <row r="13">
      <c r="A13" s="30" t="inlineStr">
        <is>
          <t>41.20.6G.00.11</t>
        </is>
      </c>
      <c r="B13" s="30" t="inlineStr">
        <is>
          <t>Inscripción por asistencia y participación al "2º Congreso Internacional de Lingüística Digital (CILIDI)" de Alejandro López Lizana</t>
        </is>
      </c>
      <c r="C13" s="74" t="n">
        <v>70</v>
      </c>
    </row>
    <row r="14">
      <c r="A14" s="29" t="inlineStr">
        <is>
          <t>41.20.6G.00.11</t>
        </is>
      </c>
      <c r="B14" s="29" t="inlineStr">
        <is>
          <t>Inscripción por asistencia y participación al "2º Congreso Internacional de Lingüística Digital (CILIDI)" de Lobel Filipic.</t>
        </is>
      </c>
      <c r="C14" s="73" t="n">
        <v>90</v>
      </c>
    </row>
    <row r="15">
      <c r="A15" s="30" t="inlineStr">
        <is>
          <t>41.20.6G.00.11</t>
        </is>
      </c>
      <c r="B15" s="30" t="inlineStr">
        <is>
          <t>Inscripción de Antonio Hermán- Carvajal al 2º Congreso Internacional de Lingüística Digital</t>
        </is>
      </c>
      <c r="C15" s="74" t="n">
        <v>70</v>
      </c>
    </row>
    <row r="16">
      <c r="A16" s="29" t="inlineStr">
        <is>
          <t>41.20.6G.00.11</t>
        </is>
      </c>
      <c r="B16" s="29" t="inlineStr">
        <is>
          <t>Inscripción de Carmen Moreno Romero al 2º Congreso Internacional de Lingüística Digital</t>
        </is>
      </c>
      <c r="C16" s="73" t="n">
        <v>70</v>
      </c>
    </row>
    <row r="17">
      <c r="A17" s="30" t="inlineStr">
        <is>
          <t>41.20.6G.00.11</t>
        </is>
      </c>
      <c r="B17" s="30" t="inlineStr">
        <is>
          <t>Inscripción de Mar Díaz Millón al 2ª Congreso Internacional de Lingüística Digital</t>
        </is>
      </c>
      <c r="C17" s="74" t="n">
        <v>70</v>
      </c>
    </row>
    <row r="18">
      <c r="A18" s="29" t="inlineStr">
        <is>
          <t>41.20.6G.00.11</t>
        </is>
      </c>
      <c r="B18" s="29" t="inlineStr">
        <is>
          <t>LIQUID_05 Inscripciones CILIDI II CONGRESO INT. LINGÜÍSTICA DIGITAL</t>
        </is>
      </c>
      <c r="C18" s="73" t="n">
        <v>120</v>
      </c>
    </row>
    <row r="19">
      <c r="A19" s="30" t="inlineStr">
        <is>
          <t>41.20.6G.00.11</t>
        </is>
      </c>
      <c r="B19" s="30" t="inlineStr">
        <is>
          <t>Inscripción de Martina Kienberger al 2º Congreso Internacional de LIngüística Digital.</t>
        </is>
      </c>
      <c r="C19" s="74" t="n">
        <v>70</v>
      </c>
    </row>
    <row r="20">
      <c r="A20" s="29" t="inlineStr">
        <is>
          <t>41.20.6G.00.11</t>
        </is>
      </c>
      <c r="B20" s="29" t="inlineStr">
        <is>
          <t xml:space="preserve">Inscripción de Vicente Bru García, al  2º Congreso Internacional de Lingüística Digital  </t>
        </is>
      </c>
      <c r="C20" s="73" t="n">
        <v>70</v>
      </c>
    </row>
    <row r="21">
      <c r="A21" s="30" t="inlineStr">
        <is>
          <t>41.20.6G.00.11</t>
        </is>
      </c>
      <c r="B21" s="30" t="inlineStr">
        <is>
          <t xml:space="preserve">Liquid_06_JyC_CILIDI_ </t>
        </is>
      </c>
      <c r="C21" s="74" t="n">
        <v>50</v>
      </c>
    </row>
    <row r="22">
      <c r="A22" s="29" t="inlineStr">
        <is>
          <t>41.20.6G.00.11</t>
        </is>
      </c>
      <c r="B22" s="29" t="inlineStr">
        <is>
          <t>LIQUID_07 JyC Inscripciones CILIDI II CONGRESO INT. LINGÜÍSTICA DIGITAL</t>
        </is>
      </c>
      <c r="C22" s="73" t="n">
        <v>90</v>
      </c>
    </row>
    <row r="23">
      <c r="A23" s="30" t="inlineStr">
        <is>
          <t>41.20.6G.00.11</t>
        </is>
      </c>
      <c r="B23" s="30" t="inlineStr">
        <is>
          <t>Inscripción Isabel Briales Bellón al 2ºCongreso Internacional de Lingüística Digital</t>
        </is>
      </c>
      <c r="C23" s="74" t="n">
        <v>70</v>
      </c>
    </row>
    <row r="24">
      <c r="A24" s="29" t="inlineStr">
        <is>
          <t>41.20.6G.00.11</t>
        </is>
      </c>
      <c r="B24" s="29" t="inlineStr">
        <is>
          <t>Inscripción Silvia Toribio, al 2º Congreso Internacional de Lingüística Digital</t>
        </is>
      </c>
      <c r="C24" s="73" t="n">
        <v>70</v>
      </c>
    </row>
    <row r="25">
      <c r="A25" s="30" t="inlineStr">
        <is>
          <t>41.20.6G.00.11</t>
        </is>
      </c>
      <c r="B25" s="30" t="inlineStr">
        <is>
          <t>Inscripcion de Miguel Luis Poveda Balbuena al 2º Congreso Internacional de Lingüística Digital</t>
        </is>
      </c>
      <c r="C25" s="74" t="n">
        <v>90</v>
      </c>
    </row>
    <row r="26">
      <c r="A26" s="29" t="inlineStr">
        <is>
          <t>41.20.6G.00.11</t>
        </is>
      </c>
      <c r="B26" s="29" t="inlineStr">
        <is>
          <t>Inscripción por asistencia y participación al "2º Congreso Internacional de Lingüística Digital (CILIDI)" de Marta Carretero.</t>
        </is>
      </c>
      <c r="C26" s="73" t="n">
        <v>70</v>
      </c>
    </row>
    <row r="27">
      <c r="A27" s="30" t="inlineStr">
        <is>
          <t>41.20.6G.00.11</t>
        </is>
      </c>
      <c r="B27" s="30" t="inlineStr">
        <is>
          <t>Inscripción de Cristina Alvaro Aranda al 2º Congreso Internacional de Lingüìstica Digital</t>
        </is>
      </c>
      <c r="C27" s="74" t="n">
        <v>70</v>
      </c>
    </row>
    <row r="28">
      <c r="A28" s="29" t="inlineStr">
        <is>
          <t>41.20.6G.00.11</t>
        </is>
      </c>
      <c r="B28" s="29" t="inlineStr">
        <is>
          <t>Inscripción de Raquel Lázaro Gutiérrez al 2º Congreso Internacional de Lingüìstica Digital</t>
        </is>
      </c>
      <c r="C28" s="73" t="n">
        <v>70</v>
      </c>
    </row>
    <row r="29">
      <c r="A29" s="30" t="inlineStr">
        <is>
          <t>41.20.6G.00.11</t>
        </is>
      </c>
      <c r="B29" s="30" t="inlineStr">
        <is>
          <t xml:space="preserve">Liquid_02_JyC_CILIDI_ </t>
        </is>
      </c>
      <c r="C29" s="74" t="n">
        <v>1300</v>
      </c>
    </row>
    <row r="30">
      <c r="A30" s="29" t="inlineStr">
        <is>
          <t>41.20.6G.00.11</t>
        </is>
      </c>
      <c r="B30" s="29" t="inlineStr">
        <is>
          <t xml:space="preserve">Liquid_01_JyC_CILIDI_ </t>
        </is>
      </c>
      <c r="C30" s="73" t="n">
        <v>210</v>
      </c>
    </row>
    <row r="31">
      <c r="A31" s="30" t="inlineStr">
        <is>
          <t>41.20.6G.00.11</t>
        </is>
      </c>
      <c r="B31" s="30" t="inlineStr">
        <is>
          <t>Liquid_10_JyC_CILIDI_</t>
        </is>
      </c>
      <c r="C31" s="74" t="n">
        <v>20</v>
      </c>
    </row>
    <row r="32">
      <c r="A32" s="29" t="inlineStr">
        <is>
          <t>41.20.6G.00.11</t>
        </is>
      </c>
      <c r="B32" s="29" t="inlineStr">
        <is>
          <t>Liquid_09_JyC_CILIDI_</t>
        </is>
      </c>
      <c r="C32" s="73" t="n">
        <v>100</v>
      </c>
    </row>
    <row r="33">
      <c r="A33" s="30" t="inlineStr">
        <is>
          <t>41.20.6G.00.11</t>
        </is>
      </c>
      <c r="B33" s="30" t="inlineStr">
        <is>
          <t>Liquid_08_JyC_CILIDI _TPV_</t>
        </is>
      </c>
      <c r="C33" s="74" t="n">
        <v>90</v>
      </c>
    </row>
    <row r="34">
      <c r="A34" s="29" t="inlineStr">
        <is>
          <t>41.20.6G.00.11</t>
        </is>
      </c>
      <c r="B34" s="29" t="inlineStr">
        <is>
          <t>DEVOLUCIÓN DE INGRESO DE INSCRIPCIÓN AL CILIDI II CONGRESO INT. LINGÜÍSTICA DIGITAL DEBIDO A DUPLICIDAD EN EL PAGO DE LA MISMA. JI: 20230000000002489</t>
        </is>
      </c>
      <c r="C34" s="73" t="n">
        <v>-120</v>
      </c>
    </row>
    <row r="35">
      <c r="A35" s="30" t="inlineStr">
        <is>
          <t>41.20.6G.00.11</t>
        </is>
      </c>
      <c r="B35" s="30" t="inlineStr">
        <is>
          <t>Inscripción de Elena Alcade Peñalver al 2º Congreso Internacional de Lingüìstica Digital</t>
        </is>
      </c>
      <c r="C35" s="74" t="n">
        <v>70</v>
      </c>
    </row>
    <row r="36">
      <c r="A36" s="29" t="inlineStr">
        <is>
          <t>41.20.6G.00.11</t>
        </is>
      </c>
      <c r="B36" s="29" t="inlineStr">
        <is>
          <t>DEVOLUCIÓN DE INGRESOS _LIQUID_07 JyC Inscripciones CILIDI II CONGRESO INT. LINGÜÍSTICA DIGITAL</t>
        </is>
      </c>
      <c r="C36" s="73" t="n">
        <v>-90</v>
      </c>
    </row>
    <row r="37">
      <c r="A37" s="30" t="inlineStr">
        <is>
          <t>41.20.6G.00.11</t>
        </is>
      </c>
      <c r="B37" s="30" t="inlineStr">
        <is>
          <t>Inscripción de Rodrigo Muñoz Cabrera, al 2º Congreso Internacional de Lingüística Digital. Registration of Rodrigo Muñoz Cabrera, at the 2nd International Congress on Digital Linguistics</t>
        </is>
      </c>
      <c r="C37" s="74" t="n">
        <v>70</v>
      </c>
    </row>
    <row r="38">
      <c r="A38" s="29" t="inlineStr">
        <is>
          <t>41.20.6G.00.11</t>
        </is>
      </c>
      <c r="B38" s="29" t="inlineStr">
        <is>
          <t>Inscripción de Ivana Brac, al 2º Congreso Internacional de Lingüística Digital</t>
        </is>
      </c>
      <c r="C38" s="73" t="n">
        <v>90</v>
      </c>
    </row>
    <row r="39">
      <c r="A39" s="30" t="inlineStr">
        <is>
          <t>41.20.6G.00.11</t>
        </is>
      </c>
      <c r="B39" s="30" t="inlineStr">
        <is>
          <t xml:space="preserve">Liquid_04_JyC_CILIDI_ </t>
        </is>
      </c>
      <c r="C39" s="74" t="n">
        <v>4360</v>
      </c>
    </row>
    <row r="40">
      <c r="A40" s="29" t="inlineStr">
        <is>
          <t>41.20.6G.00.11</t>
        </is>
      </c>
      <c r="B40" s="29" t="inlineStr">
        <is>
          <t>Inscripción Alexandra Santamaria Urbieta al 2º Congreso Internacional de Lingüística Digital</t>
        </is>
      </c>
      <c r="C40" s="73" t="n">
        <v>70</v>
      </c>
    </row>
    <row r="41">
      <c r="A41" s="30" t="inlineStr">
        <is>
          <t>41.20.6G.00.11</t>
        </is>
      </c>
      <c r="B41" s="30" t="inlineStr">
        <is>
          <t>Inscripción Carmen Pena Diaz, al 2º Congreso Internacional de Lingüística Digital</t>
        </is>
      </c>
      <c r="C41" s="74" t="n">
        <v>70</v>
      </c>
    </row>
    <row r="42">
      <c r="A42" s="29" t="inlineStr">
        <is>
          <t>41.20.6G.00.11</t>
        </is>
      </c>
      <c r="B42" s="29" t="inlineStr">
        <is>
          <t>Inscripción de Irene Rivera Trigueros, al 2º Congreso Internacional de Lingüística Digital</t>
        </is>
      </c>
      <c r="C42" s="73" t="n">
        <v>70</v>
      </c>
    </row>
    <row r="43">
      <c r="A43" s="30" t="inlineStr">
        <is>
          <t>41.20.6G.00.11</t>
        </is>
      </c>
      <c r="B43" s="30" t="inlineStr">
        <is>
          <t>Inscripción por asistencia y participación en el "2º Congreso Internacional de Lingüística Digital (CILIDI)" de Daniel Martín González.</t>
        </is>
      </c>
      <c r="C43" s="74" t="n">
        <v>70</v>
      </c>
    </row>
    <row r="44">
      <c r="A44" s="29" t="inlineStr">
        <is>
          <t>41.20.6G.00.11</t>
        </is>
      </c>
      <c r="B44" s="29" t="inlineStr">
        <is>
          <t>Inscripción por asistencia y participación del "2º Congreso Internacional de Lingüística Digital (CILIDI)" de Miguel Ángel Candel Mora.</t>
        </is>
      </c>
      <c r="C44" s="73" t="n">
        <v>120</v>
      </c>
    </row>
    <row r="45">
      <c r="A45" s="30" t="inlineStr">
        <is>
          <t>41.20.6G.00.12</t>
        </is>
      </c>
      <c r="B45" s="30" t="inlineStr">
        <is>
          <t xml:space="preserve">Liquid_01_JyC_ICEBFIT_  </t>
        </is>
      </c>
      <c r="C45" s="74" t="n">
        <v>650</v>
      </c>
    </row>
    <row r="46">
      <c r="A46" s="29" t="inlineStr">
        <is>
          <t>41.20.6G.00.12</t>
        </is>
      </c>
      <c r="B46" s="29" t="inlineStr">
        <is>
          <t xml:space="preserve">Liquid_04_JyC_ICEBFIT_  </t>
        </is>
      </c>
      <c r="C46" s="73" t="n">
        <v>475</v>
      </c>
    </row>
    <row r="47">
      <c r="A47" s="30" t="inlineStr">
        <is>
          <t>41.20.6G.00.12</t>
        </is>
      </c>
      <c r="B47" s="30" t="inlineStr">
        <is>
          <t>Inscripción por asistencia y participación al congreso ICEBFIT 2023 de Iolanda Galanes Santos</t>
        </is>
      </c>
      <c r="C47" s="74" t="n">
        <v>100</v>
      </c>
    </row>
    <row r="48">
      <c r="A48" s="29" t="inlineStr">
        <is>
          <t>41.20.6G.00.12</t>
        </is>
      </c>
      <c r="B48" s="29" t="inlineStr">
        <is>
          <t>Inscripción de María de los Angeles Morón Martín al V Congreso Internacional de traducción económica, comercial, financiera institucional</t>
        </is>
      </c>
      <c r="C48" s="73" t="n">
        <v>150</v>
      </c>
    </row>
    <row r="49">
      <c r="A49" s="30" t="inlineStr">
        <is>
          <t>41.20.6G.00.12</t>
        </is>
      </c>
      <c r="B49" s="30" t="inlineStr">
        <is>
          <t>Inscripción de  Shiguang Hong al V Congreso Internacional de traducción económica, comercial, financiera institucional</t>
        </is>
      </c>
      <c r="C49" s="74" t="n">
        <v>100</v>
      </c>
    </row>
    <row r="50">
      <c r="A50" s="29" t="inlineStr">
        <is>
          <t>41.20.6G.00.12</t>
        </is>
      </c>
      <c r="B50" s="29" t="inlineStr">
        <is>
          <t>Inscripción de Christiane Brüggemann al V Congreso Internacional de traducción económica, comercial, financiera institucional</t>
        </is>
      </c>
      <c r="C50" s="73" t="n">
        <v>50</v>
      </c>
    </row>
    <row r="51">
      <c r="A51" s="30" t="inlineStr">
        <is>
          <t>41.20.6G.00.12</t>
        </is>
      </c>
      <c r="B51" s="30" t="inlineStr">
        <is>
          <t>Inscripción por asistencia y participación del congreso ICEBFIT 2023 de Rana Sayed Roshdy Ibrahim</t>
        </is>
      </c>
      <c r="C51" s="74" t="n">
        <v>100</v>
      </c>
    </row>
    <row r="52">
      <c r="A52" s="29" t="inlineStr">
        <is>
          <t>41.20.6G.00.12</t>
        </is>
      </c>
      <c r="B52" s="29" t="inlineStr">
        <is>
          <t>Inscripción por asistencia y participación para el congreso ICEBFIT 2023 de Áurea Fernández Rodríguez</t>
        </is>
      </c>
      <c r="C52" s="73" t="n">
        <v>100</v>
      </c>
    </row>
    <row r="53">
      <c r="A53" s="30" t="inlineStr">
        <is>
          <t>41.20.6G.00.12</t>
        </is>
      </c>
      <c r="B53" s="30" t="inlineStr">
        <is>
          <t>Inscripción por asistencia y participación al congreso ICEBFIT 2023 de Leticia Moreno Pérez</t>
        </is>
      </c>
      <c r="C53" s="74" t="n">
        <v>100</v>
      </c>
    </row>
    <row r="54">
      <c r="A54" s="29" t="inlineStr">
        <is>
          <t>41.20.6G.00.12</t>
        </is>
      </c>
      <c r="B54" s="29" t="inlineStr">
        <is>
          <t>Inscripción de Karina Socorro Trujillo al V Congreso Internacional de traducción económica, comercial, financiera institucional, con fecha de celebración 28 y 29 de junio de 203</t>
        </is>
      </c>
      <c r="C54" s="73" t="n">
        <v>150</v>
      </c>
    </row>
    <row r="55">
      <c r="A55" s="30" t="inlineStr">
        <is>
          <t>41.20.6G.00.12</t>
        </is>
      </c>
      <c r="B55" s="30" t="inlineStr">
        <is>
          <t>Inscripción asistencia y participación congreso ICEBFIT 2023 de María Azahara Veroz González</t>
        </is>
      </c>
      <c r="C55" s="74" t="n">
        <v>100</v>
      </c>
    </row>
    <row r="56">
      <c r="A56" s="29" t="inlineStr">
        <is>
          <t>41.20.6G.00.12</t>
        </is>
      </c>
      <c r="B56" s="29" t="inlineStr">
        <is>
          <t>Inscripción ponencia ICEBFIT 2023 de Carmen Torrella Gutiérrez.</t>
        </is>
      </c>
      <c r="C56" s="73" t="n">
        <v>100</v>
      </c>
    </row>
    <row r="57">
      <c r="A57" s="30" t="inlineStr">
        <is>
          <t>41.20.6G.00.12</t>
        </is>
      </c>
      <c r="B57" s="30" t="inlineStr">
        <is>
          <t xml:space="preserve">Liquid_03_JyC_ICEBFIT_  </t>
        </is>
      </c>
      <c r="C57" s="74" t="n">
        <v>2650</v>
      </c>
    </row>
    <row r="58">
      <c r="A58" s="29" t="inlineStr">
        <is>
          <t>41.20.6G.00.12</t>
        </is>
      </c>
      <c r="B58" s="29" t="inlineStr">
        <is>
          <t xml:space="preserve">Liquid_02_JyC_ICEBFIT_  </t>
        </is>
      </c>
      <c r="C58" s="73" t="n">
        <v>740</v>
      </c>
    </row>
    <row r="59">
      <c r="A59" s="30" t="inlineStr">
        <is>
          <t>41.20.6G.00.12</t>
        </is>
      </c>
      <c r="B59" s="30" t="inlineStr">
        <is>
          <t>Inscripción asistencia y participación congreso ICEBFIT 2023 de Marina Gil Aranda</t>
        </is>
      </c>
      <c r="C59" s="74" t="n">
        <v>100</v>
      </c>
    </row>
    <row r="60">
      <c r="A60" s="29" t="inlineStr">
        <is>
          <t>41.20.6G.00.12</t>
        </is>
      </c>
      <c r="B60" s="29" t="inlineStr">
        <is>
          <t>Inscripción asistencia y participación congreso ICEBFIT 2023 de Francisco J. Vigier Moreno</t>
        </is>
      </c>
      <c r="C60" s="73" t="n">
        <v>100</v>
      </c>
    </row>
    <row r="61">
      <c r="A61" s="30" t="inlineStr">
        <is>
          <t>41.20.6G.00.12</t>
        </is>
      </c>
      <c r="B61" s="30" t="inlineStr">
        <is>
          <t>Inscripción de Maria Eugenia  Lourenco al V Congreso Internacional de tradución económica, comercial, financiera institucional</t>
        </is>
      </c>
      <c r="C61" s="74" t="n">
        <v>75</v>
      </c>
    </row>
    <row r="62">
      <c r="A62" s="29" t="inlineStr">
        <is>
          <t>41.20.6G.00.12</t>
        </is>
      </c>
      <c r="B62" s="29" t="inlineStr">
        <is>
          <t>Liquid_06_JyC_ICEBFIT</t>
        </is>
      </c>
      <c r="C62" s="73" t="n">
        <v>225</v>
      </c>
    </row>
    <row r="63">
      <c r="A63" s="30" t="inlineStr">
        <is>
          <t>41.20.6G.00.12</t>
        </is>
      </c>
      <c r="B63" s="30" t="inlineStr">
        <is>
          <t>Inscripción de Maria Pilar Castillo Bernal al V Congreso Internacional de traducció económicia, comercial, financiera institucional</t>
        </is>
      </c>
      <c r="C63" s="74" t="n">
        <v>100</v>
      </c>
    </row>
    <row r="64">
      <c r="A64" s="29" t="inlineStr">
        <is>
          <t>41.20.6G.00.12</t>
        </is>
      </c>
      <c r="B64" s="29" t="inlineStr">
        <is>
          <t>Inscripción Noelia Berná Vicente, al V Congreso Internacional de traducción económica, financiera institucional</t>
        </is>
      </c>
      <c r="C64" s="73" t="n">
        <v>75</v>
      </c>
    </row>
    <row r="65">
      <c r="A65" s="30" t="inlineStr">
        <is>
          <t>41.20.6G.00.12</t>
        </is>
      </c>
      <c r="B65" s="30" t="inlineStr">
        <is>
          <t>Inscripción de Antje Beth, al V Congreso Internacional de traducción económica, comercial, financiera Institucional</t>
        </is>
      </c>
      <c r="C65" s="74" t="n">
        <v>75</v>
      </c>
    </row>
    <row r="66">
      <c r="A66" s="29" t="inlineStr">
        <is>
          <t>41.20.6G.00.12</t>
        </is>
      </c>
      <c r="B66" s="29" t="inlineStr">
        <is>
          <t xml:space="preserve">Liquid_05_JyC_ICEBFIT_ </t>
        </is>
      </c>
      <c r="C66" s="73" t="n">
        <v>525</v>
      </c>
    </row>
    <row r="67">
      <c r="A67" s="30" t="inlineStr">
        <is>
          <t>41.20.6G.00.12</t>
        </is>
      </c>
      <c r="B67" s="30" t="inlineStr">
        <is>
          <t xml:space="preserve">Devolución inscripción 100€_JyC_ICEBFIT_Silvana Teresa Debonis  </t>
        </is>
      </c>
      <c r="C67" s="74" t="n">
        <v>-100</v>
      </c>
    </row>
    <row r="68">
      <c r="A68" s="29" t="inlineStr">
        <is>
          <t>41.20.6G.00.12</t>
        </is>
      </c>
      <c r="B68" s="29" t="inlineStr">
        <is>
          <t>Liquid_08_JyC_ICEBFIT</t>
        </is>
      </c>
      <c r="C68" s="73" t="n">
        <v>825</v>
      </c>
    </row>
    <row r="69">
      <c r="A69" s="30" t="inlineStr">
        <is>
          <t>41.20.6G.00.12</t>
        </is>
      </c>
      <c r="B69" s="30" t="inlineStr">
        <is>
          <t>Liquid_09_JyC_ICEBFIT</t>
        </is>
      </c>
      <c r="C69" s="74" t="n">
        <v>100</v>
      </c>
    </row>
    <row r="70">
      <c r="A70" s="29" t="inlineStr">
        <is>
          <t>41.20.6G.00.12</t>
        </is>
      </c>
      <c r="B70" s="29" t="inlineStr">
        <is>
          <t>Inscripción por asistencia y participación al congreso ICEBFIT 2023 de Elisa Calvo Encinas.</t>
        </is>
      </c>
      <c r="C70" s="73" t="n">
        <v>100</v>
      </c>
    </row>
    <row r="71">
      <c r="A71" s="30" t="inlineStr">
        <is>
          <t>41.20.6G.00.12</t>
        </is>
      </c>
      <c r="B71" s="30" t="inlineStr">
        <is>
          <t>Inscripción de Blanca Hernández Pardo, al V Congreso Internacional de traducción económica, comercial, financiera institucional (ICEBFIT)</t>
        </is>
      </c>
      <c r="C71" s="74" t="n">
        <v>60</v>
      </c>
    </row>
    <row r="72">
      <c r="A72" s="29" t="inlineStr">
        <is>
          <t>41.20.6P.00.03</t>
        </is>
      </c>
      <c r="B72" s="29" t="inlineStr">
        <is>
          <t xml:space="preserve">PID2019-104980GB-I00/107265GB-I00/108192GB-I00/109627GB-I00/111208GB-I00/105542RB-I00/106230RB-I00/106601RB-I00 </t>
        </is>
      </c>
      <c r="C72" s="73" t="n">
        <v>13184</v>
      </c>
    </row>
    <row r="73">
      <c r="A73" s="30" t="inlineStr">
        <is>
          <t>41.20.6P.00.04</t>
        </is>
      </c>
      <c r="B73" s="30" t="inlineStr">
        <is>
          <t xml:space="preserve">PID2019-104980GB-I00/107265GB-I00/108192GB-I00/109627GB-I00/111208GB-I00/105542RB-I00/106230RB-I00/106601RB-I00 </t>
        </is>
      </c>
      <c r="C73" s="74" t="n">
        <v>13184</v>
      </c>
    </row>
    <row r="74">
      <c r="A74" s="29" t="inlineStr">
        <is>
          <t>41.20.6P.00.06</t>
        </is>
      </c>
      <c r="B74" s="29" t="inlineStr">
        <is>
          <t xml:space="preserve">PROMETEO/2020/093/006/017/024/030/055/057/073/079/088 </t>
        </is>
      </c>
      <c r="C74" s="73" t="n">
        <v>78833.52</v>
      </c>
    </row>
    <row r="75">
      <c r="A75" s="30" t="inlineStr">
        <is>
          <t>41.20.6P.00.08</t>
        </is>
      </c>
      <c r="B75" s="30" t="inlineStr">
        <is>
          <t>DEVOLUCIÓN DE INGRESOS_MODELO 047_CIACO 2021 EN 2022_Nº de liquidación:46/2023/RAS/10205/1 047/_Número de justificante:047/1/002362793_Nº de referencia:047/1/002362793</t>
        </is>
      </c>
      <c r="C75" s="74" t="n">
        <v>-8696.85</v>
      </c>
    </row>
    <row r="76">
      <c r="A76" s="29" t="inlineStr">
        <is>
          <t>41.20.6P.00.08</t>
        </is>
      </c>
      <c r="B76" s="29" t="inlineStr">
        <is>
          <t xml:space="preserve">CIAICO/2021/019/074/124/158/167/173/221/279/305/328/335/339/345/348 </t>
        </is>
      </c>
      <c r="C76" s="73" t="n">
        <v>22757</v>
      </c>
    </row>
    <row r="77">
      <c r="A77" s="30" t="inlineStr">
        <is>
          <t>41.20.6P.00.09</t>
        </is>
      </c>
      <c r="B77" s="30" t="inlineStr">
        <is>
          <t xml:space="preserve">TED2021-131324B-C22, TED2021-131641B-C43, TED2021-130040B-C21, TED2021-129272B-C22, TED2021-130908B-C44, TED2021-130890B-C21 </t>
        </is>
      </c>
      <c r="C77" s="74" t="n">
        <v>61250</v>
      </c>
    </row>
    <row r="78">
      <c r="A78" s="41" t="inlineStr">
        <is>
          <t>41.20.6P.00.10</t>
        </is>
      </c>
      <c r="B78" s="41" t="inlineStr">
        <is>
          <t xml:space="preserve">AYUDAS CIAORG/2022/45, CIAORG/2022/15, CIAORG/2022/44, CIAORG/2022/140, CIAORG/2022/89, CIAORG/2022/10, CIAORG/2022/115, CIAORG/2022/27, CIAORG/2022/117, CIAORG/2022/128, CIAORG/2022/83, CIAORG/2022/74, CIAORG/2022/125 </t>
        </is>
      </c>
      <c r="C78" s="75" t="n">
        <v>7500</v>
      </c>
    </row>
    <row r="79" customFormat="1" s="45">
      <c r="A79" s="43" t="inlineStr">
        <is>
          <t>Total</t>
        </is>
      </c>
      <c r="B79" s="43" t="n"/>
      <c r="C79" s="76">
        <f>SUBTOTAL(109,Tabla2[Imp.cob.aplic.])</f>
        <v/>
      </c>
    </row>
    <row r="80">
      <c r="C80" s="7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6"/>
  <sheetViews>
    <sheetView topLeftCell="A78" workbookViewId="0">
      <selection activeCell="B100" sqref="B100:C100"/>
    </sheetView>
  </sheetViews>
  <sheetFormatPr baseColWidth="10" defaultRowHeight="15"/>
  <cols>
    <col width="12" customWidth="1" min="1" max="1"/>
    <col width="68.5703125" customWidth="1" min="2" max="2"/>
    <col width="13.140625" customWidth="1" min="3" max="3"/>
  </cols>
  <sheetData>
    <row r="1">
      <c r="A1" s="48" t="inlineStr">
        <is>
          <t>Org. aplic.</t>
        </is>
      </c>
      <c r="B1" s="48" t="inlineStr">
        <is>
          <t>Descripción justificante</t>
        </is>
      </c>
      <c r="C1" s="78" t="inlineStr">
        <is>
          <t>Imp. aplic.</t>
        </is>
      </c>
    </row>
    <row r="2">
      <c r="A2" s="46" t="inlineStr">
        <is>
          <t>41.20.6C.00.11</t>
        </is>
      </c>
      <c r="B2" s="46" t="inlineStr">
        <is>
          <t>Cuarto pago establecido en el Convenio firmado entre IVF-SPAIN ALICANTE, S.L. y la Universidad de Alicante para la cofinanciación conducente a una tesis doctoral para la realización del proyecto "Análisis del discurso biomédico: La difusión oral y escrita de textos sobre reproducción asistida a través de Internet y redes sociales".</t>
        </is>
      </c>
      <c r="C2" s="73" t="n">
        <v>6000</v>
      </c>
    </row>
    <row r="3">
      <c r="A3" s="47" t="inlineStr">
        <is>
          <t>41.20.6C.00.13</t>
        </is>
      </c>
      <c r="B3" s="47" t="inlineStr">
        <is>
          <t>FACTURACIÓ AL SI DEL CONTRACTE KIOBUS1-23A, DESEMBRE DE 2024</t>
        </is>
      </c>
      <c r="C3" s="74" t="n">
        <v>39600</v>
      </c>
    </row>
    <row r="4">
      <c r="A4" s="46" t="inlineStr">
        <is>
          <t>41.20.6C.00.14</t>
        </is>
      </c>
      <c r="B4" s="46" t="inlineStr">
        <is>
          <t>TRADUCCIÓN DE CONTENIDOS FACILITADOS PARA EL VIDEOJUEGO «BOOKYPOWER».</t>
        </is>
      </c>
      <c r="C4" s="73" t="n">
        <v>839.86</v>
      </c>
    </row>
    <row r="5">
      <c r="A5" s="47" t="inlineStr">
        <is>
          <t>41.20.6C.00.15</t>
        </is>
      </c>
      <c r="B5" s="47" t="inlineStr">
        <is>
          <t>Localización a 6 idiomas (Inglés, Francés, Portugués, Chino, Japonés y Alemán), para el "Desarrollo de un videojuego Sandbox "BAMBAS!" para plataformas PC en Unity para el fomento de la cultura urbana a través de experiencias multisensoriales</t>
        </is>
      </c>
      <c r="C5" s="74" t="n">
        <v>2640</v>
      </c>
    </row>
    <row r="6">
      <c r="A6" s="46" t="inlineStr">
        <is>
          <t>41.20.6G.00.11</t>
        </is>
      </c>
      <c r="B6" s="46" t="inlineStr">
        <is>
          <t>Pago por segunda cuota de inscripción al 2º Congreso Internacional de Lingüística Digital (CILIDI) de Alicia Ricart Vayá.</t>
        </is>
      </c>
      <c r="C6" s="73" t="n">
        <v>90</v>
      </c>
    </row>
    <row r="7">
      <c r="A7" s="47" t="inlineStr">
        <is>
          <t>41.20.6G.00.11</t>
        </is>
      </c>
      <c r="B7" s="47" t="inlineStr">
        <is>
          <t>Pago por segunda cuota de inscripción a 2º Congreso Internacional de Lingüística Digital (CILIDI) de Ricardo Casañ Pitarch.</t>
        </is>
      </c>
      <c r="C7" s="74" t="n">
        <v>90</v>
      </c>
    </row>
    <row r="8">
      <c r="A8" s="46" t="inlineStr">
        <is>
          <t>41.20.6G.00.11</t>
        </is>
      </c>
      <c r="B8" s="46" t="inlineStr">
        <is>
          <t>Liq_JyC_2024_10_CILIDI _TPV</t>
        </is>
      </c>
      <c r="C8" s="73" t="n">
        <v>1255.74</v>
      </c>
    </row>
    <row r="9">
      <c r="A9" s="47" t="inlineStr">
        <is>
          <t>41.20.6G.00.11</t>
        </is>
      </c>
      <c r="B9" s="47" t="inlineStr">
        <is>
          <t>Liq_JyC_2024__CILIDI_12__2ª Congreso Internacional de Lingüìstica Digital (CILIDI) recibo MARIA ANGELES GOMEZ GONZALEZ</t>
        </is>
      </c>
      <c r="C9" s="74" t="n">
        <v>90</v>
      </c>
    </row>
    <row r="10">
      <c r="A10" s="46" t="inlineStr">
        <is>
          <t>41.20.6G.00.11</t>
        </is>
      </c>
      <c r="B10" s="46" t="inlineStr">
        <is>
          <t>Liq_JyC_2024__CILIDI_11__2ª Congreso Internacional de Lingüìstica Digital (CILIDI)</t>
        </is>
      </c>
      <c r="C10" s="73" t="n">
        <v>535.2</v>
      </c>
    </row>
    <row r="11">
      <c r="A11" s="47" t="inlineStr">
        <is>
          <t>41.20.6G.00.13</t>
        </is>
      </c>
      <c r="B11" s="47" t="inlineStr">
        <is>
          <t>Liq_JyC_2024__CIHV_2024_01__II Congreso Internacional sobre el Humor Verbal (CIHV 2024)</t>
        </is>
      </c>
      <c r="C11" s="74" t="n">
        <v>817.45</v>
      </c>
    </row>
    <row r="12">
      <c r="A12" s="46" t="inlineStr">
        <is>
          <t>41.20.6G.00.13</t>
        </is>
      </c>
      <c r="B12" s="46" t="inlineStr">
        <is>
          <t>Liq_JyC_2024__CIHV_2024_02__II Congreso Internacional sobre el Humor Verbal (CIHV 2024)</t>
        </is>
      </c>
      <c r="C12" s="73" t="n">
        <v>933.42</v>
      </c>
    </row>
    <row r="13">
      <c r="A13" s="47" t="inlineStr">
        <is>
          <t>41.20.6G.00.13</t>
        </is>
      </c>
      <c r="B13" s="47" t="inlineStr">
        <is>
          <t>Pago de inscripción de Aranzazu Quintana San José al Congreso CIHV 2024. Tarifa comunicante estudiante (1er período de inscripción).</t>
        </is>
      </c>
      <c r="C13" s="74" t="n">
        <v>100</v>
      </c>
    </row>
    <row r="14">
      <c r="A14" s="46" t="inlineStr">
        <is>
          <t>41.20.6G.00.13</t>
        </is>
      </c>
      <c r="B14" s="46" t="inlineStr">
        <is>
          <t>Pago de inscripción de Carmen Maiz Arévalo al Congreso CIHV 2024. Tarifa:  Comunicante (1er período de inscripción).</t>
        </is>
      </c>
      <c r="C14" s="73" t="n">
        <v>160</v>
      </c>
    </row>
    <row r="15">
      <c r="A15" s="47" t="inlineStr">
        <is>
          <t>41.20.6G.00.13</t>
        </is>
      </c>
      <c r="B15" s="47" t="inlineStr">
        <is>
          <t>Pago de inscripción de Celia Lozano Pérez al Congreso CIHV 2024. Tarifa:  Comunicante estudiante (1er período de inscripción).</t>
        </is>
      </c>
      <c r="C15" s="74" t="n">
        <v>100</v>
      </c>
    </row>
    <row r="16">
      <c r="A16" s="46" t="inlineStr">
        <is>
          <t>41.20.6G.00.13</t>
        </is>
      </c>
      <c r="B16" s="46" t="inlineStr">
        <is>
          <t>Pago de inscripción de Jorge Braga Riera al Congreso CIHV 2024. Tarifa:  Comunicante (1er período de inscripción).</t>
        </is>
      </c>
      <c r="C16" s="73" t="n">
        <v>160</v>
      </c>
    </row>
    <row r="17">
      <c r="A17" s="47" t="inlineStr">
        <is>
          <t>41.20.6G.00.13</t>
        </is>
      </c>
      <c r="B17" s="47" t="inlineStr">
        <is>
          <t>Pago de inscripción de Mª del Mar Suárez Vilagran al Congreso CIHV 2024. Tarifa:  Comunicante (1er período de inscripción).</t>
        </is>
      </c>
      <c r="C17" s="74" t="n">
        <v>160</v>
      </c>
    </row>
    <row r="18">
      <c r="A18" s="46" t="inlineStr">
        <is>
          <t>41.20.6G.00.13</t>
        </is>
      </c>
      <c r="B18" s="46" t="inlineStr">
        <is>
          <t>Pago de inscripción de Mª Carmen García Manga al Congreso CIHV 2024. Tarifa: Comunicante (1er período de inscripción)</t>
        </is>
      </c>
      <c r="C18" s="73" t="n">
        <v>160</v>
      </c>
    </row>
    <row r="19">
      <c r="A19" s="47" t="inlineStr">
        <is>
          <t>41.20.6G.00.13</t>
        </is>
      </c>
      <c r="B19" s="47" t="inlineStr">
        <is>
          <t>Pago de inscripción de Sylwia Klos al Congreso CIHV 2024. Tarifa: Comunicante (1er período de inscripción)</t>
        </is>
      </c>
      <c r="C19" s="74" t="n">
        <v>160</v>
      </c>
    </row>
    <row r="20">
      <c r="A20" s="46" t="inlineStr">
        <is>
          <t>41.20.6G.00.13</t>
        </is>
      </c>
      <c r="B20" s="46" t="inlineStr">
        <is>
          <t>Liq_JyC_2024__CIHV_2024_03__II Congreso Internacional sobre el Humor Verbal (CIHV 2024)</t>
        </is>
      </c>
      <c r="C20" s="73" t="n">
        <v>4243.36</v>
      </c>
    </row>
    <row r="21">
      <c r="A21" s="47" t="inlineStr">
        <is>
          <t>41.20.6G.00.13</t>
        </is>
      </c>
      <c r="B21" s="47" t="inlineStr">
        <is>
          <t>Liq_JyC_2024__CIHV_2024_04__II Congreso Internacional sobre el Humor Verbal (CIHV 2024)</t>
        </is>
      </c>
      <c r="C21" s="74" t="n">
        <v>160</v>
      </c>
    </row>
    <row r="22">
      <c r="A22" s="46" t="inlineStr">
        <is>
          <t>41.20.6G.00.13</t>
        </is>
      </c>
      <c r="B22" s="46" t="inlineStr">
        <is>
          <t>Liq_JyC_2024__CIHV_2024_05__II Congreso Internacional sobre el Humor Verbal (CIHV 2024)</t>
        </is>
      </c>
      <c r="C22" s="73" t="n">
        <v>1036.56</v>
      </c>
    </row>
    <row r="23">
      <c r="A23" s="47" t="inlineStr">
        <is>
          <t>41.20.6G.00.13</t>
        </is>
      </c>
      <c r="B23" s="47" t="inlineStr">
        <is>
          <t>Pago de la inscripción de Agnieszka Solska al "II Congreso Internacional sobre el Humor Verbal (CIHV 2024)". Tarifa: Comunicante</t>
        </is>
      </c>
      <c r="C23" s="74" t="n">
        <v>160</v>
      </c>
    </row>
    <row r="24">
      <c r="A24" s="46" t="inlineStr">
        <is>
          <t>41.20.6G.00.13</t>
        </is>
      </c>
      <c r="B24" s="46" t="inlineStr">
        <is>
          <t>Pago de la inscripción de Moreno Martín de Nicolás Nicolás al "II Congreso Internacional sobre el Humor Verbal (CIHV 2024)". Tarifa: Comunicante estudiante</t>
        </is>
      </c>
      <c r="C24" s="73" t="n">
        <v>100</v>
      </c>
    </row>
    <row r="25">
      <c r="A25" s="47" t="inlineStr">
        <is>
          <t>41.20.6G.00.13</t>
        </is>
      </c>
      <c r="B25" s="47" t="inlineStr">
        <is>
          <t>Pago de la inscripción de Shima Salameh Jiménez al "II Congreso Internacional sobre el Humor Verbal (CIHV 2024)". Tarifa: Comunicante.</t>
        </is>
      </c>
      <c r="C25" s="74" t="n">
        <v>180</v>
      </c>
    </row>
    <row r="26">
      <c r="A26" s="46" t="inlineStr">
        <is>
          <t>41.20.6G.00.13</t>
        </is>
      </c>
      <c r="B26" s="46" t="inlineStr">
        <is>
          <t>Liq_JyC_2024__CIHV_2024_06__II Congreso Internacional sobre el Humor Verbal (CIHV 2024)</t>
        </is>
      </c>
      <c r="C26" s="73" t="n">
        <v>340</v>
      </c>
    </row>
    <row r="27">
      <c r="A27" s="47" t="inlineStr">
        <is>
          <t>41.20.6G.00.13</t>
        </is>
      </c>
      <c r="B27" s="47" t="inlineStr">
        <is>
          <t>Pago de la inscripción de Guillem Castañar al  "II Congreso Internacional sobre el Humor Verbal (CIHV 2024)". Tarifa: Comunicante</t>
        </is>
      </c>
      <c r="C27" s="74" t="n">
        <v>180</v>
      </c>
    </row>
    <row r="28">
      <c r="A28" s="46" t="inlineStr">
        <is>
          <t>41.20.6G.00.13</t>
        </is>
      </c>
      <c r="B28" s="46" t="inlineStr">
        <is>
          <t>Pago de inscripción de Alicia Silvestre Miralles al "II Congreso Internacional sobre el Humor Verbal (CIHV 2024). Tarifa: Comunicante</t>
        </is>
      </c>
      <c r="C28" s="73" t="n">
        <v>160</v>
      </c>
    </row>
    <row r="29">
      <c r="A29" s="47" t="inlineStr">
        <is>
          <t>41.20.6G.00.13</t>
        </is>
      </c>
      <c r="B29" s="47" t="inlineStr">
        <is>
          <t>Liq_JyC_2024__CIHV_2024_07__II Congreso Internacional sobre el Humor Verbal (CIHV 2024)</t>
        </is>
      </c>
      <c r="C29" s="74" t="n">
        <v>1280</v>
      </c>
    </row>
    <row r="30">
      <c r="A30" s="46" t="inlineStr">
        <is>
          <t>41.20.6G.00.13</t>
        </is>
      </c>
      <c r="B30" s="46" t="inlineStr">
        <is>
          <t>Pago de la inscripción de Salvador Pons Bordería al "II Congreso Internacional sobre el Humor Verbal (CIHV 2024)". Tarifa: Comunicante</t>
        </is>
      </c>
      <c r="C30" s="73" t="n">
        <v>180</v>
      </c>
    </row>
    <row r="31">
      <c r="A31" s="47" t="inlineStr">
        <is>
          <t>41.20.6G.00.13</t>
        </is>
      </c>
      <c r="B31" s="47" t="inlineStr">
        <is>
          <t>Pago de la inscripción de Mihaela-Viorica Constantinescu al "II Congreso Internacional sobre el Humor Verbal (CIHV 2024)". Tarifa: Comunicante</t>
        </is>
      </c>
      <c r="C31" s="74" t="n">
        <v>160</v>
      </c>
    </row>
    <row r="32">
      <c r="A32" s="46" t="inlineStr">
        <is>
          <t>41.20.6G.00.13</t>
        </is>
      </c>
      <c r="B32" s="46" t="inlineStr">
        <is>
          <t>Liq_JyC_2024__CIHV_2024_08__II Congreso Internacional sobre el Humor Verbal (CIHV 2024)</t>
        </is>
      </c>
      <c r="C32" s="73" t="n">
        <v>952.7</v>
      </c>
    </row>
    <row r="33">
      <c r="A33" s="47" t="inlineStr">
        <is>
          <t>41.20.6G.00.13</t>
        </is>
      </c>
      <c r="B33" s="47" t="inlineStr">
        <is>
          <t>Pago de la inscripción de  Aleksandra Siemieniuk al "II Congreso Internacional sobre el Humor Verbal (CIHV 2024). Tarifa: Comunicante</t>
        </is>
      </c>
      <c r="C33" s="74" t="n">
        <v>160</v>
      </c>
    </row>
    <row r="34">
      <c r="A34" s="46" t="inlineStr">
        <is>
          <t>41.20.6G.00.13</t>
        </is>
      </c>
      <c r="B34" s="46" t="inlineStr">
        <is>
          <t>Pago de inscripción de MARÍA SIMARRO VÁZQUEZ al "II Congreso Internacional sobre el Humor Verbal (CIHV 2024)". Tarifa: Comunicante</t>
        </is>
      </c>
      <c r="C34" s="73" t="n">
        <v>160</v>
      </c>
    </row>
    <row r="35">
      <c r="A35" s="47" t="inlineStr">
        <is>
          <t>41.20.6G.00.13</t>
        </is>
      </c>
      <c r="B35" s="47" t="inlineStr">
        <is>
          <t>Pago de la inscripción de DOROTA BRZOZOWSKA al "II Congreso Internacional sobre el Humor Verbal (CIHV 2024)". Tarifa: Comunicante</t>
        </is>
      </c>
      <c r="C35" s="74" t="n">
        <v>160</v>
      </c>
    </row>
    <row r="36">
      <c r="A36" s="46" t="inlineStr">
        <is>
          <t>41.20.6G.00.13</t>
        </is>
      </c>
      <c r="B36" s="46" t="inlineStr">
        <is>
          <t>Liq_JyC_2024__CIHV_2024_09__II Congreso Internacional sobre el Humor Verbal (CIHV 2024)</t>
        </is>
      </c>
      <c r="C36" s="73" t="n">
        <v>340</v>
      </c>
    </row>
    <row r="37">
      <c r="A37" s="47" t="inlineStr">
        <is>
          <t>41.20.6G.00.13</t>
        </is>
      </c>
      <c r="B37" s="47" t="inlineStr">
        <is>
          <t>Pago de la inscripción de HANG FERRER MORA, por su asistencia y participación al "II Congreso Internacional sobre el Humor Verbal (CIHV 2024), celebrado en Alicante (16-18 octubre 2024)". Tarifa: Comunicante</t>
        </is>
      </c>
      <c r="C37" s="74" t="n">
        <v>180</v>
      </c>
    </row>
    <row r="38">
      <c r="A38" s="46" t="inlineStr">
        <is>
          <t>41.20.6G.00.13</t>
        </is>
      </c>
      <c r="B38" s="46" t="inlineStr">
        <is>
          <t>Liq_JyC_2024__CIHV_2024_10__II Congreso Internacional sobre el Humor Verbal (CIHV 2024)</t>
        </is>
      </c>
      <c r="C38" s="73" t="n">
        <v>160</v>
      </c>
    </row>
    <row r="39">
      <c r="A39" s="47" t="inlineStr">
        <is>
          <t>41.20.6G.00.14</t>
        </is>
      </c>
      <c r="B39" s="47" t="inlineStr">
        <is>
          <t>Liq_JyC_2024__BICLCE_2024_01__10 th Biennial International Conference on the Linguistics of Contemporary English (BICLCE 2024)</t>
        </is>
      </c>
      <c r="C39" s="74" t="n">
        <v>10659.72</v>
      </c>
    </row>
    <row r="40">
      <c r="A40" s="46" t="inlineStr">
        <is>
          <t>41.20.6G.00.14</t>
        </is>
      </c>
      <c r="B40" s="46" t="inlineStr">
        <is>
          <t>Pago de la inscripción de Marie-Louise Brunner al "10th Biennial International Conference on the Linguistics of Contemporary English (BICLCE) 2024. Tarifa: Regular</t>
        </is>
      </c>
      <c r="C40" s="73" t="n">
        <v>216</v>
      </c>
    </row>
    <row r="41">
      <c r="A41" s="47" t="inlineStr">
        <is>
          <t>41.20.6G.00.14</t>
        </is>
      </c>
      <c r="B41" s="47" t="inlineStr">
        <is>
          <t>Pago de la inscripción de Ulrike Gut al "10th Biennial International Conference on the Linguistics of Contemporary English (BICLCE)" 2024. Tarifa: Reducida</t>
        </is>
      </c>
      <c r="C41" s="74" t="n">
        <v>110</v>
      </c>
    </row>
    <row r="42">
      <c r="A42" s="46" t="inlineStr">
        <is>
          <t>41.20.6G.00.14</t>
        </is>
      </c>
      <c r="B42" s="46" t="inlineStr">
        <is>
          <t>Pago de la inscripción de Andreas J. Weilinghoff al "10th Biennial International Conference on the Linguistics of Contemporary English (BICLCE)" 2024. Tarifa: Regular.</t>
        </is>
      </c>
      <c r="C42" s="73" t="n">
        <v>216</v>
      </c>
    </row>
    <row r="43">
      <c r="A43" s="47" t="inlineStr">
        <is>
          <t>41.20.6G.00.14</t>
        </is>
      </c>
      <c r="B43" s="47" t="inlineStr">
        <is>
          <t>Pago de la inscripción de Marcel Schlechtweg al "10th Biennial International Conference on the Linguistics of Contemporary English (BICLCE)" 2024. Tarifa: Regular</t>
        </is>
      </c>
      <c r="C43" s="74" t="n">
        <v>170</v>
      </c>
    </row>
    <row r="44">
      <c r="A44" s="46" t="inlineStr">
        <is>
          <t>41.20.6G.00.14</t>
        </is>
      </c>
      <c r="B44" s="46" t="inlineStr">
        <is>
          <t>Pago de la inscripción de Gabriela Valenzuela Farias al "10th Biennial International Conference on the Linguistics of Contemporary English (BICLCE)"  2024. Tarifa: Regular</t>
        </is>
      </c>
      <c r="C44" s="73" t="n">
        <v>170</v>
      </c>
    </row>
    <row r="45">
      <c r="A45" s="47" t="inlineStr">
        <is>
          <t>41.20.6G.00.14</t>
        </is>
      </c>
      <c r="B45" s="47" t="inlineStr">
        <is>
          <t>Pago de la inscripción de Jesús Fernandez Domínguez al "10th Biennial International Conference on the Linguistics of Contemporary English (BICLCE)"  2024. Tarifa: Regular.</t>
        </is>
      </c>
      <c r="C45" s="74" t="n">
        <v>170</v>
      </c>
    </row>
    <row r="46">
      <c r="A46" s="46" t="inlineStr">
        <is>
          <t>41.20.6G.00.14</t>
        </is>
      </c>
      <c r="B46" s="46" t="inlineStr">
        <is>
          <t>Pago de la inscripción de Cédric Sarré al "10th Biennial International Conference on the Linguistics of Contemporary English (BICLCE)" 2024. Tarifa: Regular</t>
        </is>
      </c>
      <c r="C46" s="73" t="n">
        <v>170</v>
      </c>
    </row>
    <row r="47">
      <c r="A47" s="47" t="inlineStr">
        <is>
          <t>41.20.6G.00.14</t>
        </is>
      </c>
      <c r="B47" s="47" t="inlineStr">
        <is>
          <t>Pago de la inscripción de Iona Gessinger al "10th Biennial International Conference on the Linguistics of Contemporary English (BICLCE)" 2024. Tarifa: Regular</t>
        </is>
      </c>
      <c r="C47" s="74" t="n">
        <v>216</v>
      </c>
    </row>
    <row r="48">
      <c r="A48" s="46" t="inlineStr">
        <is>
          <t>41.20.6G.00.14</t>
        </is>
      </c>
      <c r="B48" s="46" t="inlineStr">
        <is>
          <t>Pago de la inscripción de Kaltenböck Gunther al "10th Biennial International Conference on the Linguistics of Contemporary English (BICLCE)" 2024. Tarifa: Regular</t>
        </is>
      </c>
      <c r="C48" s="73" t="n">
        <v>216</v>
      </c>
    </row>
    <row r="49">
      <c r="A49" s="47" t="inlineStr">
        <is>
          <t>41.20.6G.00.14</t>
        </is>
      </c>
      <c r="B49" s="47" t="inlineStr">
        <is>
          <t>Pago de la inscripción de Ignacio Miguel Palacios Mártínez al "10th Biennial International Conference on the Linguistics of Contemporary English (BICLCE)" 2024. Tarifa: Reducida</t>
        </is>
      </c>
      <c r="C49" s="74" t="n">
        <v>156</v>
      </c>
    </row>
    <row r="50">
      <c r="A50" s="46" t="inlineStr">
        <is>
          <t>41.20.6G.00.14</t>
        </is>
      </c>
      <c r="B50" s="46" t="inlineStr">
        <is>
          <t>Pago de la inscripción de Jorge Fernández Avilés al "10th Biennial International Conference on the Linguistics of Contemporary English (BICLCE)" 2024. Tarifa: Estudiantes.</t>
        </is>
      </c>
      <c r="C50" s="73" t="n">
        <v>116</v>
      </c>
    </row>
    <row r="51">
      <c r="A51" s="47" t="inlineStr">
        <is>
          <t>41.20.6G.00.14</t>
        </is>
      </c>
      <c r="B51" s="47" t="inlineStr">
        <is>
          <t>Pago de la inscripción de Anna Islentyeva al "10th Biennial International Conference on the Linguistics of Contemporary English (BICLCE)" 2024. Tarifa: Regular</t>
        </is>
      </c>
      <c r="C51" s="74" t="n">
        <v>216</v>
      </c>
    </row>
    <row r="52">
      <c r="A52" s="46" t="inlineStr">
        <is>
          <t>41.20.6G.00.14</t>
        </is>
      </c>
      <c r="B52" s="46" t="inlineStr">
        <is>
          <t>Pago de la inscripción de Luise Pesendorfer al "10th Biennial International Conference on the Linguistics of Contemporary English (BICLCE)" 2024. Tarifa: Estudiantes</t>
        </is>
      </c>
      <c r="C52" s="73" t="n">
        <v>116</v>
      </c>
    </row>
    <row r="53">
      <c r="A53" s="47" t="inlineStr">
        <is>
          <t>41.20.6G.00.14</t>
        </is>
      </c>
      <c r="B53" s="47" t="inlineStr">
        <is>
          <t>Pago de la inscripción de Anouschka Foltz al "10th Biennial International Conference on the Linguistics of Contemporary English (BICLCE)" 2024. Tarifa: Regular</t>
        </is>
      </c>
      <c r="C53" s="74" t="n">
        <v>216</v>
      </c>
    </row>
    <row r="54">
      <c r="A54" s="46" t="inlineStr">
        <is>
          <t>41.20.6G.00.14</t>
        </is>
      </c>
      <c r="B54" s="46" t="inlineStr">
        <is>
          <t>Pago de la inscripción de Marian Alves Castro al "10th Biennial International Conference on the Linguistics of Contemporary English (BICLCE)" 2024. Tarifa: Regular</t>
        </is>
      </c>
      <c r="C54" s="73" t="n">
        <v>170</v>
      </c>
    </row>
    <row r="55">
      <c r="A55" s="47" t="inlineStr">
        <is>
          <t>41.20.6G.00.14</t>
        </is>
      </c>
      <c r="B55" s="47" t="inlineStr">
        <is>
          <t>Pago de la inscripción de Julia Bacskai-Atkari al "10th Biennial International Conference on the Linguistics of Contemporary English (BICLCE)" 2024. Tarifa: Regular</t>
        </is>
      </c>
      <c r="C55" s="74" t="n">
        <v>216</v>
      </c>
    </row>
    <row r="56">
      <c r="A56" s="46" t="inlineStr">
        <is>
          <t>41.20.6G.00.14</t>
        </is>
      </c>
      <c r="B56" s="46" t="inlineStr">
        <is>
          <t>Liq_JyC_2024__BICLCE_2024_02__10 th Biennial International Conference on the Linguistics of Contemporary English (BICLCE 2024)</t>
        </is>
      </c>
      <c r="C56" s="73" t="n">
        <v>6571.32</v>
      </c>
    </row>
    <row r="57">
      <c r="A57" s="47" t="inlineStr">
        <is>
          <t>41.20.6G.00.14</t>
        </is>
      </c>
      <c r="B57" s="47" t="inlineStr">
        <is>
          <t>Liq_JyC_2024__BICLCE_2024_03__10 th Biennial International Conference on the Linguistics of Contemporary English (BICLCE 2024)</t>
        </is>
      </c>
      <c r="C57" s="74" t="n">
        <v>47</v>
      </c>
    </row>
    <row r="58">
      <c r="A58" s="46" t="inlineStr">
        <is>
          <t>41.20.6G.00.14</t>
        </is>
      </c>
      <c r="B58" s="46" t="inlineStr">
        <is>
          <t>Pago de inscripción de Juan Manuel Hernández Campoy al "10th Biennial International Conference on the Linguistics of Contemporary English (BICLCE) 2024". Tarifa: Regular</t>
        </is>
      </c>
      <c r="C58" s="73" t="n">
        <v>210</v>
      </c>
    </row>
    <row r="59">
      <c r="A59" s="47" t="inlineStr">
        <is>
          <t>41.20.6G.00.14</t>
        </is>
      </c>
      <c r="B59" s="47" t="inlineStr">
        <is>
          <t xml:space="preserve">Liq_JyC_2024__BICLCE_2024_04__10 th Biennial International Conference on the Linguistics of Contemporary English (BICLCE 2024) </t>
        </is>
      </c>
      <c r="C59" s="74" t="n">
        <v>2591.44</v>
      </c>
    </row>
    <row r="60">
      <c r="A60" s="46" t="inlineStr">
        <is>
          <t>41.20.6G.00.14</t>
        </is>
      </c>
      <c r="B60" s="46" t="inlineStr">
        <is>
          <t>Liq_JyC_2024__BICLCE_2024_05__10 th Biennial International Conference on the Linguistics of Contemporary English (BICLCE 2024)</t>
        </is>
      </c>
      <c r="C60" s="73" t="n">
        <v>512</v>
      </c>
    </row>
    <row r="61">
      <c r="A61" s="47" t="inlineStr">
        <is>
          <t>41.20.6G.00.14</t>
        </is>
      </c>
      <c r="B61" s="47" t="inlineStr">
        <is>
          <t>Pago de la inscripción de Petr Kos al "10th Biennial International Conference on the Linguistics of Contemporany English (BICLCE)" 2024. Tarifa: Regular</t>
        </is>
      </c>
      <c r="C61" s="74" t="n">
        <v>170</v>
      </c>
    </row>
    <row r="62">
      <c r="A62" s="46" t="inlineStr">
        <is>
          <t>41.20.6G.00.14</t>
        </is>
      </c>
      <c r="B62" s="46" t="inlineStr">
        <is>
          <t>Pago de la inscripción de Elena Domínguez Romero al "10th Biennial International Conference on the Linguistics of Contemporary English (BICLCE 2024"). Tarifa: Reducida</t>
        </is>
      </c>
      <c r="C62" s="73" t="n">
        <v>110</v>
      </c>
    </row>
    <row r="63">
      <c r="A63" s="47" t="inlineStr">
        <is>
          <t>41.20.6G.00.14</t>
        </is>
      </c>
      <c r="B63" s="47" t="inlineStr">
        <is>
          <t>Pago de la inscripción de Ekaterina Sinyashina Sinyashina al "10th Biennial International Conference on the Linguistics of Contemporary English (BICLCE 2024)". Tarifa: Regular</t>
        </is>
      </c>
      <c r="C63" s="74" t="n">
        <v>170</v>
      </c>
    </row>
    <row r="64">
      <c r="A64" s="46" t="inlineStr">
        <is>
          <t>41.20.6G.00.14</t>
        </is>
      </c>
      <c r="B64" s="46" t="inlineStr">
        <is>
          <t>Liq_JyC_2024__BICLCE_2024_05__10 th Biennial International Conference on the Linguistics of Contemporary English (BICLCE 2024)</t>
        </is>
      </c>
      <c r="C64" s="73" t="n">
        <v>420</v>
      </c>
    </row>
    <row r="65">
      <c r="A65" s="47" t="inlineStr">
        <is>
          <t>41.20.6G.00.14</t>
        </is>
      </c>
      <c r="B65" s="47" t="inlineStr">
        <is>
          <t>Pago de la inscripción de Carla Vergaro al "10th Biennial International Conference on the Linguistics of Contemporary English (BICLCE 2024). Tarifa: Regular</t>
        </is>
      </c>
      <c r="C65" s="74" t="n">
        <v>170</v>
      </c>
    </row>
    <row r="66">
      <c r="A66" s="46" t="inlineStr">
        <is>
          <t>41.20.6G.00.14</t>
        </is>
      </c>
      <c r="B66" s="46" t="inlineStr">
        <is>
          <t>Pago de la inscripción de Belén Méndez-Naya al "10th Biennial International Conference on the Linguistics of Contemporary English (BICLCE 2024). Tarifa: Regular</t>
        </is>
      </c>
      <c r="C66" s="73" t="n">
        <v>170</v>
      </c>
    </row>
    <row r="67">
      <c r="A67" s="47" t="inlineStr">
        <is>
          <t>41.20.6G.00.14</t>
        </is>
      </c>
      <c r="B67" s="47" t="inlineStr">
        <is>
          <t>Pago de la inscripción de María José López-Couso al "10th Biennial International Conference on the Linguistics of Contemporary English (BICLCE 2024)". Tarifa: Regular.</t>
        </is>
      </c>
      <c r="C67" s="74" t="n">
        <v>170</v>
      </c>
    </row>
    <row r="68">
      <c r="A68" s="46" t="inlineStr">
        <is>
          <t>41.20.6G.00.14</t>
        </is>
      </c>
      <c r="B68" s="46" t="inlineStr">
        <is>
          <t>Pago de la inscripción de Natalia Mora López al "10th Biennial International Conference on the Linguistics of Contemporary English (BICLCE 2024)". Tarifa: Regular</t>
        </is>
      </c>
      <c r="C68" s="73" t="n">
        <v>170</v>
      </c>
    </row>
    <row r="69">
      <c r="A69" s="47" t="inlineStr">
        <is>
          <t>41.20.6G.00.14</t>
        </is>
      </c>
      <c r="B69" s="47" t="inlineStr">
        <is>
          <t>Pago de la inscripción de Marta Begoña Carretero Lapeyre al "10th Biennial International Conference on the Linguistics of Contemporary English (BICLCE 2024)". Tarifa: Regular.</t>
        </is>
      </c>
      <c r="C69" s="74" t="n">
        <v>170</v>
      </c>
    </row>
    <row r="70">
      <c r="A70" s="46" t="inlineStr">
        <is>
          <t>41.20.6G.00.14</t>
        </is>
      </c>
      <c r="B70" s="46" t="inlineStr">
        <is>
          <t>Pago de la inscripción de Ursula Lutzky al "10th Biennial International Conference on the Linguistics of Contemporary English (BICLCE 2024)". Tarifa: Regular</t>
        </is>
      </c>
      <c r="C70" s="73" t="n">
        <v>170</v>
      </c>
    </row>
    <row r="71">
      <c r="A71" s="47" t="inlineStr">
        <is>
          <t>41.20.6G.00.14</t>
        </is>
      </c>
      <c r="B71" s="47" t="inlineStr">
        <is>
          <t>Pago de la inscripción de Jaroslaw Weckwerth al "10th Biennial International Conference on the Linguistics of Contemporary English (BICLCE 2024)". Tarifa: Regular</t>
        </is>
      </c>
      <c r="C71" s="74" t="n">
        <v>210</v>
      </c>
    </row>
    <row r="72">
      <c r="A72" s="46" t="inlineStr">
        <is>
          <t>41.20.6G.00.14</t>
        </is>
      </c>
      <c r="B72" s="46" t="inlineStr">
        <is>
          <t>DEVOLUCIÓN DE INGRESOS_JyC_2024__BICLCE_2024_01__DEV__10 th Biennial International Conference on the Linguistics of Contemporary English (BICLCE 2024) ji-24-2676</t>
        </is>
      </c>
      <c r="C72" s="73" t="n">
        <v>-110</v>
      </c>
    </row>
    <row r="73">
      <c r="A73" s="47" t="inlineStr">
        <is>
          <t>41.20.6G.00.14</t>
        </is>
      </c>
      <c r="B73" s="47" t="inlineStr">
        <is>
          <t>DEVOLUCIÓN DE INGRESOS_JyC_2024__BICLCE_2024_02__DEV__10 th Biennial International Conference on the Linguistics of Contemporary English (BICLCE 2024)</t>
        </is>
      </c>
      <c r="C73" s="74" t="n">
        <v>-70</v>
      </c>
    </row>
    <row r="74">
      <c r="A74" s="46" t="inlineStr">
        <is>
          <t>41.20.6G.00.14</t>
        </is>
      </c>
      <c r="B74" s="46" t="inlineStr">
        <is>
          <t>DEVOLUCIÓN DE INGRESOS_JyC_2024__BICLCE_2024_02__DEV__10 th Biennial International Conference on the Linguistics of Contemporary English (BICLCE 2024) JI-24-3340</t>
        </is>
      </c>
      <c r="C74" s="73" t="n">
        <v>-216</v>
      </c>
    </row>
    <row r="75">
      <c r="A75" s="47" t="inlineStr">
        <is>
          <t>41.20.6G.00.14</t>
        </is>
      </c>
      <c r="B75" s="47" t="inlineStr">
        <is>
          <t>DEVOLUCION DE INGRESOS_JyC_2024__BICLCE_2024_01__DEV__10 th Biennial International Conference on the Linguistics of Contemporary English (BICLCE 2024) JI-24-2676</t>
        </is>
      </c>
      <c r="C75" s="74" t="n">
        <v>-216</v>
      </c>
    </row>
    <row r="76">
      <c r="A76" s="46" t="inlineStr">
        <is>
          <t>41.20.6G.00.14</t>
        </is>
      </c>
      <c r="B76" s="46" t="inlineStr">
        <is>
          <t>DEVOLUCIÓN DE INGRESOS_JyC_2024__BICLCE_2024_02__DEV__10 th Biennial International Conference on the Linguistics of Contemporary English (BICLCE 2024) JI-24-3340</t>
        </is>
      </c>
      <c r="C76" s="73" t="n">
        <v>-116</v>
      </c>
    </row>
    <row r="77">
      <c r="A77" s="47" t="inlineStr">
        <is>
          <t>41.20.6G.00.14</t>
        </is>
      </c>
      <c r="B77" s="47" t="inlineStr">
        <is>
          <t>DEVOLUCION DE INGRESOS_JyC_2024__BICLCE_2024_01__DEV__10 th Biennial International Conference on the Linguistics of Contemporary English (BICLCE 2024) JI-2024-2676</t>
        </is>
      </c>
      <c r="C77" s="74" t="n">
        <v>-156</v>
      </c>
    </row>
    <row r="78">
      <c r="A78" s="46" t="inlineStr">
        <is>
          <t>41.20.6G.00.14</t>
        </is>
      </c>
      <c r="B78" s="46" t="inlineStr">
        <is>
          <t>DEVOLUCION DE INGRESOS_JyC_2024__BICLCE_2024_02__DEV__10 th Biennial International Conference on the Linguistics of Contemporary English (BICLCE 2024) JI-2024-3340</t>
        </is>
      </c>
      <c r="C78" s="73" t="n">
        <v>-216</v>
      </c>
    </row>
    <row r="79">
      <c r="A79" s="47" t="inlineStr">
        <is>
          <t>41.20.6G.00.14</t>
        </is>
      </c>
      <c r="B79" s="47" t="inlineStr">
        <is>
          <t>DEVOLUCION DE INGRESOS_JyC_2024__BICLCE_2024_02__DEV__10 th Biennial International Conference on the Linguistics of Contemporary English (BICLCE 2024) JI-24-3340</t>
        </is>
      </c>
      <c r="C79" s="74" t="n">
        <v>-216</v>
      </c>
    </row>
    <row r="80">
      <c r="A80" s="46" t="inlineStr">
        <is>
          <t>41.20.6G.00.14</t>
        </is>
      </c>
      <c r="B80" s="46" t="inlineStr">
        <is>
          <t>Pago de la inscripción de JOSÉ ANTONIO MOMPEÁN GONZÁLEZ al "10th Biennial International Conference on the Linguistics of Contemporary English (BICLCE 2024)". Tarifa: Regular</t>
        </is>
      </c>
      <c r="C80" s="73" t="n">
        <v>210</v>
      </c>
    </row>
    <row r="81">
      <c r="A81" s="47" t="inlineStr">
        <is>
          <t>41.20.6G.00.14</t>
        </is>
      </c>
      <c r="B81" s="47" t="inlineStr">
        <is>
          <t>Liq_JyC_2024__BICLCE_2024_14__10 th Biennial International Conference on the Linguistics of Contemporary English (BICLCE 2024)</t>
        </is>
      </c>
      <c r="C81" s="74" t="n">
        <v>216</v>
      </c>
    </row>
    <row r="82">
      <c r="A82" s="46" t="inlineStr">
        <is>
          <t>41.20.6G.00.14</t>
        </is>
      </c>
      <c r="B82" s="46" t="inlineStr">
        <is>
          <t>Liq_JyC_2024__BICLCE_2024_15__10 th Biennial International Conference on the Linguistics of Contemporary English (BICLCE 2024)</t>
        </is>
      </c>
      <c r="C82" s="73" t="n">
        <v>46</v>
      </c>
    </row>
    <row r="83">
      <c r="A83" s="47" t="inlineStr">
        <is>
          <t>41.20.6G.00.14</t>
        </is>
      </c>
      <c r="B83" s="47" t="inlineStr">
        <is>
          <t>Pago de la inscripción de LARA MORATÓN GUTIERREZ al "10th Biennial International Conference on the Linguistics of Contemporary English (BICLCE 2024). Tarifa: Regular</t>
        </is>
      </c>
      <c r="C83" s="74" t="n">
        <v>170</v>
      </c>
    </row>
    <row r="84">
      <c r="A84" s="46" t="inlineStr">
        <is>
          <t>41.20.6G.00.15</t>
        </is>
      </c>
      <c r="B84" s="46" t="inlineStr">
        <is>
          <t>Pago de la inscripción al VII International Conference on English and ESP Lexicology and Lexicography (LEXESP-GPLSI 2024) de Raquel Lázaro Gutiérrez. Cuota: Socio de AELFE (Inscripción Anticipada)</t>
        </is>
      </c>
      <c r="C84" s="73" t="n">
        <v>100</v>
      </c>
    </row>
    <row r="85">
      <c r="A85" s="47" t="inlineStr">
        <is>
          <t>41.20.6G.00.15</t>
        </is>
      </c>
      <c r="B85" s="47" t="inlineStr">
        <is>
          <t>Pago de inscripción al VII International Conference on English and ESP Lexicology and Lexicography (LEXESP-GPLSI 2024) de Marcelo Yuji Himoro. Cuota: Ponente Estudiante (Inscripción Anticipada)</t>
        </is>
      </c>
      <c r="C85" s="74" t="n">
        <v>70</v>
      </c>
    </row>
    <row r="86">
      <c r="A86" s="46" t="inlineStr">
        <is>
          <t>41.20.6G.00.15</t>
        </is>
      </c>
      <c r="B86" s="46" t="inlineStr">
        <is>
          <t>Liq_JyC_2024__LEXESP_GPLSI_24_01__VII International Conference on English and ESP Lexicology and Lexicography (LEXESP - GPLSI 2024)</t>
        </is>
      </c>
      <c r="C86" s="73" t="n">
        <v>418.62</v>
      </c>
    </row>
    <row r="87">
      <c r="A87" s="47" t="inlineStr">
        <is>
          <t>41.20.6G.00.15</t>
        </is>
      </c>
      <c r="B87" s="47" t="inlineStr">
        <is>
          <t>Liq_JyC_2024__LEXESP_GPLSI_24_02__VII International Conference on English and ESP Lexicology and Lexicography (LEXESP - GPLSI 2024)</t>
        </is>
      </c>
      <c r="C87" s="74" t="n">
        <v>250</v>
      </c>
    </row>
    <row r="88">
      <c r="A88" s="46" t="inlineStr">
        <is>
          <t>41.20.6P.00.04</t>
        </is>
      </c>
      <c r="B88" s="46" t="inlineStr">
        <is>
          <t>DEVOLUCIÓN DE INGRESOS_CARTA DE PAGO_REFERENCIA: PID2019-107265GB-I00, ANUALIDAD: 2020</t>
        </is>
      </c>
      <c r="C88" s="73" t="n">
        <v>-2078.79</v>
      </c>
    </row>
    <row r="89">
      <c r="A89" s="47" t="inlineStr">
        <is>
          <t>41.20.6P.00.06</t>
        </is>
      </c>
      <c r="B89" s="47" t="inlineStr">
        <is>
          <t xml:space="preserve">ayudas PROMETEO/2021/006, PROMETEO/2021/017, PROMETEO/2021/030, PROMETEO/2021/055, PROMETEO/2021/057, PROMETEO/2021/073, PROMETEO/2021/079, PROMETEO/2021/088 </t>
        </is>
      </c>
      <c r="C89" s="74" t="n">
        <v>54556.07</v>
      </c>
    </row>
    <row r="90">
      <c r="A90" s="46" t="inlineStr">
        <is>
          <t>41.20.6P.00.08</t>
        </is>
      </c>
      <c r="B90" s="46" t="inlineStr">
        <is>
          <t xml:space="preserve">CIAICO/2021/019/074/124/158/167/173/279/305/328/335/345/348/339 </t>
        </is>
      </c>
      <c r="C90" s="73" t="n">
        <v>27863</v>
      </c>
    </row>
    <row r="91">
      <c r="A91" s="47" t="inlineStr">
        <is>
          <t>41.20.6P.00.09</t>
        </is>
      </c>
      <c r="B91" s="47" t="inlineStr">
        <is>
          <t>INGRESO PERCIBIDO POR LA UNIVERSIDAD DE ALICANTE EN CONCEPTO DE REINTEGRO DE EJERCICIO CERRADO POR DUPLICIDAD EN FACTURA 686.JG: 2023/000000001485_ADO: 2023000002991</t>
        </is>
      </c>
      <c r="C91" s="74" t="n">
        <v>200</v>
      </c>
    </row>
    <row r="92">
      <c r="A92" s="46" t="inlineStr">
        <is>
          <t>41.20.6P.00.10</t>
        </is>
      </c>
      <c r="B92" s="46" t="inlineStr">
        <is>
          <t xml:space="preserve">DEVOLUCIÓN DE INGRESOS_MODELO 047_ Nº LIQUIDACIÓN:46/2024/RAS/10317/1 Nº DE JUSTIFICANTE: 047/1/002550144_Nº DE REFERENCIA:  047/1/002550144 </t>
        </is>
      </c>
      <c r="C92" s="73" t="n">
        <v>-3.73</v>
      </c>
    </row>
    <row r="93">
      <c r="A93" s="47" t="inlineStr">
        <is>
          <t>41.20.6P.00.11</t>
        </is>
      </c>
      <c r="B93" s="47" t="inlineStr">
        <is>
      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      </is>
      </c>
      <c r="C93" s="74" t="n">
        <v>6000</v>
      </c>
    </row>
    <row r="94">
      <c r="A94" s="46" t="inlineStr">
        <is>
          <t>41.20.6P.00.12</t>
        </is>
      </c>
      <c r="B94" s="46" t="inlineStr">
        <is>
      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      </is>
      </c>
      <c r="C94" s="73" t="n">
        <v>9000</v>
      </c>
    </row>
    <row r="95">
      <c r="A95" s="51" t="inlineStr">
        <is>
          <t>41.20.6P.00.13</t>
        </is>
      </c>
      <c r="B95" s="51" t="inlineStr">
        <is>
          <t>CIAICO/2023/134/178/179/203/250/255/266/268</t>
        </is>
      </c>
      <c r="C95" s="79" t="n">
        <v>3300</v>
      </c>
    </row>
    <row r="96">
      <c r="A96" s="51" t="inlineStr">
        <is>
          <t>Total</t>
        </is>
      </c>
      <c r="B96" s="51" t="n"/>
      <c r="C96" s="80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topLeftCell="A10" workbookViewId="0">
      <selection activeCell="F22" sqref="F22"/>
    </sheetView>
  </sheetViews>
  <sheetFormatPr baseColWidth="10" defaultRowHeight="15"/>
  <cols>
    <col width="19.85546875" customWidth="1" min="1" max="1"/>
    <col width="46.28515625" customWidth="1" min="2" max="2"/>
    <col width="15.7109375" customWidth="1" min="3" max="3"/>
  </cols>
  <sheetData>
    <row r="1">
      <c r="A1" s="55" t="inlineStr">
        <is>
          <t>Org. aplic.</t>
        </is>
      </c>
      <c r="B1" s="56" t="inlineStr">
        <is>
          <t>Descripción justificante</t>
        </is>
      </c>
      <c r="C1" s="56" t="inlineStr">
        <is>
          <t>Imp. aplic.</t>
        </is>
      </c>
    </row>
    <row r="2">
      <c r="A2" s="57" t="inlineStr">
        <is>
          <t>41.20.6C.00.16</t>
        </is>
      </c>
      <c r="B2" s="58" t="inlineStr">
        <is>
          <t xml:space="preserve">INFORME PERICIAL SOBRE VERIFICACIÓN DE AUTORÍA EN TEXTO PROCESAL DUBITADO. Ref. proyecto: DELSAZABOGADOS3-25TPA </t>
        </is>
      </c>
      <c r="C2" s="81" t="n">
        <v>1496</v>
      </c>
    </row>
    <row r="3">
      <c r="A3" s="60" t="inlineStr">
        <is>
          <t>41.20.6C.00.17</t>
        </is>
      </c>
      <c r="B3" s="61" t="inlineStr">
        <is>
          <t>INFORME PERICIAL SOBRE INDICADORES LINGÜÍSTICOS ASOCIADOS A VIOLENCIA DE GÉNERO. Ref. proyecto: SILVIAARIZA1-25TPA</t>
        </is>
      </c>
      <c r="C3" s="82" t="n">
        <v>1056</v>
      </c>
    </row>
    <row r="4">
      <c r="A4" s="57" t="inlineStr">
        <is>
          <t>41.20.6G.00.16</t>
        </is>
      </c>
      <c r="B4" s="58" t="inlineStr">
        <is>
          <t>Liq_JyC_2025__GLOTECH_2025_01__International Conference on Global Perspectives on Technology-Enhanced Language Learning and Translation - GLOTECH</t>
        </is>
      </c>
      <c r="C4" s="81" t="n">
        <v>3932.53</v>
      </c>
    </row>
    <row r="5">
      <c r="A5" s="60" t="inlineStr">
        <is>
          <t>41.20.6G.00.16</t>
        </is>
      </c>
      <c r="B5" s="61" t="inlineStr">
        <is>
          <t>Liq_JyC_2025__GLOTECH_2025_02__International Conference on Global Perspectives on Technology-Enhanced Language Learning and Translation - GLOTECH</t>
        </is>
      </c>
      <c r="C5" s="82" t="n">
        <v>3106.15</v>
      </c>
    </row>
    <row r="6">
      <c r="A6" s="57" t="inlineStr">
        <is>
          <t>41.20.6G.00.16</t>
        </is>
      </c>
      <c r="B6" s="58" t="inlineStr">
        <is>
          <t xml:space="preserve">Liq_JyC_2025__GLOTECH_2025_03__International Conference on Global Perspectives on Technology-Enhanced Language Learning and Translation - GLOTECH </t>
        </is>
      </c>
      <c r="C6" s="81" t="n">
        <v>680</v>
      </c>
    </row>
    <row r="7">
      <c r="A7" s="60" t="inlineStr">
        <is>
          <t>41.20.6G.00.16</t>
        </is>
      </c>
      <c r="B7" s="61" t="inlineStr">
        <is>
          <t>Liq_JyC_2025__GLOTECH_2025_04__International Conference on Global Perspectives on Technology-Enhanced Language Learning and Translation - GLOTECH</t>
        </is>
      </c>
      <c r="C7" s="82" t="n">
        <v>598.65</v>
      </c>
    </row>
    <row r="8">
      <c r="A8" s="57" t="inlineStr">
        <is>
          <t>41.20.6G.00.16</t>
        </is>
      </c>
      <c r="B8" s="58" t="inlineStr">
        <is>
          <t>Liq_JyC_2025__GLOTECH_2025_05__International Conference on Global Perspectives on Technology-Enhanced Language Learning and Translation - GLOTECH</t>
        </is>
      </c>
      <c r="C8" s="81" t="n">
        <v>300</v>
      </c>
    </row>
    <row r="9">
      <c r="A9" s="60" t="inlineStr">
        <is>
          <t>41.20.6G.00.16</t>
        </is>
      </c>
      <c r="B9" s="61" t="inlineStr">
        <is>
          <t>Liq_JyC_2025__GLOTECH_2025_02,07-DEV__International Conference on Global Perspectives on Technology-Enhanced Language Learning and Translation - GLOTECH</t>
        </is>
      </c>
      <c r="C9" s="82" t="n">
        <v>-150</v>
      </c>
    </row>
    <row r="10">
      <c r="A10" s="57" t="inlineStr">
        <is>
          <t>41.20.6G.00.16</t>
        </is>
      </c>
      <c r="B10" s="58" t="inlineStr">
        <is>
          <t>Liq_JyC_2025__GLOTECH_2025_01,08-DEV__International Conference on Global Perspectives on Technology-Enhanced Language Learning and Translation - GLOTECH</t>
        </is>
      </c>
      <c r="C10" s="81" t="n">
        <v>-50</v>
      </c>
    </row>
    <row r="11">
      <c r="A11" s="60" t="inlineStr">
        <is>
          <t>41.20.6G.00.16</t>
        </is>
      </c>
      <c r="B11" s="61" t="inlineStr">
        <is>
          <t>Liq_JyC_2025__GLOTECH_2025_01,06-DEV__International Conference on Global Perspectives on Technology-Enhanced Language Learning and Translation - GLOTECH</t>
        </is>
      </c>
      <c r="C11" s="82" t="n">
        <v>-150</v>
      </c>
    </row>
    <row r="12">
      <c r="A12" s="57" t="inlineStr">
        <is>
          <t>41.20.6P.00.03</t>
        </is>
      </c>
      <c r="B12" s="58" t="inlineStr">
        <is>
          <t>DEVOLUCIÓN DE INGRESOS_ CARTA DE PAGO_ REFERENCIA: PID2019-104980GB-I00, ANUALIDAD: 2020</t>
        </is>
      </c>
      <c r="C12" s="81" t="n">
        <v>-1628</v>
      </c>
    </row>
    <row r="13">
      <c r="A13" s="60" t="inlineStr">
        <is>
          <t>41.20.6P.00.06</t>
        </is>
      </c>
      <c r="B13" s="61" t="inlineStr">
        <is>
          <t xml:space="preserve">DEVOLUCIÓN DE INGRESOS_MODELO 047_ REFERENCIA: PROMETEO 2021 EN 2024_PROMETEO/2021/006, PROMETEO/2021/017, PROMETEO/2021/030, PROMETEO/2021/055, PROMETEO/2021/057, PROMETEO/2021/073, PROMETEO/2021/079, PROMETEO/2021/088 </t>
        </is>
      </c>
      <c r="C13" s="82" t="n">
        <v>-4719.06</v>
      </c>
    </row>
    <row r="14">
      <c r="A14" s="57" t="inlineStr">
        <is>
          <t>41.20.6P.00.08</t>
        </is>
      </c>
      <c r="B14" s="58" t="inlineStr">
        <is>
          <t>DEVOLUCIÓN DE INGRESOS_MODELO 047_  REFERENCIA: CIACO/2021/158/279/339/124/348/074/345/173</t>
        </is>
      </c>
      <c r="C14" s="81" t="n">
        <v>-410.9</v>
      </c>
    </row>
    <row r="15">
      <c r="A15" s="60" t="inlineStr">
        <is>
          <t>41.20.6P.00.09</t>
        </is>
      </c>
      <c r="B15" s="61" t="inlineStr">
        <is>
          <t>DEVOLUCIÓN DE INGRESOS_CARTA DE PAGO_REFERENCIA: TED2021-130040B-C21, ANUALIDAD: 2023</t>
        </is>
      </c>
      <c r="C15" s="82" t="n">
        <v>-14759.01</v>
      </c>
    </row>
    <row r="16">
      <c r="A16" s="57" t="inlineStr">
        <is>
          <t>41.20.6P.00.11</t>
        </is>
      </c>
      <c r="B16" s="58" t="inlineStr">
        <is>
          <t>Minoración ayudas CIAORG/2023/2,  CIAORG/2023/11, CIAORG/2023/15, CIAORG/2023/28, CIAORG/2023/40, CIAORG/2023/43, CIAORG/2023/54, CIAORG/2023/62, CIAORG/2023/65, CIAORG/2023/73, CIAORG/2023/91, CIAORG/2023/152, CIAORG/2023/154,  CIAORG/2023/170, CIAORG/2023/178 (LINEA DE SUBVENCIÓN S0296)</t>
        </is>
      </c>
      <c r="C16" s="81" t="n">
        <v>-1800.31</v>
      </c>
    </row>
    <row r="17">
      <c r="A17" s="60" t="inlineStr">
        <is>
          <t>41.20.6P.00.12</t>
        </is>
      </c>
      <c r="B17" s="61" t="inlineStr">
        <is>
          <t>Minoración ayudas CIAORG/2023/2,  CIAORG/2023/11, CIAORG/2023/15, CIAORG/2023/28, CIAORG/2023/40, CIAORG/2023/43, CIAORG/2023/54, CIAORG/2023/62, CIAORG/2023/65, CIAORG/2023/73, CIAORG/2023/91, CIAORG/2023/152, CIAORG/2023/154,  CIAORG/2023/170, CIAORG/2023/178 (LINEA DE SUBVENCIÓN S0296)</t>
        </is>
      </c>
      <c r="C17" s="82" t="n">
        <v>-2955.62</v>
      </c>
    </row>
    <row r="18">
      <c r="A18" s="57" t="inlineStr">
        <is>
          <t>41.20.6P.00.13</t>
        </is>
      </c>
      <c r="B18" s="58" t="inlineStr">
        <is>
          <t>CIAICO/2023/134/178/179/203/250/255/266/268</t>
        </is>
      </c>
      <c r="C18" s="81" t="n">
        <v>19200</v>
      </c>
    </row>
    <row r="19">
      <c r="A19" s="60" t="inlineStr">
        <is>
          <t>41.20.6P.00.13</t>
        </is>
      </c>
      <c r="B19" s="61" t="inlineStr">
        <is>
          <t xml:space="preserve">Minoración parcial CIAICO/2023/178/179/203/250/255/266. </t>
        </is>
      </c>
      <c r="C19" s="82" t="n">
        <v>-31.46</v>
      </c>
    </row>
    <row r="20">
      <c r="A20" s="57" t="inlineStr">
        <is>
          <t>41.20.6P.00.14</t>
        </is>
      </c>
      <c r="B20" s="58" t="inlineStr">
        <is>
          <t xml:space="preserve">CIAORG/2024/003. CIAORG/2024/005.  CIAORG/2024/017. CIAORG/2024/035. CIAORG/2024/079. CIAORG/2024/085. CIAORG/2024/098. CIAORG/2024/123. CIAORG/2024/158. CIAORG/2024/187. CIAORG/2024/193         </t>
        </is>
      </c>
      <c r="C20" s="81" t="n">
        <v>9000</v>
      </c>
    </row>
    <row r="21">
      <c r="A21" s="60" t="inlineStr">
        <is>
          <t>41.20.6P.00.15</t>
        </is>
      </c>
      <c r="B21" s="61" t="inlineStr">
        <is>
          <t>CIPROM/2024/03/13//90/92</t>
        </is>
      </c>
      <c r="C21" s="82" t="n">
        <v>10862.5</v>
      </c>
    </row>
    <row r="22">
      <c r="A22" s="57" t="inlineStr">
        <is>
          <t>41.20.6P.00.16</t>
        </is>
      </c>
      <c r="B22" s="58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22" s="81" t="n">
        <v>35050</v>
      </c>
    </row>
    <row r="23">
      <c r="A23" s="60" t="inlineStr">
        <is>
          <t>41.20.6P.00.17</t>
        </is>
      </c>
      <c r="B23" s="61" t="inlineStr">
        <is>
          <t>Ayudas CIAICO 2024/6/31/81/130/150/168/186/204/238/296/319</t>
        </is>
      </c>
      <c r="C23" s="82" t="n">
        <v>5000</v>
      </c>
    </row>
    <row r="24">
      <c r="A24" s="57" t="inlineStr">
        <is>
          <t>41.20.6P.00.18</t>
        </is>
      </c>
      <c r="B24" s="58" t="inlineStr">
        <is>
          <t>Ayudas CIAICO 2024/6/31/81/130/150/168/186/204/238/296/319</t>
        </is>
      </c>
      <c r="C24" s="81" t="n">
        <v>5000</v>
      </c>
    </row>
    <row r="25">
      <c r="A25" s="60" t="inlineStr">
        <is>
          <t>41.20.6P.00.19</t>
        </is>
      </c>
      <c r="B25" s="61" t="inlineStr">
        <is>
          <t>Ayudas CIAICO 2024/6/31/81/130/150/168/186/204/238/296/319</t>
        </is>
      </c>
      <c r="C25" s="82" t="n">
        <v>7000</v>
      </c>
    </row>
    <row r="26" ht="15.75" customHeight="1" thickBot="1">
      <c r="A26" s="57" t="inlineStr">
        <is>
          <t>41.20.6P.00.20</t>
        </is>
      </c>
      <c r="B26" s="58" t="inlineStr">
        <is>
          <t xml:space="preserve">Ingreso Fundación Ramón Areces </t>
        </is>
      </c>
      <c r="C26" s="81" t="n">
        <v>20000</v>
      </c>
    </row>
    <row r="27" ht="15.75" customHeight="1" thickTop="1">
      <c r="A27" s="63" t="inlineStr">
        <is>
          <t>Total</t>
        </is>
      </c>
      <c r="B27" s="64" t="n"/>
      <c r="C27" s="83" t="n">
        <v>95627.47</v>
      </c>
    </row>
    <row r="31">
      <c r="B31" s="66" t="inlineStr">
        <is>
          <t>Total ingresos de investigación 2023-25</t>
        </is>
      </c>
      <c r="C31" s="84">
        <f>C27+Tabla2[[#Totals],[Imp.cob.aplic.]]+Tabla3[[#Totals],[Imp.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E9" sqref="E9"/>
    </sheetView>
  </sheetViews>
  <sheetFormatPr baseColWidth="10" defaultRowHeight="15"/>
  <cols>
    <col width="17" customWidth="1" min="1" max="1"/>
    <col width="115.7109375" customWidth="1" min="2" max="2"/>
    <col width="16" customWidth="1" min="3" max="3"/>
  </cols>
  <sheetData>
    <row r="1">
      <c r="A1" s="40" t="inlineStr">
        <is>
          <t>Cód. org. aplic.</t>
        </is>
      </c>
      <c r="B1" s="40" t="inlineStr">
        <is>
          <t>Descripción justificante</t>
        </is>
      </c>
      <c r="C1" s="40" t="inlineStr">
        <is>
          <t>Imp.cob.aplic.</t>
        </is>
      </c>
    </row>
    <row r="2">
      <c r="A2" s="29" t="inlineStr">
        <is>
          <t>41.20.2T.00.02</t>
        </is>
      </c>
      <c r="B2" s="29" t="inlineStr">
        <is>
          <t xml:space="preserve">Plan_9346 Curso_2022-23 Emitido_2022y2023 ___ EXPERTO/A EN ASISTENTE AL PACIENTE INTERNACIONAL </t>
        </is>
      </c>
      <c r="C2" s="73" t="n">
        <v>848.21</v>
      </c>
    </row>
    <row r="3">
      <c r="A3" s="30" t="inlineStr">
        <is>
          <t>41.20.2T.00.02</t>
        </is>
      </c>
      <c r="B3" s="30" t="inlineStr">
        <is>
          <t xml:space="preserve">LIQ-TitProp_9384 Curso_1-2-3_2023-24 Emitido_2023-24 - EXPERTO/A EN ASISTENTE AL PACIENTE INTERNACIONAL </t>
        </is>
      </c>
      <c r="C3" s="74" t="n">
        <v>10203.95</v>
      </c>
    </row>
    <row r="4">
      <c r="A4" s="41" t="inlineStr">
        <is>
          <t>41.20.2T.00.02</t>
        </is>
      </c>
      <c r="B4" s="41" t="inlineStr">
        <is>
          <t xml:space="preserve">AD_LIQ-TitProp_9384 Curso_1-2-3_2023-24 Emitido_2023-24 - EXPERTO/A EN ASISTENTE AL PACIENTE INTERNACIONAL </t>
        </is>
      </c>
      <c r="C4" s="75" t="n">
        <v>-1219.59</v>
      </c>
    </row>
    <row r="5">
      <c r="A5" s="51" t="inlineStr">
        <is>
          <t>Total</t>
        </is>
      </c>
      <c r="B5" s="51" t="n"/>
      <c r="C5" s="85">
        <f>SUBTOTAL(109,Tabla5[Imp.cob.aplic.])</f>
        <v/>
      </c>
    </row>
    <row r="6">
      <c r="C6" s="7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B38" sqref="B38"/>
    </sheetView>
  </sheetViews>
  <sheetFormatPr baseColWidth="10" defaultRowHeight="15"/>
  <cols>
    <col width="16.5703125" customWidth="1" min="1" max="1"/>
    <col width="63.85546875" customWidth="1" min="2" max="2"/>
    <col width="12.28515625" customWidth="1" min="3" max="3"/>
  </cols>
  <sheetData>
    <row r="1">
      <c r="A1" s="48" t="inlineStr">
        <is>
          <t>Org. aplic.</t>
        </is>
      </c>
      <c r="B1" s="48" t="inlineStr">
        <is>
          <t>Descripción justificante</t>
        </is>
      </c>
      <c r="C1" s="48" t="inlineStr">
        <is>
          <t>Imp. aplic.</t>
        </is>
      </c>
    </row>
    <row r="2">
      <c r="A2" s="46" t="inlineStr">
        <is>
          <t>41.20.2T.00.02</t>
        </is>
      </c>
      <c r="B2" s="46" t="inlineStr">
        <is>
          <t xml:space="preserve">LIQ-TitProp_9384-3 Curso_2023-24 AñoCont_2023 - EXPERTO/A EN ASISTENTE AL PACIENTE INTERNACIONAL (PARTE EMITIDA EN 23 Y COBRADA EN 24) </t>
        </is>
      </c>
      <c r="C2" s="73" t="n">
        <v>1219.59</v>
      </c>
    </row>
    <row r="3">
      <c r="A3" s="47" t="inlineStr">
        <is>
          <t>41.20.2T.00.02</t>
        </is>
      </c>
      <c r="B3" s="47" t="inlineStr">
        <is>
          <t xml:space="preserve">Liq.PPub_311,00__ADRmsa_2024__EFP Enseñanzas Formación Permanente - Master, Especialista y Experto.  LIQ-TitProp_9384- Curso_2024-25 AñoCont_2024 - EXPERTO/A EN ASISTENTE AL PACIENTE INTERNACIONAL </t>
        </is>
      </c>
      <c r="C3" s="74" t="n">
        <v>202.98</v>
      </c>
    </row>
    <row r="4">
      <c r="A4" s="46" t="inlineStr">
        <is>
          <t>41.20.2T.00.02</t>
        </is>
      </c>
      <c r="B4" s="46" t="inlineStr">
        <is>
          <t xml:space="preserve">AD_Liq.PPub_311,00__ADRmsa_2024__EFP Enseñanzas Formación Permanente - Master, Especialista y Experto.  LIQ-TitProp_9384- Curso_2024-25 AñoCont_2024 - EXPERTO/A EN ASISTENTE AL PACIENTE INTERNACIONAL </t>
        </is>
      </c>
      <c r="C4" s="73" t="n">
        <v>-202.98</v>
      </c>
    </row>
    <row r="5">
      <c r="A5" s="51" t="inlineStr">
        <is>
          <t>41.20.2T.00.02</t>
        </is>
      </c>
      <c r="B5" s="51" t="inlineStr">
        <is>
          <t xml:space="preserve">LIQ-EP_Plan_9384-N Curso_2024-25_AñoCont_2024 TipoRec_Emitido - EXPERTO/A EN ASISTENTE AL PACIENTE INTERNACIONAL _ (Cierre-24) </t>
        </is>
      </c>
      <c r="C5" s="79" t="n">
        <v>817.02</v>
      </c>
    </row>
    <row r="6">
      <c r="A6" s="51" t="inlineStr">
        <is>
          <t>Total</t>
        </is>
      </c>
      <c r="B6" s="51" t="n"/>
      <c r="C6" s="85">
        <f>SUBTOTAL(109,Tabla6[Imp.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E10" sqref="E10"/>
    </sheetView>
  </sheetViews>
  <sheetFormatPr baseColWidth="10" defaultRowHeight="15"/>
  <cols>
    <col width="51" customWidth="1" min="2" max="2"/>
    <col width="17.42578125" customWidth="1" min="3" max="3"/>
  </cols>
  <sheetData>
    <row r="1">
      <c r="A1" t="inlineStr">
        <is>
          <t>Sin ingresos de formación en 2025</t>
        </is>
      </c>
    </row>
    <row r="5">
      <c r="B5" s="66" t="inlineStr">
        <is>
          <t>Total ingresos de formación 2023-25</t>
        </is>
      </c>
      <c r="C5" s="84">
        <f>Tabla5[[#Totals],[Imp.cob.aplic.]]+Tabla6[[#Totals],[Imp. aplic.]]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dmat@ua.es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2026-05-28T21:59:19Z</dcterms:modified>
  <cp:lastModifiedBy>mayte.pujalte</cp:lastModifiedBy>
  <cp:lastPrinted>2019-07-03T07:26:29Z</cp:lastPrinted>
</cp:coreProperties>
</file>