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97" firstSheet="0" activeTab="2" autoFilterDateGrouping="1"/>
  </bookViews>
  <sheets>
    <sheet name="Cr.23" sheetId="1" state="visible" r:id="rId1"/>
    <sheet name="Cr.24" sheetId="2" state="visible" r:id="rId2"/>
    <sheet name="Cr.25" sheetId="3" state="visible" r:id="rId3"/>
    <sheet name="Tesis" sheetId="4" state="visible" r:id="rId4"/>
    <sheet name="Sexenios" sheetId="5" state="visible" r:id="rId5"/>
    <sheet name="Ingresos investigación 2023" sheetId="6" state="visible" r:id="rId6"/>
    <sheet name="Ingresos investigación 2024" sheetId="7" state="visible" r:id="rId7"/>
    <sheet name="Ingresos investigación 2025" sheetId="8" state="visible" r:id="rId8"/>
    <sheet name="Ingresos formación 2023" sheetId="9" state="visible" r:id="rId9"/>
    <sheet name="Ingresos formación 2024" sheetId="10" state="visible" r:id="rId10"/>
    <sheet name="Ingresos formación 2025" sheetId="11" state="visible" r:id="rId11"/>
    <sheet name="Correo" sheetId="12" state="veryHidden" r:id="rId12"/>
  </sheets>
  <definedNames>
    <definedName name="_xlnm._FilterDatabase" localSheetId="3" hidden="1">'Tesis'!$A$1:$U$1</definedName>
    <definedName name="_xlnm.Print_Titles" localSheetId="3">'Tesis'!$1:$1,'Tesis'!$D:$D</definedName>
    <definedName name="_xlnm.Print_Titles" localSheetId="4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"/>
    <numFmt numFmtId="166" formatCode="_-* #,##0.00_-;\-* #,##0.00_-;_-* &quot;-&quot;??_-;_-@_-"/>
    <numFmt numFmtId="167" formatCode="#,##0.00_);\(#,##0.00\)"/>
    <numFmt numFmtId="168" formatCode="_-* #,##0.00\ _€_-;\-* #,##0.00\ _€_-;_-* &quot;-&quot;??\ _€_-;_-@_-"/>
  </numFmts>
  <fonts count="23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Verdana"/>
      <family val="2"/>
      <color rgb="FF000000"/>
      <sz val="8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20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C0C0C0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78787"/>
      </left>
      <right/>
      <top style="medium">
        <color rgb="FF878787"/>
      </top>
      <bottom/>
      <diagonal/>
    </border>
    <border>
      <left/>
      <right style="medium">
        <color rgb="FF878787"/>
      </right>
      <top style="medium">
        <color rgb="FF878787"/>
      </top>
      <bottom/>
      <diagonal/>
    </border>
    <border>
      <left style="thin">
        <color rgb="FF878787"/>
      </left>
      <right style="medium">
        <color rgb="FF878787"/>
      </right>
      <top style="medium">
        <color rgb="FF878787"/>
      </top>
      <bottom style="thin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medium">
        <color rgb="FF878787"/>
      </top>
      <bottom style="medium">
        <color rgb="FF878787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/>
      <bottom style="medium">
        <color rgb="FF878787"/>
      </bottom>
      <diagonal/>
    </border>
    <border>
      <left/>
      <right style="medium">
        <color rgb="FF878787"/>
      </right>
      <top/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/>
      <diagonal/>
    </border>
    <border>
      <left style="medium">
        <color rgb="FF878787"/>
      </left>
      <right style="medium">
        <color rgb="FF878787"/>
      </right>
      <top/>
      <bottom/>
      <diagonal/>
    </border>
    <border>
      <left style="medium">
        <color rgb="FF878787"/>
      </left>
      <right style="medium">
        <color rgb="FF878787"/>
      </right>
      <top/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14">
    <xf numFmtId="0" fontId="1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/>
    <xf numFmtId="0" fontId="10" fillId="0" borderId="0"/>
    <xf numFmtId="0" fontId="10" fillId="0" borderId="0"/>
    <xf numFmtId="0" fontId="18" fillId="0" borderId="0"/>
  </cellStyleXfs>
  <cellXfs count="118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10" fillId="0" borderId="0" pivotButton="0" quotePrefix="0" xfId="9"/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14" pivotButton="0" quotePrefix="0" xfId="1"/>
    <xf numFmtId="164" fontId="2" fillId="4" borderId="14" pivotButton="0" quotePrefix="0" xfId="1"/>
    <xf numFmtId="0" fontId="2" fillId="4" borderId="14" applyAlignment="1" pivotButton="0" quotePrefix="0" xfId="1">
      <alignment horizontal="right"/>
    </xf>
    <xf numFmtId="1" fontId="2" fillId="4" borderId="14" pivotButton="0" quotePrefix="0" xfId="1"/>
    <xf numFmtId="165" fontId="2" fillId="4" borderId="14" pivotButton="0" quotePrefix="0" xfId="1"/>
    <xf numFmtId="0" fontId="12" fillId="7" borderId="1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/>
    </xf>
    <xf numFmtId="0" fontId="12" fillId="7" borderId="10" applyAlignment="1" pivotButton="0" quotePrefix="0" xfId="0">
      <alignment horizontal="left" vertical="center"/>
    </xf>
    <xf numFmtId="0" fontId="12" fillId="7" borderId="5" applyAlignment="1" pivotButton="0" quotePrefix="0" xfId="0">
      <alignment horizontal="left" vertical="center"/>
    </xf>
    <xf numFmtId="0" fontId="2" fillId="0" borderId="1" pivotButton="0" quotePrefix="0" xfId="1"/>
    <xf numFmtId="166" fontId="0" fillId="11" borderId="15" pivotButton="0" quotePrefix="0" xfId="10"/>
    <xf numFmtId="166" fontId="0" fillId="0" borderId="15" pivotButton="0" quotePrefix="0" xfId="10"/>
    <xf numFmtId="0" fontId="2" fillId="0" borderId="1" applyAlignment="1" pivotButton="0" quotePrefix="0" xfId="1">
      <alignment horizontal="right"/>
    </xf>
    <xf numFmtId="0" fontId="2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17" fillId="11" borderId="15" pivotButton="0" quotePrefix="0" xfId="0"/>
    <xf numFmtId="0" fontId="17" fillId="0" borderId="15" pivotButton="0" quotePrefix="0" xfId="0"/>
    <xf numFmtId="166" fontId="0" fillId="0" borderId="0" pivotButton="0" quotePrefix="0" xfId="0"/>
    <xf numFmtId="0" fontId="6" fillId="0" borderId="1" applyAlignment="1" pivotButton="0" quotePrefix="0" xfId="0">
      <alignment horizontal="center"/>
    </xf>
    <xf numFmtId="0" fontId="0" fillId="12" borderId="0" pivotButton="0" quotePrefix="0" xfId="0"/>
    <xf numFmtId="0" fontId="0" fillId="12" borderId="0" applyAlignment="1" pivotButton="0" quotePrefix="0" xfId="0">
      <alignment horizontal="left"/>
    </xf>
    <xf numFmtId="0" fontId="2" fillId="12" borderId="0" pivotButton="0" quotePrefix="0" xfId="1"/>
    <xf numFmtId="0" fontId="2" fillId="12" borderId="0" applyAlignment="1" pivotButton="0" quotePrefix="0" xfId="1">
      <alignment horizontal="right"/>
    </xf>
    <xf numFmtId="165" fontId="3" fillId="12" borderId="0" pivotButton="0" quotePrefix="0" xfId="1"/>
    <xf numFmtId="0" fontId="15" fillId="12" borderId="0" pivotButton="0" quotePrefix="0" xfId="0"/>
    <xf numFmtId="0" fontId="12" fillId="7" borderId="11" applyAlignment="1" pivotButton="0" quotePrefix="0" xfId="12">
      <alignment horizontal="left" vertical="center"/>
    </xf>
    <xf numFmtId="0" fontId="13" fillId="8" borderId="5" applyAlignment="1" pivotButton="0" quotePrefix="0" xfId="12">
      <alignment horizontal="left" vertical="center"/>
    </xf>
    <xf numFmtId="0" fontId="13" fillId="8" borderId="6" applyAlignment="1" pivotButton="0" quotePrefix="0" xfId="12">
      <alignment horizontal="left" vertical="center"/>
    </xf>
    <xf numFmtId="0" fontId="13" fillId="8" borderId="7" applyAlignment="1" pivotButton="0" quotePrefix="0" xfId="12">
      <alignment horizontal="left" vertical="center"/>
    </xf>
    <xf numFmtId="4" fontId="11" fillId="9" borderId="10" applyAlignment="1" pivotButton="0" quotePrefix="0" xfId="12">
      <alignment horizontal="right" vertical="center"/>
    </xf>
    <xf numFmtId="3" fontId="11" fillId="9" borderId="10" applyAlignment="1" pivotButton="0" quotePrefix="0" xfId="12">
      <alignment horizontal="right" vertical="center"/>
    </xf>
    <xf numFmtId="0" fontId="12" fillId="7" borderId="12" applyAlignment="1" pivotButton="0" quotePrefix="0" xfId="12">
      <alignment horizontal="left" vertical="center"/>
    </xf>
    <xf numFmtId="0" fontId="12" fillId="7" borderId="10" applyAlignment="1" pivotButton="0" quotePrefix="0" xfId="12">
      <alignment horizontal="left" vertical="center"/>
    </xf>
    <xf numFmtId="0" fontId="12" fillId="7" borderId="5" applyAlignment="1" pivotButton="0" quotePrefix="0" xfId="12">
      <alignment horizontal="left" vertical="center"/>
    </xf>
    <xf numFmtId="0" fontId="12" fillId="7" borderId="7" applyAlignment="1" pivotButton="0" quotePrefix="0" xfId="12">
      <alignment horizontal="left" vertical="center"/>
    </xf>
    <xf numFmtId="4" fontId="12" fillId="7" borderId="10" applyAlignment="1" pivotButton="0" quotePrefix="0" xfId="12">
      <alignment horizontal="right"/>
    </xf>
    <xf numFmtId="0" fontId="12" fillId="7" borderId="10" applyAlignment="1" pivotButton="0" quotePrefix="0" xfId="12">
      <alignment horizontal="right"/>
    </xf>
    <xf numFmtId="0" fontId="12" fillId="7" borderId="13" applyAlignment="1" pivotButton="0" quotePrefix="0" xfId="12">
      <alignment horizontal="left" vertical="center"/>
    </xf>
    <xf numFmtId="0" fontId="11" fillId="6" borderId="2" pivotButton="0" quotePrefix="0" xfId="12"/>
    <xf numFmtId="0" fontId="11" fillId="6" borderId="3" pivotButton="0" quotePrefix="0" xfId="12"/>
    <xf numFmtId="0" fontId="12" fillId="6" borderId="4" applyAlignment="1" pivotButton="0" quotePrefix="0" xfId="12">
      <alignment horizontal="right" vertical="top"/>
    </xf>
    <xf numFmtId="0" fontId="11" fillId="6" borderId="5" applyAlignment="1" pivotButton="0" quotePrefix="0" xfId="12">
      <alignment horizontal="center"/>
    </xf>
    <xf numFmtId="0" fontId="11" fillId="6" borderId="6" applyAlignment="1" pivotButton="0" quotePrefix="0" xfId="12">
      <alignment horizontal="center"/>
    </xf>
    <xf numFmtId="0" fontId="11" fillId="6" borderId="7" applyAlignment="1" pivotButton="0" quotePrefix="0" xfId="12">
      <alignment horizontal="center"/>
    </xf>
    <xf numFmtId="0" fontId="11" fillId="6" borderId="8" pivotButton="0" quotePrefix="0" xfId="12"/>
    <xf numFmtId="0" fontId="11" fillId="6" borderId="9" pivotButton="0" quotePrefix="0" xfId="12"/>
    <xf numFmtId="0" fontId="11" fillId="6" borderId="10" applyAlignment="1" pivotButton="0" quotePrefix="0" xfId="12">
      <alignment horizontal="center"/>
    </xf>
    <xf numFmtId="0" fontId="19" fillId="15" borderId="1" applyAlignment="1" pivotButton="0" quotePrefix="0" xfId="13">
      <alignment horizontal="left" vertical="top"/>
    </xf>
    <xf numFmtId="0" fontId="19" fillId="15" borderId="1" applyAlignment="1" pivotButton="0" quotePrefix="0" xfId="13">
      <alignment horizontal="center" vertical="center"/>
    </xf>
    <xf numFmtId="0" fontId="19" fillId="15" borderId="1" applyAlignment="1" pivotButton="0" quotePrefix="0" xfId="13">
      <alignment horizontal="right"/>
    </xf>
    <xf numFmtId="0" fontId="19" fillId="13" borderId="1" applyAlignment="1" pivotButton="0" quotePrefix="0" xfId="13">
      <alignment horizontal="left" vertical="top"/>
    </xf>
    <xf numFmtId="0" fontId="19" fillId="14" borderId="1" applyAlignment="1" pivotButton="0" quotePrefix="0" xfId="13">
      <alignment horizontal="left" vertical="top"/>
    </xf>
    <xf numFmtId="167" fontId="19" fillId="14" borderId="1" applyAlignment="1" pivotButton="0" quotePrefix="0" xfId="13">
      <alignment horizontal="right" vertical="top"/>
    </xf>
    <xf numFmtId="167" fontId="19" fillId="13" borderId="1" applyAlignment="1" pivotButton="0" quotePrefix="0" xfId="13">
      <alignment horizontal="right" vertical="center"/>
    </xf>
    <xf numFmtId="167" fontId="19" fillId="14" borderId="1" applyAlignment="1" pivotButton="0" quotePrefix="0" xfId="13">
      <alignment horizontal="right" vertical="center"/>
    </xf>
    <xf numFmtId="166" fontId="0" fillId="0" borderId="17" pivotButton="0" quotePrefix="0" xfId="10"/>
    <xf numFmtId="0" fontId="9" fillId="0" borderId="17" pivotButton="0" quotePrefix="0" xfId="0"/>
    <xf numFmtId="166" fontId="10" fillId="0" borderId="17" pivotButton="0" quotePrefix="0" xfId="0"/>
    <xf numFmtId="0" fontId="16" fillId="10" borderId="16" pivotButton="0" quotePrefix="0" xfId="0"/>
    <xf numFmtId="0" fontId="17" fillId="0" borderId="17" pivotButton="0" quotePrefix="0" xfId="0"/>
    <xf numFmtId="0" fontId="0" fillId="11" borderId="15" pivotButton="0" quotePrefix="0" xfId="0"/>
    <xf numFmtId="0" fontId="0" fillId="0" borderId="15" pivotButton="0" quotePrefix="0" xfId="0"/>
    <xf numFmtId="0" fontId="14" fillId="10" borderId="16" pivotButton="0" quotePrefix="0" xfId="0"/>
    <xf numFmtId="166" fontId="14" fillId="10" borderId="16" pivotButton="0" quotePrefix="0" xfId="10"/>
    <xf numFmtId="0" fontId="0" fillId="11" borderId="17" pivotButton="0" quotePrefix="0" xfId="0"/>
    <xf numFmtId="166" fontId="0" fillId="11" borderId="17" pivotButton="0" quotePrefix="0" xfId="10"/>
    <xf numFmtId="0" fontId="0" fillId="16" borderId="17" pivotButton="0" quotePrefix="0" xfId="0"/>
    <xf numFmtId="166" fontId="10" fillId="16" borderId="17" pivotButton="0" quotePrefix="0" xfId="0"/>
    <xf numFmtId="0" fontId="0" fillId="17" borderId="0" pivotButton="0" quotePrefix="0" xfId="0"/>
    <xf numFmtId="0" fontId="15" fillId="0" borderId="1" pivotButton="0" quotePrefix="0" xfId="0"/>
    <xf numFmtId="168" fontId="15" fillId="0" borderId="1" pivotButton="0" quotePrefix="0" xfId="10"/>
    <xf numFmtId="0" fontId="20" fillId="18" borderId="18" pivotButton="0" quotePrefix="0" xfId="0"/>
    <xf numFmtId="0" fontId="20" fillId="18" borderId="19" pivotButton="0" quotePrefix="0" xfId="0"/>
    <xf numFmtId="0" fontId="21" fillId="19" borderId="18" pivotButton="0" quotePrefix="0" xfId="0"/>
    <xf numFmtId="0" fontId="21" fillId="19" borderId="19" pivotButton="0" quotePrefix="0" xfId="0"/>
    <xf numFmtId="168" fontId="21" fillId="19" borderId="19" pivotButton="0" quotePrefix="0" xfId="10"/>
    <xf numFmtId="0" fontId="21" fillId="0" borderId="18" pivotButton="0" quotePrefix="0" xfId="0"/>
    <xf numFmtId="0" fontId="21" fillId="0" borderId="19" pivotButton="0" quotePrefix="0" xfId="0"/>
    <xf numFmtId="168" fontId="21" fillId="0" borderId="19" pivotButton="0" quotePrefix="0" xfId="10"/>
    <xf numFmtId="0" fontId="22" fillId="0" borderId="20" pivotButton="0" quotePrefix="0" xfId="0"/>
    <xf numFmtId="0" fontId="22" fillId="0" borderId="21" pivotButton="0" quotePrefix="0" xfId="0"/>
    <xf numFmtId="168" fontId="22" fillId="0" borderId="21" pivotButton="0" quotePrefix="0" xfId="10"/>
    <xf numFmtId="164" fontId="2" fillId="4" borderId="14" pivotButton="0" quotePrefix="0" xfId="1"/>
    <xf numFmtId="166" fontId="0" fillId="11" borderId="15" pivotButton="0" quotePrefix="0" xfId="10"/>
    <xf numFmtId="166" fontId="0" fillId="0" borderId="15" pivotButton="0" quotePrefix="0" xfId="10"/>
    <xf numFmtId="166" fontId="0" fillId="0" borderId="17" pivotButton="0" quotePrefix="0" xfId="10"/>
    <xf numFmtId="166" fontId="10" fillId="0" borderId="17" pivotButton="0" quotePrefix="0" xfId="0"/>
    <xf numFmtId="166" fontId="0" fillId="0" borderId="0" pivotButton="0" quotePrefix="0" xfId="0"/>
    <xf numFmtId="166" fontId="14" fillId="10" borderId="16" pivotButton="0" quotePrefix="0" xfId="10"/>
    <xf numFmtId="166" fontId="0" fillId="11" borderId="17" pivotButton="0" quotePrefix="0" xfId="10"/>
    <xf numFmtId="166" fontId="10" fillId="16" borderId="17" pivotButton="0" quotePrefix="0" xfId="0"/>
    <xf numFmtId="168" fontId="21" fillId="19" borderId="19" pivotButton="0" quotePrefix="0" xfId="10"/>
    <xf numFmtId="168" fontId="21" fillId="0" borderId="19" pivotButton="0" quotePrefix="0" xfId="10"/>
    <xf numFmtId="168" fontId="22" fillId="0" borderId="21" pivotButton="0" quotePrefix="0" xfId="10"/>
    <xf numFmtId="168" fontId="15" fillId="0" borderId="1" pivotButton="0" quotePrefix="0" xfId="10"/>
  </cellXfs>
  <cellStyles count="14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Normal 4" xfId="6"/>
    <cellStyle name="Normal 14" xfId="7"/>
    <cellStyle name="Normal 17" xfId="8"/>
    <cellStyle name="Normal 19" xfId="9"/>
    <cellStyle name="Millares" xfId="10" builtinId="3"/>
    <cellStyle name="Normal 23" xfId="11"/>
    <cellStyle name="Normal 25" xfId="12"/>
    <cellStyle name="Normal 27" xfId="13"/>
  </cellStyles>
  <dxfs count="41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 patternType="solid">
          <fgColor theme="9" tint="0.7999816888943144"/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abla2" displayName="Tabla2" ref="A1:C29" headerRowCount="1" totalsRowCount="1" headerRowDxfId="40" headerRowBorderDxfId="39" tableBorderDxfId="38" totalsRowBorderDxfId="37">
  <autoFilter ref="A1:C28"/>
  <tableColumns count="3">
    <tableColumn id="1" name="Cód. org. aplic." totalsRowLabel="Total" dataDxfId="36" totalsRowDxfId="35"/>
    <tableColumn id="2" name="Descripción justificante" dataDxfId="34" totalsRowDxfId="33"/>
    <tableColumn id="3" name="Imp.cob.aplic." totalsRowFunction="sum" dataDxfId="32" totalsRowDxfId="31" dataCellStyle="Millares" totalsRowCellStyle="Millares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29" headerRowCount="1" totalsRowCount="1" totalsRowDxfId="28" headerRowBorderDxfId="30" tableBorderDxfId="29" totalsRowBorderDxfId="27">
  <autoFilter ref="A1:C28"/>
  <tableColumns count="3">
    <tableColumn id="1" name="Org. aplic." totalsRowLabel="Total" dataDxfId="26" totalsRowDxfId="25"/>
    <tableColumn id="2" name="Descripción justificante" dataDxfId="24" totalsRowDxfId="23"/>
    <tableColumn id="3" name="Imp. aplic." totalsRowFunction="sum" dataDxfId="22" totalsRowDxfId="21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8" headerRowCount="1" totalsRowCount="1" headerRowDxfId="20" headerRowBorderDxfId="19" tableBorderDxfId="18" totalsRowBorderDxfId="17">
  <autoFilter ref="A1:C7"/>
  <tableColumns count="3">
    <tableColumn id="1" name="Cód. org. aplic." totalsRowLabel="Total" dataDxfId="16" totalsRowDxfId="15"/>
    <tableColumn id="2" name="Descripción justificante" dataDxfId="14" totalsRowDxfId="13"/>
    <tableColumn id="3" name="Imp.cob.aplic." totalsRowFunction="sum" dataDxfId="12" totalsRowDxfId="11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6" displayName="Tabla6" ref="A1:C3" headerRowCount="1" totalsRowCount="1" headerRowDxfId="10" totalsRowDxfId="7" headerRowBorderDxfId="9" tableBorderDxfId="8" totalsRowBorderDxfId="6">
  <autoFilter ref="A1:C2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topLeftCell="C1" workbookViewId="0">
      <selection activeCell="A1" sqref="A1:K2"/>
    </sheetView>
  </sheetViews>
  <sheetFormatPr baseColWidth="10" defaultColWidth="11.44140625" defaultRowHeight="14.4"/>
  <cols>
    <col width="5.6640625" customWidth="1" style="13" min="1" max="1"/>
    <col width="42.6640625" bestFit="1" customWidth="1" style="13" min="2" max="2"/>
    <col width="13.6640625" bestFit="1" customWidth="1" style="13" min="3" max="3"/>
    <col width="43.33203125" bestFit="1" customWidth="1" style="13" min="4" max="4"/>
    <col width="20.33203125" bestFit="1" customWidth="1" style="13" min="5" max="5"/>
    <col width="11.44140625" customWidth="1" style="13" min="6" max="6"/>
    <col width="51" bestFit="1" customWidth="1" style="13" min="7" max="7"/>
    <col width="20.33203125" bestFit="1" customWidth="1" style="13" min="8" max="8"/>
    <col width="7.109375" bestFit="1" customWidth="1" style="13" min="9" max="9"/>
    <col width="11.44140625" customWidth="1" style="13" min="10" max="16384"/>
  </cols>
  <sheetData>
    <row r="1" ht="15" customHeight="1" thickBot="1">
      <c r="A1" s="61" t="inlineStr">
        <is>
          <t xml:space="preserve">Departamento </t>
        </is>
      </c>
      <c r="B1" s="62" t="n"/>
      <c r="C1" s="61" t="inlineStr">
        <is>
          <t xml:space="preserve">Área </t>
        </is>
      </c>
      <c r="D1" s="62" t="n"/>
      <c r="E1" s="63" t="n"/>
      <c r="F1" s="64" t="inlineStr">
        <is>
          <t xml:space="preserve">Créditos dedicación Dept. por nº de alumnos en cada asig. </t>
        </is>
      </c>
      <c r="G1" s="65" t="n"/>
      <c r="H1" s="66" t="n"/>
      <c r="I1" s="64" t="inlineStr">
        <is>
          <t xml:space="preserve">Créditos dedicación Dept. por nº de alumnos por 1ª VEZ en cada asig. </t>
        </is>
      </c>
      <c r="J1" s="65" t="n"/>
      <c r="K1" s="66" t="n"/>
    </row>
    <row r="2" ht="15" customHeight="1" thickBot="1">
      <c r="A2" s="67" t="n"/>
      <c r="B2" s="68" t="n"/>
      <c r="C2" s="67" t="n"/>
      <c r="D2" s="68" t="n"/>
      <c r="E2" s="63" t="inlineStr">
        <is>
          <t xml:space="preserve">Tipo Titulacion Asig </t>
        </is>
      </c>
      <c r="F2" s="69" t="inlineStr">
        <is>
          <t xml:space="preserve">Grado </t>
        </is>
      </c>
      <c r="G2" s="69" t="inlineStr">
        <is>
          <t xml:space="preserve">Máster Universitario Oficial </t>
        </is>
      </c>
      <c r="H2" s="69" t="inlineStr">
        <is>
          <t xml:space="preserve">Total </t>
        </is>
      </c>
      <c r="I2" s="69" t="inlineStr">
        <is>
          <t xml:space="preserve">Grado </t>
        </is>
      </c>
      <c r="J2" s="69" t="inlineStr">
        <is>
          <t xml:space="preserve">Máster Universitario Oficial </t>
        </is>
      </c>
      <c r="K2" s="69" t="inlineStr">
        <is>
          <t xml:space="preserve">Total </t>
        </is>
      </c>
    </row>
    <row r="3" ht="15" customHeight="1" thickBot="1">
      <c r="A3" s="48" t="inlineStr">
        <is>
          <t>B149</t>
        </is>
      </c>
      <c r="B3" s="48" t="inlineStr">
        <is>
          <t xml:space="preserve">FISICA, INGENIERIA DE SISTEMAS Y TEORIA DE LA SEÑAL </t>
        </is>
      </c>
      <c r="C3" s="49" t="inlineStr">
        <is>
          <t>Total</t>
        </is>
      </c>
      <c r="D3" s="50" t="n"/>
      <c r="E3" s="51" t="n"/>
      <c r="F3" s="52" t="n">
        <v>30941.05</v>
      </c>
      <c r="G3" s="52" t="n">
        <v>3164.45</v>
      </c>
      <c r="H3" s="52" t="n">
        <v>34105.5</v>
      </c>
      <c r="I3" s="52" t="n">
        <v>24138.875</v>
      </c>
      <c r="J3" s="53" t="n">
        <v>3082.2</v>
      </c>
      <c r="K3" s="53" t="n">
        <v>27221.075</v>
      </c>
    </row>
    <row r="4" ht="15" customHeight="1" thickBot="1">
      <c r="A4" s="54" t="inlineStr"/>
      <c r="B4" s="54" t="n"/>
      <c r="C4" s="55" t="inlineStr">
        <is>
          <t>385</t>
        </is>
      </c>
      <c r="D4" s="56" t="inlineStr">
        <is>
          <t xml:space="preserve">FISICA APLICADA </t>
        </is>
      </c>
      <c r="E4" s="57" t="n"/>
      <c r="F4" s="58" t="n">
        <v>14881.975</v>
      </c>
      <c r="G4" s="59" t="n">
        <v>661.7</v>
      </c>
      <c r="H4" s="52" t="n">
        <v>15543.675</v>
      </c>
      <c r="I4" s="58" t="n">
        <v>11225.925</v>
      </c>
      <c r="J4" s="59" t="n">
        <v>653.325</v>
      </c>
      <c r="K4" s="53" t="n">
        <v>11879.25</v>
      </c>
    </row>
    <row r="5" ht="15" customHeight="1" thickBot="1">
      <c r="A5" s="54" t="inlineStr"/>
      <c r="B5" s="54" t="n"/>
      <c r="C5" s="55" t="inlineStr">
        <is>
          <t>520</t>
        </is>
      </c>
      <c r="D5" s="56" t="inlineStr">
        <is>
          <t xml:space="preserve">INGENIERIA DE SISTEMAS Y AUTOMATICA </t>
        </is>
      </c>
      <c r="E5" s="57" t="n"/>
      <c r="F5" s="58" t="n">
        <v>8573.075000000001</v>
      </c>
      <c r="G5" s="59" t="n">
        <v>1386.225</v>
      </c>
      <c r="H5" s="52" t="n">
        <v>9959.299999999999</v>
      </c>
      <c r="I5" s="58" t="n">
        <v>6846.775</v>
      </c>
      <c r="J5" s="59" t="n">
        <v>1355.325</v>
      </c>
      <c r="K5" s="53" t="n">
        <v>8202.1</v>
      </c>
    </row>
    <row r="6" ht="15" customHeight="1" thickBot="1">
      <c r="A6" s="60" t="inlineStr"/>
      <c r="B6" s="60" t="n"/>
      <c r="C6" s="55" t="inlineStr">
        <is>
          <t>800</t>
        </is>
      </c>
      <c r="D6" s="56" t="inlineStr">
        <is>
          <t xml:space="preserve">TEORIA DE LA SEÑAL Y COMUNICACIONES </t>
        </is>
      </c>
      <c r="E6" s="57" t="n"/>
      <c r="F6" s="58" t="n">
        <v>7486</v>
      </c>
      <c r="G6" s="59" t="n">
        <v>1116.525</v>
      </c>
      <c r="H6" s="52" t="n">
        <v>8602.525</v>
      </c>
      <c r="I6" s="58" t="n">
        <v>6066.175</v>
      </c>
      <c r="J6" s="59" t="n">
        <v>1073.55</v>
      </c>
      <c r="K6" s="53" t="n">
        <v>7139.725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:XFD1048576"/>
    </sheetView>
  </sheetViews>
  <sheetFormatPr baseColWidth="10" defaultColWidth="11.44140625" defaultRowHeight="14.4"/>
  <cols>
    <col width="5.6640625" customWidth="1" style="13" min="1" max="1"/>
    <col width="52.5546875" customWidth="1" style="13" min="2" max="2"/>
    <col width="5.6640625" customWidth="1" style="13" min="3" max="3"/>
    <col width="26.44140625" customWidth="1" style="13" min="4" max="4"/>
    <col width="34.109375" customWidth="1" style="13" min="5" max="5"/>
    <col width="11.44140625" customWidth="1" style="13" min="6" max="6"/>
    <col width="26.33203125" customWidth="1" style="13" min="7" max="7"/>
    <col width="11.88671875" customWidth="1" style="13" min="8" max="8"/>
    <col width="11.44140625" customWidth="1" style="13" min="9" max="16384"/>
  </cols>
  <sheetData>
    <row r="1">
      <c r="A1" s="70" t="inlineStr">
        <is>
          <t>Departamento</t>
        </is>
      </c>
      <c r="B1" s="70" t="n"/>
      <c r="C1" s="70" t="inlineStr">
        <is>
          <t>Área</t>
        </is>
      </c>
      <c r="D1" s="70" t="n"/>
      <c r="E1" s="71" t="inlineStr">
        <is>
          <t>Indicadores</t>
        </is>
      </c>
      <c r="F1" s="72" t="inlineStr">
        <is>
          <t>Créditos dedicación Dept. por nº de alumnos en cada asig</t>
        </is>
      </c>
      <c r="G1" s="72" t="n"/>
      <c r="H1" s="72" t="n"/>
      <c r="I1" s="72" t="inlineStr">
        <is>
          <t>Créditos dedicación Dept. por nº de alumnos por 1ª VEZ en cada asig</t>
        </is>
      </c>
      <c r="J1" s="72" t="n"/>
      <c r="K1" s="72" t="n"/>
    </row>
    <row r="2">
      <c r="A2" s="70" t="n"/>
      <c r="B2" s="70" t="n"/>
      <c r="C2" s="70" t="n"/>
      <c r="D2" s="70" t="n"/>
      <c r="E2" s="71" t="inlineStr">
        <is>
          <t>Tipo Titulacion Asig</t>
        </is>
      </c>
      <c r="F2" s="72" t="inlineStr">
        <is>
          <t>Grado</t>
        </is>
      </c>
      <c r="G2" s="72" t="inlineStr">
        <is>
          <t>Máster Universitario Oficial</t>
        </is>
      </c>
      <c r="H2" s="72" t="inlineStr">
        <is>
          <t>Total</t>
        </is>
      </c>
      <c r="I2" s="72" t="inlineStr">
        <is>
          <t>Grado</t>
        </is>
      </c>
      <c r="J2" s="72" t="inlineStr">
        <is>
          <t>Máster Universitario Oficial</t>
        </is>
      </c>
      <c r="K2" s="72" t="inlineStr">
        <is>
          <t>Total</t>
        </is>
      </c>
    </row>
    <row r="3">
      <c r="A3" s="73" t="inlineStr">
        <is>
          <t>B149</t>
        </is>
      </c>
      <c r="B3" s="73" t="inlineStr">
        <is>
          <t>FISICA, INGENIERIA DE SISTEMAS Y TEORIA DE LA SEÑAL</t>
        </is>
      </c>
      <c r="C3" s="74" t="inlineStr">
        <is>
          <t>Total</t>
        </is>
      </c>
      <c r="D3" s="74" t="n"/>
      <c r="E3" s="74" t="n"/>
      <c r="F3" s="75" t="n">
        <v>32814.075</v>
      </c>
      <c r="G3" s="75" t="n">
        <v>2859.725</v>
      </c>
      <c r="H3" s="75" t="n">
        <v>35673.8</v>
      </c>
      <c r="I3" s="75" t="n">
        <v>25855.775</v>
      </c>
      <c r="J3" s="75" t="n">
        <v>2758.8</v>
      </c>
      <c r="K3" s="75" t="n">
        <v>28614.575</v>
      </c>
    </row>
    <row r="4">
      <c r="A4" s="73" t="n"/>
      <c r="B4" s="73" t="n"/>
      <c r="C4" s="73" t="inlineStr">
        <is>
          <t>385</t>
        </is>
      </c>
      <c r="D4" s="73" t="inlineStr">
        <is>
          <t>FISICA APLICADA</t>
        </is>
      </c>
      <c r="E4" s="73" t="n"/>
      <c r="F4" s="76" t="n">
        <v>15683.875</v>
      </c>
      <c r="G4" s="76" t="n">
        <v>710.65</v>
      </c>
      <c r="H4" s="77" t="n">
        <v>16394.525</v>
      </c>
      <c r="I4" s="76" t="n">
        <v>12075.425</v>
      </c>
      <c r="J4" s="76" t="n">
        <v>702.6</v>
      </c>
      <c r="K4" s="77" t="n">
        <v>12778.025</v>
      </c>
    </row>
    <row r="5">
      <c r="A5" s="73" t="n"/>
      <c r="B5" s="73" t="n"/>
      <c r="C5" s="73" t="inlineStr">
        <is>
          <t>520</t>
        </is>
      </c>
      <c r="D5" s="73" t="inlineStr">
        <is>
          <t>INGENIERIA DE SISTEMAS Y AUTOMATICA</t>
        </is>
      </c>
      <c r="E5" s="73" t="n"/>
      <c r="F5" s="76" t="n">
        <v>9131</v>
      </c>
      <c r="G5" s="76" t="n">
        <v>1048.725</v>
      </c>
      <c r="H5" s="77" t="n">
        <v>10179.725</v>
      </c>
      <c r="I5" s="76" t="n">
        <v>7199.925</v>
      </c>
      <c r="J5" s="76" t="n">
        <v>1021.075</v>
      </c>
      <c r="K5" s="77" t="n">
        <v>8221</v>
      </c>
    </row>
    <row r="6">
      <c r="A6" s="73" t="n"/>
      <c r="B6" s="73" t="n"/>
      <c r="C6" s="73" t="inlineStr">
        <is>
          <t>800</t>
        </is>
      </c>
      <c r="D6" s="73" t="inlineStr">
        <is>
          <t>TEORIA DE LA SEÑAL Y COMUNICACIONES</t>
        </is>
      </c>
      <c r="E6" s="73" t="n"/>
      <c r="F6" s="76" t="n">
        <v>7999.2</v>
      </c>
      <c r="G6" s="76" t="n">
        <v>1100.35</v>
      </c>
      <c r="H6" s="77" t="n">
        <v>9099.549999999999</v>
      </c>
      <c r="I6" s="76" t="n">
        <v>6580.425</v>
      </c>
      <c r="J6" s="76" t="n">
        <v>1035.125</v>
      </c>
      <c r="K6" s="77" t="n">
        <v>7615.55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topLeftCell="C1" workbookViewId="0">
      <selection activeCell="F15" sqref="F15"/>
    </sheetView>
  </sheetViews>
  <sheetFormatPr baseColWidth="10" defaultColWidth="11.44140625" defaultRowHeight="14.4"/>
  <cols>
    <col width="5.6640625" customWidth="1" style="13" min="1" max="1"/>
    <col width="52.5546875" customWidth="1" style="13" min="2" max="2"/>
    <col width="5.6640625" customWidth="1" style="13" min="3" max="3"/>
    <col width="29" customWidth="1" style="13" min="4" max="4"/>
    <col width="34.109375" customWidth="1" style="13" min="5" max="5"/>
    <col width="11.44140625" customWidth="1" style="13" min="6" max="6"/>
    <col width="26.33203125" customWidth="1" style="13" min="7" max="7"/>
    <col width="11.88671875" customWidth="1" style="13" min="8" max="8"/>
    <col width="11.44140625" customWidth="1" style="13" min="9" max="16384"/>
  </cols>
  <sheetData>
    <row r="1">
      <c r="A1" s="70" t="inlineStr">
        <is>
          <t>Departamento</t>
        </is>
      </c>
      <c r="B1" s="70" t="n"/>
      <c r="C1" s="70" t="inlineStr">
        <is>
          <t>Área</t>
        </is>
      </c>
      <c r="D1" s="70" t="n"/>
      <c r="E1" s="71" t="inlineStr">
        <is>
          <t>Indicadores</t>
        </is>
      </c>
      <c r="F1" s="72" t="inlineStr">
        <is>
          <t>Créditos dedicación Dept. por nº de alumnos en cada asig</t>
        </is>
      </c>
      <c r="G1" s="72" t="n"/>
      <c r="H1" s="72" t="n"/>
      <c r="I1" s="72" t="inlineStr">
        <is>
          <t>Créditos dedicación Dept. por nº de alumnos por 1ª VEZ en cada asig</t>
        </is>
      </c>
      <c r="J1" s="72" t="n"/>
      <c r="K1" s="72" t="n"/>
    </row>
    <row r="2">
      <c r="A2" s="70" t="n"/>
      <c r="B2" s="70" t="n"/>
      <c r="C2" s="70" t="n"/>
      <c r="D2" s="70" t="n"/>
      <c r="E2" s="71" t="inlineStr">
        <is>
          <t>Tipo Titulacion Asig</t>
        </is>
      </c>
      <c r="F2" s="72" t="inlineStr">
        <is>
          <t>Grado</t>
        </is>
      </c>
      <c r="G2" s="72" t="inlineStr">
        <is>
          <t>Máster Universitario Oficial</t>
        </is>
      </c>
      <c r="H2" s="72" t="inlineStr">
        <is>
          <t>Total</t>
        </is>
      </c>
      <c r="I2" s="72" t="inlineStr">
        <is>
          <t>Grado</t>
        </is>
      </c>
      <c r="J2" s="72" t="inlineStr">
        <is>
          <t>Máster Universitario Oficial</t>
        </is>
      </c>
      <c r="K2" s="72" t="inlineStr">
        <is>
          <t>Total</t>
        </is>
      </c>
    </row>
    <row r="3">
      <c r="A3" s="73" t="inlineStr">
        <is>
          <t>B149</t>
        </is>
      </c>
      <c r="B3" s="73" t="inlineStr">
        <is>
          <t>FISICA, INGENIERIA DE SISTEMAS Y TEORIA DE LA SEÑAL</t>
        </is>
      </c>
      <c r="C3" s="74" t="inlineStr">
        <is>
          <t>Total</t>
        </is>
      </c>
      <c r="D3" s="74" t="n"/>
      <c r="E3" s="74" t="n"/>
      <c r="F3" s="75" t="n">
        <v>31927.85</v>
      </c>
      <c r="G3" s="75" t="n">
        <v>2790.575</v>
      </c>
      <c r="H3" s="75" t="n">
        <v>34718.425</v>
      </c>
      <c r="I3" s="75" t="n">
        <v>25316.35</v>
      </c>
      <c r="J3" s="75" t="n">
        <v>2693.375</v>
      </c>
      <c r="K3" s="75" t="n">
        <v>28009.725</v>
      </c>
    </row>
    <row r="4">
      <c r="A4" s="73" t="n"/>
      <c r="B4" s="73" t="n"/>
      <c r="C4" s="73" t="inlineStr">
        <is>
          <t>385</t>
        </is>
      </c>
      <c r="D4" s="73" t="inlineStr">
        <is>
          <t>FISICA APLICADA</t>
        </is>
      </c>
      <c r="E4" s="73" t="n"/>
      <c r="F4" s="76" t="n">
        <v>14613.075</v>
      </c>
      <c r="G4" s="76" t="n">
        <v>663.45</v>
      </c>
      <c r="H4" s="77" t="n">
        <v>15276.525</v>
      </c>
      <c r="I4" s="76" t="n">
        <v>11362.55</v>
      </c>
      <c r="J4" s="76" t="n">
        <v>658.45</v>
      </c>
      <c r="K4" s="77" t="n">
        <v>12021</v>
      </c>
    </row>
    <row r="5">
      <c r="A5" s="73" t="n"/>
      <c r="B5" s="73" t="n"/>
      <c r="C5" s="73" t="inlineStr">
        <is>
          <t>520</t>
        </is>
      </c>
      <c r="D5" s="73" t="inlineStr">
        <is>
          <t>INGENIERIA DE SISTEMAS Y AUTOMATICA</t>
        </is>
      </c>
      <c r="E5" s="73" t="n"/>
      <c r="F5" s="76" t="n">
        <v>9525.25</v>
      </c>
      <c r="G5" s="76" t="n">
        <v>1285.775</v>
      </c>
      <c r="H5" s="77" t="n">
        <v>10811.025</v>
      </c>
      <c r="I5" s="76" t="n">
        <v>7554</v>
      </c>
      <c r="J5" s="76" t="n">
        <v>1259.975</v>
      </c>
      <c r="K5" s="77" t="n">
        <v>8813.975</v>
      </c>
    </row>
    <row r="6">
      <c r="A6" s="73" t="n"/>
      <c r="B6" s="73" t="n"/>
      <c r="C6" s="73" t="n">
        <v>770</v>
      </c>
      <c r="D6" s="73" t="inlineStr">
        <is>
          <t>RADIOLOGÍA Y MEDICINA FÍSICA</t>
        </is>
      </c>
      <c r="E6" s="73" t="n"/>
      <c r="F6" s="76" t="n">
        <v>172</v>
      </c>
      <c r="G6" s="76" t="n"/>
      <c r="H6" s="77" t="n">
        <v>172</v>
      </c>
      <c r="I6" s="76" t="n">
        <v>172</v>
      </c>
      <c r="J6" s="76" t="n"/>
      <c r="K6" s="77" t="n">
        <v>172</v>
      </c>
    </row>
    <row r="7">
      <c r="A7" s="73" t="n"/>
      <c r="B7" s="73" t="n"/>
      <c r="C7" s="73" t="inlineStr">
        <is>
          <t>800</t>
        </is>
      </c>
      <c r="D7" s="73" t="inlineStr">
        <is>
          <t>TEORIA DE LA SEÑAL Y COMUNICACIONES</t>
        </is>
      </c>
      <c r="E7" s="73" t="n"/>
      <c r="F7" s="76" t="n">
        <v>7617.525</v>
      </c>
      <c r="G7" s="76" t="n">
        <v>841.35</v>
      </c>
      <c r="H7" s="77" t="n">
        <v>8458.875</v>
      </c>
      <c r="I7" s="76" t="n">
        <v>6227.8</v>
      </c>
      <c r="J7" s="76" t="n">
        <v>774.95</v>
      </c>
      <c r="K7" s="77" t="n">
        <v>7002.75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34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B37" sqref="B37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22" t="inlineStr">
        <is>
          <t xml:space="preserve">U062 </t>
        </is>
      </c>
      <c r="B2" s="22" t="inlineStr">
        <is>
          <t xml:space="preserve">ADM. I.U. DE INVESTIGACIÓN INFORMÁTICA </t>
        </is>
      </c>
      <c r="C2" s="22" t="inlineStr">
        <is>
          <t xml:space="preserve">DOCTORADO EN INFORMÁTICA </t>
        </is>
      </c>
      <c r="D2" s="22" t="inlineStr">
        <is>
          <t xml:space="preserve">Zapata Impatá, Brayan Stiven </t>
        </is>
      </c>
      <c r="E2" s="22" t="inlineStr">
        <is>
          <t xml:space="preserve">ROBOTIC MANIPULATION BASED ON VISUAL AND TACTILE PERCEPTION </t>
        </is>
      </c>
      <c r="F2" s="22" t="inlineStr">
        <is>
          <t xml:space="preserve">17/09/2020 </t>
        </is>
      </c>
      <c r="G2" s="22" t="inlineStr">
        <is>
          <t xml:space="preserve">52774982X </t>
        </is>
      </c>
      <c r="H2" s="22" t="inlineStr">
        <is>
          <t xml:space="preserve">Director de tesis </t>
        </is>
      </c>
      <c r="I2" s="22" t="inlineStr">
        <is>
          <t xml:space="preserve">B149 </t>
        </is>
      </c>
      <c r="J2" s="22" t="inlineStr">
        <is>
          <t xml:space="preserve">FISICA, INGENIERIA DE SISTEMAS Y TEORIA DE LA SEÑAL </t>
        </is>
      </c>
      <c r="K2" s="105" t="n">
        <v>1</v>
      </c>
      <c r="L2" s="22" t="inlineStr">
        <is>
          <t>B149</t>
        </is>
      </c>
      <c r="M2" s="22" t="n">
        <v>2019</v>
      </c>
      <c r="N2" s="22" t="inlineStr">
        <is>
          <t>10.19</t>
        </is>
      </c>
      <c r="O2" s="24" t="inlineStr">
        <is>
          <t>50</t>
        </is>
      </c>
      <c r="P2" s="22" t="inlineStr"/>
      <c r="Q2" s="24" t="inlineStr"/>
      <c r="R2" s="25" t="n">
        <v>50</v>
      </c>
      <c r="S2" s="26" t="n">
        <v>0.5</v>
      </c>
      <c r="T2" s="26" t="n">
        <v>0.5</v>
      </c>
      <c r="U2" s="26" t="n">
        <v>0</v>
      </c>
    </row>
    <row r="3" ht="10.8" customHeight="1" thickBot="1">
      <c r="A3" s="22" t="inlineStr">
        <is>
          <t xml:space="preserve">U066 </t>
        </is>
      </c>
      <c r="B3" s="22" t="inlineStr">
        <is>
          <t xml:space="preserve">ADM. I.U. FÍSICA APLICADA A LA CIENCIAS Y A LAS TECNOLOGIAS </t>
        </is>
      </c>
      <c r="C3" s="22" t="inlineStr">
        <is>
          <t xml:space="preserve">DOCTORADO EN FÍSICA APLICADA A LAS CIENCIAS Y LAS TECNOLOGÍAS </t>
        </is>
      </c>
      <c r="D3" s="22" t="inlineStr">
        <is>
          <t xml:space="preserve">Soler Llorens, Juan Luis </t>
        </is>
      </c>
      <c r="E3" s="22" t="inlineStr">
        <is>
          <t xml:space="preserve">DISEÑO, IMPLEMENTACIÓN Y VALIDACIÓN DE SISTEMAS DE ADQUISICIÓN DE DATOS SÍSMICOS BASADOS EN ARDUINO </t>
        </is>
      </c>
      <c r="F3" s="22" t="inlineStr">
        <is>
          <t xml:space="preserve">16/12/2019 </t>
        </is>
      </c>
      <c r="G3" s="22" t="inlineStr">
        <is>
          <t xml:space="preserve">21499481R </t>
        </is>
      </c>
      <c r="H3" s="22" t="inlineStr">
        <is>
          <t xml:space="preserve">Codirector de tesis </t>
        </is>
      </c>
      <c r="I3" s="22" t="inlineStr">
        <is>
          <t xml:space="preserve">B149 </t>
        </is>
      </c>
      <c r="J3" s="22" t="inlineStr">
        <is>
          <t xml:space="preserve">FISICA, INGENIERIA DE SISTEMAS Y TEORIA DE LA SEÑAL </t>
        </is>
      </c>
      <c r="K3" s="105" t="n">
        <v>0.5</v>
      </c>
      <c r="L3" s="22" t="inlineStr">
        <is>
          <t>B149</t>
        </is>
      </c>
      <c r="M3" s="22" t="n">
        <v>2019</v>
      </c>
      <c r="N3" s="22" t="inlineStr">
        <is>
          <t>10.20</t>
        </is>
      </c>
      <c r="O3" s="24" t="inlineStr">
        <is>
          <t>20</t>
        </is>
      </c>
      <c r="P3" s="22" t="inlineStr"/>
      <c r="Q3" s="24" t="inlineStr"/>
      <c r="R3" s="25" t="n">
        <v>80</v>
      </c>
      <c r="S3" s="26" t="n">
        <v>0.4</v>
      </c>
      <c r="T3" s="26" t="n">
        <v>0.1</v>
      </c>
      <c r="U3" s="26" t="n">
        <v>0</v>
      </c>
    </row>
    <row r="4" ht="10.8" customHeight="1" thickBot="1">
      <c r="A4" s="27" t="inlineStr">
        <is>
          <t xml:space="preserve">U062 </t>
        </is>
      </c>
      <c r="B4" s="27" t="inlineStr">
        <is>
          <t xml:space="preserve">ADM. I.U. DE INVESTIGACIÓN INFORMÁTICA </t>
        </is>
      </c>
      <c r="C4" s="27" t="inlineStr">
        <is>
          <t xml:space="preserve">DOCTORADO EN INFORMÁTICA </t>
        </is>
      </c>
      <c r="D4" s="27" t="inlineStr">
        <is>
          <t xml:space="preserve">Del Pino Bastida, Iván </t>
        </is>
      </c>
      <c r="E4" s="27" t="inlineStr">
        <is>
          <t xml:space="preserve">Desarrollo de un sistema completo de navegación autónoma basado en GNSS y LiDAR para robots terrestres que operan en entornos dinámicos y no estructurados </t>
        </is>
      </c>
      <c r="F4" s="27" t="inlineStr">
        <is>
          <t xml:space="preserve">02/09/2021 </t>
        </is>
      </c>
      <c r="G4" s="28" t="inlineStr">
        <is>
          <t xml:space="preserve">24218798M </t>
        </is>
      </c>
      <c r="H4" s="29" t="inlineStr">
        <is>
          <t xml:space="preserve">Codirector de tesis </t>
        </is>
      </c>
      <c r="I4" s="29" t="inlineStr">
        <is>
          <t xml:space="preserve">B149 </t>
        </is>
      </c>
      <c r="J4" s="30" t="inlineStr">
        <is>
          <t xml:space="preserve">FISICA, INGENIERIA DE SISTEMAS Y TEORIA DE LA SEÑAL </t>
        </is>
      </c>
      <c r="K4" s="31" t="n">
        <v>0.5</v>
      </c>
      <c r="L4" s="31" t="inlineStr">
        <is>
          <t>B149</t>
        </is>
      </c>
      <c r="M4" s="20" t="n">
        <v>2020</v>
      </c>
      <c r="N4" s="20" t="inlineStr">
        <is>
          <t>10.19</t>
        </is>
      </c>
      <c r="O4" s="21" t="n">
        <v>50</v>
      </c>
      <c r="P4" s="20" t="inlineStr"/>
      <c r="Q4" s="21" t="n">
        <v>0</v>
      </c>
      <c r="R4" s="20" t="n">
        <v>50</v>
      </c>
      <c r="S4" s="20" t="n">
        <v>0.25</v>
      </c>
      <c r="T4" s="20" t="n">
        <v>0.25</v>
      </c>
      <c r="U4" s="20" t="n">
        <v>0</v>
      </c>
    </row>
    <row r="5" ht="10.8" customHeight="1" thickBot="1">
      <c r="A5" s="27" t="inlineStr">
        <is>
          <t xml:space="preserve">U062 </t>
        </is>
      </c>
      <c r="B5" s="27" t="inlineStr">
        <is>
          <t xml:space="preserve">ADM. I.U. DE INVESTIGACIÓN INFORMÁTICA </t>
        </is>
      </c>
      <c r="C5" s="27" t="inlineStr">
        <is>
          <t xml:space="preserve">DOCTORADO EN INFORMÁTICA </t>
        </is>
      </c>
      <c r="D5" s="27" t="inlineStr">
        <is>
          <t xml:space="preserve">Romero Puig, Noelia </t>
        </is>
      </c>
      <c r="E5" s="27" t="inlineStr">
        <is>
          <t xml:space="preserve">Crop Monitoring by Satellite Polarimetric SAR Interferometry </t>
        </is>
      </c>
      <c r="F5" s="27" t="inlineStr">
        <is>
          <t xml:space="preserve">16/09/2021 </t>
        </is>
      </c>
      <c r="G5" s="28" t="inlineStr">
        <is>
          <t xml:space="preserve">21503683V </t>
        </is>
      </c>
      <c r="H5" s="29" t="inlineStr">
        <is>
          <t xml:space="preserve">Codirector de tesis </t>
        </is>
      </c>
      <c r="I5" s="29" t="inlineStr">
        <is>
          <t xml:space="preserve">B149 </t>
        </is>
      </c>
      <c r="J5" s="30" t="inlineStr">
        <is>
          <t xml:space="preserve">FISICA, INGENIERIA DE SISTEMAS Y TEORIA DE LA SEÑAL </t>
        </is>
      </c>
      <c r="K5" s="31" t="n">
        <v>0.5</v>
      </c>
      <c r="L5" s="31" t="inlineStr">
        <is>
          <t>B149</t>
        </is>
      </c>
      <c r="M5" s="20" t="n">
        <v>2020</v>
      </c>
      <c r="N5" s="20" t="inlineStr">
        <is>
          <t>10.19</t>
        </is>
      </c>
      <c r="O5" s="21" t="n">
        <v>50</v>
      </c>
      <c r="P5" s="20" t="inlineStr"/>
      <c r="Q5" s="21" t="n">
        <v>0</v>
      </c>
      <c r="R5" s="20" t="n">
        <v>50</v>
      </c>
      <c r="S5" s="20" t="n">
        <v>0.25</v>
      </c>
      <c r="T5" s="20" t="n">
        <v>0.25</v>
      </c>
      <c r="U5" s="20" t="n">
        <v>0</v>
      </c>
    </row>
    <row r="6" ht="10.8" customHeight="1" thickBot="1">
      <c r="A6" s="27" t="inlineStr">
        <is>
          <t xml:space="preserve">U062 </t>
        </is>
      </c>
      <c r="B6" s="27" t="inlineStr">
        <is>
          <t xml:space="preserve">ADM. I.U. DE INVESTIGACIÓN INFORMÁTICA </t>
        </is>
      </c>
      <c r="C6" s="27" t="inlineStr">
        <is>
          <t xml:space="preserve">DOCTORADO EN INFORMÁTICA </t>
        </is>
      </c>
      <c r="D6" s="27" t="inlineStr">
        <is>
          <t xml:space="preserve">Romero Puig, Noelia </t>
        </is>
      </c>
      <c r="E6" s="27" t="inlineStr">
        <is>
          <t xml:space="preserve">Crop Monitoring by Satellite Polarimetric SAR Interferometry </t>
        </is>
      </c>
      <c r="F6" s="27" t="inlineStr">
        <is>
          <t xml:space="preserve">16/09/2021 </t>
        </is>
      </c>
      <c r="G6" s="28" t="inlineStr">
        <is>
          <t xml:space="preserve">21664897R </t>
        </is>
      </c>
      <c r="H6" s="29" t="inlineStr">
        <is>
          <t xml:space="preserve">Codirector de tesis </t>
        </is>
      </c>
      <c r="I6" s="29" t="inlineStr">
        <is>
          <t xml:space="preserve">B149 </t>
        </is>
      </c>
      <c r="J6" s="30" t="inlineStr">
        <is>
          <t xml:space="preserve">FISICA, INGENIERIA DE SISTEMAS Y TEORIA DE LA SEÑAL </t>
        </is>
      </c>
      <c r="K6" s="31" t="n">
        <v>0.5</v>
      </c>
      <c r="L6" s="31" t="inlineStr">
        <is>
          <t>B149</t>
        </is>
      </c>
      <c r="M6" s="20" t="n">
        <v>2020</v>
      </c>
      <c r="N6" s="20" t="inlineStr">
        <is>
          <t>10.19</t>
        </is>
      </c>
      <c r="O6" s="21" t="n">
        <v>20</v>
      </c>
      <c r="P6" s="20" t="inlineStr"/>
      <c r="Q6" s="21" t="n">
        <v>0</v>
      </c>
      <c r="R6" s="20" t="n">
        <v>80</v>
      </c>
      <c r="S6" s="20" t="n">
        <v>0.4</v>
      </c>
      <c r="T6" s="20" t="n">
        <v>0.1</v>
      </c>
      <c r="U6" s="20" t="n">
        <v>0</v>
      </c>
    </row>
    <row r="7" ht="10.8" customHeight="1" thickBot="1">
      <c r="A7" s="27" t="inlineStr">
        <is>
          <t xml:space="preserve">U062 </t>
        </is>
      </c>
      <c r="B7" s="27" t="inlineStr">
        <is>
          <t xml:space="preserve">ADM. I.U. DE INVESTIGACIÓN INFORMÁTICA </t>
        </is>
      </c>
      <c r="C7" s="27" t="inlineStr">
        <is>
          <t xml:space="preserve">DOCTORADO EN INFORMÁTICA </t>
        </is>
      </c>
      <c r="D7" s="27" t="inlineStr">
        <is>
          <t xml:space="preserve">Xie , Qinghua </t>
        </is>
      </c>
      <c r="E7" s="27" t="inlineStr">
        <is>
          <t xml:space="preserve">Application of Polarimetric Model-based Decomposition for Crop Monitoring </t>
        </is>
      </c>
      <c r="F7" s="27" t="inlineStr">
        <is>
          <t xml:space="preserve">19/02/2021 </t>
        </is>
      </c>
      <c r="G7" s="28" t="inlineStr">
        <is>
          <t xml:space="preserve">21503683V </t>
        </is>
      </c>
      <c r="H7" s="29" t="inlineStr">
        <is>
          <t xml:space="preserve">Codirector de tesis </t>
        </is>
      </c>
      <c r="I7" s="29" t="inlineStr">
        <is>
          <t xml:space="preserve">B149 </t>
        </is>
      </c>
      <c r="J7" s="30" t="inlineStr">
        <is>
          <t xml:space="preserve">FISICA, INGENIERIA DE SISTEMAS Y TEORIA DE LA SEÑAL </t>
        </is>
      </c>
      <c r="K7" s="31" t="n">
        <v>0.5</v>
      </c>
      <c r="L7" s="31" t="inlineStr">
        <is>
          <t>B149</t>
        </is>
      </c>
      <c r="M7" s="20" t="n">
        <v>2020</v>
      </c>
      <c r="N7" s="20" t="inlineStr">
        <is>
          <t>10.19</t>
        </is>
      </c>
      <c r="O7" s="21" t="n">
        <v>50</v>
      </c>
      <c r="P7" s="20" t="inlineStr"/>
      <c r="Q7" s="21" t="n">
        <v>0</v>
      </c>
      <c r="R7" s="20" t="n">
        <v>50</v>
      </c>
      <c r="S7" s="20" t="n">
        <v>0.25</v>
      </c>
      <c r="T7" s="20" t="n">
        <v>0.25</v>
      </c>
      <c r="U7" s="20" t="n">
        <v>0</v>
      </c>
    </row>
    <row r="8" ht="10.8" customHeight="1" thickBot="1">
      <c r="A8" s="27" t="inlineStr">
        <is>
          <t xml:space="preserve">U062 </t>
        </is>
      </c>
      <c r="B8" s="27" t="inlineStr">
        <is>
          <t xml:space="preserve">ADM. I.U. DE INVESTIGACIÓN INFORMÁTICA </t>
        </is>
      </c>
      <c r="C8" s="27" t="inlineStr">
        <is>
          <t xml:space="preserve">DOCTORADO EN INFORMÁTICA </t>
        </is>
      </c>
      <c r="D8" s="27" t="inlineStr">
        <is>
          <t xml:space="preserve">Xie , Qinghua </t>
        </is>
      </c>
      <c r="E8" s="27" t="inlineStr">
        <is>
          <t xml:space="preserve">Application of Polarimetric Model-based Decomposition for Crop Monitoring </t>
        </is>
      </c>
      <c r="F8" s="27" t="inlineStr">
        <is>
          <t xml:space="preserve">19/02/2021 </t>
        </is>
      </c>
      <c r="G8" s="28" t="inlineStr">
        <is>
          <t xml:space="preserve">21664897R </t>
        </is>
      </c>
      <c r="H8" s="29" t="inlineStr">
        <is>
          <t xml:space="preserve">Codirector de tesis </t>
        </is>
      </c>
      <c r="I8" s="29" t="inlineStr">
        <is>
          <t xml:space="preserve">B149 </t>
        </is>
      </c>
      <c r="J8" s="30" t="inlineStr">
        <is>
          <t xml:space="preserve">FISICA, INGENIERIA DE SISTEMAS Y TEORIA DE LA SEÑAL </t>
        </is>
      </c>
      <c r="K8" s="31" t="n">
        <v>0.5</v>
      </c>
      <c r="L8" s="31" t="inlineStr">
        <is>
          <t>B149</t>
        </is>
      </c>
      <c r="M8" s="20" t="n">
        <v>2020</v>
      </c>
      <c r="N8" s="20" t="inlineStr">
        <is>
          <t>10.19</t>
        </is>
      </c>
      <c r="O8" s="21" t="n">
        <v>20</v>
      </c>
      <c r="P8" s="20" t="inlineStr"/>
      <c r="Q8" s="21" t="n">
        <v>0</v>
      </c>
      <c r="R8" s="20" t="n">
        <v>80</v>
      </c>
      <c r="S8" s="20" t="n">
        <v>0.4</v>
      </c>
      <c r="T8" s="20" t="n">
        <v>0.1</v>
      </c>
      <c r="U8" s="20" t="n">
        <v>0</v>
      </c>
    </row>
    <row r="9">
      <c r="A9" s="31" t="inlineStr">
        <is>
          <t xml:space="preserve">U066 </t>
        </is>
      </c>
      <c r="B9" s="31" t="inlineStr">
        <is>
          <t xml:space="preserve">ADM. I.U. FÍSICA APLICADA A LA CIENCIAS Y A LAS TECNOLOGIAS </t>
        </is>
      </c>
      <c r="C9" s="31" t="inlineStr">
        <is>
          <t xml:space="preserve">DOCTORADO EN FÍSICA APLICADA A LAS CIENCIAS Y LAS TECNOLOGÍAS </t>
        </is>
      </c>
      <c r="D9" s="31" t="inlineStr">
        <is>
          <t xml:space="preserve">Martínez Chicharro, María </t>
        </is>
      </c>
      <c r="E9" s="31" t="inlineStr">
        <is>
          <t xml:space="preserve">Stellar wind diagnostic and accretion in the massive X-ray binary 4U1700-37 through high resolution X-ray spectroscopy </t>
        </is>
      </c>
      <c r="F9" s="31" t="inlineStr">
        <is>
          <t xml:space="preserve">28/05/2021 </t>
        </is>
      </c>
      <c r="G9" s="31" t="inlineStr">
        <is>
          <t xml:space="preserve">19099684R </t>
        </is>
      </c>
      <c r="H9" s="31" t="inlineStr">
        <is>
          <t xml:space="preserve">Director de tesis </t>
        </is>
      </c>
      <c r="I9" s="31" t="inlineStr">
        <is>
          <t xml:space="preserve">B149 </t>
        </is>
      </c>
      <c r="J9" s="31" t="inlineStr">
        <is>
          <t xml:space="preserve">FISICA, INGENIERIA DE SISTEMAS Y TEORIA DE LA SEÑAL </t>
        </is>
      </c>
      <c r="K9" s="31" t="n">
        <v>1</v>
      </c>
      <c r="L9" s="31" t="inlineStr">
        <is>
          <t>B149</t>
        </is>
      </c>
      <c r="M9" s="31" t="n">
        <v>2020</v>
      </c>
      <c r="N9" s="31" t="inlineStr">
        <is>
          <t>10.20</t>
        </is>
      </c>
      <c r="O9" s="34" t="n">
        <v>20</v>
      </c>
      <c r="P9" s="31" t="inlineStr"/>
      <c r="Q9" s="34" t="n">
        <v>0</v>
      </c>
      <c r="R9" s="31" t="n">
        <v>80</v>
      </c>
      <c r="S9" s="31" t="n">
        <v>0.8</v>
      </c>
      <c r="T9" s="31" t="n">
        <v>0.2</v>
      </c>
      <c r="U9" s="31" t="n">
        <v>0</v>
      </c>
    </row>
    <row r="10">
      <c r="A10" s="20" t="inlineStr">
        <is>
          <t xml:space="preserve">B185 </t>
        </is>
      </c>
      <c r="B10" s="20" t="inlineStr">
        <is>
          <t xml:space="preserve">INGENIERÍA CIVIL </t>
        </is>
      </c>
      <c r="C10" s="20" t="inlineStr">
        <is>
          <t xml:space="preserve">DOCTORADO EN INGENIERÍA DE MATERIALES, ESTRUCTURAS Y TERRENO: CONSTR. SOST. </t>
        </is>
      </c>
      <c r="D10" s="20" t="inlineStr">
        <is>
          <t xml:space="preserve">Miró Oca, Marina </t>
        </is>
      </c>
      <c r="E10" s="20" t="inlineStr">
        <is>
          <t xml:space="preserve">APLICACIÓN DE TÉCNICAS ULTRASÓNICAS NO LINEALES A LA DETECCIÓN DE LA FISURACIÓN POR CORROSIÓN DEL ACERO EN HORMIGÓN </t>
        </is>
      </c>
      <c r="F10" s="20" t="inlineStr">
        <is>
          <t xml:space="preserve">20/12/2021 </t>
        </is>
      </c>
      <c r="G10" s="20" t="inlineStr">
        <is>
          <t xml:space="preserve">73989362H </t>
        </is>
      </c>
      <c r="H10" s="20" t="inlineStr">
        <is>
          <t xml:space="preserve">Codirector de tesis </t>
        </is>
      </c>
      <c r="I10" s="20" t="inlineStr">
        <is>
          <t xml:space="preserve">B149 </t>
        </is>
      </c>
      <c r="J10" s="20" t="inlineStr">
        <is>
          <t xml:space="preserve">FISICA, INGENIERIA DE SISTEMAS Y TEORIA DE LA SEÑAL </t>
        </is>
      </c>
      <c r="K10" s="31" t="n">
        <v>0.5</v>
      </c>
      <c r="L10" s="31" t="inlineStr">
        <is>
          <t>B149</t>
        </is>
      </c>
      <c r="M10" s="20" t="n">
        <v>2021</v>
      </c>
      <c r="N10" s="20" t="inlineStr">
        <is>
          <t>10.20</t>
        </is>
      </c>
      <c r="O10" s="21" t="n">
        <v>50</v>
      </c>
      <c r="P10" s="20" t="inlineStr"/>
      <c r="Q10" s="21" t="n">
        <v>0</v>
      </c>
      <c r="R10" s="20" t="n">
        <v>50</v>
      </c>
      <c r="S10" s="20" t="n">
        <v>0.25</v>
      </c>
      <c r="T10" s="20" t="n">
        <v>0.25</v>
      </c>
      <c r="U10" s="20" t="n">
        <v>0</v>
      </c>
    </row>
    <row r="11">
      <c r="A11" s="20" t="inlineStr">
        <is>
          <t xml:space="preserve">U066 </t>
        </is>
      </c>
      <c r="B11" s="20" t="inlineStr">
        <is>
          <t xml:space="preserve">ADM. I.U. FÍSICA APLICADA A LA CIENCIAS Y A LAS TECNOLOGIAS </t>
        </is>
      </c>
      <c r="C11" s="20" t="inlineStr">
        <is>
          <t xml:space="preserve">DOCTORADO EN FÍSICA APLICADA A LAS CIENCIAS Y LAS TECNOLOGÍAS </t>
        </is>
      </c>
      <c r="D11" s="20" t="inlineStr">
        <is>
          <t xml:space="preserve">Morales Hernández, Aitor </t>
        </is>
      </c>
      <c r="E11" s="20" t="inlineStr">
        <is>
          <t xml:space="preserve">Study and Proposal of High-Power Handling Capability Microwave Filtering Solutions </t>
        </is>
      </c>
      <c r="F11" s="20" t="inlineStr">
        <is>
          <t xml:space="preserve">30/06/2022 </t>
        </is>
      </c>
      <c r="G11" s="20" t="inlineStr">
        <is>
          <t xml:space="preserve">X3722234Y </t>
        </is>
      </c>
      <c r="H11" s="20" t="inlineStr">
        <is>
          <t xml:space="preserve">Codirector de tesis </t>
        </is>
      </c>
      <c r="I11" s="20" t="inlineStr">
        <is>
          <t xml:space="preserve">B149 </t>
        </is>
      </c>
      <c r="J11" s="20" t="inlineStr">
        <is>
          <t xml:space="preserve">FISICA, INGENIERIA DE SISTEMAS Y TEORIA DE LA SEÑAL </t>
        </is>
      </c>
      <c r="K11" s="31" t="n">
        <v>0.5</v>
      </c>
      <c r="L11" s="31" t="inlineStr">
        <is>
          <t>B149</t>
        </is>
      </c>
      <c r="M11" s="20" t="n">
        <v>2021</v>
      </c>
      <c r="N11" s="20" t="inlineStr">
        <is>
          <t>10.20</t>
        </is>
      </c>
      <c r="O11" s="21" t="n">
        <v>20</v>
      </c>
      <c r="P11" s="20" t="inlineStr"/>
      <c r="Q11" s="21" t="n">
        <v>0</v>
      </c>
      <c r="R11" s="20" t="n">
        <v>80</v>
      </c>
      <c r="S11" s="20" t="n">
        <v>0.4</v>
      </c>
      <c r="T11" s="20" t="n">
        <v>0.1</v>
      </c>
      <c r="U11" s="20" t="n">
        <v>0</v>
      </c>
    </row>
    <row r="12">
      <c r="A12" s="20" t="inlineStr">
        <is>
          <t xml:space="preserve">U066 </t>
        </is>
      </c>
      <c r="B12" s="20" t="inlineStr">
        <is>
          <t xml:space="preserve">ADM. I.U. FÍSICA APLICADA A LA CIENCIAS Y A LAS TECNOLOGIAS </t>
        </is>
      </c>
      <c r="C12" s="20" t="inlineStr">
        <is>
          <t xml:space="preserve">DOCTORADO EN FÍSICA APLICADA A LAS CIENCIAS Y LAS TECNOLOGÍAS </t>
        </is>
      </c>
      <c r="D12" s="20" t="inlineStr">
        <is>
          <t xml:space="preserve">Morales Hernández, Aitor </t>
        </is>
      </c>
      <c r="E12" s="20" t="inlineStr">
        <is>
          <t xml:space="preserve">Study and Proposal of High-Power Handling Capability Microwave Filtering Solutions </t>
        </is>
      </c>
      <c r="F12" s="20" t="inlineStr">
        <is>
          <t xml:space="preserve">30/06/2022 </t>
        </is>
      </c>
      <c r="G12" s="20" t="inlineStr">
        <is>
          <t xml:space="preserve">74002223E </t>
        </is>
      </c>
      <c r="H12" s="20" t="inlineStr">
        <is>
          <t xml:space="preserve">Codirector de tesis </t>
        </is>
      </c>
      <c r="I12" s="20" t="inlineStr">
        <is>
          <t xml:space="preserve">B149 </t>
        </is>
      </c>
      <c r="J12" s="20" t="inlineStr">
        <is>
          <t xml:space="preserve">FISICA, INGENIERIA DE SISTEMAS Y TEORIA DE LA SEÑAL </t>
        </is>
      </c>
      <c r="K12" s="31" t="n">
        <v>0.5</v>
      </c>
      <c r="L12" s="31" t="inlineStr">
        <is>
          <t>B149</t>
        </is>
      </c>
      <c r="M12" s="20" t="n">
        <v>2021</v>
      </c>
      <c r="N12" s="20" t="inlineStr">
        <is>
          <t>10.20</t>
        </is>
      </c>
      <c r="O12" s="21" t="n">
        <v>20</v>
      </c>
      <c r="P12" s="20" t="inlineStr"/>
      <c r="Q12" s="21" t="n">
        <v>0</v>
      </c>
      <c r="R12" s="20" t="n">
        <v>80</v>
      </c>
      <c r="S12" s="20" t="n">
        <v>0.4</v>
      </c>
      <c r="T12" s="20" t="n">
        <v>0.1</v>
      </c>
      <c r="U12" s="20" t="n">
        <v>0</v>
      </c>
    </row>
    <row r="13">
      <c r="A13" s="20" t="inlineStr">
        <is>
          <t xml:space="preserve">U062 </t>
        </is>
      </c>
      <c r="B13" s="20" t="inlineStr">
        <is>
          <t xml:space="preserve">I.U. DE INVESTIGACIÓN INFORMÁTICA (10.19) </t>
        </is>
      </c>
      <c r="C13" s="20" t="inlineStr">
        <is>
          <t xml:space="preserve">DOCTORADO EN INFORMÁTICA </t>
        </is>
      </c>
      <c r="D13" s="20" t="inlineStr">
        <is>
          <t xml:space="preserve">Busquier Martínez, Mario </t>
        </is>
      </c>
      <c r="E13" s="20" t="inlineStr">
        <is>
          <t xml:space="preserve">Contribution of New Types of Radar Data to Land Cover and Crop Classification in Remote Sensing </t>
        </is>
      </c>
      <c r="F13" s="20" t="inlineStr">
        <is>
          <t xml:space="preserve">20/07/2023 </t>
        </is>
      </c>
      <c r="G13" s="20" t="inlineStr">
        <is>
          <t xml:space="preserve">21503683V </t>
        </is>
      </c>
      <c r="H13" s="20" t="inlineStr">
        <is>
          <t xml:space="preserve">Director de tesis </t>
        </is>
      </c>
      <c r="I13" s="20" t="inlineStr">
        <is>
          <t xml:space="preserve">B149 </t>
        </is>
      </c>
      <c r="J13" s="20" t="inlineStr">
        <is>
          <t xml:space="preserve">FISICA, INGENIERIA DE SISTEMAS Y TEORIA DE LA SEÑAL </t>
        </is>
      </c>
      <c r="K13" s="35" t="n">
        <v>1</v>
      </c>
      <c r="L13" s="35" t="inlineStr">
        <is>
          <t>B149</t>
        </is>
      </c>
      <c r="M13" s="20" t="n">
        <v>2022</v>
      </c>
      <c r="N13" s="35" t="inlineStr">
        <is>
          <t>10.19</t>
        </is>
      </c>
      <c r="O13" s="35" t="n">
        <v>50</v>
      </c>
      <c r="P13" s="35" t="inlineStr"/>
      <c r="Q13" s="35" t="n">
        <v>0</v>
      </c>
      <c r="R13" s="35" t="n">
        <v>50</v>
      </c>
      <c r="S13" s="35" t="n">
        <v>0.5</v>
      </c>
      <c r="T13" s="35" t="n">
        <v>0.5</v>
      </c>
      <c r="U13" s="35" t="n">
        <v>0</v>
      </c>
    </row>
    <row r="14">
      <c r="A14" s="20" t="inlineStr">
        <is>
          <t xml:space="preserve">U062 </t>
        </is>
      </c>
      <c r="B14" s="20" t="inlineStr">
        <is>
          <t xml:space="preserve">I.U. DE INVESTIGACIÓN INFORMÁTICA (10.19) </t>
        </is>
      </c>
      <c r="C14" s="20" t="inlineStr">
        <is>
          <t xml:space="preserve">DOCTORADO EN INFORMÁTICA </t>
        </is>
      </c>
      <c r="D14" s="20" t="inlineStr">
        <is>
          <t xml:space="preserve">Muñoz Bañon, Miguel Angel </t>
        </is>
      </c>
      <c r="E14" s="20" t="inlineStr">
        <is>
          <t xml:space="preserve">Navegación Autónoma Basada en Mapas Públicos Geo-Referenciados </t>
        </is>
      </c>
      <c r="F14" s="20" t="inlineStr">
        <is>
          <t xml:space="preserve">07/12/2022 </t>
        </is>
      </c>
      <c r="G14" s="20" t="inlineStr">
        <is>
          <t xml:space="preserve">24218798M </t>
        </is>
      </c>
      <c r="H14" s="20" t="inlineStr">
        <is>
          <t xml:space="preserve">Codirector de tesis </t>
        </is>
      </c>
      <c r="I14" s="20" t="inlineStr">
        <is>
          <t xml:space="preserve">B149 </t>
        </is>
      </c>
      <c r="J14" s="20" t="inlineStr">
        <is>
          <t xml:space="preserve">FISICA, INGENIERIA DE SISTEMAS Y TEORIA DE LA SEÑAL </t>
        </is>
      </c>
      <c r="K14" s="35" t="n">
        <v>0.5</v>
      </c>
      <c r="L14" s="35" t="inlineStr">
        <is>
          <t>B149</t>
        </is>
      </c>
      <c r="M14" s="20" t="n">
        <v>2022</v>
      </c>
      <c r="N14" s="35" t="inlineStr">
        <is>
          <t>10.19</t>
        </is>
      </c>
      <c r="O14" s="35" t="n">
        <v>50</v>
      </c>
      <c r="P14" s="35" t="inlineStr"/>
      <c r="Q14" s="35" t="n">
        <v>0</v>
      </c>
      <c r="R14" s="35" t="n">
        <v>50</v>
      </c>
      <c r="S14" s="35" t="n">
        <v>0.25</v>
      </c>
      <c r="T14" s="35" t="n">
        <v>0.25</v>
      </c>
      <c r="U14" s="35" t="n">
        <v>0</v>
      </c>
    </row>
    <row r="15">
      <c r="A15" s="20" t="inlineStr">
        <is>
          <t xml:space="preserve">U062 </t>
        </is>
      </c>
      <c r="B15" s="20" t="inlineStr">
        <is>
          <t xml:space="preserve">I.U. DE INVESTIGACIÓN INFORMÁTICA (10.19) </t>
        </is>
      </c>
      <c r="C15" s="20" t="inlineStr">
        <is>
          <t xml:space="preserve">DOCTORADO EN INFORMÁTICA </t>
        </is>
      </c>
      <c r="D15" s="20" t="inlineStr">
        <is>
          <t xml:space="preserve">Muñoz Bañon, Miguel Angel </t>
        </is>
      </c>
      <c r="E15" s="20" t="inlineStr">
        <is>
          <t xml:space="preserve">Navegación Autónoma Basada en Mapas Públicos Geo-Referenciados </t>
        </is>
      </c>
      <c r="F15" s="20" t="inlineStr">
        <is>
          <t xml:space="preserve">07/12/2022 </t>
        </is>
      </c>
      <c r="G15" s="20" t="inlineStr">
        <is>
          <t xml:space="preserve">52773069Y </t>
        </is>
      </c>
      <c r="H15" s="20" t="inlineStr">
        <is>
          <t xml:space="preserve">Codirector de tesis </t>
        </is>
      </c>
      <c r="I15" s="20" t="inlineStr">
        <is>
          <t xml:space="preserve">B149 </t>
        </is>
      </c>
      <c r="J15" s="20" t="inlineStr">
        <is>
          <t xml:space="preserve">FISICA, INGENIERIA DE SISTEMAS Y TEORIA DE LA SEÑAL </t>
        </is>
      </c>
      <c r="K15" s="35" t="n">
        <v>0.5</v>
      </c>
      <c r="L15" s="35" t="inlineStr">
        <is>
          <t>B149</t>
        </is>
      </c>
      <c r="M15" s="20" t="n">
        <v>2022</v>
      </c>
      <c r="N15" s="35" t="inlineStr">
        <is>
          <t>10.19</t>
        </is>
      </c>
      <c r="O15" s="35" t="n">
        <v>20</v>
      </c>
      <c r="P15" s="35" t="inlineStr"/>
      <c r="Q15" s="35" t="n">
        <v>0</v>
      </c>
      <c r="R15" s="35" t="n">
        <v>80</v>
      </c>
      <c r="S15" s="35" t="n">
        <v>0.4</v>
      </c>
      <c r="T15" s="35" t="n">
        <v>0.1</v>
      </c>
      <c r="U15" s="35" t="n">
        <v>0</v>
      </c>
    </row>
    <row r="16">
      <c r="A16" s="20" t="inlineStr">
        <is>
          <t xml:space="preserve">U062 </t>
        </is>
      </c>
      <c r="B16" s="20" t="inlineStr">
        <is>
          <t xml:space="preserve">I.U. DE INVESTIGACIÓN INFORMÁTICA (10.19) </t>
        </is>
      </c>
      <c r="C16" s="20" t="inlineStr">
        <is>
          <t xml:space="preserve">DOCTORADO EN INFORMÁTICA </t>
        </is>
      </c>
      <c r="D16" s="20" t="inlineStr">
        <is>
          <t xml:space="preserve">Hernández Ramírez, Óscar Guillermo </t>
        </is>
      </c>
      <c r="E16" s="20" t="inlineStr">
        <is>
          <t xml:space="preserve">Contribuciones a la interacción humano-robot y estimación de la postura humana en entornos de rehabilitación robótica </t>
        </is>
      </c>
      <c r="F16" s="20" t="inlineStr">
        <is>
          <t xml:space="preserve">21/07/2023 </t>
        </is>
      </c>
      <c r="G16" s="20" t="inlineStr">
        <is>
          <t xml:space="preserve">73996233N </t>
        </is>
      </c>
      <c r="H16" s="20" t="inlineStr">
        <is>
          <t xml:space="preserve">Codirector de tesis </t>
        </is>
      </c>
      <c r="I16" s="20" t="inlineStr">
        <is>
          <t xml:space="preserve">B149 </t>
        </is>
      </c>
      <c r="J16" s="20" t="inlineStr">
        <is>
          <t xml:space="preserve">FISICA, INGENIERIA DE SISTEMAS Y TEORIA DE LA SEÑAL </t>
        </is>
      </c>
      <c r="K16" s="35" t="n">
        <v>0.5</v>
      </c>
      <c r="L16" s="35" t="inlineStr">
        <is>
          <t>B149</t>
        </is>
      </c>
      <c r="M16" s="20" t="n">
        <v>2022</v>
      </c>
      <c r="N16" s="35" t="inlineStr">
        <is>
          <t>10.20</t>
        </is>
      </c>
      <c r="O16" s="35" t="n">
        <v>20</v>
      </c>
      <c r="P16" s="35" t="inlineStr"/>
      <c r="Q16" s="35" t="n">
        <v>0</v>
      </c>
      <c r="R16" s="35" t="n">
        <v>80</v>
      </c>
      <c r="S16" s="35" t="n">
        <v>0.4</v>
      </c>
      <c r="T16" s="35" t="n">
        <v>0.1</v>
      </c>
      <c r="U16" s="35" t="n">
        <v>0</v>
      </c>
    </row>
    <row r="17">
      <c r="A17" s="20" t="inlineStr">
        <is>
          <t xml:space="preserve">U062 </t>
        </is>
      </c>
      <c r="B17" s="20" t="inlineStr">
        <is>
          <t xml:space="preserve">I.U. DE INVESTIGACIÓN INFORMÁTICA (10.19) </t>
        </is>
      </c>
      <c r="C17" s="20" t="inlineStr">
        <is>
          <t xml:space="preserve">DOCTORADO EN INFORMÁTICA </t>
        </is>
      </c>
      <c r="D17" s="20" t="inlineStr">
        <is>
          <t xml:space="preserve">Hernández Ramírez, Óscar Guillermo </t>
        </is>
      </c>
      <c r="E17" s="20" t="inlineStr">
        <is>
          <t xml:space="preserve">Contribuciones a la interacción humano-robot y estimación de la postura humana en entornos de rehabilitación robótica </t>
        </is>
      </c>
      <c r="F17" s="20" t="inlineStr">
        <is>
          <t xml:space="preserve">21/07/2023 </t>
        </is>
      </c>
      <c r="G17" s="20" t="inlineStr">
        <is>
          <t xml:space="preserve">74359318L </t>
        </is>
      </c>
      <c r="H17" s="20" t="inlineStr">
        <is>
          <t xml:space="preserve">Codirector de tesis </t>
        </is>
      </c>
      <c r="I17" s="20" t="inlineStr">
        <is>
          <t xml:space="preserve">B149 </t>
        </is>
      </c>
      <c r="J17" s="20" t="inlineStr">
        <is>
          <t xml:space="preserve">FISICA, INGENIERIA DE SISTEMAS Y TEORIA DE LA SEÑAL </t>
        </is>
      </c>
      <c r="K17" s="35" t="n">
        <v>0.5</v>
      </c>
      <c r="L17" s="35" t="inlineStr">
        <is>
          <t>B149</t>
        </is>
      </c>
      <c r="M17" s="20" t="n">
        <v>2022</v>
      </c>
      <c r="N17" s="35" t="inlineStr"/>
      <c r="O17" s="35" t="inlineStr"/>
      <c r="P17" s="35" t="inlineStr"/>
      <c r="Q17" s="35" t="inlineStr"/>
      <c r="R17" s="35" t="n">
        <v>100</v>
      </c>
      <c r="S17" s="35" t="n">
        <v>0.5</v>
      </c>
      <c r="T17" s="35" t="n">
        <v>0</v>
      </c>
      <c r="U17" s="35" t="n">
        <v>0</v>
      </c>
    </row>
    <row r="18">
      <c r="A18" s="20" t="inlineStr">
        <is>
          <t xml:space="preserve">U066 </t>
        </is>
      </c>
      <c r="B18" s="20" t="inlineStr">
        <is>
          <t xml:space="preserve">I.U. FÍSICA APLICADA A LA CIENCIAS Y A LAS TECNOLOGIAS (10.20) </t>
        </is>
      </c>
      <c r="C18" s="20" t="inlineStr">
        <is>
          <t xml:space="preserve">DOCTORADO EN FÍSICA APLICADA A LAS CIENCIAS Y LAS TECNOLOGÍAS </t>
        </is>
      </c>
      <c r="D18" s="20" t="inlineStr">
        <is>
          <t xml:space="preserve">Abdelouahab , ISSAADI </t>
        </is>
      </c>
      <c r="E18" s="20" t="inlineStr">
        <is>
          <t xml:space="preserve">Characterization of the subsoil structure in the Middle-Chelif Basin (Algeria) using ambient vibration data </t>
        </is>
      </c>
      <c r="F18" s="20" t="inlineStr">
        <is>
          <t xml:space="preserve">16/12/2022 </t>
        </is>
      </c>
      <c r="G18" s="20" t="inlineStr">
        <is>
          <t xml:space="preserve">21499481R </t>
        </is>
      </c>
      <c r="H18" s="20" t="inlineStr">
        <is>
          <t xml:space="preserve">Codirector de tesis </t>
        </is>
      </c>
      <c r="I18" s="20" t="inlineStr">
        <is>
          <t xml:space="preserve">B149 </t>
        </is>
      </c>
      <c r="J18" s="20" t="inlineStr">
        <is>
          <t xml:space="preserve">FISICA, INGENIERIA DE SISTEMAS Y TEORIA DE LA SEÑAL </t>
        </is>
      </c>
      <c r="K18" s="35" t="n">
        <v>0.5</v>
      </c>
      <c r="L18" s="35" t="inlineStr">
        <is>
          <t>B149</t>
        </is>
      </c>
      <c r="M18" s="20" t="n">
        <v>2022</v>
      </c>
      <c r="N18" s="35" t="inlineStr">
        <is>
          <t>10.20</t>
        </is>
      </c>
      <c r="O18" s="35" t="n">
        <v>20</v>
      </c>
      <c r="P18" s="35" t="inlineStr"/>
      <c r="Q18" s="35" t="n">
        <v>0</v>
      </c>
      <c r="R18" s="35" t="n">
        <v>80</v>
      </c>
      <c r="S18" s="35" t="n">
        <v>0.4</v>
      </c>
      <c r="T18" s="35" t="n">
        <v>0.1</v>
      </c>
      <c r="U18" s="35" t="n">
        <v>0</v>
      </c>
    </row>
    <row r="19">
      <c r="A19" s="20" t="inlineStr">
        <is>
          <t xml:space="preserve">U066 </t>
        </is>
      </c>
      <c r="B19" s="20" t="inlineStr">
        <is>
          <t xml:space="preserve">I.U. FÍSICA APLICADA A LA CIENCIAS Y A LAS TECNOLOGIAS (10.20) </t>
        </is>
      </c>
      <c r="C19" s="20" t="inlineStr">
        <is>
          <t xml:space="preserve">DOCTORADO EN FÍSICA APLICADA A LAS CIENCIAS Y LAS TECNOLOGÍAS </t>
        </is>
      </c>
      <c r="D19" s="20" t="inlineStr">
        <is>
          <t xml:space="preserve">Jornet Monteverde, Julio Antonio </t>
        </is>
      </c>
      <c r="E19" s="20" t="inlineStr">
        <is>
          <t xml:space="preserve">Diseño, implementación y validación de sistemas de adquisición de datos sísmicos basados en el microcontrolador CC3200 </t>
        </is>
      </c>
      <c r="F19" s="20" t="inlineStr">
        <is>
          <t xml:space="preserve">03/02/2023 </t>
        </is>
      </c>
      <c r="G19" s="20" t="inlineStr">
        <is>
          <t xml:space="preserve">21499481R </t>
        </is>
      </c>
      <c r="H19" s="20" t="inlineStr">
        <is>
          <t xml:space="preserve">Director de tesis </t>
        </is>
      </c>
      <c r="I19" s="20" t="inlineStr">
        <is>
          <t xml:space="preserve">B149 </t>
        </is>
      </c>
      <c r="J19" s="20" t="inlineStr">
        <is>
          <t xml:space="preserve">FISICA, INGENIERIA DE SISTEMAS Y TEORIA DE LA SEÑAL </t>
        </is>
      </c>
      <c r="K19" s="35" t="n">
        <v>1</v>
      </c>
      <c r="L19" s="35" t="inlineStr">
        <is>
          <t>B149</t>
        </is>
      </c>
      <c r="M19" s="20" t="n">
        <v>2022</v>
      </c>
      <c r="N19" s="35" t="inlineStr">
        <is>
          <t>10.20</t>
        </is>
      </c>
      <c r="O19" s="35" t="n">
        <v>20</v>
      </c>
      <c r="P19" s="35" t="inlineStr"/>
      <c r="Q19" s="35" t="n">
        <v>0</v>
      </c>
      <c r="R19" s="35" t="n">
        <v>80</v>
      </c>
      <c r="S19" s="35" t="n">
        <v>0.8</v>
      </c>
      <c r="T19" s="35" t="n">
        <v>0.2</v>
      </c>
      <c r="U19" s="35" t="n">
        <v>0</v>
      </c>
    </row>
    <row r="20">
      <c r="A20" s="20" t="inlineStr">
        <is>
          <t xml:space="preserve">U066 </t>
        </is>
      </c>
      <c r="B20" s="20" t="inlineStr">
        <is>
          <t xml:space="preserve">I.U. FÍSICA APLICADA A LA CIENCIAS Y A LAS TECNOLOGIAS (10.20) </t>
        </is>
      </c>
      <c r="C20" s="20" t="inlineStr">
        <is>
          <t xml:space="preserve">DOCTORADO EN FÍSICA APLICADA A LAS CIENCIAS Y LAS TECNOLOGÍAS </t>
        </is>
      </c>
      <c r="D20" s="20" t="inlineStr">
        <is>
          <t xml:space="preserve">Rodrigo Saura, Francisco Javier </t>
        </is>
      </c>
      <c r="E20" s="20" t="inlineStr">
        <is>
          <t xml:space="preserve">CONSTRIBUCIÓN A LA CUANTIFICACIÓN DEL RUIDO RADIADO POR LOS BUQUES ATRAVÉS DE SU CASO </t>
        </is>
      </c>
      <c r="F20" s="20" t="inlineStr">
        <is>
          <t xml:space="preserve">16/02/2023 </t>
        </is>
      </c>
      <c r="G20" s="20" t="inlineStr">
        <is>
          <t xml:space="preserve">73989362H </t>
        </is>
      </c>
      <c r="H20" s="20" t="inlineStr">
        <is>
          <t xml:space="preserve">Director de tesis </t>
        </is>
      </c>
      <c r="I20" s="20" t="inlineStr">
        <is>
          <t xml:space="preserve">B149 </t>
        </is>
      </c>
      <c r="J20" s="20" t="inlineStr">
        <is>
          <t xml:space="preserve">FISICA, INGENIERIA DE SISTEMAS Y TEORIA DE LA SEÑAL </t>
        </is>
      </c>
      <c r="K20" s="35" t="n">
        <v>1</v>
      </c>
      <c r="L20" s="35" t="inlineStr">
        <is>
          <t>B149</t>
        </is>
      </c>
      <c r="M20" s="20" t="n">
        <v>2022</v>
      </c>
      <c r="N20" s="35" t="inlineStr">
        <is>
          <t>10.20</t>
        </is>
      </c>
      <c r="O20" s="35" t="n">
        <v>50</v>
      </c>
      <c r="P20" s="35" t="inlineStr"/>
      <c r="Q20" s="35" t="n">
        <v>0</v>
      </c>
      <c r="R20" s="35" t="n">
        <v>50</v>
      </c>
      <c r="S20" s="35" t="n">
        <v>0.5</v>
      </c>
      <c r="T20" s="35" t="n">
        <v>0.5</v>
      </c>
      <c r="U20" s="35" t="n">
        <v>0</v>
      </c>
    </row>
    <row r="21">
      <c r="A21" s="20" t="inlineStr">
        <is>
          <t xml:space="preserve">U066 </t>
        </is>
      </c>
      <c r="B21" s="20" t="inlineStr">
        <is>
          <t xml:space="preserve">I.U. FÍSICA APLICADA A LA CIENCIAS Y A LAS TECNOLOGIAS (10.20) </t>
        </is>
      </c>
      <c r="C21" s="20" t="inlineStr">
        <is>
          <t xml:space="preserve">DOCTORADO EN FÍSICA APLICADA A LAS CIENCIAS Y LAS TECNOLOGÍAS </t>
        </is>
      </c>
      <c r="D21" s="20" t="inlineStr">
        <is>
          <t xml:space="preserve">Sanjurjo Ferrín, Graciela </t>
        </is>
      </c>
      <c r="E21" s="20" t="inlineStr">
        <is>
          <t xml:space="preserve">High Mass X-ray Binaries seen through XMM-Newton: Winds, flows and accretion in 4U0114+65, Cen X-3 and XTE J1855-026 </t>
        </is>
      </c>
      <c r="F21" s="20" t="inlineStr">
        <is>
          <t xml:space="preserve">30/11/2022 </t>
        </is>
      </c>
      <c r="G21" s="20" t="inlineStr">
        <is>
          <t xml:space="preserve">19099684R </t>
        </is>
      </c>
      <c r="H21" s="20" t="inlineStr">
        <is>
          <t xml:space="preserve">Director de tesis </t>
        </is>
      </c>
      <c r="I21" s="20" t="inlineStr">
        <is>
          <t xml:space="preserve">B149 </t>
        </is>
      </c>
      <c r="J21" s="20" t="inlineStr">
        <is>
          <t xml:space="preserve">FISICA, INGENIERIA DE SISTEMAS Y TEORIA DE LA SEÑAL </t>
        </is>
      </c>
      <c r="K21" s="35" t="n">
        <v>1</v>
      </c>
      <c r="L21" s="35" t="inlineStr">
        <is>
          <t>B149</t>
        </is>
      </c>
      <c r="M21" s="20" t="n">
        <v>2022</v>
      </c>
      <c r="N21" s="35" t="inlineStr">
        <is>
          <t>10.20</t>
        </is>
      </c>
      <c r="O21" s="35" t="n">
        <v>20</v>
      </c>
      <c r="P21" s="35" t="inlineStr"/>
      <c r="Q21" s="35" t="n">
        <v>0</v>
      </c>
      <c r="R21" s="35" t="n">
        <v>80</v>
      </c>
      <c r="S21" s="35" t="n">
        <v>0.8</v>
      </c>
      <c r="T21" s="35" t="n">
        <v>0.2</v>
      </c>
      <c r="U21" s="35" t="n">
        <v>0</v>
      </c>
    </row>
    <row r="22">
      <c r="A22" s="20" t="inlineStr">
        <is>
          <t xml:space="preserve">U066 </t>
        </is>
      </c>
      <c r="B22" s="20" t="inlineStr">
        <is>
          <t xml:space="preserve">I.U. FÍSICA APLICADA A LA CIENCIAS Y A LAS TECNOLOGIAS (10.20) </t>
        </is>
      </c>
      <c r="C22" s="20" t="inlineStr">
        <is>
          <t xml:space="preserve">DOCTORADO EN FÍSICA APLICADA A LAS CIENCIAS Y LAS TECNOLOGÍAS </t>
        </is>
      </c>
      <c r="D22" s="20" t="inlineStr">
        <is>
          <t xml:space="preserve">Torregrosa Alberola, Álvaro </t>
        </is>
      </c>
      <c r="E22" s="20" t="inlineStr">
        <is>
          <t xml:space="preserve">Estudi temporal i espectral a llarg termini dels sistemes binaris de raigs X d'alta massa Centaurus X-3 i GX 301-2 </t>
        </is>
      </c>
      <c r="F22" s="20" t="inlineStr">
        <is>
          <t xml:space="preserve">15/09/2023 </t>
        </is>
      </c>
      <c r="G22" s="20" t="inlineStr">
        <is>
          <t xml:space="preserve">21451275A </t>
        </is>
      </c>
      <c r="H22" s="20" t="inlineStr">
        <is>
          <t xml:space="preserve">Director de tesis </t>
        </is>
      </c>
      <c r="I22" s="20" t="inlineStr">
        <is>
          <t xml:space="preserve">B149 </t>
        </is>
      </c>
      <c r="J22" s="20" t="inlineStr">
        <is>
          <t xml:space="preserve">FISICA, INGENIERIA DE SISTEMAS Y TEORIA DE LA SEÑAL </t>
        </is>
      </c>
      <c r="K22" s="35" t="n">
        <v>1</v>
      </c>
      <c r="L22" s="35" t="inlineStr">
        <is>
          <t>B149</t>
        </is>
      </c>
      <c r="M22" s="20" t="n">
        <v>2022</v>
      </c>
      <c r="N22" s="35" t="inlineStr">
        <is>
          <t>10.20</t>
        </is>
      </c>
      <c r="O22" s="35" t="n">
        <v>50</v>
      </c>
      <c r="P22" s="35" t="inlineStr"/>
      <c r="Q22" s="35" t="n">
        <v>0</v>
      </c>
      <c r="R22" s="35" t="n">
        <v>50</v>
      </c>
      <c r="S22" s="35" t="n">
        <v>0.5</v>
      </c>
      <c r="T22" s="35" t="n">
        <v>0.5</v>
      </c>
      <c r="U22" s="35" t="n">
        <v>0</v>
      </c>
    </row>
    <row r="23">
      <c r="A23" s="20" t="inlineStr">
        <is>
          <t xml:space="preserve">U066 </t>
        </is>
      </c>
      <c r="B23" s="20" t="inlineStr">
        <is>
          <t xml:space="preserve">I.U. FÍSICA APLICADA A LA CIENCIAS Y A LAS TECNOLOGIAS (10.20) </t>
        </is>
      </c>
      <c r="C23" s="20" t="inlineStr">
        <is>
          <t xml:space="preserve">DOCTORADO EN FÍSICA APLICADA A LAS CIENCIAS Y LAS TECNOLOGÍAS </t>
        </is>
      </c>
      <c r="D23" s="20" t="inlineStr">
        <is>
          <t xml:space="preserve">taleb yousfi, soumia imane </t>
        </is>
      </c>
      <c r="E23" s="20" t="inlineStr">
        <is>
          <t xml:space="preserve">Estudio de formación de imágenes en holografía de volumen mediante técnicas de simulación numérica. </t>
        </is>
      </c>
      <c r="F23" s="20" t="inlineStr">
        <is>
          <t xml:space="preserve">01/02/2023 </t>
        </is>
      </c>
      <c r="G23" s="20" t="inlineStr">
        <is>
          <t xml:space="preserve">48328421Q </t>
        </is>
      </c>
      <c r="H23" s="20" t="inlineStr">
        <is>
          <t xml:space="preserve">Codirector de tesis </t>
        </is>
      </c>
      <c r="I23" s="20" t="inlineStr">
        <is>
          <t xml:space="preserve">B149 </t>
        </is>
      </c>
      <c r="J23" s="20" t="inlineStr">
        <is>
          <t xml:space="preserve">FISICA, INGENIERIA DE SISTEMAS Y TEORIA DE LA SEÑAL </t>
        </is>
      </c>
      <c r="K23" s="35" t="n">
        <v>0.5</v>
      </c>
      <c r="L23" s="35" t="inlineStr">
        <is>
          <t>B149</t>
        </is>
      </c>
      <c r="M23" s="20" t="n">
        <v>2022</v>
      </c>
      <c r="N23" s="35" t="inlineStr">
        <is>
          <t>10.20</t>
        </is>
      </c>
      <c r="O23" s="35" t="n">
        <v>50</v>
      </c>
      <c r="P23" s="35" t="inlineStr"/>
      <c r="Q23" s="35" t="n">
        <v>0</v>
      </c>
      <c r="R23" s="35" t="n">
        <v>50</v>
      </c>
      <c r="S23" s="35" t="n">
        <v>0.25</v>
      </c>
      <c r="T23" s="35" t="n">
        <v>0.25</v>
      </c>
      <c r="U23" s="35" t="n">
        <v>0</v>
      </c>
    </row>
    <row r="24">
      <c r="A24" s="20" t="inlineStr">
        <is>
          <t xml:space="preserve">U066 </t>
        </is>
      </c>
      <c r="B24" s="20" t="inlineStr">
        <is>
          <t xml:space="preserve">I.U. FÍSICA APLICADA A LA CIENCIAS Y A LAS TECNOLOGIAS (10.20) </t>
        </is>
      </c>
      <c r="C24" s="20" t="inlineStr">
        <is>
          <t xml:space="preserve">DOCTORADO EN FÍSICA APLICADA A LAS CIENCIAS Y LAS TECNOLOGÍAS </t>
        </is>
      </c>
      <c r="D24" s="20" t="inlineStr">
        <is>
          <t xml:space="preserve">taleb yousfi, soumia imane </t>
        </is>
      </c>
      <c r="E24" s="20" t="inlineStr">
        <is>
          <t xml:space="preserve">Estudio de formación de imágenes en holografía de volumen mediante técnicas de simulación numérica. </t>
        </is>
      </c>
      <c r="F24" s="20" t="inlineStr">
        <is>
          <t xml:space="preserve">01/02/2023 </t>
        </is>
      </c>
      <c r="G24" s="20" t="inlineStr">
        <is>
          <t xml:space="preserve">33477513R </t>
        </is>
      </c>
      <c r="H24" s="20" t="inlineStr">
        <is>
          <t xml:space="preserve">Codirector de tesis </t>
        </is>
      </c>
      <c r="I24" s="20" t="inlineStr">
        <is>
          <t xml:space="preserve">B149 </t>
        </is>
      </c>
      <c r="J24" s="20" t="inlineStr">
        <is>
          <t xml:space="preserve">FISICA, INGENIERIA DE SISTEMAS Y TEORIA DE LA SEÑAL </t>
        </is>
      </c>
      <c r="K24" s="35" t="n">
        <v>0.5</v>
      </c>
      <c r="L24" s="35" t="inlineStr">
        <is>
          <t>B149</t>
        </is>
      </c>
      <c r="M24" s="20" t="n">
        <v>2022</v>
      </c>
      <c r="N24" s="35" t="inlineStr">
        <is>
          <t>10.20</t>
        </is>
      </c>
      <c r="O24" s="35" t="n">
        <v>20</v>
      </c>
      <c r="P24" s="35" t="inlineStr"/>
      <c r="Q24" s="35" t="n">
        <v>0</v>
      </c>
      <c r="R24" s="35" t="n">
        <v>80</v>
      </c>
      <c r="S24" s="35" t="n">
        <v>0.4</v>
      </c>
      <c r="T24" s="35" t="n">
        <v>0.1</v>
      </c>
      <c r="U24" s="35" t="n">
        <v>0</v>
      </c>
    </row>
    <row r="25">
      <c r="A25" s="20" t="inlineStr">
        <is>
          <t>U062</t>
        </is>
      </c>
      <c r="B25" s="20" t="inlineStr">
        <is>
          <t>I.U. DE INVESTIGACIÓN INFORMÁTICA (10.19)</t>
        </is>
      </c>
      <c r="C25" s="20" t="inlineStr">
        <is>
          <t>DOCTORADO EN INFORMÁTICA</t>
        </is>
      </c>
      <c r="D25" s="20" t="inlineStr">
        <is>
          <t>Luo , Jiayin</t>
        </is>
      </c>
      <c r="E25" s="20" t="inlineStr">
        <is>
          <t>Processing and Exploitation of Multi-temporal Polarimetric and Interferometric SAR Data</t>
        </is>
      </c>
      <c r="F25" s="20" t="inlineStr">
        <is>
          <t>13/06/2024</t>
        </is>
      </c>
      <c r="G25" s="20" t="inlineStr">
        <is>
          <t>21503683V</t>
        </is>
      </c>
      <c r="H25" s="20" t="inlineStr">
        <is>
          <t>Director de tesis</t>
        </is>
      </c>
      <c r="I25" s="20" t="inlineStr">
        <is>
          <t>B149</t>
        </is>
      </c>
      <c r="J25" s="20" t="inlineStr">
        <is>
          <t>FISICA, INGENIERIA DE SISTEMAS Y TEORIA DE LA SEÑAL</t>
        </is>
      </c>
      <c r="K25" s="20" t="n">
        <v>1</v>
      </c>
      <c r="L25" s="20" t="inlineStr">
        <is>
          <t>B149</t>
        </is>
      </c>
      <c r="M25" s="20" t="n">
        <v>2023</v>
      </c>
      <c r="N25" s="20" t="inlineStr">
        <is>
          <t>10.19</t>
        </is>
      </c>
      <c r="O25" s="20" t="inlineStr">
        <is>
          <t>50</t>
        </is>
      </c>
      <c r="P25" s="20" t="inlineStr"/>
      <c r="Q25" s="20" t="inlineStr"/>
      <c r="R25" s="20" t="n">
        <v>50</v>
      </c>
      <c r="S25" s="20" t="n">
        <v>0.5</v>
      </c>
      <c r="T25" s="20" t="n">
        <v>0.5</v>
      </c>
      <c r="U25" s="20" t="n">
        <v>0</v>
      </c>
    </row>
    <row r="26">
      <c r="A26" s="20" t="inlineStr">
        <is>
          <t>U066</t>
        </is>
      </c>
      <c r="B26" s="20" t="inlineStr">
        <is>
          <t>I.U. FÍSICA APLICADA A LA CIENCIAS Y A LAS TECNOLOGIAS (10.20)</t>
        </is>
      </c>
      <c r="C26" s="20" t="inlineStr">
        <is>
          <t>DOCTORADO EN FÍSICA APLICADA A LAS CIENCIAS Y LAS TECNOLOGÍAS</t>
        </is>
      </c>
      <c r="D26" s="20" t="inlineStr">
        <is>
          <t>Billel , Melouk</t>
        </is>
      </c>
      <c r="E26" s="20" t="inlineStr">
        <is>
          <t>Investigating the Lithospheric Structure of Northern Algeria from Receiver Functions and Surface Wave Tomography Using Earthquake and Ambient Noise data</t>
        </is>
      </c>
      <c r="F26" s="20" t="inlineStr">
        <is>
          <t>22/04/2024</t>
        </is>
      </c>
      <c r="G26" s="20" t="inlineStr">
        <is>
          <t>21499481R</t>
        </is>
      </c>
      <c r="H26" s="20" t="inlineStr">
        <is>
          <t>Codirector de tesis</t>
        </is>
      </c>
      <c r="I26" s="20" t="inlineStr">
        <is>
          <t>B149</t>
        </is>
      </c>
      <c r="J26" s="20" t="inlineStr">
        <is>
          <t>FISICA, INGENIERIA DE SISTEMAS Y TEORIA DE LA SEÑAL</t>
        </is>
      </c>
      <c r="K26" s="20" t="n">
        <v>0.5</v>
      </c>
      <c r="L26" s="20" t="inlineStr">
        <is>
          <t>B149</t>
        </is>
      </c>
      <c r="M26" s="20" t="n">
        <v>2023</v>
      </c>
      <c r="N26" s="20" t="inlineStr">
        <is>
          <t>10.20</t>
        </is>
      </c>
      <c r="O26" s="20" t="inlineStr">
        <is>
          <t>20</t>
        </is>
      </c>
      <c r="P26" s="20" t="inlineStr"/>
      <c r="Q26" s="20" t="inlineStr"/>
      <c r="R26" s="20" t="n">
        <v>80</v>
      </c>
      <c r="S26" s="20" t="n">
        <v>0.4</v>
      </c>
      <c r="T26" s="20" t="n">
        <v>0.1</v>
      </c>
      <c r="U26" s="20" t="n">
        <v>0</v>
      </c>
    </row>
    <row r="27">
      <c r="A27" s="20" t="inlineStr">
        <is>
          <t>U062</t>
        </is>
      </c>
      <c r="B27" s="20" t="inlineStr">
        <is>
          <t>Instituto Universitario de Investigación Informática (10.19)</t>
        </is>
      </c>
      <c r="C27" s="20" t="inlineStr">
        <is>
          <t>DOCTORADO EN INFORMÁTICA</t>
        </is>
      </c>
      <c r="D27" s="20" t="inlineStr">
        <is>
          <t>Villarroya Carpio, Arturo</t>
        </is>
      </c>
      <c r="E27" s="20" t="inlineStr">
        <is>
          <t>Repeat-pass interferometric coherence as a SAR tool for crop monitoring</t>
        </is>
      </c>
      <c r="F27" s="20" t="inlineStr">
        <is>
          <t>07/03/2025</t>
        </is>
      </c>
      <c r="G27" s="20" t="inlineStr">
        <is>
          <t>21503683V</t>
        </is>
      </c>
      <c r="H27" s="20" t="inlineStr">
        <is>
          <t>Director de tesis</t>
        </is>
      </c>
      <c r="I27" s="20" t="inlineStr">
        <is>
          <t>B149</t>
        </is>
      </c>
      <c r="J27" s="20" t="inlineStr">
        <is>
          <t>Física, Ingeniería de Sistemas y Teoría de la Señal</t>
        </is>
      </c>
      <c r="K27" s="20" t="n">
        <v>1</v>
      </c>
      <c r="L27" s="20" t="inlineStr">
        <is>
          <t>B149</t>
        </is>
      </c>
      <c r="M27" s="20" t="n">
        <v>2024</v>
      </c>
      <c r="N27" s="20" t="inlineStr">
        <is>
          <t>10.19</t>
        </is>
      </c>
      <c r="O27" s="20" t="inlineStr">
        <is>
          <t>50</t>
        </is>
      </c>
      <c r="P27" s="20" t="inlineStr"/>
      <c r="Q27" s="20" t="inlineStr"/>
      <c r="R27" s="20" t="n">
        <v>50</v>
      </c>
      <c r="S27" s="20" t="n">
        <v>0.5</v>
      </c>
      <c r="T27" s="20" t="n">
        <v>0.5</v>
      </c>
      <c r="U27" s="20" t="n">
        <v>0</v>
      </c>
    </row>
    <row r="28">
      <c r="A28" s="20" t="inlineStr">
        <is>
          <t>U062</t>
        </is>
      </c>
      <c r="B28" s="20" t="inlineStr">
        <is>
          <t>Instituto Universitario de Investigación Informática (10.19)</t>
        </is>
      </c>
      <c r="C28" s="20" t="inlineStr">
        <is>
          <t>DOCTORADO EN INFORMÁTICA</t>
        </is>
      </c>
      <c r="D28" s="20" t="inlineStr">
        <is>
          <t>Páez Ubieta, Ignacio de Loyola</t>
        </is>
      </c>
      <c r="E28" s="20" t="inlineStr">
        <is>
          <t>Multisensorial perception for grasping object with multifingered grippers</t>
        </is>
      </c>
      <c r="F28" s="20" t="inlineStr">
        <is>
          <t>30/07/2025</t>
        </is>
      </c>
      <c r="G28" s="20" t="inlineStr">
        <is>
          <t>52778442C</t>
        </is>
      </c>
      <c r="H28" s="20" t="inlineStr">
        <is>
          <t>Director de tesis</t>
        </is>
      </c>
      <c r="I28" s="20" t="inlineStr">
        <is>
          <t>B149</t>
        </is>
      </c>
      <c r="J28" s="20" t="inlineStr">
        <is>
          <t>Física, Ingeniería de Sistemas y Teoría de la Señal</t>
        </is>
      </c>
      <c r="K28" s="20" t="n">
        <v>1</v>
      </c>
      <c r="L28" s="20" t="inlineStr">
        <is>
          <t>B149</t>
        </is>
      </c>
      <c r="M28" s="20" t="n">
        <v>2024</v>
      </c>
      <c r="N28" s="20" t="inlineStr">
        <is>
          <t>10.19</t>
        </is>
      </c>
      <c r="O28" s="20" t="inlineStr">
        <is>
          <t>20</t>
        </is>
      </c>
      <c r="P28" s="20" t="inlineStr"/>
      <c r="Q28" s="20" t="inlineStr"/>
      <c r="R28" s="20" t="n">
        <v>80</v>
      </c>
      <c r="S28" s="20" t="n">
        <v>0.8</v>
      </c>
      <c r="T28" s="20" t="n">
        <v>0.2</v>
      </c>
      <c r="U28" s="20" t="n">
        <v>0</v>
      </c>
    </row>
    <row r="29">
      <c r="A29" s="20" t="inlineStr">
        <is>
          <t>U062</t>
        </is>
      </c>
      <c r="B29" s="20" t="inlineStr">
        <is>
          <t>Instituto Universitario de Investigación Informática (10.19)</t>
        </is>
      </c>
      <c r="C29" s="20" t="inlineStr">
        <is>
          <t>DOCTORADO EN INFORMÁTICA</t>
        </is>
      </c>
      <c r="D29" s="20" t="inlineStr">
        <is>
          <t>Velasco Sánchez, Edison Patricio</t>
        </is>
      </c>
      <c r="E29" s="20" t="inlineStr">
        <is>
          <t>Estimación de pose y control de Robots Móviles en Entornos no Estructurados basado en LiDAR</t>
        </is>
      </c>
      <c r="F29" s="20" t="inlineStr">
        <is>
          <t>20/11/2024</t>
        </is>
      </c>
      <c r="G29" s="20" t="inlineStr">
        <is>
          <t>52778442C</t>
        </is>
      </c>
      <c r="H29" s="20" t="inlineStr">
        <is>
          <t>Codirector de tesis</t>
        </is>
      </c>
      <c r="I29" s="20" t="inlineStr">
        <is>
          <t>B149</t>
        </is>
      </c>
      <c r="J29" s="20" t="inlineStr">
        <is>
          <t>Física, Ingeniería de Sistemas y Teoría de la Señal</t>
        </is>
      </c>
      <c r="K29" s="20" t="n">
        <v>0.5</v>
      </c>
      <c r="L29" s="20" t="inlineStr">
        <is>
          <t>B149</t>
        </is>
      </c>
      <c r="M29" s="20" t="n">
        <v>2024</v>
      </c>
      <c r="N29" s="20" t="inlineStr">
        <is>
          <t>10.19</t>
        </is>
      </c>
      <c r="O29" s="20" t="inlineStr">
        <is>
          <t>20</t>
        </is>
      </c>
      <c r="P29" s="20" t="inlineStr"/>
      <c r="Q29" s="20" t="inlineStr"/>
      <c r="R29" s="20" t="n">
        <v>80</v>
      </c>
      <c r="S29" s="20" t="n">
        <v>0.4</v>
      </c>
      <c r="T29" s="20" t="n">
        <v>0.1</v>
      </c>
      <c r="U29" s="20" t="n">
        <v>0</v>
      </c>
    </row>
    <row r="30">
      <c r="A30" s="20" t="inlineStr">
        <is>
          <t>U062</t>
        </is>
      </c>
      <c r="B30" s="20" t="inlineStr">
        <is>
          <t>Instituto Universitario de Investigación Informática (10.19)</t>
        </is>
      </c>
      <c r="C30" s="20" t="inlineStr">
        <is>
          <t>DOCTORADO EN INFORMÁTICA</t>
        </is>
      </c>
      <c r="D30" s="20" t="inlineStr">
        <is>
          <t>Velasco Sánchez, Edison Patricio</t>
        </is>
      </c>
      <c r="E30" s="20" t="inlineStr">
        <is>
          <t>Estimación de pose y control de Robots Móviles en Entornos no Estructurados basado en LiDAR</t>
        </is>
      </c>
      <c r="F30" s="20" t="inlineStr">
        <is>
          <t>20/11/2024</t>
        </is>
      </c>
      <c r="G30" s="20" t="inlineStr">
        <is>
          <t>52773069Y</t>
        </is>
      </c>
      <c r="H30" s="20" t="inlineStr">
        <is>
          <t>Codirector de tesis</t>
        </is>
      </c>
      <c r="I30" s="20" t="inlineStr">
        <is>
          <t>B149</t>
        </is>
      </c>
      <c r="J30" s="20" t="inlineStr">
        <is>
          <t>Física, Ingeniería de Sistemas y Teoría de la Señal</t>
        </is>
      </c>
      <c r="K30" s="20" t="n">
        <v>0.5</v>
      </c>
      <c r="L30" s="20" t="inlineStr">
        <is>
          <t>B149</t>
        </is>
      </c>
      <c r="M30" s="20" t="n">
        <v>2024</v>
      </c>
      <c r="N30" s="20" t="inlineStr">
        <is>
          <t>10.19</t>
        </is>
      </c>
      <c r="O30" s="20" t="inlineStr">
        <is>
          <t>20</t>
        </is>
      </c>
      <c r="P30" s="20" t="inlineStr"/>
      <c r="Q30" s="20" t="inlineStr"/>
      <c r="R30" s="20" t="n">
        <v>80</v>
      </c>
      <c r="S30" s="20" t="n">
        <v>0.4</v>
      </c>
      <c r="T30" s="20" t="n">
        <v>0.1</v>
      </c>
      <c r="U30" s="20" t="n">
        <v>0</v>
      </c>
    </row>
    <row r="31">
      <c r="A31" s="20" t="inlineStr">
        <is>
          <t>U066</t>
        </is>
      </c>
      <c r="B31" s="20" t="inlineStr">
        <is>
          <t>Instituto Universitario de Física Aplicada a las Ciencias y las Tecnologías (10.</t>
        </is>
      </c>
      <c r="C31" s="20" t="inlineStr">
        <is>
          <t>DOCTORADO EN FÍSICA APLICADA A LAS CIENCIAS Y LAS TECNOLOGÍAS</t>
        </is>
      </c>
      <c r="D31" s="20" t="inlineStr">
        <is>
          <t>Saadi , Ahmed</t>
        </is>
      </c>
      <c r="E31" s="20" t="inlineStr">
        <is>
          <t>Subsurface Structure of the Oran and Aïn Témouchent Regions, Algeria: Microzonation and Site Effect
Analysis</t>
        </is>
      </c>
      <c r="F31" s="20" t="inlineStr">
        <is>
          <t>11/07/2025</t>
        </is>
      </c>
      <c r="G31" s="20" t="inlineStr">
        <is>
          <t>21499481R</t>
        </is>
      </c>
      <c r="H31" s="20" t="inlineStr">
        <is>
          <t>Codirector de tesis</t>
        </is>
      </c>
      <c r="I31" s="20" t="inlineStr">
        <is>
          <t>B149</t>
        </is>
      </c>
      <c r="J31" s="20" t="inlineStr">
        <is>
          <t>Física, Ingeniería de Sistemas y Teoría de la Señal</t>
        </is>
      </c>
      <c r="K31" s="20" t="n">
        <v>0.5</v>
      </c>
      <c r="L31" s="20" t="inlineStr">
        <is>
          <t>B149</t>
        </is>
      </c>
      <c r="M31" s="20" t="n">
        <v>2024</v>
      </c>
      <c r="N31" s="20" t="inlineStr">
        <is>
          <t>10.20</t>
        </is>
      </c>
      <c r="O31" s="20" t="inlineStr">
        <is>
          <t>20</t>
        </is>
      </c>
      <c r="P31" s="20" t="inlineStr"/>
      <c r="Q31" s="20" t="inlineStr"/>
      <c r="R31" s="20" t="n">
        <v>80</v>
      </c>
      <c r="S31" s="20" t="n">
        <v>0.4</v>
      </c>
      <c r="T31" s="20" t="n">
        <v>0.1</v>
      </c>
      <c r="U31" s="20" t="n">
        <v>0</v>
      </c>
    </row>
    <row r="32">
      <c r="A32" s="20" t="inlineStr">
        <is>
          <t>U066</t>
        </is>
      </c>
      <c r="B32" s="20" t="inlineStr">
        <is>
          <t>Instituto Universitario de Física Aplicada a las Ciencias y las Tecnologías (10.</t>
        </is>
      </c>
      <c r="C32" s="20" t="inlineStr">
        <is>
          <t>DOCTORADO EN FÍSICA APLICADA A LAS CIENCIAS Y LAS TECNOLOGÍAS</t>
        </is>
      </c>
      <c r="D32" s="20" t="inlineStr">
        <is>
          <t>Sánchez Martínez, Daniel</t>
        </is>
      </c>
      <c r="E32" s="20" t="inlineStr">
        <is>
          <t>INTELLIGENT ROBOTIC MANIPULATION OF DEFORMABLE OBJECTS IN THE TOY INDUSTRY THROUGH LEARNING FROM
HUMAN DEMONSTRATION</t>
        </is>
      </c>
      <c r="F32" s="20" t="inlineStr">
        <is>
          <t>23/07/2025</t>
        </is>
      </c>
      <c r="G32" s="20" t="inlineStr">
        <is>
          <t>73996233N</t>
        </is>
      </c>
      <c r="H32" s="20" t="inlineStr">
        <is>
          <t>Codirector de tesis</t>
        </is>
      </c>
      <c r="I32" s="20" t="inlineStr">
        <is>
          <t>B149</t>
        </is>
      </c>
      <c r="J32" s="20" t="inlineStr">
        <is>
          <t>Física, Ingeniería de Sistemas y Teoría de la Señal</t>
        </is>
      </c>
      <c r="K32" s="20" t="n">
        <v>0.5</v>
      </c>
      <c r="L32" s="20" t="inlineStr">
        <is>
          <t>B149</t>
        </is>
      </c>
      <c r="M32" s="20" t="n">
        <v>2024</v>
      </c>
      <c r="N32" s="20" t="inlineStr">
        <is>
          <t>10.20</t>
        </is>
      </c>
      <c r="O32" s="20" t="inlineStr">
        <is>
          <t>20</t>
        </is>
      </c>
      <c r="P32" s="20" t="inlineStr"/>
      <c r="Q32" s="20" t="inlineStr"/>
      <c r="R32" s="20" t="n">
        <v>80</v>
      </c>
      <c r="S32" s="20" t="n">
        <v>0.4</v>
      </c>
      <c r="T32" s="20" t="n">
        <v>0.1</v>
      </c>
      <c r="U32" s="20" t="n">
        <v>0</v>
      </c>
    </row>
    <row r="33">
      <c r="A33" s="20" t="inlineStr">
        <is>
          <t>U066</t>
        </is>
      </c>
      <c r="B33" s="20" t="inlineStr">
        <is>
          <t>Instituto Universitario de Física Aplicada a las Ciencias y las Tecnologías (10.</t>
        </is>
      </c>
      <c r="C33" s="20" t="inlineStr">
        <is>
          <t>DOCTORADO EN FÍSICA APLICADA A LAS CIENCIAS Y LAS TECNOLOGÍAS</t>
        </is>
      </c>
      <c r="D33" s="20" t="inlineStr">
        <is>
          <t>Berramdane , kheloud</t>
        </is>
      </c>
      <c r="E33" s="20" t="inlineStr">
        <is>
          <t>Holographic diffraction gratings storage in phototohydrogel</t>
        </is>
      </c>
      <c r="F33" s="20" t="inlineStr">
        <is>
          <t>24/01/2025</t>
        </is>
      </c>
      <c r="G33" s="20" t="inlineStr">
        <is>
          <t>53146258C</t>
        </is>
      </c>
      <c r="H33" s="20" t="inlineStr">
        <is>
          <t>Codirector de tesis</t>
        </is>
      </c>
      <c r="I33" s="20" t="inlineStr">
        <is>
          <t>B149</t>
        </is>
      </c>
      <c r="J33" s="20" t="inlineStr">
        <is>
          <t>Física, Ingeniería de Sistemas y Teoría de la Señal</t>
        </is>
      </c>
      <c r="K33" s="20" t="n">
        <v>0.5</v>
      </c>
      <c r="L33" s="20" t="inlineStr">
        <is>
          <t>B149</t>
        </is>
      </c>
      <c r="M33" s="20" t="n">
        <v>2024</v>
      </c>
      <c r="N33" s="20" t="inlineStr">
        <is>
          <t>10.20</t>
        </is>
      </c>
      <c r="O33" s="20" t="inlineStr">
        <is>
          <t>50</t>
        </is>
      </c>
      <c r="P33" s="20" t="inlineStr"/>
      <c r="Q33" s="20" t="inlineStr"/>
      <c r="R33" s="20" t="n">
        <v>50</v>
      </c>
      <c r="S33" s="20" t="n">
        <v>0.25</v>
      </c>
      <c r="T33" s="20" t="n">
        <v>0.25</v>
      </c>
      <c r="U33" s="20" t="n">
        <v>0</v>
      </c>
    </row>
    <row r="34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5" t="n"/>
      <c r="P34" s="44" t="n"/>
      <c r="Q34" s="45" t="n"/>
      <c r="R34" s="44" t="n"/>
      <c r="S34" s="46">
        <f>SUM(S2:S33)</f>
        <v/>
      </c>
      <c r="T34" s="44" t="n"/>
      <c r="U34" s="44" t="n"/>
    </row>
  </sheetData>
  <autoFilter ref="A1:U1">
    <sortState ref="A2:T1880">
      <sortCondition ref="K2:K1880"/>
      <sortCondition ref="L2:L1880"/>
      <sortCondition ref="D2:D1880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zoomScaleNormal="100" workbookViewId="0">
      <selection activeCell="H56" sqref="H56"/>
    </sheetView>
  </sheetViews>
  <sheetFormatPr baseColWidth="10" defaultColWidth="11.44140625" defaultRowHeight="13.2"/>
  <cols>
    <col width="10.88671875" bestFit="1" customWidth="1" style="11" min="1" max="1"/>
    <col width="41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14" t="inlineStr">
        <is>
          <t>NIF</t>
        </is>
      </c>
      <c r="B1" s="14" t="inlineStr">
        <is>
          <t>NOMBRE_COMPLETO</t>
        </is>
      </c>
      <c r="C1" s="14" t="inlineStr">
        <is>
          <t>TIPO_SEXENIO</t>
        </is>
      </c>
      <c r="D1" s="15" t="inlineStr">
        <is>
          <t>2020</t>
        </is>
      </c>
      <c r="E1" s="15" t="inlineStr">
        <is>
          <t>2021</t>
        </is>
      </c>
      <c r="F1" s="15" t="inlineStr">
        <is>
          <t>2022</t>
        </is>
      </c>
      <c r="G1" s="15" t="inlineStr">
        <is>
          <t>2023</t>
        </is>
      </c>
      <c r="H1" s="15" t="inlineStr">
        <is>
          <t>2024</t>
        </is>
      </c>
      <c r="I1" s="15" t="inlineStr">
        <is>
          <t>2025</t>
        </is>
      </c>
      <c r="J1" s="14" t="inlineStr">
        <is>
          <t>Total general</t>
        </is>
      </c>
      <c r="K1" s="16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  <c r="U1" s="11" t="n"/>
    </row>
    <row r="2" ht="14.4" customHeight="1">
      <c r="A2" s="17" t="inlineStr">
        <is>
          <t>04618131F</t>
        </is>
      </c>
      <c r="B2" s="17" t="inlineStr">
        <is>
          <t>Fernández Fernández, Roberto</t>
        </is>
      </c>
      <c r="C2" s="17" t="inlineStr">
        <is>
          <t>FUNCIONARIO</t>
        </is>
      </c>
      <c r="D2" s="17" t="n"/>
      <c r="E2" s="17" t="n"/>
      <c r="F2" s="17" t="n"/>
      <c r="G2" s="17" t="n"/>
      <c r="H2" s="17" t="n"/>
      <c r="I2" s="17" t="n">
        <v>1</v>
      </c>
      <c r="J2" s="17" t="n">
        <v>1</v>
      </c>
      <c r="K2" s="17" t="inlineStr">
        <is>
          <t>B149</t>
        </is>
      </c>
      <c r="L2" s="18" t="inlineStr">
        <is>
          <t>10.20</t>
        </is>
      </c>
      <c r="M2" s="18" t="inlineStr">
        <is>
          <t>20</t>
        </is>
      </c>
      <c r="N2" s="18" t="inlineStr"/>
      <c r="O2" s="18" t="inlineStr"/>
      <c r="P2" s="18" t="n">
        <v>80</v>
      </c>
      <c r="Q2" s="18" t="n">
        <v>0.2</v>
      </c>
      <c r="R2" s="18" t="n">
        <v>0</v>
      </c>
      <c r="S2" s="18" t="n">
        <v>0.8</v>
      </c>
    </row>
    <row r="3" ht="14.4" customHeight="1">
      <c r="A3" s="17" t="inlineStr">
        <is>
          <t>05162571Z</t>
        </is>
      </c>
      <c r="B3" s="17" t="inlineStr">
        <is>
          <t>Beléndez Vázquez, Augusto</t>
        </is>
      </c>
      <c r="C3" s="17" t="inlineStr">
        <is>
          <t>FUNCIONARIO</t>
        </is>
      </c>
      <c r="D3" s="17" t="n"/>
      <c r="E3" s="17" t="n"/>
      <c r="F3" s="17" t="n"/>
      <c r="G3" s="17" t="n">
        <v>1</v>
      </c>
      <c r="H3" s="17" t="n"/>
      <c r="I3" s="17" t="n"/>
      <c r="J3" s="17" t="n">
        <v>1</v>
      </c>
      <c r="K3" s="17" t="inlineStr">
        <is>
          <t>B149</t>
        </is>
      </c>
      <c r="L3" s="18" t="inlineStr">
        <is>
          <t>10.20</t>
        </is>
      </c>
      <c r="M3" s="18" t="inlineStr">
        <is>
          <t>50</t>
        </is>
      </c>
      <c r="N3" s="18" t="inlineStr"/>
      <c r="O3" s="18" t="inlineStr"/>
      <c r="P3" s="18" t="n">
        <v>50</v>
      </c>
      <c r="Q3" s="18" t="n">
        <v>0.5</v>
      </c>
      <c r="R3" s="18" t="n">
        <v>0</v>
      </c>
      <c r="S3" s="18" t="n">
        <v>0.5</v>
      </c>
    </row>
    <row r="4" ht="14.4" customHeight="1">
      <c r="A4" s="17" t="inlineStr">
        <is>
          <t>19099684R</t>
        </is>
      </c>
      <c r="B4" s="17" t="inlineStr">
        <is>
          <t>Torrejón Vázquez, José Miguel</t>
        </is>
      </c>
      <c r="C4" s="17" t="inlineStr">
        <is>
          <t>FUNCIONARIO</t>
        </is>
      </c>
      <c r="D4" s="17" t="n"/>
      <c r="E4" s="17" t="n"/>
      <c r="F4" s="17" t="n"/>
      <c r="G4" s="17" t="n"/>
      <c r="H4" s="17" t="n"/>
      <c r="I4" s="17" t="n">
        <v>1</v>
      </c>
      <c r="J4" s="17" t="n">
        <v>1</v>
      </c>
      <c r="K4" s="17" t="inlineStr">
        <is>
          <t>B149</t>
        </is>
      </c>
      <c r="L4" s="18" t="inlineStr">
        <is>
          <t>10.20</t>
        </is>
      </c>
      <c r="M4" s="18" t="inlineStr">
        <is>
          <t>20</t>
        </is>
      </c>
      <c r="N4" s="18" t="inlineStr"/>
      <c r="O4" s="18" t="inlineStr"/>
      <c r="P4" s="18" t="n">
        <v>80</v>
      </c>
      <c r="Q4" s="18" t="n">
        <v>0.2</v>
      </c>
      <c r="R4" s="18" t="n">
        <v>0</v>
      </c>
      <c r="S4" s="18" t="n">
        <v>0.8</v>
      </c>
    </row>
    <row r="5" ht="14.4" customHeight="1">
      <c r="A5" s="17" t="inlineStr">
        <is>
          <t>20430702D</t>
        </is>
      </c>
      <c r="B5" s="17" t="inlineStr">
        <is>
          <t>Navarro Fuster, Víctor</t>
        </is>
      </c>
      <c r="C5" s="17" t="inlineStr">
        <is>
          <t>NO FUNCIONARIO</t>
        </is>
      </c>
      <c r="D5" s="17" t="n">
        <v>1</v>
      </c>
      <c r="E5" s="17" t="n"/>
      <c r="F5" s="17" t="n"/>
      <c r="G5" s="17" t="n"/>
      <c r="H5" s="17" t="n"/>
      <c r="I5" s="17" t="n"/>
      <c r="J5" s="17" t="n">
        <v>1</v>
      </c>
      <c r="K5" s="17" t="inlineStr">
        <is>
          <t>B149</t>
        </is>
      </c>
      <c r="L5" s="18" t="inlineStr">
        <is>
          <t>10.20</t>
        </is>
      </c>
      <c r="M5" s="18" t="inlineStr">
        <is>
          <t>20</t>
        </is>
      </c>
      <c r="N5" s="18" t="inlineStr"/>
      <c r="O5" s="18" t="inlineStr"/>
      <c r="P5" s="18" t="n">
        <v>80</v>
      </c>
      <c r="Q5" s="18" t="n">
        <v>0.2</v>
      </c>
      <c r="R5" s="18" t="n">
        <v>0</v>
      </c>
      <c r="S5" s="18" t="n">
        <v>0.8</v>
      </c>
    </row>
    <row r="6" ht="14.4" customHeight="1">
      <c r="A6" s="17" t="inlineStr">
        <is>
          <t>21393105T</t>
        </is>
      </c>
      <c r="B6" s="17" t="inlineStr">
        <is>
          <t>Hernández Prados, Antonio</t>
        </is>
      </c>
      <c r="C6" s="17" t="inlineStr">
        <is>
          <t>Vivos</t>
        </is>
      </c>
      <c r="D6" s="17" t="n"/>
      <c r="E6" s="17" t="n"/>
      <c r="F6" s="17" t="n"/>
      <c r="G6" s="17" t="n"/>
      <c r="H6" s="17" t="n"/>
      <c r="I6" s="17" t="n">
        <v>1</v>
      </c>
      <c r="J6" s="17" t="n">
        <v>1</v>
      </c>
      <c r="K6" s="17" t="inlineStr">
        <is>
          <t>B149</t>
        </is>
      </c>
      <c r="L6" s="18" t="inlineStr">
        <is>
          <t>10.20</t>
        </is>
      </c>
      <c r="M6" s="18" t="inlineStr">
        <is>
          <t>50</t>
        </is>
      </c>
      <c r="N6" s="18" t="inlineStr"/>
      <c r="O6" s="18" t="inlineStr"/>
      <c r="P6" s="18" t="n">
        <v>50</v>
      </c>
      <c r="Q6" s="18" t="n">
        <v>0.5</v>
      </c>
      <c r="R6" s="18" t="n">
        <v>0</v>
      </c>
      <c r="S6" s="18" t="n">
        <v>0.5</v>
      </c>
    </row>
    <row r="7" ht="14.4" customHeight="1">
      <c r="A7" s="17" t="inlineStr">
        <is>
          <t>21451275A</t>
        </is>
      </c>
      <c r="B7" s="17" t="inlineStr">
        <is>
          <t>Rodes Roca, José Joaquín</t>
        </is>
      </c>
      <c r="C7" s="17" t="inlineStr">
        <is>
          <t>FUNCIONARIO</t>
        </is>
      </c>
      <c r="D7" s="17" t="n"/>
      <c r="E7" s="17" t="n"/>
      <c r="F7" s="17" t="n">
        <v>1</v>
      </c>
      <c r="G7" s="17" t="n"/>
      <c r="H7" s="17" t="n"/>
      <c r="I7" s="17" t="n"/>
      <c r="J7" s="17" t="n">
        <v>1</v>
      </c>
      <c r="K7" s="17" t="inlineStr">
        <is>
          <t>B149</t>
        </is>
      </c>
      <c r="L7" s="18" t="inlineStr">
        <is>
          <t>10.20</t>
        </is>
      </c>
      <c r="M7" s="18" t="inlineStr">
        <is>
          <t>50</t>
        </is>
      </c>
      <c r="N7" s="18" t="inlineStr"/>
      <c r="O7" s="18" t="inlineStr"/>
      <c r="P7" s="18" t="n">
        <v>50</v>
      </c>
      <c r="Q7" s="18" t="n">
        <v>0.5</v>
      </c>
      <c r="R7" s="18" t="n">
        <v>0</v>
      </c>
      <c r="S7" s="18" t="n">
        <v>0.5</v>
      </c>
    </row>
    <row r="8" ht="14.4" customHeight="1">
      <c r="A8" s="17" t="inlineStr">
        <is>
          <t>21499481R</t>
        </is>
      </c>
      <c r="B8" s="17" t="inlineStr">
        <is>
          <t>Galiana Merino, Juan José</t>
        </is>
      </c>
      <c r="C8" s="17" t="inlineStr">
        <is>
          <t>FUNCIONARIO</t>
        </is>
      </c>
      <c r="D8" s="17" t="n"/>
      <c r="E8" s="17" t="n"/>
      <c r="F8" s="17" t="n"/>
      <c r="G8" s="17" t="n"/>
      <c r="H8" s="17" t="n">
        <v>1</v>
      </c>
      <c r="I8" s="17" t="n"/>
      <c r="J8" s="17" t="n">
        <v>1</v>
      </c>
      <c r="K8" s="17" t="inlineStr">
        <is>
          <t>B149</t>
        </is>
      </c>
      <c r="L8" s="18" t="inlineStr">
        <is>
          <t>10.20</t>
        </is>
      </c>
      <c r="M8" s="18" t="inlineStr">
        <is>
          <t>20</t>
        </is>
      </c>
      <c r="N8" s="18" t="inlineStr"/>
      <c r="O8" s="18" t="inlineStr"/>
      <c r="P8" s="18" t="n">
        <v>80</v>
      </c>
      <c r="Q8" s="18" t="n">
        <v>0.2</v>
      </c>
      <c r="R8" s="18" t="n">
        <v>0</v>
      </c>
      <c r="S8" s="18" t="n">
        <v>0.8</v>
      </c>
    </row>
    <row r="9" ht="14.4" customHeight="1">
      <c r="A9" s="17" t="inlineStr">
        <is>
          <t>21502688B</t>
        </is>
      </c>
      <c r="B9" s="17" t="inlineStr">
        <is>
          <t>Méndez Alcaraz, David Israel</t>
        </is>
      </c>
      <c r="C9" s="17" t="inlineStr">
        <is>
          <t>FUNCIONARIO</t>
        </is>
      </c>
      <c r="D9" s="17" t="n"/>
      <c r="E9" s="17" t="n"/>
      <c r="F9" s="17" t="n">
        <v>1</v>
      </c>
      <c r="G9" s="17" t="n"/>
      <c r="H9" s="17" t="n"/>
      <c r="I9" s="17" t="n"/>
      <c r="J9" s="17" t="n">
        <v>1</v>
      </c>
      <c r="K9" s="17" t="inlineStr">
        <is>
          <t>B149</t>
        </is>
      </c>
      <c r="L9" s="18" t="inlineStr">
        <is>
          <t>10.20</t>
        </is>
      </c>
      <c r="M9" s="18" t="inlineStr">
        <is>
          <t>20</t>
        </is>
      </c>
      <c r="N9" s="18" t="inlineStr"/>
      <c r="O9" s="18" t="inlineStr"/>
      <c r="P9" s="18" t="n">
        <v>80</v>
      </c>
      <c r="Q9" s="18" t="n">
        <v>0.2</v>
      </c>
      <c r="R9" s="18" t="n">
        <v>0</v>
      </c>
      <c r="S9" s="18" t="n">
        <v>0.8</v>
      </c>
    </row>
    <row r="10" ht="14.4" customHeight="1">
      <c r="A10" s="17" t="inlineStr">
        <is>
          <t>21503683V</t>
        </is>
      </c>
      <c r="B10" s="17" t="inlineStr">
        <is>
          <t>López Sánchez, Juan Manuel</t>
        </is>
      </c>
      <c r="C10" s="17" t="inlineStr">
        <is>
          <t>FUNCIONARIO</t>
        </is>
      </c>
      <c r="D10" s="17" t="n"/>
      <c r="E10" s="17" t="n">
        <v>1</v>
      </c>
      <c r="F10" s="17" t="n"/>
      <c r="G10" s="17" t="n"/>
      <c r="H10" s="17" t="n"/>
      <c r="I10" s="17" t="n"/>
      <c r="J10" s="17" t="n">
        <v>1</v>
      </c>
      <c r="K10" s="17" t="inlineStr">
        <is>
          <t>B149</t>
        </is>
      </c>
      <c r="L10" s="18" t="inlineStr">
        <is>
          <t>10.19</t>
        </is>
      </c>
      <c r="M10" s="18" t="inlineStr">
        <is>
          <t>50</t>
        </is>
      </c>
      <c r="N10" s="18" t="inlineStr"/>
      <c r="O10" s="18" t="inlineStr"/>
      <c r="P10" s="18" t="n">
        <v>50</v>
      </c>
      <c r="Q10" s="18" t="n">
        <v>0.5</v>
      </c>
      <c r="R10" s="18" t="n">
        <v>0</v>
      </c>
      <c r="S10" s="18" t="n">
        <v>0.5</v>
      </c>
    </row>
    <row r="11" ht="14.4" customHeight="1">
      <c r="A11" s="17" t="inlineStr">
        <is>
          <t>21664897R</t>
        </is>
      </c>
      <c r="B11" s="17" t="inlineStr">
        <is>
          <t>Ballester Berman, Josep David</t>
        </is>
      </c>
      <c r="C11" s="17" t="inlineStr">
        <is>
          <t>FUNCIONARIO</t>
        </is>
      </c>
      <c r="D11" s="17" t="n">
        <v>1</v>
      </c>
      <c r="E11" s="17" t="n"/>
      <c r="F11" s="17" t="n"/>
      <c r="G11" s="17" t="n"/>
      <c r="H11" s="17" t="n"/>
      <c r="I11" s="17" t="n"/>
      <c r="J11" s="17" t="n">
        <v>1</v>
      </c>
      <c r="K11" s="17" t="inlineStr">
        <is>
          <t>B149</t>
        </is>
      </c>
      <c r="L11" s="18" t="inlineStr">
        <is>
          <t>10.19</t>
        </is>
      </c>
      <c r="M11" s="18" t="inlineStr">
        <is>
          <t>20</t>
        </is>
      </c>
      <c r="N11" s="18" t="inlineStr"/>
      <c r="O11" s="18" t="inlineStr"/>
      <c r="P11" s="18" t="n">
        <v>80</v>
      </c>
      <c r="Q11" s="18" t="n">
        <v>0.2</v>
      </c>
      <c r="R11" s="18" t="n">
        <v>0</v>
      </c>
      <c r="S11" s="18" t="n">
        <v>0.8</v>
      </c>
    </row>
    <row r="12" ht="14.4" customHeight="1">
      <c r="A12" s="17" t="inlineStr">
        <is>
          <t>21995314T</t>
        </is>
      </c>
      <c r="B12" s="17" t="inlineStr">
        <is>
          <t>Martínez Marín, Tomás</t>
        </is>
      </c>
      <c r="C12" s="17" t="inlineStr">
        <is>
          <t>FUNCIONARIO</t>
        </is>
      </c>
      <c r="D12" s="17" t="n"/>
      <c r="E12" s="17" t="n"/>
      <c r="F12" s="17" t="n">
        <v>1</v>
      </c>
      <c r="G12" s="17" t="n"/>
      <c r="H12" s="17" t="n"/>
      <c r="I12" s="17" t="n"/>
      <c r="J12" s="17" t="n">
        <v>1</v>
      </c>
      <c r="K12" s="17" t="inlineStr">
        <is>
          <t>B149</t>
        </is>
      </c>
      <c r="L12" s="18" t="inlineStr">
        <is>
          <t>10.19</t>
        </is>
      </c>
      <c r="M12" s="18" t="inlineStr">
        <is>
          <t>50</t>
        </is>
      </c>
      <c r="N12" s="18" t="inlineStr"/>
      <c r="O12" s="18" t="inlineStr"/>
      <c r="P12" s="18" t="n">
        <v>50</v>
      </c>
      <c r="Q12" s="18" t="n">
        <v>0.5</v>
      </c>
      <c r="R12" s="18" t="n">
        <v>0</v>
      </c>
      <c r="S12" s="18" t="n">
        <v>0.5</v>
      </c>
    </row>
    <row r="13" ht="14.4" customHeight="1">
      <c r="A13" s="36" t="inlineStr">
        <is>
          <t>22136568B</t>
        </is>
      </c>
      <c r="B13" s="36" t="inlineStr">
        <is>
          <t>Selva Vera, Jesús</t>
        </is>
      </c>
      <c r="C13" s="37" t="inlineStr">
        <is>
          <t>FUNCIONARIO</t>
        </is>
      </c>
      <c r="D13" s="36" t="n">
        <v>1</v>
      </c>
      <c r="E13" s="36" t="n"/>
      <c r="F13" s="36" t="n"/>
      <c r="G13" s="36" t="n"/>
      <c r="H13" s="36" t="n"/>
      <c r="I13" s="36" t="n"/>
      <c r="J13" s="17" t="n">
        <v>1</v>
      </c>
      <c r="K13" s="17" t="inlineStr">
        <is>
          <t>B149</t>
        </is>
      </c>
      <c r="L13" s="18" t="inlineStr">
        <is>
          <t>10.19</t>
        </is>
      </c>
      <c r="M13" s="18" t="inlineStr">
        <is>
          <t>20</t>
        </is>
      </c>
      <c r="N13" s="18" t="inlineStr"/>
      <c r="O13" s="18" t="inlineStr"/>
      <c r="P13" s="18" t="n">
        <v>80</v>
      </c>
      <c r="Q13" s="18" t="n">
        <v>0.2</v>
      </c>
      <c r="R13" s="18" t="n">
        <v>0</v>
      </c>
      <c r="S13" s="18" t="n">
        <v>0.8</v>
      </c>
    </row>
    <row r="14" ht="14.4" customHeight="1">
      <c r="A14" s="17" t="inlineStr">
        <is>
          <t>22139399J</t>
        </is>
      </c>
      <c r="B14" s="17" t="inlineStr">
        <is>
          <t>Brocal Fernández, Francisco</t>
        </is>
      </c>
      <c r="C14" s="17" t="inlineStr">
        <is>
          <t>NO FUNCIONARIO</t>
        </is>
      </c>
      <c r="D14" s="17" t="n"/>
      <c r="E14" s="17" t="n"/>
      <c r="F14" s="17" t="n">
        <v>1</v>
      </c>
      <c r="G14" s="17" t="n"/>
      <c r="H14" s="17" t="n"/>
      <c r="I14" s="17" t="n"/>
      <c r="J14" s="17" t="n">
        <v>1</v>
      </c>
      <c r="K14" s="17" t="inlineStr">
        <is>
          <t>B149</t>
        </is>
      </c>
      <c r="L14" s="18" t="inlineStr">
        <is>
          <t>10.20</t>
        </is>
      </c>
      <c r="M14" s="18" t="inlineStr">
        <is>
          <t>20</t>
        </is>
      </c>
      <c r="N14" s="18" t="inlineStr"/>
      <c r="O14" s="18" t="inlineStr"/>
      <c r="P14" s="18" t="n">
        <v>80</v>
      </c>
      <c r="Q14" s="18" t="n">
        <v>0.2</v>
      </c>
      <c r="R14" s="18" t="n">
        <v>0</v>
      </c>
      <c r="S14" s="18" t="n">
        <v>0.8</v>
      </c>
    </row>
    <row r="15" ht="14.4" customHeight="1">
      <c r="A15" s="17" t="inlineStr">
        <is>
          <t>22142307T</t>
        </is>
      </c>
      <c r="B15" s="17" t="inlineStr">
        <is>
          <t>Martínez Guardiola, Francisco Javier</t>
        </is>
      </c>
      <c r="C15" s="17" t="inlineStr">
        <is>
          <t>FUNCIONARIO</t>
        </is>
      </c>
      <c r="D15" s="17" t="n">
        <v>1</v>
      </c>
      <c r="E15" s="17" t="n">
        <v>1</v>
      </c>
      <c r="F15" s="17" t="n"/>
      <c r="G15" s="17" t="n"/>
      <c r="H15" s="17" t="n"/>
      <c r="I15" s="17" t="n"/>
      <c r="J15" s="17" t="n">
        <v>2</v>
      </c>
      <c r="K15" s="17" t="inlineStr">
        <is>
          <t>B149</t>
        </is>
      </c>
      <c r="L15" s="18" t="inlineStr">
        <is>
          <t>10.20</t>
        </is>
      </c>
      <c r="M15" s="18" t="inlineStr">
        <is>
          <t>20</t>
        </is>
      </c>
      <c r="N15" s="18" t="inlineStr"/>
      <c r="O15" s="18" t="inlineStr"/>
      <c r="P15" s="18" t="n">
        <v>80</v>
      </c>
      <c r="Q15" s="18" t="n">
        <v>0.4</v>
      </c>
      <c r="R15" s="18" t="n">
        <v>0</v>
      </c>
      <c r="S15" s="18" t="n">
        <v>1.6</v>
      </c>
    </row>
    <row r="16" ht="14.4" customHeight="1">
      <c r="A16" s="17" t="inlineStr">
        <is>
          <t>24218798M</t>
        </is>
      </c>
      <c r="B16" s="17" t="inlineStr">
        <is>
          <t>Torres Medina, Fernando</t>
        </is>
      </c>
      <c r="C16" s="17" t="inlineStr">
        <is>
          <t>FUNCIONARIO</t>
        </is>
      </c>
      <c r="D16" s="17" t="n"/>
      <c r="E16" s="17" t="n"/>
      <c r="F16" s="17" t="n"/>
      <c r="G16" s="17" t="n"/>
      <c r="H16" s="17" t="n">
        <v>1</v>
      </c>
      <c r="I16" s="17" t="n"/>
      <c r="J16" s="17" t="n">
        <v>1</v>
      </c>
      <c r="K16" s="17" t="inlineStr">
        <is>
          <t>B149</t>
        </is>
      </c>
      <c r="L16" s="18" t="inlineStr">
        <is>
          <t>10.19</t>
        </is>
      </c>
      <c r="M16" s="18" t="inlineStr">
        <is>
          <t>50</t>
        </is>
      </c>
      <c r="N16" s="18" t="inlineStr"/>
      <c r="O16" s="18" t="inlineStr"/>
      <c r="P16" s="18" t="n">
        <v>50</v>
      </c>
      <c r="Q16" s="18" t="n">
        <v>0.5</v>
      </c>
      <c r="R16" s="18" t="n">
        <v>0</v>
      </c>
      <c r="S16" s="18" t="n">
        <v>0.5</v>
      </c>
    </row>
    <row r="17" ht="14.4" customHeight="1">
      <c r="A17" s="17" t="inlineStr">
        <is>
          <t>29013624K</t>
        </is>
      </c>
      <c r="B17" s="17" t="inlineStr">
        <is>
          <t>Ortuño Sánchez, Manuel Francisco</t>
        </is>
      </c>
      <c r="C17" s="17" t="inlineStr">
        <is>
          <t>FUNCIONARIO</t>
        </is>
      </c>
      <c r="D17" s="17" t="n"/>
      <c r="E17" s="17" t="n"/>
      <c r="F17" s="17" t="n"/>
      <c r="G17" s="17" t="n"/>
      <c r="H17" s="17" t="n">
        <v>1</v>
      </c>
      <c r="I17" s="17" t="n"/>
      <c r="J17" s="17" t="n">
        <v>1</v>
      </c>
      <c r="K17" s="17" t="inlineStr">
        <is>
          <t>B149</t>
        </is>
      </c>
      <c r="L17" s="18" t="inlineStr">
        <is>
          <t>10.20</t>
        </is>
      </c>
      <c r="M17" s="18" t="inlineStr">
        <is>
          <t>50</t>
        </is>
      </c>
      <c r="N17" s="18" t="inlineStr"/>
      <c r="O17" s="18" t="inlineStr"/>
      <c r="P17" s="18" t="n">
        <v>50</v>
      </c>
      <c r="Q17" s="18" t="n">
        <v>0.5</v>
      </c>
      <c r="R17" s="18" t="n">
        <v>0</v>
      </c>
      <c r="S17" s="18" t="n">
        <v>0.5</v>
      </c>
    </row>
    <row r="18" ht="14.4" customHeight="1">
      <c r="A18" s="17" t="inlineStr">
        <is>
          <t>33477513R</t>
        </is>
      </c>
      <c r="B18" s="17" t="inlineStr">
        <is>
          <t>Neipp López, Cristian</t>
        </is>
      </c>
      <c r="C18" s="17" t="inlineStr">
        <is>
          <t>FUNCIONARIO</t>
        </is>
      </c>
      <c r="D18" s="17" t="n"/>
      <c r="E18" s="17" t="n"/>
      <c r="F18" s="17" t="n"/>
      <c r="G18" s="17" t="n">
        <v>1</v>
      </c>
      <c r="H18" s="17" t="n"/>
      <c r="I18" s="17" t="n"/>
      <c r="J18" s="17" t="n">
        <v>1</v>
      </c>
      <c r="K18" s="17" t="inlineStr">
        <is>
          <t>B149</t>
        </is>
      </c>
      <c r="L18" s="18" t="inlineStr">
        <is>
          <t>10.20</t>
        </is>
      </c>
      <c r="M18" s="18" t="inlineStr">
        <is>
          <t>20</t>
        </is>
      </c>
      <c r="N18" s="18" t="inlineStr"/>
      <c r="O18" s="18" t="inlineStr"/>
      <c r="P18" s="18" t="n">
        <v>80</v>
      </c>
      <c r="Q18" s="18" t="n">
        <v>0.2</v>
      </c>
      <c r="R18" s="18" t="n">
        <v>0</v>
      </c>
      <c r="S18" s="18" t="n">
        <v>0.8</v>
      </c>
    </row>
    <row r="19" ht="14.4" customHeight="1">
      <c r="A19" s="17" t="inlineStr">
        <is>
          <t>33492959Z</t>
        </is>
      </c>
      <c r="B19" s="17" t="inlineStr">
        <is>
          <t>Bleda Pérez, Sergio</t>
        </is>
      </c>
      <c r="C19" s="17" t="inlineStr">
        <is>
          <t>FUNCIONARIO</t>
        </is>
      </c>
      <c r="D19" s="17" t="n"/>
      <c r="E19" s="17" t="n">
        <v>2</v>
      </c>
      <c r="F19" s="17" t="n"/>
      <c r="G19" s="17" t="n"/>
      <c r="H19" s="17" t="n"/>
      <c r="I19" s="17" t="n"/>
      <c r="J19" s="17" t="n">
        <v>2</v>
      </c>
      <c r="K19" s="17" t="inlineStr">
        <is>
          <t>B149</t>
        </is>
      </c>
      <c r="L19" s="18" t="inlineStr">
        <is>
          <t>10.20</t>
        </is>
      </c>
      <c r="M19" s="18" t="inlineStr">
        <is>
          <t>20</t>
        </is>
      </c>
      <c r="N19" s="18" t="inlineStr"/>
      <c r="O19" s="18" t="inlineStr"/>
      <c r="P19" s="18" t="n">
        <v>80</v>
      </c>
      <c r="Q19" s="18" t="n">
        <v>0.4</v>
      </c>
      <c r="R19" s="18" t="n">
        <v>0</v>
      </c>
      <c r="S19" s="18" t="n">
        <v>1.6</v>
      </c>
    </row>
    <row r="20" ht="14.4" customHeight="1">
      <c r="A20" s="17" t="inlineStr">
        <is>
          <t>33493609C</t>
        </is>
      </c>
      <c r="B20" s="17" t="inlineStr">
        <is>
          <t>Calzado Estepa, Eva Mª</t>
        </is>
      </c>
      <c r="C20" s="17" t="inlineStr">
        <is>
          <t>FUNCIONARIO</t>
        </is>
      </c>
      <c r="D20" s="17" t="n"/>
      <c r="E20" s="17" t="n"/>
      <c r="F20" s="17" t="n">
        <v>1</v>
      </c>
      <c r="G20" s="17" t="n"/>
      <c r="H20" s="17" t="n"/>
      <c r="I20" s="17" t="n"/>
      <c r="J20" s="17" t="n">
        <v>1</v>
      </c>
      <c r="K20" s="17" t="inlineStr">
        <is>
          <t>B149</t>
        </is>
      </c>
      <c r="L20" s="18" t="inlineStr">
        <is>
          <t>10.20</t>
        </is>
      </c>
      <c r="M20" s="18" t="inlineStr">
        <is>
          <t>20</t>
        </is>
      </c>
      <c r="N20" s="18" t="inlineStr"/>
      <c r="O20" s="18" t="inlineStr"/>
      <c r="P20" s="18" t="n">
        <v>80</v>
      </c>
      <c r="Q20" s="18" t="n">
        <v>0.2</v>
      </c>
      <c r="R20" s="18" t="n">
        <v>0</v>
      </c>
      <c r="S20" s="18" t="n">
        <v>0.8</v>
      </c>
    </row>
    <row r="21" ht="14.4" customHeight="1">
      <c r="A21" s="17" t="inlineStr">
        <is>
          <t>33495154R</t>
        </is>
      </c>
      <c r="B21" s="17" t="inlineStr">
        <is>
          <t>Pascual Villalobos, Carolina</t>
        </is>
      </c>
      <c r="C21" s="17" t="inlineStr">
        <is>
          <t>Vivos</t>
        </is>
      </c>
      <c r="D21" s="17" t="n"/>
      <c r="E21" s="17" t="n"/>
      <c r="F21" s="17" t="n"/>
      <c r="G21" s="17" t="n"/>
      <c r="H21" s="17" t="n"/>
      <c r="I21" s="17" t="n">
        <v>1</v>
      </c>
      <c r="J21" s="17" t="n">
        <v>1</v>
      </c>
      <c r="K21" s="17" t="inlineStr">
        <is>
          <t>B149</t>
        </is>
      </c>
      <c r="L21" s="18" t="inlineStr">
        <is>
          <t>10.20</t>
        </is>
      </c>
      <c r="M21" s="18" t="inlineStr">
        <is>
          <t>20</t>
        </is>
      </c>
      <c r="N21" s="18" t="inlineStr"/>
      <c r="O21" s="18" t="inlineStr"/>
      <c r="P21" s="18" t="n">
        <v>80</v>
      </c>
      <c r="Q21" s="18" t="n">
        <v>0.2</v>
      </c>
      <c r="R21" s="18" t="n">
        <v>0</v>
      </c>
      <c r="S21" s="18" t="n">
        <v>0.8</v>
      </c>
    </row>
    <row r="22" ht="14.4" customHeight="1">
      <c r="A22" s="17" t="inlineStr">
        <is>
          <t>33499533X</t>
        </is>
      </c>
      <c r="B22" s="17" t="inlineStr">
        <is>
          <t>Javaloyes Antón, Juan</t>
        </is>
      </c>
      <c r="C22" s="17" t="inlineStr">
        <is>
          <t>NO FUNCIONARIO</t>
        </is>
      </c>
      <c r="D22" s="17" t="n"/>
      <c r="E22" s="17" t="n"/>
      <c r="F22" s="17" t="n"/>
      <c r="G22" s="17" t="n"/>
      <c r="H22" s="17" t="n"/>
      <c r="I22" s="17" t="n">
        <v>1</v>
      </c>
      <c r="J22" s="17" t="n">
        <v>1</v>
      </c>
      <c r="K22" s="17" t="inlineStr">
        <is>
          <t>B149</t>
        </is>
      </c>
      <c r="L22" s="18" t="inlineStr">
        <is>
          <t>10.09</t>
        </is>
      </c>
      <c r="M22" s="18" t="inlineStr">
        <is>
          <t>40</t>
        </is>
      </c>
      <c r="N22" s="18" t="inlineStr"/>
      <c r="O22" s="18" t="inlineStr"/>
      <c r="P22" s="18" t="n">
        <v>60</v>
      </c>
      <c r="Q22" s="18" t="n">
        <v>0.4</v>
      </c>
      <c r="R22" s="18" t="n">
        <v>0</v>
      </c>
      <c r="S22" s="18" t="n">
        <v>0.6</v>
      </c>
    </row>
    <row r="23" ht="14.4" customHeight="1">
      <c r="A23" s="17" t="inlineStr">
        <is>
          <t>44771694D</t>
        </is>
      </c>
      <c r="B23" s="17" t="inlineStr">
        <is>
          <t>Carbajo San Martín, Jesús</t>
        </is>
      </c>
      <c r="C23" s="17" t="inlineStr">
        <is>
          <t>FUNCIONARIO</t>
        </is>
      </c>
      <c r="D23" s="17" t="n"/>
      <c r="E23" s="17" t="n"/>
      <c r="F23" s="17" t="n"/>
      <c r="G23" s="17" t="n"/>
      <c r="H23" s="17" t="n">
        <v>1</v>
      </c>
      <c r="I23" s="17" t="n"/>
      <c r="J23" s="17" t="n">
        <v>1</v>
      </c>
      <c r="K23" s="17" t="inlineStr">
        <is>
          <t>B149</t>
        </is>
      </c>
      <c r="L23" s="18" t="inlineStr">
        <is>
          <t>10.20</t>
        </is>
      </c>
      <c r="M23" s="18" t="inlineStr">
        <is>
          <t>50</t>
        </is>
      </c>
      <c r="N23" s="18" t="inlineStr"/>
      <c r="O23" s="18" t="inlineStr"/>
      <c r="P23" s="18" t="n">
        <v>50</v>
      </c>
      <c r="Q23" s="18" t="n">
        <v>0.5</v>
      </c>
      <c r="R23" s="18" t="n">
        <v>0</v>
      </c>
      <c r="S23" s="18" t="n">
        <v>0.5</v>
      </c>
    </row>
    <row r="24" ht="14.4" customHeight="1">
      <c r="A24" s="17" t="inlineStr">
        <is>
          <t>48316782S</t>
        </is>
      </c>
      <c r="B24" s="17" t="inlineStr">
        <is>
          <t>Heredia Avalos, Santiago</t>
        </is>
      </c>
      <c r="C24" s="17" t="inlineStr">
        <is>
          <t>FUNCIONARIO</t>
        </is>
      </c>
      <c r="D24" s="17" t="n"/>
      <c r="E24" s="17" t="n"/>
      <c r="F24" s="17" t="n">
        <v>1</v>
      </c>
      <c r="G24" s="17" t="n"/>
      <c r="H24" s="17" t="n"/>
      <c r="I24" s="17" t="n"/>
      <c r="J24" s="17" t="n">
        <v>1</v>
      </c>
      <c r="K24" s="17" t="inlineStr">
        <is>
          <t>B149</t>
        </is>
      </c>
      <c r="L24" s="18" t="inlineStr">
        <is>
          <t>10.20</t>
        </is>
      </c>
      <c r="M24" s="18" t="inlineStr">
        <is>
          <t>20</t>
        </is>
      </c>
      <c r="N24" s="18" t="inlineStr"/>
      <c r="O24" s="18" t="inlineStr"/>
      <c r="P24" s="18" t="n">
        <v>80</v>
      </c>
      <c r="Q24" s="18" t="n">
        <v>0.2</v>
      </c>
      <c r="R24" s="18" t="n">
        <v>0</v>
      </c>
      <c r="S24" s="18" t="n">
        <v>0.8</v>
      </c>
    </row>
    <row r="25" ht="14.4" customHeight="1">
      <c r="A25" s="17" t="inlineStr">
        <is>
          <t>48328421Q</t>
        </is>
      </c>
      <c r="B25" s="17" t="inlineStr">
        <is>
          <t>Francés Monllor, Jorge</t>
        </is>
      </c>
      <c r="C25" s="17" t="inlineStr">
        <is>
          <t>FUNCIONARIO</t>
        </is>
      </c>
      <c r="D25" s="17" t="n"/>
      <c r="E25" s="17" t="n"/>
      <c r="F25" s="17" t="n"/>
      <c r="G25" s="17" t="n"/>
      <c r="H25" s="17" t="n"/>
      <c r="I25" s="17" t="n">
        <v>1</v>
      </c>
      <c r="J25" s="17" t="n">
        <v>1</v>
      </c>
      <c r="K25" s="17" t="inlineStr">
        <is>
          <t>B149</t>
        </is>
      </c>
      <c r="L25" s="18" t="inlineStr">
        <is>
          <t>10.20</t>
        </is>
      </c>
      <c r="M25" s="18" t="inlineStr">
        <is>
          <t>50</t>
        </is>
      </c>
      <c r="N25" s="18" t="inlineStr"/>
      <c r="O25" s="18" t="inlineStr"/>
      <c r="P25" s="18" t="n">
        <v>50</v>
      </c>
      <c r="Q25" s="18" t="n">
        <v>0.5</v>
      </c>
      <c r="R25" s="18" t="n">
        <v>0</v>
      </c>
      <c r="S25" s="18" t="n">
        <v>0.5</v>
      </c>
    </row>
    <row r="26" ht="14.4" customHeight="1">
      <c r="A26" s="17" t="inlineStr">
        <is>
          <t>48350620C</t>
        </is>
      </c>
      <c r="B26" s="17" t="inlineStr">
        <is>
          <t>Gallego Rico, Sergi</t>
        </is>
      </c>
      <c r="C26" s="17" t="inlineStr">
        <is>
          <t>FUNCIONARIO</t>
        </is>
      </c>
      <c r="D26" s="17" t="n">
        <v>1</v>
      </c>
      <c r="E26" s="17" t="n"/>
      <c r="F26" s="17" t="n"/>
      <c r="G26" s="17" t="n"/>
      <c r="H26" s="17" t="n"/>
      <c r="I26" s="17" t="n"/>
      <c r="J26" s="17" t="n">
        <v>1</v>
      </c>
      <c r="K26" s="17" t="inlineStr">
        <is>
          <t>B149</t>
        </is>
      </c>
      <c r="L26" s="18" t="n">
        <v>0</v>
      </c>
      <c r="M26" s="18" t="n">
        <v>0</v>
      </c>
      <c r="N26" s="18" t="inlineStr"/>
      <c r="O26" s="18" t="inlineStr"/>
      <c r="P26" s="18" t="n">
        <v>100</v>
      </c>
      <c r="Q26" s="18" t="n">
        <v>0</v>
      </c>
      <c r="R26" s="18" t="n">
        <v>0</v>
      </c>
      <c r="S26" s="18" t="n">
        <v>1</v>
      </c>
    </row>
    <row r="27" ht="14.4" customHeight="1">
      <c r="A27" s="17" t="inlineStr">
        <is>
          <t>48354591N</t>
        </is>
      </c>
      <c r="B27" s="17" t="inlineStr">
        <is>
          <t>Poveda Martínez, Pedro</t>
        </is>
      </c>
      <c r="C27" s="17" t="inlineStr">
        <is>
          <t>FUNCIONARIO</t>
        </is>
      </c>
      <c r="D27" s="17" t="n"/>
      <c r="E27" s="17" t="n"/>
      <c r="F27" s="17" t="n"/>
      <c r="G27" s="17" t="n"/>
      <c r="H27" s="17" t="n">
        <v>1</v>
      </c>
      <c r="I27" s="17" t="n"/>
      <c r="J27" s="17" t="n">
        <v>1</v>
      </c>
      <c r="K27" s="17" t="inlineStr">
        <is>
          <t>B149</t>
        </is>
      </c>
      <c r="L27" s="18" t="inlineStr">
        <is>
          <t>10.20</t>
        </is>
      </c>
      <c r="M27" s="18" t="inlineStr">
        <is>
          <t>50</t>
        </is>
      </c>
      <c r="N27" s="18" t="inlineStr"/>
      <c r="O27" s="18" t="inlineStr"/>
      <c r="P27" s="18" t="n">
        <v>50</v>
      </c>
      <c r="Q27" s="18" t="n">
        <v>0.5</v>
      </c>
      <c r="R27" s="18" t="n">
        <v>0</v>
      </c>
      <c r="S27" s="18" t="n">
        <v>0.5</v>
      </c>
    </row>
    <row r="28" ht="14.4" customHeight="1">
      <c r="A28" s="17" t="inlineStr">
        <is>
          <t>48539812Z</t>
        </is>
      </c>
      <c r="B28" s="17" t="inlineStr">
        <is>
          <t>Pérez Molina, Manuel</t>
        </is>
      </c>
      <c r="C28" s="17" t="inlineStr">
        <is>
          <t>Vivos</t>
        </is>
      </c>
      <c r="D28" s="17" t="n"/>
      <c r="E28" s="17" t="n"/>
      <c r="F28" s="17" t="n"/>
      <c r="G28" s="17" t="n"/>
      <c r="H28" s="17" t="n"/>
      <c r="I28" s="17" t="n">
        <v>1</v>
      </c>
      <c r="J28" s="17" t="n">
        <v>1</v>
      </c>
      <c r="K28" s="17" t="inlineStr">
        <is>
          <t>B149</t>
        </is>
      </c>
      <c r="L28" s="18" t="inlineStr">
        <is>
          <t>10.20</t>
        </is>
      </c>
      <c r="M28" s="18" t="inlineStr">
        <is>
          <t>20</t>
        </is>
      </c>
      <c r="N28" s="18" t="inlineStr"/>
      <c r="O28" s="18" t="inlineStr"/>
      <c r="P28" s="18" t="n">
        <v>80</v>
      </c>
      <c r="Q28" s="18" t="n">
        <v>0.2</v>
      </c>
      <c r="R28" s="18" t="n">
        <v>0</v>
      </c>
      <c r="S28" s="18" t="n">
        <v>0.8</v>
      </c>
    </row>
    <row r="29" ht="14.4" customHeight="1">
      <c r="A29" s="17" t="inlineStr">
        <is>
          <t>48674922E</t>
        </is>
      </c>
      <c r="B29" s="17" t="inlineStr">
        <is>
          <t>Álvarez López, Mariela Lazara</t>
        </is>
      </c>
      <c r="C29" s="17" t="inlineStr">
        <is>
          <t>FUNCIONARIO</t>
        </is>
      </c>
      <c r="D29" s="17" t="n">
        <v>1</v>
      </c>
      <c r="E29" s="17" t="n"/>
      <c r="F29" s="17" t="n"/>
      <c r="G29" s="17" t="n"/>
      <c r="H29" s="17" t="n"/>
      <c r="I29" s="17" t="n"/>
      <c r="J29" s="17" t="n">
        <v>1</v>
      </c>
      <c r="K29" s="17" t="inlineStr">
        <is>
          <t>B149</t>
        </is>
      </c>
      <c r="L29" s="18" t="inlineStr">
        <is>
          <t>10.20</t>
        </is>
      </c>
      <c r="M29" s="18" t="inlineStr">
        <is>
          <t>50</t>
        </is>
      </c>
      <c r="N29" s="18" t="inlineStr"/>
      <c r="O29" s="18" t="inlineStr"/>
      <c r="P29" s="18" t="n">
        <v>50</v>
      </c>
      <c r="Q29" s="18" t="n">
        <v>0.5</v>
      </c>
      <c r="R29" s="18" t="n">
        <v>0</v>
      </c>
      <c r="S29" s="18" t="n">
        <v>0.5</v>
      </c>
    </row>
    <row r="30" ht="14.4" customHeight="1">
      <c r="A30" s="17" t="inlineStr">
        <is>
          <t>50591680Y</t>
        </is>
      </c>
      <c r="B30" s="17" t="inlineStr">
        <is>
          <t>Benavidez Lozano, Paula Gabriela</t>
        </is>
      </c>
      <c r="C30" s="17" t="inlineStr">
        <is>
          <t>FUNCIONARIO</t>
        </is>
      </c>
      <c r="D30" s="17" t="n"/>
      <c r="E30" s="17" t="n">
        <v>2</v>
      </c>
      <c r="F30" s="17" t="n">
        <v>1</v>
      </c>
      <c r="G30" s="17" t="n"/>
      <c r="H30" s="17" t="n"/>
      <c r="I30" s="17" t="n"/>
      <c r="J30" s="17" t="n">
        <v>3</v>
      </c>
      <c r="K30" s="17" t="inlineStr">
        <is>
          <t>B149</t>
        </is>
      </c>
      <c r="L30" s="18" t="inlineStr">
        <is>
          <t>10.20</t>
        </is>
      </c>
      <c r="M30" s="18" t="inlineStr">
        <is>
          <t>20</t>
        </is>
      </c>
      <c r="N30" s="18" t="inlineStr"/>
      <c r="O30" s="18" t="inlineStr"/>
      <c r="P30" s="18" t="n">
        <v>80</v>
      </c>
      <c r="Q30" s="18" t="n">
        <v>0.6</v>
      </c>
      <c r="R30" s="18" t="n">
        <v>0</v>
      </c>
      <c r="S30" s="18" t="n">
        <v>2.4</v>
      </c>
    </row>
    <row r="31" ht="14.4" customHeight="1">
      <c r="A31" s="17" t="inlineStr">
        <is>
          <t>51128068B</t>
        </is>
      </c>
      <c r="B31" s="17" t="inlineStr">
        <is>
          <t>Martínez Parro, Laura</t>
        </is>
      </c>
      <c r="C31" s="17" t="inlineStr">
        <is>
          <t>NO FUNCIONARIO</t>
        </is>
      </c>
      <c r="D31" s="17" t="n"/>
      <c r="E31" s="17" t="n"/>
      <c r="F31" s="17" t="n"/>
      <c r="G31" s="17" t="n"/>
      <c r="H31" s="17" t="n">
        <v>1</v>
      </c>
      <c r="I31" s="17" t="n"/>
      <c r="J31" s="17" t="n">
        <v>1</v>
      </c>
      <c r="K31" s="17" t="inlineStr">
        <is>
          <t>B149</t>
        </is>
      </c>
      <c r="L31" s="18" t="n">
        <v>0</v>
      </c>
      <c r="M31" s="18" t="n">
        <v>0</v>
      </c>
      <c r="N31" s="18" t="inlineStr"/>
      <c r="O31" s="18" t="inlineStr"/>
      <c r="P31" s="18" t="n">
        <v>100</v>
      </c>
      <c r="Q31" s="18" t="n">
        <v>0</v>
      </c>
      <c r="R31" s="18" t="n">
        <v>0</v>
      </c>
      <c r="S31" s="18" t="n">
        <v>1</v>
      </c>
    </row>
    <row r="32" ht="14.4" customHeight="1">
      <c r="A32" s="17" t="inlineStr">
        <is>
          <t>52437293F</t>
        </is>
      </c>
      <c r="B32" s="17" t="inlineStr">
        <is>
          <t>Márquez Ruiz, Andrés</t>
        </is>
      </c>
      <c r="C32" s="17" t="inlineStr">
        <is>
          <t>FUNCIONARIO</t>
        </is>
      </c>
      <c r="D32" s="17" t="n"/>
      <c r="E32" s="17" t="n">
        <v>1</v>
      </c>
      <c r="F32" s="17" t="n"/>
      <c r="G32" s="17" t="n"/>
      <c r="H32" s="17" t="n"/>
      <c r="I32" s="17" t="n"/>
      <c r="J32" s="17" t="n">
        <v>1</v>
      </c>
      <c r="K32" s="17" t="inlineStr">
        <is>
          <t>B149</t>
        </is>
      </c>
      <c r="L32" s="18" t="inlineStr">
        <is>
          <t>10.20</t>
        </is>
      </c>
      <c r="M32" s="18" t="inlineStr">
        <is>
          <t>20</t>
        </is>
      </c>
      <c r="N32" s="18" t="inlineStr"/>
      <c r="O32" s="18" t="inlineStr"/>
      <c r="P32" s="18" t="n">
        <v>80</v>
      </c>
      <c r="Q32" s="18" t="n">
        <v>0.2</v>
      </c>
      <c r="R32" s="18" t="n">
        <v>0</v>
      </c>
      <c r="S32" s="18" t="n">
        <v>0.8</v>
      </c>
    </row>
    <row r="33" ht="14.4" customHeight="1">
      <c r="A33" s="17" t="inlineStr">
        <is>
          <t>52762592V</t>
        </is>
      </c>
      <c r="B33" s="17" t="inlineStr">
        <is>
          <t>Martínez Mozos, Óscar</t>
        </is>
      </c>
      <c r="C33" s="17" t="inlineStr">
        <is>
          <t>FUNCIONARIO</t>
        </is>
      </c>
      <c r="D33" s="17" t="n"/>
      <c r="E33" s="17" t="n"/>
      <c r="F33" s="17" t="n"/>
      <c r="G33" s="17" t="n"/>
      <c r="H33" s="17" t="n"/>
      <c r="I33" s="17" t="n">
        <v>2</v>
      </c>
      <c r="J33" s="17" t="n">
        <v>2</v>
      </c>
      <c r="K33" s="17" t="inlineStr">
        <is>
          <t>B149</t>
        </is>
      </c>
      <c r="L33" s="18" t="n">
        <v>0</v>
      </c>
      <c r="M33" s="18" t="n">
        <v>0</v>
      </c>
      <c r="N33" s="18" t="inlineStr"/>
      <c r="O33" s="18" t="inlineStr"/>
      <c r="P33" s="18" t="n">
        <v>100</v>
      </c>
      <c r="Q33" s="18" t="n">
        <v>0</v>
      </c>
      <c r="R33" s="18" t="n">
        <v>0</v>
      </c>
      <c r="S33" s="18" t="n">
        <v>2</v>
      </c>
    </row>
    <row r="34" ht="14.4" customHeight="1">
      <c r="A34" s="17" t="inlineStr">
        <is>
          <t>52764629F</t>
        </is>
      </c>
      <c r="B34" s="17" t="inlineStr">
        <is>
          <t>Pomares Baeza, Jorge</t>
        </is>
      </c>
      <c r="C34" s="17" t="inlineStr">
        <is>
          <t>FUNCIONARIO</t>
        </is>
      </c>
      <c r="D34" s="17" t="n">
        <v>1</v>
      </c>
      <c r="E34" s="17" t="n"/>
      <c r="F34" s="17" t="n"/>
      <c r="G34" s="17" t="n"/>
      <c r="H34" s="17" t="n"/>
      <c r="I34" s="17" t="n"/>
      <c r="J34" s="17" t="n">
        <v>1</v>
      </c>
      <c r="K34" s="17" t="inlineStr">
        <is>
          <t>B149</t>
        </is>
      </c>
      <c r="L34" s="18" t="inlineStr">
        <is>
          <t>10.20</t>
        </is>
      </c>
      <c r="M34" s="18" t="inlineStr">
        <is>
          <t>50</t>
        </is>
      </c>
      <c r="N34" s="18" t="inlineStr"/>
      <c r="O34" s="18" t="inlineStr"/>
      <c r="P34" s="18" t="n">
        <v>50</v>
      </c>
      <c r="Q34" s="18" t="n">
        <v>0.5</v>
      </c>
      <c r="R34" s="18" t="n">
        <v>0</v>
      </c>
      <c r="S34" s="18" t="n">
        <v>0.5</v>
      </c>
    </row>
    <row r="35" ht="14.4" customHeight="1">
      <c r="A35" s="17" t="inlineStr">
        <is>
          <t>52765823M</t>
        </is>
      </c>
      <c r="B35" s="17" t="inlineStr">
        <is>
          <t>García Gómez, Gabriel Jesús</t>
        </is>
      </c>
      <c r="C35" s="17" t="inlineStr">
        <is>
          <t>FUNCIONARIO</t>
        </is>
      </c>
      <c r="D35" s="17" t="n"/>
      <c r="E35" s="17" t="n"/>
      <c r="F35" s="17" t="n"/>
      <c r="G35" s="17" t="n"/>
      <c r="H35" s="17" t="n">
        <v>1</v>
      </c>
      <c r="I35" s="17" t="n"/>
      <c r="J35" s="17" t="n">
        <v>1</v>
      </c>
      <c r="K35" s="17" t="inlineStr">
        <is>
          <t>B149</t>
        </is>
      </c>
      <c r="L35" s="18" t="inlineStr">
        <is>
          <t>10.20</t>
        </is>
      </c>
      <c r="M35" s="18" t="inlineStr">
        <is>
          <t>20</t>
        </is>
      </c>
      <c r="N35" s="18" t="inlineStr"/>
      <c r="O35" s="18" t="inlineStr"/>
      <c r="P35" s="18" t="n">
        <v>80</v>
      </c>
      <c r="Q35" s="18" t="n">
        <v>0.2</v>
      </c>
      <c r="R35" s="18" t="n">
        <v>0</v>
      </c>
      <c r="S35" s="18" t="n">
        <v>0.8</v>
      </c>
    </row>
    <row r="36" ht="14.4" customHeight="1">
      <c r="A36" s="17" t="inlineStr">
        <is>
          <t>52773069Y</t>
        </is>
      </c>
      <c r="B36" s="17" t="inlineStr">
        <is>
          <t>Candelas Herias, Francisco Andrés</t>
        </is>
      </c>
      <c r="C36" s="17" t="inlineStr">
        <is>
          <t>FUNCIONARIO</t>
        </is>
      </c>
      <c r="D36" s="17" t="n"/>
      <c r="E36" s="17" t="n"/>
      <c r="F36" s="17" t="n">
        <v>1</v>
      </c>
      <c r="G36" s="17" t="n"/>
      <c r="H36" s="17" t="n"/>
      <c r="I36" s="17" t="n"/>
      <c r="J36" s="17" t="n">
        <v>1</v>
      </c>
      <c r="K36" s="17" t="inlineStr">
        <is>
          <t>B149</t>
        </is>
      </c>
      <c r="L36" s="18" t="inlineStr">
        <is>
          <t>10.19</t>
        </is>
      </c>
      <c r="M36" s="18" t="inlineStr">
        <is>
          <t>20</t>
        </is>
      </c>
      <c r="N36" s="18" t="inlineStr"/>
      <c r="O36" s="18" t="inlineStr"/>
      <c r="P36" s="18" t="n">
        <v>80</v>
      </c>
      <c r="Q36" s="18" t="n">
        <v>0.2</v>
      </c>
      <c r="R36" s="18" t="n">
        <v>0</v>
      </c>
      <c r="S36" s="18" t="n">
        <v>0.8</v>
      </c>
    </row>
    <row r="37" ht="14.4" customHeight="1">
      <c r="A37" s="17" t="inlineStr">
        <is>
          <t>52774982X</t>
        </is>
      </c>
      <c r="B37" s="17" t="inlineStr">
        <is>
          <t>Gil Vázquez, Pablo</t>
        </is>
      </c>
      <c r="C37" s="17" t="inlineStr">
        <is>
          <t>FUNCIONARIO</t>
        </is>
      </c>
      <c r="D37" s="17" t="n"/>
      <c r="E37" s="17" t="n"/>
      <c r="F37" s="17" t="n"/>
      <c r="G37" s="17" t="n"/>
      <c r="H37" s="17" t="n"/>
      <c r="I37" s="17" t="n">
        <v>1</v>
      </c>
      <c r="J37" s="17" t="n">
        <v>1</v>
      </c>
      <c r="K37" s="17" t="inlineStr">
        <is>
          <t>B149</t>
        </is>
      </c>
      <c r="L37" s="18" t="inlineStr">
        <is>
          <t>10.19</t>
        </is>
      </c>
      <c r="M37" s="18" t="inlineStr">
        <is>
          <t>50</t>
        </is>
      </c>
      <c r="N37" s="18" t="inlineStr"/>
      <c r="O37" s="18" t="inlineStr"/>
      <c r="P37" s="18" t="n">
        <v>50</v>
      </c>
      <c r="Q37" s="18" t="n">
        <v>0.5</v>
      </c>
      <c r="R37" s="18" t="n">
        <v>0</v>
      </c>
      <c r="S37" s="18" t="n">
        <v>0.5</v>
      </c>
    </row>
    <row r="38" ht="14.4" customHeight="1">
      <c r="A38" s="17" t="inlineStr">
        <is>
          <t>52778442C</t>
        </is>
      </c>
      <c r="B38" s="17" t="inlineStr">
        <is>
          <t>Puente Méndez, Santiago</t>
        </is>
      </c>
      <c r="C38" s="19" t="inlineStr">
        <is>
          <t>Vivos</t>
        </is>
      </c>
      <c r="D38" s="17" t="n"/>
      <c r="E38" s="17" t="n"/>
      <c r="F38" s="17" t="n"/>
      <c r="G38" s="17" t="n"/>
      <c r="H38" s="17" t="n"/>
      <c r="I38" s="17" t="n">
        <v>1</v>
      </c>
      <c r="J38" s="17" t="n">
        <v>1</v>
      </c>
      <c r="K38" s="17" t="inlineStr">
        <is>
          <t>B149</t>
        </is>
      </c>
      <c r="L38" s="18" t="inlineStr">
        <is>
          <t>10.19</t>
        </is>
      </c>
      <c r="M38" s="18" t="inlineStr">
        <is>
          <t>20</t>
        </is>
      </c>
      <c r="N38" s="18" t="inlineStr"/>
      <c r="O38" s="18" t="inlineStr"/>
      <c r="P38" s="18" t="n">
        <v>80</v>
      </c>
      <c r="Q38" s="18" t="n">
        <v>0.2</v>
      </c>
      <c r="R38" s="18" t="n">
        <v>0</v>
      </c>
      <c r="S38" s="18" t="n">
        <v>0.8</v>
      </c>
    </row>
    <row r="39" ht="14.4" customHeight="1">
      <c r="A39" s="17" t="inlineStr">
        <is>
          <t>53146258C</t>
        </is>
      </c>
      <c r="B39" s="17" t="inlineStr">
        <is>
          <t>Gutiérrez Ramírez, Manuel</t>
        </is>
      </c>
      <c r="C39" s="19" t="inlineStr">
        <is>
          <t>FUNCIONARIO</t>
        </is>
      </c>
      <c r="D39" s="17" t="n"/>
      <c r="E39" s="17" t="n"/>
      <c r="F39" s="17" t="n"/>
      <c r="G39" s="17" t="n">
        <v>2</v>
      </c>
      <c r="H39" s="17" t="n"/>
      <c r="I39" s="17" t="n"/>
      <c r="J39" s="17" t="n">
        <v>2</v>
      </c>
      <c r="K39" s="17" t="inlineStr">
        <is>
          <t>B149</t>
        </is>
      </c>
      <c r="L39" s="18" t="inlineStr">
        <is>
          <t>10.20</t>
        </is>
      </c>
      <c r="M39" s="18" t="inlineStr">
        <is>
          <t>50</t>
        </is>
      </c>
      <c r="N39" s="18" t="inlineStr"/>
      <c r="O39" s="18" t="inlineStr"/>
      <c r="P39" s="18" t="n">
        <v>50</v>
      </c>
      <c r="Q39" s="18" t="n">
        <v>1</v>
      </c>
      <c r="R39" s="18" t="n">
        <v>0</v>
      </c>
      <c r="S39" s="18" t="n">
        <v>1</v>
      </c>
    </row>
    <row r="40" ht="14.4" customHeight="1">
      <c r="A40" s="17" t="inlineStr">
        <is>
          <t>72520384G</t>
        </is>
      </c>
      <c r="B40" s="17" t="inlineStr">
        <is>
          <t>Marco Tobarra, Amparo</t>
        </is>
      </c>
      <c r="C40" s="19" t="inlineStr">
        <is>
          <t>FUNCIONARIO</t>
        </is>
      </c>
      <c r="D40" s="17" t="n"/>
      <c r="E40" s="17" t="n">
        <v>1</v>
      </c>
      <c r="F40" s="17" t="n"/>
      <c r="G40" s="17" t="n"/>
      <c r="H40" s="17" t="n"/>
      <c r="I40" s="17" t="n"/>
      <c r="J40" s="17" t="n">
        <v>1</v>
      </c>
      <c r="K40" s="17" t="inlineStr">
        <is>
          <t>B149</t>
        </is>
      </c>
      <c r="L40" s="18" t="inlineStr">
        <is>
          <t>10.19</t>
        </is>
      </c>
      <c r="M40" s="18" t="inlineStr">
        <is>
          <t>50</t>
        </is>
      </c>
      <c r="N40" s="18" t="inlineStr"/>
      <c r="O40" s="18" t="inlineStr"/>
      <c r="P40" s="18" t="n">
        <v>50</v>
      </c>
      <c r="Q40" s="18" t="n">
        <v>0.5</v>
      </c>
      <c r="R40" s="18" t="n">
        <v>0</v>
      </c>
      <c r="S40" s="18" t="n">
        <v>0.5</v>
      </c>
    </row>
    <row r="41" ht="14.4" customHeight="1">
      <c r="A41" s="17" t="inlineStr">
        <is>
          <t>73989362H</t>
        </is>
      </c>
      <c r="B41" s="17" t="inlineStr">
        <is>
          <t>Ramis Soriano, Jaime</t>
        </is>
      </c>
      <c r="C41" s="19" t="inlineStr">
        <is>
          <t>FUNCIONARIO</t>
        </is>
      </c>
      <c r="D41" s="17" t="n"/>
      <c r="E41" s="17" t="n"/>
      <c r="F41" s="17" t="n">
        <v>1</v>
      </c>
      <c r="G41" s="17" t="n"/>
      <c r="H41" s="17" t="n"/>
      <c r="I41" s="17" t="n"/>
      <c r="J41" s="17" t="n">
        <v>1</v>
      </c>
      <c r="K41" s="17" t="inlineStr">
        <is>
          <t>B149</t>
        </is>
      </c>
      <c r="L41" s="18" t="inlineStr">
        <is>
          <t>10.20</t>
        </is>
      </c>
      <c r="M41" s="18" t="inlineStr">
        <is>
          <t>50</t>
        </is>
      </c>
      <c r="N41" s="18" t="inlineStr"/>
      <c r="O41" s="18" t="inlineStr"/>
      <c r="P41" s="18" t="n">
        <v>50</v>
      </c>
      <c r="Q41" s="18" t="n">
        <v>0.5</v>
      </c>
      <c r="R41" s="18" t="n">
        <v>0</v>
      </c>
      <c r="S41" s="18" t="n">
        <v>0.5</v>
      </c>
    </row>
    <row r="42" ht="14.4" customHeight="1">
      <c r="A42" s="17" t="inlineStr">
        <is>
          <t>73995619L</t>
        </is>
      </c>
      <c r="B42" s="17" t="inlineStr">
        <is>
          <t>Puerto García, Daniel</t>
        </is>
      </c>
      <c r="C42" s="19" t="inlineStr">
        <is>
          <t>FUNCIONARIO</t>
        </is>
      </c>
      <c r="D42" s="17" t="n"/>
      <c r="E42" s="17" t="n"/>
      <c r="F42" s="17" t="n"/>
      <c r="G42" s="17" t="n">
        <v>2</v>
      </c>
      <c r="H42" s="17" t="n"/>
      <c r="I42" s="17" t="n">
        <v>1</v>
      </c>
      <c r="J42" s="17" t="n">
        <v>3</v>
      </c>
      <c r="K42" s="17" t="inlineStr">
        <is>
          <t>B149</t>
        </is>
      </c>
      <c r="L42" s="18" t="inlineStr">
        <is>
          <t>10.20</t>
        </is>
      </c>
      <c r="M42" s="18" t="inlineStr">
        <is>
          <t>20</t>
        </is>
      </c>
      <c r="N42" s="18" t="inlineStr"/>
      <c r="O42" s="18" t="inlineStr"/>
      <c r="P42" s="18" t="n">
        <v>80</v>
      </c>
      <c r="Q42" s="18" t="n">
        <v>0.6</v>
      </c>
      <c r="R42" s="18" t="n">
        <v>0</v>
      </c>
      <c r="S42" s="18" t="n">
        <v>2.4</v>
      </c>
    </row>
    <row r="43" ht="14.4" customHeight="1">
      <c r="A43" s="17" t="inlineStr">
        <is>
          <t>73996233N</t>
        </is>
      </c>
      <c r="B43" s="17" t="inlineStr">
        <is>
          <t>Jara Bravo, Carlos Alberto</t>
        </is>
      </c>
      <c r="C43" s="19" t="inlineStr">
        <is>
          <t>FUNCIONARIO</t>
        </is>
      </c>
      <c r="D43" s="17" t="n"/>
      <c r="E43" s="17" t="n"/>
      <c r="F43" s="17" t="n"/>
      <c r="G43" s="17" t="n"/>
      <c r="H43" s="17" t="n"/>
      <c r="I43" s="17" t="n">
        <v>1</v>
      </c>
      <c r="J43" s="17" t="n">
        <v>1</v>
      </c>
      <c r="K43" s="17" t="inlineStr">
        <is>
          <t>B149</t>
        </is>
      </c>
      <c r="L43" s="18" t="inlineStr">
        <is>
          <t>10.20</t>
        </is>
      </c>
      <c r="M43" s="18" t="inlineStr">
        <is>
          <t>20</t>
        </is>
      </c>
      <c r="N43" s="18" t="inlineStr"/>
      <c r="O43" s="18" t="inlineStr"/>
      <c r="P43" s="18" t="n">
        <v>80</v>
      </c>
      <c r="Q43" s="18" t="n">
        <v>0.2</v>
      </c>
      <c r="R43" s="18" t="n">
        <v>0</v>
      </c>
      <c r="S43" s="18" t="n">
        <v>0.8</v>
      </c>
    </row>
    <row r="44" ht="14.4" customHeight="1">
      <c r="A44" s="36" t="inlineStr">
        <is>
          <t>74002223E</t>
        </is>
      </c>
      <c r="B44" s="36" t="inlineStr">
        <is>
          <t>Sánchez Soriano, Miguel Ángel</t>
        </is>
      </c>
      <c r="C44" s="37" t="inlineStr">
        <is>
          <t>FUNCIONARIO</t>
        </is>
      </c>
      <c r="D44" s="36" t="n">
        <v>2</v>
      </c>
      <c r="E44" s="36" t="n"/>
      <c r="F44" s="36" t="n"/>
      <c r="G44" s="36" t="n"/>
      <c r="H44" s="36" t="n"/>
      <c r="I44" s="36" t="n"/>
      <c r="J44" s="36" t="n">
        <v>2</v>
      </c>
      <c r="K44" s="17" t="inlineStr">
        <is>
          <t>B149</t>
        </is>
      </c>
      <c r="L44" s="41" t="inlineStr">
        <is>
          <t>10.20</t>
        </is>
      </c>
      <c r="M44" s="41" t="inlineStr">
        <is>
          <t>20</t>
        </is>
      </c>
      <c r="N44" s="41" t="inlineStr"/>
      <c r="O44" s="41" t="inlineStr"/>
      <c r="P44" s="41" t="n">
        <v>80</v>
      </c>
      <c r="Q44" s="41" t="n">
        <v>0.4</v>
      </c>
      <c r="R44" s="41" t="n">
        <v>0</v>
      </c>
      <c r="S44" s="41" t="n">
        <v>1.6</v>
      </c>
    </row>
    <row r="45" ht="14.4" customHeight="1">
      <c r="A45" s="36" t="inlineStr">
        <is>
          <t>74359318L</t>
        </is>
      </c>
      <c r="B45" s="36" t="inlineStr">
        <is>
          <t>Morell Giménez, Vicente</t>
        </is>
      </c>
      <c r="C45" s="37" t="inlineStr">
        <is>
          <t>FUNCIONARIO</t>
        </is>
      </c>
      <c r="D45" s="36" t="n"/>
      <c r="E45" s="36" t="n"/>
      <c r="F45" s="36" t="n"/>
      <c r="G45" s="36" t="n"/>
      <c r="H45" s="36" t="n">
        <v>1</v>
      </c>
      <c r="I45" s="36" t="n"/>
      <c r="J45" s="36" t="n">
        <v>1</v>
      </c>
      <c r="K45" s="17" t="inlineStr">
        <is>
          <t>B149</t>
        </is>
      </c>
      <c r="L45" s="41" t="inlineStr">
        <is>
          <t>10.20</t>
        </is>
      </c>
      <c r="M45" s="41" t="inlineStr">
        <is>
          <t>20</t>
        </is>
      </c>
      <c r="N45" s="41" t="inlineStr"/>
      <c r="O45" s="41" t="inlineStr"/>
      <c r="P45" s="41" t="n">
        <v>80</v>
      </c>
      <c r="Q45" s="41" t="n">
        <v>0.2</v>
      </c>
      <c r="R45" s="41" t="n">
        <v>0</v>
      </c>
      <c r="S45" s="41" t="n">
        <v>0.8</v>
      </c>
    </row>
    <row r="46" ht="14.4" customHeight="1">
      <c r="A46" s="17" t="inlineStr">
        <is>
          <t>74362842R</t>
        </is>
      </c>
      <c r="B46" s="17" t="inlineStr">
        <is>
          <t>Úbeda Castellanos, Andrés</t>
        </is>
      </c>
      <c r="C46" s="19" t="inlineStr">
        <is>
          <t>FUNCIONARIO</t>
        </is>
      </c>
      <c r="D46" s="17" t="n"/>
      <c r="E46" s="17" t="n">
        <v>1</v>
      </c>
      <c r="F46" s="17" t="n"/>
      <c r="G46" s="17" t="n"/>
      <c r="H46" s="17" t="n">
        <v>1</v>
      </c>
      <c r="I46" s="17" t="n"/>
      <c r="J46" s="17" t="n">
        <v>2</v>
      </c>
      <c r="K46" s="17" t="inlineStr">
        <is>
          <t>B149</t>
        </is>
      </c>
      <c r="L46" s="41" t="inlineStr">
        <is>
          <t>10.20</t>
        </is>
      </c>
      <c r="M46" s="41" t="inlineStr">
        <is>
          <t>20</t>
        </is>
      </c>
      <c r="N46" s="41" t="inlineStr"/>
      <c r="O46" s="41" t="inlineStr"/>
      <c r="P46" s="41" t="n">
        <v>80</v>
      </c>
      <c r="Q46" s="41" t="n">
        <v>0.4</v>
      </c>
      <c r="R46" s="41" t="n">
        <v>0</v>
      </c>
      <c r="S46" s="41" t="n">
        <v>1.6</v>
      </c>
    </row>
    <row r="47" ht="14.4" customHeight="1">
      <c r="A47" s="17" t="inlineStr">
        <is>
          <t>X0325201G</t>
        </is>
      </c>
      <c r="B47" s="17" t="inlineStr">
        <is>
          <t>Campo Bagatin, Adriano</t>
        </is>
      </c>
      <c r="C47" s="19" t="inlineStr">
        <is>
          <t>FUNCIONARIO</t>
        </is>
      </c>
      <c r="D47" s="17" t="n"/>
      <c r="E47" s="17" t="n"/>
      <c r="F47" s="17" t="n"/>
      <c r="G47" s="17" t="n"/>
      <c r="H47" s="17" t="n">
        <v>1</v>
      </c>
      <c r="I47" s="17" t="n"/>
      <c r="J47" s="17" t="n">
        <v>1</v>
      </c>
      <c r="K47" s="17" t="inlineStr">
        <is>
          <t>B149</t>
        </is>
      </c>
      <c r="L47" s="41" t="inlineStr">
        <is>
          <t>10.20</t>
        </is>
      </c>
      <c r="M47" s="41" t="inlineStr">
        <is>
          <t>50</t>
        </is>
      </c>
      <c r="N47" s="41" t="inlineStr"/>
      <c r="O47" s="41" t="inlineStr"/>
      <c r="P47" s="41" t="n">
        <v>50</v>
      </c>
      <c r="Q47" s="41" t="n">
        <v>0.5</v>
      </c>
      <c r="R47" s="41" t="n">
        <v>0</v>
      </c>
      <c r="S47" s="41" t="n">
        <v>0.5</v>
      </c>
    </row>
    <row r="48" ht="14.4" customHeight="1">
      <c r="A48" s="17" t="inlineStr">
        <is>
          <t>X3722234Y</t>
        </is>
      </c>
      <c r="B48" s="17" t="inlineStr">
        <is>
          <t>Marini, Stephan</t>
        </is>
      </c>
      <c r="C48" s="19" t="inlineStr">
        <is>
          <t>FUNCIONARIO</t>
        </is>
      </c>
      <c r="D48" s="17" t="n"/>
      <c r="E48" s="17" t="n"/>
      <c r="F48" s="17" t="n">
        <v>1</v>
      </c>
      <c r="G48" s="17" t="n"/>
      <c r="H48" s="17" t="n"/>
      <c r="I48" s="17" t="n"/>
      <c r="J48" s="17" t="n">
        <v>1</v>
      </c>
      <c r="K48" s="17" t="inlineStr">
        <is>
          <t>B149</t>
        </is>
      </c>
      <c r="L48" s="41" t="inlineStr">
        <is>
          <t>10.20</t>
        </is>
      </c>
      <c r="M48" s="41" t="inlineStr">
        <is>
          <t>20</t>
        </is>
      </c>
      <c r="N48" s="41" t="inlineStr"/>
      <c r="O48" s="41" t="inlineStr"/>
      <c r="P48" s="41" t="n">
        <v>80</v>
      </c>
      <c r="Q48" s="41" t="n">
        <v>0.2</v>
      </c>
      <c r="R48" s="41" t="n">
        <v>0</v>
      </c>
      <c r="S48" s="41" t="n">
        <v>0.8</v>
      </c>
    </row>
    <row r="49" ht="14.4" customHeight="1">
      <c r="A49" s="42" t="n"/>
      <c r="B49" s="42" t="n"/>
      <c r="C49" s="43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7">
        <f>SUM(S2:S48)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G11" sqref="G11"/>
    </sheetView>
  </sheetViews>
  <sheetFormatPr baseColWidth="10" defaultRowHeight="14.4"/>
  <cols>
    <col width="17" customWidth="1" min="1" max="1"/>
    <col width="84.109375" customWidth="1" min="2" max="2"/>
    <col width="16" customWidth="1" min="3" max="3"/>
  </cols>
  <sheetData>
    <row r="1">
      <c r="A1" s="81" t="inlineStr">
        <is>
          <t>Cód. org. aplic.</t>
        </is>
      </c>
      <c r="B1" s="81" t="inlineStr">
        <is>
          <t>Descripción justificante</t>
        </is>
      </c>
      <c r="C1" s="81" t="inlineStr">
        <is>
          <t>Imp.cob.aplic.</t>
        </is>
      </c>
    </row>
    <row r="2">
      <c r="A2" s="38" t="inlineStr">
        <is>
          <t>34.80.6C.00.29</t>
        </is>
      </c>
      <c r="B2" s="38" t="inlineStr">
        <is>
          <t xml:space="preserve">Investigación en la caracterización de tapas armónicas para una optimización del diseño final de la guitarra. </t>
        </is>
      </c>
      <c r="C2" s="106" t="n">
        <v>3520</v>
      </c>
    </row>
    <row r="3">
      <c r="A3" s="39" t="inlineStr">
        <is>
          <t>34.80.6C.00.33</t>
        </is>
      </c>
      <c r="B3" s="39" t="inlineStr">
        <is>
          <t xml:space="preserve">DESARROLLO DE HERRAMIENTAS PARA LA PREDICCIÓN Y VALIDACIÓN VIBROACÚSTICA EN EL DISEÑO DE ACTUADORES ELECTRO-MECÁNICOS. (Primer pago anualidad 2023) </t>
        </is>
      </c>
      <c r="C3" s="107" t="n">
        <v>6600</v>
      </c>
    </row>
    <row r="4">
      <c r="A4" s="38" t="inlineStr">
        <is>
          <t>34.80.6C.00.34</t>
        </is>
      </c>
      <c r="B4" s="38" t="inlineStr">
        <is>
          <t xml:space="preserve">Pedido: IT230026 - Sistemas de control activo de ruido en cabinas de ascensor y de vibraciones en cabinas de ascenso. Grupo de mecánica. Segundo pago.  </t>
        </is>
      </c>
      <c r="C4" s="106" t="n">
        <v>6160</v>
      </c>
    </row>
    <row r="5">
      <c r="A5" s="39" t="inlineStr">
        <is>
          <t>34.80.6C.00.34</t>
        </is>
      </c>
      <c r="B5" s="39" t="inlineStr">
        <is>
          <t>Diseño del sistema de audio de la caja GOA, Optimización de la solución perforada en el sistema de audio de cabina (CONT.) y Implementación de solución microfónica con tecnología MEMS (CONT.). Grupo de Comunicación. Primer pago.</t>
        </is>
      </c>
      <c r="C5" s="107" t="n">
        <v>3520</v>
      </c>
    </row>
    <row r="6">
      <c r="A6" s="38" t="inlineStr">
        <is>
          <t>34.80.6C.00.34</t>
        </is>
      </c>
      <c r="B6" s="38" t="inlineStr">
        <is>
          <t xml:space="preserve">Pedido: IT230027 Diseño del sistema de audio de la caja GOA, Optimización de la solución perforada en el sistema de audio de cabina (CONT.) y Implementación de solución microfónica con tecnología MENS (CONT.). Grupo de Comunicación. Segundo pago. </t>
        </is>
      </c>
      <c r="C6" s="106" t="n">
        <v>3520</v>
      </c>
    </row>
    <row r="7">
      <c r="A7" s="39" t="inlineStr">
        <is>
          <t>34.80.6C.00.34</t>
        </is>
      </c>
      <c r="B7" s="39" t="inlineStr">
        <is>
          <t>Pedido: IT230026 - Sistemas de control activo de ruido en cabinas de ascensor y de vibraciones en cabinas de ascensor. Grupo de mecánica. Primer pago.</t>
        </is>
      </c>
      <c r="C7" s="107" t="n">
        <v>6160</v>
      </c>
    </row>
    <row r="8">
      <c r="A8" s="39" t="inlineStr">
        <is>
          <t>34.80.6C.00.35</t>
        </is>
      </c>
      <c r="B8" s="39" t="inlineStr">
        <is>
          <t xml:space="preserve">Nº de expediente: 2008/0133/PIDI/03 - SUPERVISIÓN DEL PROYECTO PERTE AGRO PP11_VIRTOFIP - INVESTIGACIÓN DE TECNOLOGÍAS DE VISUALIZACIÓN AVANZADA PARA OPTIMIZACIÓN DE LA EFICIENCIA PRODUCTIVA EN LOS PROCESOS ALIMENTARIOS PERTENECIENTE A LA EMPRESA BODEGAS GRUPO YLLERA S.L.  </t>
        </is>
      </c>
      <c r="C8" s="107" t="n">
        <v>132</v>
      </c>
    </row>
    <row r="9">
      <c r="A9" s="38" t="inlineStr">
        <is>
          <t>34.80.6C.00.36</t>
        </is>
      </c>
      <c r="B9" s="38" t="inlineStr">
        <is>
          <t xml:space="preserve">Nº expediente: 2023/0782/PIDI/01 SUPERVISIÓN PROYECTO PERTE AGRO PP10_PREFRUTIA - INVESTIGACIÓN PARA LA DETERMINACIÓN DE LA CALIDAD Y TRAZABILIDAD DE LA FRUTA EN TAREAS DE PRECLASIFICACIÓN MEDIANTE INTELIGENCIA ARTIFICIAL Y VISIÓN ARTIFICIAL PERTENECIENTE A LA EMPRESA AGERPIX TECHNOLOGIE </t>
        </is>
      </c>
      <c r="C9" s="106" t="n">
        <v>132</v>
      </c>
    </row>
    <row r="10">
      <c r="A10" s="39" t="inlineStr">
        <is>
          <t>34.80.6C.00.37</t>
        </is>
      </c>
      <c r="B10" s="39" t="inlineStr">
        <is>
          <t>2008/0133/PIDI/01 PERTE AGRO HIPERES - Investigación basada en sensores ópticos avanzados e IA para el control de calidad y seguridad alimentaria de productos cárnicos perteneciente a la empresa TSK ELECTRÓNICA SA</t>
        </is>
      </c>
      <c r="C10" s="107" t="n">
        <v>352</v>
      </c>
    </row>
    <row r="11">
      <c r="A11" s="38" t="inlineStr">
        <is>
          <t>34.80.6C.00.38</t>
        </is>
      </c>
      <c r="B11" s="38" t="inlineStr">
        <is>
          <t>DESARROLLO INFORME TÉCNICO PROYECTO ROBOTILOGS</t>
        </is>
      </c>
      <c r="C11" s="106" t="n">
        <v>895.84</v>
      </c>
    </row>
    <row r="12">
      <c r="A12" s="38" t="inlineStr">
        <is>
          <t>34.80.6C.00.39</t>
        </is>
      </c>
      <c r="B12" s="38" t="inlineStr">
        <is>
          <t>2023/2289/PIDI/01 OP23010087- SUPERVISIÓN DEL PROYECTO PERTE VEC P04_DECOVEC - PROCESO INTELIGENTE E INTEGRADO DE INYECCIÓN, TRATAMIENTO MECÁNICO SUPERFICIAL Y RECUBRIMIENTO DECORATIVO, CON INSPECCIÓN MEDIANTE TÉCNICAS DE VISIÓN POR COMPUTADOR Y DE INTELIGENCIA ARTIFICIAL, PARA PIEZAS LIGERAS DE VEC perteneciente a la empresa CROPU S.A.U</t>
        </is>
      </c>
      <c r="C12" s="106" t="n">
        <v>132</v>
      </c>
    </row>
    <row r="13">
      <c r="A13" s="39" t="inlineStr">
        <is>
          <t>34.80.6C.00.40</t>
        </is>
      </c>
      <c r="B13" s="39" t="inlineStr">
        <is>
          <t xml:space="preserve">2023/2291/PIDI/01 OP23009997 - SUPERVISIÓN DEL PROYECTO PERTE VEC P05_GALMAVEC - INVESTIGACIÓN TECNOLÓGICA DEL PROCESO Y SUBPROCESOS PARA UNA GENERACIÓN AVANZADA DE MECANIZADOS Y TRATAMIENTOS SUPERFICIALES DE ALUMINIO PARA PIEZAS LIGERAS DEL SISTEMA DE FRENO EN EL VEHÍCULO ELÉCTRICO CONECTADO perteneciente a la empresa Componentes y Conjuntos, S.A.U. </t>
        </is>
      </c>
      <c r="C13" s="107" t="n">
        <v>132</v>
      </c>
    </row>
    <row r="14">
      <c r="A14" s="38" t="inlineStr">
        <is>
          <t>34.80.6C.00.41</t>
        </is>
      </c>
      <c r="B14" s="38" t="inlineStr">
        <is>
          <t xml:space="preserve">REALIZACIÓN DE ENSAYOS ACÚSTICOS DE RUIDO DE RODADURA EN PAVIMENTOS ASFÁLTICOS EN CARRER DEL TORRENT DE L'OLLA, BARCELONA (2023/00886/001)   </t>
        </is>
      </c>
      <c r="C14" s="106" t="n">
        <v>2482.48</v>
      </c>
    </row>
    <row r="15">
      <c r="A15" s="39" t="inlineStr">
        <is>
          <t>34.80.6C.00.43</t>
        </is>
      </c>
      <c r="B15" s="39" t="inlineStr">
        <is>
          <t xml:space="preserve">INVESTIGACIÓN Y DESARROLLO DE UN MODELO DE PREDICCIÓN DE PROPIEDADES ACÚSTICAS Y MECÁNICAS EN MEZCLAS ASFÁLTICAS. PRIMER PAGO. </t>
        </is>
      </c>
      <c r="C15" s="107" t="n">
        <v>1760</v>
      </c>
    </row>
    <row r="16">
      <c r="A16" s="38" t="inlineStr">
        <is>
          <t>34.80.6C.00.44</t>
        </is>
      </c>
      <c r="B16" s="38" t="inlineStr">
        <is>
          <t>Número de pedido 62490000131. EVALUACIÓN POR PARTE DEL EXP. T. DEL PROYECTO 3651.001.23. INVESTIGACION Y DESARROLLO DE NUEVOS ALTAVOCES DE MEDIA Y BAJA FRECUENCIA CON UNA DISTORSIÓN ÚNICA.</t>
        </is>
      </c>
      <c r="C16" s="106" t="n">
        <v>528</v>
      </c>
    </row>
    <row r="17">
      <c r="A17" s="39" t="inlineStr">
        <is>
          <t>34.80.6D.00.01</t>
        </is>
      </c>
      <c r="B17" s="39" t="inlineStr">
        <is>
          <t>S8892 CONVENI COL·LABORACIÓ AMB LA UNIVERSITAT D'ALACANT PER A LA DIGITALITZACIÓ I CIBERSEGURETAT. EXERCICI 2023</t>
        </is>
      </c>
      <c r="C17" s="107" t="n">
        <v>59921.4</v>
      </c>
    </row>
    <row r="18">
      <c r="A18" s="39" t="inlineStr">
        <is>
          <t>34.80.6M.00.05</t>
        </is>
      </c>
      <c r="B18" s="39" t="inlineStr">
        <is>
          <t xml:space="preserve">Formación y tutorización especializada en procesado de series de imágenes de radar de apertura sintética. Segundo pago.  </t>
        </is>
      </c>
      <c r="C18" s="107" t="n">
        <v>5808</v>
      </c>
    </row>
    <row r="19">
      <c r="A19" s="38" t="inlineStr">
        <is>
          <t>34.80.6P.00.22</t>
        </is>
      </c>
      <c r="B19" s="38" t="inlineStr">
        <is>
          <t>DEVOLUCIÓN DE INGRESO_MODELO 069_P57431-RTI2018-099464-B-I00_ EXPEDIENTE O REFERENCIA: 173-P57431-202212210097795</t>
        </is>
      </c>
      <c r="C19" s="106" t="n">
        <v>-773.77</v>
      </c>
    </row>
    <row r="20">
      <c r="A20" s="39" t="inlineStr">
        <is>
          <t>34.80.6P.00.22</t>
        </is>
      </c>
      <c r="B20" s="39" t="inlineStr">
        <is>
          <t>Reintegro en voluntaria de la referencia RTI2018-099464-B-I00, anualidad: 2021</t>
        </is>
      </c>
      <c r="C20" s="107" t="n">
        <v>-773.77</v>
      </c>
    </row>
    <row r="21">
      <c r="A21" s="38" t="inlineStr">
        <is>
          <t>34.80.6P.00.24</t>
        </is>
      </c>
      <c r="B21" s="38" t="inlineStr">
        <is>
          <t xml:space="preserve">DEVOLUCIÓN DE INGRESOS_MODELO 047_Nº DE LIQUIDACIÓN:46/2023RAS/10426/1_ Nº DE JUSTIFICANTE: 047/1/002415081/_Nº DE REFERENCIA: 047/1/002415081 </t>
        </is>
      </c>
      <c r="C21" s="106" t="n">
        <v>-10348.36</v>
      </c>
    </row>
    <row r="22">
      <c r="A22" s="39" t="inlineStr">
        <is>
          <t>34.80.6P.00.37</t>
        </is>
      </c>
      <c r="B22" s="39" t="inlineStr">
        <is>
          <t>DEVOLUCIÓN DE INGRESOS_MODELO 047_CIACO 2021 EN 2022_Nº de liquidación:46/2023/RAS/10205/1 047/_Número de justificante:047/1/002362793_Nº de referencia:047/1/002362793</t>
        </is>
      </c>
      <c r="C22" s="107" t="n">
        <v>-13413.66</v>
      </c>
    </row>
    <row r="23">
      <c r="A23" s="38" t="inlineStr">
        <is>
          <t>34.80.6P.00.37</t>
        </is>
      </c>
      <c r="B23" s="38" t="inlineStr">
        <is>
          <t xml:space="preserve">CIAICO/2021/019/074/124/158/167/173/221/279/305/328/335/339/345/348 </t>
        </is>
      </c>
      <c r="C23" s="106" t="n">
        <v>29198</v>
      </c>
    </row>
    <row r="24">
      <c r="A24" s="39" t="inlineStr">
        <is>
          <t>34.80.6P.00.41</t>
        </is>
      </c>
      <c r="B24" s="39" t="inlineStr">
        <is>
          <t>ayudas CIGE/2022/4-6-8-10-15-16-21-30-36-45-46-51-52- 54-55-105-170-179</t>
        </is>
      </c>
      <c r="C24" s="107" t="n">
        <v>10000</v>
      </c>
    </row>
    <row r="25">
      <c r="A25" s="38" t="inlineStr">
        <is>
          <t>34.80.6P.00.43</t>
        </is>
      </c>
      <c r="B25" s="38" t="inlineStr">
        <is>
          <t xml:space="preserve">ayudas INNEST/2023/7, INNEST/2023/20, INNEST/2023/15, INNEST/2023/14, INNEST/2023/13, INNEST/2023/11, INNEST/2023/10 </t>
        </is>
      </c>
      <c r="C25" s="106" t="n">
        <v>22524.4</v>
      </c>
    </row>
    <row r="26">
      <c r="A26" s="39" t="inlineStr">
        <is>
          <t>34.80.6P.00.44</t>
        </is>
      </c>
      <c r="B26" s="39" t="inlineStr">
        <is>
          <t xml:space="preserve">AYUDAS CIAEST/2022/2, CIAEST/2022/25, CIAEST/2022/49, CIAEST/2022/78 </t>
        </is>
      </c>
      <c r="C26" s="107" t="n">
        <v>18000</v>
      </c>
    </row>
    <row r="27">
      <c r="A27" s="38" t="inlineStr">
        <is>
          <t>34.80.6P.00.45</t>
        </is>
      </c>
      <c r="B27" s="38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27" s="106" t="n">
        <v>64980</v>
      </c>
    </row>
    <row r="28">
      <c r="A28" s="82" t="inlineStr">
        <is>
          <t>34.80.6P.00.46</t>
        </is>
      </c>
      <c r="B28" s="82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28" s="108" t="n">
        <v>118832.56</v>
      </c>
    </row>
    <row r="29">
      <c r="A29" s="79" t="inlineStr">
        <is>
          <t>Total</t>
        </is>
      </c>
      <c r="B29" s="79" t="n"/>
      <c r="C29" s="109">
        <f>SUBTOTAL(109,Tabla2[Imp.cob.aplic.])</f>
        <v/>
      </c>
    </row>
    <row r="30">
      <c r="C30" s="11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topLeftCell="A13" workbookViewId="0">
      <selection activeCell="B32" sqref="B32:C32"/>
    </sheetView>
  </sheetViews>
  <sheetFormatPr baseColWidth="10" defaultRowHeight="14.4"/>
  <cols>
    <col width="17.6640625" customWidth="1" min="1" max="1"/>
    <col width="62.44140625" customWidth="1" min="2" max="2"/>
    <col width="19" customWidth="1" min="3" max="3"/>
  </cols>
  <sheetData>
    <row r="1">
      <c r="A1" s="85" t="inlineStr">
        <is>
          <t>Org. aplic.</t>
        </is>
      </c>
      <c r="B1" s="85" t="inlineStr">
        <is>
          <t>Descripción justificante</t>
        </is>
      </c>
      <c r="C1" s="111" t="inlineStr">
        <is>
          <t>Imp. aplic.</t>
        </is>
      </c>
    </row>
    <row r="2">
      <c r="A2" s="83" t="inlineStr">
        <is>
          <t>34.80.6C.00.33</t>
        </is>
      </c>
      <c r="B2" s="83" t="inlineStr">
        <is>
          <t>DESARROLLO DE HERRAMIENTAS PARA LA PREDICCIÓN Y VALIDACIÓN VIBROACÚSTICA EN EL DISEÑO DE ACTUADORES ELECTRO-MECÁNICOS. Anualidad 2023 - Segundo Pago.</t>
        </is>
      </c>
      <c r="C2" s="106" t="n">
        <v>6600</v>
      </c>
    </row>
    <row r="3">
      <c r="A3" s="84" t="inlineStr">
        <is>
          <t>34.80.6C.00.33</t>
        </is>
      </c>
      <c r="B3" s="84" t="inlineStr">
        <is>
          <t>DESARROLLO DE HERRAMIENTAS PARA LA PREDICCIÓN Y VALIDACIÓN VIBROACÚSTICA EN EL DISEÑO DE ACTUADORES ELECTRO-MECÁNICOS. Anualidad 2024 - Primer Pago.</t>
        </is>
      </c>
      <c r="C3" s="107" t="n">
        <v>6600</v>
      </c>
    </row>
    <row r="4">
      <c r="A4" s="83" t="inlineStr">
        <is>
          <t>34.80.6C.00.33</t>
        </is>
      </c>
      <c r="B4" s="83" t="inlineStr">
        <is>
          <t xml:space="preserve">DESARROLLO DE HERRAMIENTAS PARA LA PREDICCIÓN Y VALIDACIÓN VIBROACÚSTICA EN EL DISEÑO DE ACTUADORES ELECTRO-MECÁNICOS. Anualidad 2024 segundo pago. </t>
        </is>
      </c>
      <c r="C4" s="106" t="n">
        <v>6600</v>
      </c>
    </row>
    <row r="5">
      <c r="A5" s="84" t="inlineStr">
        <is>
          <t>34.80.6C.00.34</t>
        </is>
      </c>
      <c r="B5" s="84" t="inlineStr">
        <is>
          <t>Pedido IT230027 - ARTÍCULO: SUBCONTRATACION CON PRESTACION DE SERVICIO ÍNDICE 146. Diseño del sistema de audio de la caja GOA, Optimización de la solución perforada en el sistema de audio de cabina (CONT.) y Implementación de solución microfónica con tecnología MEMS (CONT.). Grupo de Comunicación. Tercer Pago.</t>
        </is>
      </c>
      <c r="C5" s="107" t="n">
        <v>3520</v>
      </c>
    </row>
    <row r="6">
      <c r="A6" s="83" t="inlineStr">
        <is>
          <t>34.80.6C.00.34</t>
        </is>
      </c>
      <c r="B6" s="83" t="inlineStr">
        <is>
          <t xml:space="preserve">Pedido: IT230026 - Sistemas de control activo de ruido en cabinas de ascensor y de vibraciones en cabinas de ascensor. Grupo de mecánica. Tercer pago.   </t>
        </is>
      </c>
      <c r="C6" s="106" t="n">
        <v>6160</v>
      </c>
    </row>
    <row r="7">
      <c r="A7" s="84" t="inlineStr">
        <is>
          <t>34.80.6C.00.42</t>
        </is>
      </c>
      <c r="B7" s="84" t="inlineStr">
        <is>
          <t xml:space="preserve">INVESTIGACIÓN PARA LA CARACTERIZACIÓN DE TAPAS ARMÓNICAS DE DIFERENTES MATERIALES Y VARETAJES, 2ª FASE. PRIMER PAGO. </t>
        </is>
      </c>
      <c r="C7" s="107" t="n">
        <v>3520</v>
      </c>
    </row>
    <row r="8">
      <c r="A8" s="83" t="inlineStr">
        <is>
          <t>34.80.6C.00.45</t>
        </is>
      </c>
      <c r="B8" s="83" t="inlineStr">
        <is>
          <t>2018/0810/PIDI/02 Evaluación del proyecto:  HYBRIDMUFF - INVESTIGACIÓN SOBRE SILENCIADORES ACÚSTICOS HÍBRIDOS BASADOS EN SISTEMAS REACTIVOS Y DISIPATIVOS de la entidad AUDIOTEC INGENIERÍA ACÚSTICA S.A.</t>
        </is>
      </c>
      <c r="C8" s="106" t="n">
        <v>440</v>
      </c>
    </row>
    <row r="9">
      <c r="A9" s="84" t="inlineStr">
        <is>
          <t>34.80.6C.00.47</t>
        </is>
      </c>
      <c r="B9" s="84" t="inlineStr">
        <is>
          <t>Consultoría en la redacción de pliego técnico de licitación del servicio de telecomunicaciones y evaluación de las ofertas técnicas presentadas por los licitadores para el M.I. AYUNTAMIENTO DE XÀBIA.</t>
        </is>
      </c>
      <c r="C9" s="107" t="n">
        <v>264</v>
      </c>
    </row>
    <row r="10">
      <c r="A10" s="83" t="inlineStr">
        <is>
          <t>34.80.6C.00.47</t>
        </is>
      </c>
      <c r="B10" s="83" t="inlineStr">
        <is>
          <t>Consultoría en la redacción de pliego técnico de licitación del servicio de telecomunicaciones y evaluación de las ofertas técnicas presentadas por los licitadores para el M.I. AYUNTAMIENTO DE XÀBIA. (Segundo pago)</t>
        </is>
      </c>
      <c r="C10" s="106" t="n">
        <v>528</v>
      </c>
    </row>
    <row r="11">
      <c r="A11" s="84" t="inlineStr">
        <is>
          <t>34.80.6C.00.48</t>
        </is>
      </c>
      <c r="B11" s="84" t="inlineStr">
        <is>
          <t>IT240024 - IMPLEMENTACIÓN DE SOLUCIÓN MICROFÓNICA CON TECNOLOGÍA MEMS</t>
        </is>
      </c>
      <c r="C11" s="107" t="n">
        <v>3520</v>
      </c>
    </row>
    <row r="12">
      <c r="A12" s="83" t="inlineStr">
        <is>
          <t>34.80.6C.00.48</t>
        </is>
      </c>
      <c r="B12" s="83" t="inlineStr">
        <is>
          <t>IT240024 - IMPLEMENTACIÓN DE SOLUCIÓN MICROFÓNICA CON TECNOLOGÍA MEMS. SEGUNDO PAGO.</t>
        </is>
      </c>
      <c r="C12" s="106" t="n">
        <v>3520</v>
      </c>
    </row>
    <row r="13">
      <c r="A13" s="84" t="inlineStr">
        <is>
          <t>34.80.6C.00.48</t>
        </is>
      </c>
      <c r="B13" s="84" t="inlineStr">
        <is>
          <t>Pedido IT240024 - IMPLEMENTACIÓN DE SOLUCIÓN MICROFÓNICA CON TECNOLOGÍA MEMS. Tercer Pago.</t>
        </is>
      </c>
      <c r="C13" s="107" t="n">
        <v>3520</v>
      </c>
    </row>
    <row r="14">
      <c r="A14" s="83" t="inlineStr">
        <is>
          <t>34.80.6C.00.49</t>
        </is>
      </c>
      <c r="B14" s="83" t="inlineStr">
        <is>
          <t>Nº de pedido P133/24. Ref. SAES: 67-01346-A0  "INVESTIGACIÓN Y ASESORAMIENTO CIENTÍFICO-TÉCNICO EN MATERIA DE VIBROACÚSTICA PARA EL PROYECTO EUROPEO (EDF) dTHOR." Fase 1 Cálculo de Funciones de Transferencia (FT) Vibroacústica en buques de superficie.</t>
        </is>
      </c>
      <c r="C14" s="106" t="n">
        <v>26400</v>
      </c>
    </row>
    <row r="15">
      <c r="A15" s="84" t="inlineStr">
        <is>
          <t>34.80.6C.00.50</t>
        </is>
      </c>
      <c r="B15" s="84" t="inlineStr">
        <is>
          <t>REALIZACIÓN DE ENSAYOS ACÚSTICOS DE RUIDO DE RODADURA EN PAVIMENTOS ASFÁLTICOS EN CARRER DEL TORRENT DE L'OLLA, BARCELONA</t>
        </is>
      </c>
      <c r="C15" s="107" t="n">
        <v>2482.48</v>
      </c>
    </row>
    <row r="16">
      <c r="A16" s="83" t="inlineStr">
        <is>
          <t>34.80.6M.00.05</t>
        </is>
      </c>
      <c r="B16" s="83" t="inlineStr">
        <is>
          <t>FORMACIÓN Y TUTORIZACIÓN ESPECIALIZADA EN PROCESADO DE SERIES DE IMÁGENES DE RADAR DE APERTURA SINTÉTICA. TERCER PAGO</t>
        </is>
      </c>
      <c r="C16" s="106" t="n">
        <v>9680</v>
      </c>
    </row>
    <row r="17">
      <c r="A17" s="84" t="inlineStr">
        <is>
          <t>34.80.6P.00.29</t>
        </is>
      </c>
      <c r="B17" s="84" t="inlineStr">
        <is>
          <t>DEVOLUCIÓN DE INGRESOS_CARTA DE PAGO_ REFERENCIA: PID2019-103982RB-C43_ANUALIDAD: 2020</t>
        </is>
      </c>
      <c r="C17" s="107" t="n">
        <v>-1010.91</v>
      </c>
    </row>
    <row r="18">
      <c r="A18" s="83" t="inlineStr">
        <is>
          <t>34.80.6P.00.37</t>
        </is>
      </c>
      <c r="B18" s="83" t="inlineStr">
        <is>
          <t xml:space="preserve">CIAICO/2021/019/074/124/158/167/173/279/305/328/335/345/348/339 </t>
        </is>
      </c>
      <c r="C18" s="106" t="n">
        <v>29900</v>
      </c>
    </row>
    <row r="19">
      <c r="A19" s="84" t="inlineStr">
        <is>
          <t>34.80.6P.00.37</t>
        </is>
      </c>
      <c r="B19" s="84" t="inlineStr">
        <is>
          <t>DEVOLUCIÓN DE INGRESOS_MODELO 047_Nº DE LIQUIDACIÓN: 46/2024/RAS/10135/1_ Nº DE JUSTIFICANTE: 047/1/002493531/ Nº DE REFERENCIA: 047/1/002493531</t>
        </is>
      </c>
      <c r="C19" s="107" t="n">
        <v>-6308.74</v>
      </c>
    </row>
    <row r="20">
      <c r="A20" s="83" t="inlineStr">
        <is>
          <t>34.80.6P.00.38</t>
        </is>
      </c>
      <c r="B20" s="83" t="inlineStr">
        <is>
          <t xml:space="preserve">PID2021-122263OB-C22 -122320NA-I00 -122397NB-C22 --122500OB-I00 -122685OB-I00 -122988NB-I00 -123079OB-I00 -123091NB-C22 -123118NA-I00 -123124OB-I00 -123699NB-I00-123135OB-C21 -123453NB-I00 -123956OB-I00 </t>
        </is>
      </c>
      <c r="C20" s="106" t="n">
        <v>7600</v>
      </c>
    </row>
    <row r="21">
      <c r="A21" s="84" t="inlineStr">
        <is>
          <t>34.80.6P.00.39</t>
        </is>
      </c>
      <c r="B21" s="84" t="inlineStr">
        <is>
          <t>PID2021-124139NB-C21 -124237NB-I00 -124721NB-I00 -124741NB-I00 -124860NB-I00 -125175OB-I00 -125279OB-I00 -125387NB-I00 -125517OB-I00 -125883NB-C21-126056OA-I00 -126114NB-C41 -126155OB-I00</t>
        </is>
      </c>
      <c r="C21" s="107" t="n">
        <v>13450</v>
      </c>
    </row>
    <row r="22">
      <c r="A22" s="83" t="inlineStr">
        <is>
          <t>34.80.6P.00.40</t>
        </is>
      </c>
      <c r="B22" s="83" t="inlineStr">
        <is>
          <t>PID2021-126485OB-I00-126858NB-I00-126990NB-I00-127332NB-I00-127426OB-C22-127566NB-I00-127967NB-I00-127999NB-I00-128381NB-I00-128761OB-C21-128766OB-I00-128805NA-I00-128876OB-I00</t>
        </is>
      </c>
      <c r="C22" s="106" t="n">
        <v>3332</v>
      </c>
    </row>
    <row r="23">
      <c r="A23" s="84" t="inlineStr">
        <is>
          <t>34.80.6P.00.41</t>
        </is>
      </c>
      <c r="B23" s="84" t="inlineStr">
        <is>
          <t>DEVOLUCIÓN DE INGRESOS_ MODELO 047_ Nº DE LIQUIDACIÓN: 46/2024/RAS/10325/1 Nº DE JUSTIFICANTE: 047/1/002551836_Nº DE REFERENCIA: 047/1/002551836</t>
        </is>
      </c>
      <c r="C23" s="107" t="n">
        <v>-3273.3</v>
      </c>
    </row>
    <row r="24">
      <c r="A24" s="83" t="inlineStr">
        <is>
          <t>34.80.6P.00.43</t>
        </is>
      </c>
      <c r="B24" s="83" t="inlineStr">
        <is>
          <t xml:space="preserve">INNEST/2023/7/10/11/13/14/15/20  </t>
        </is>
      </c>
      <c r="C24" s="106" t="n">
        <v>66355.28</v>
      </c>
    </row>
    <row r="25">
      <c r="A25" s="84" t="inlineStr">
        <is>
          <t>34.80.6P.00.43</t>
        </is>
      </c>
      <c r="B25" s="84" t="inlineStr">
        <is>
          <t xml:space="preserve">Minoración ayudas  INNEST/2023/13 </t>
        </is>
      </c>
      <c r="C25" s="107" t="n">
        <v>-630.36</v>
      </c>
    </row>
    <row r="26">
      <c r="A26" s="83" t="inlineStr">
        <is>
          <t>34.80.6P.00.44</t>
        </is>
      </c>
      <c r="B26" s="83" t="inlineStr">
        <is>
          <t>PLU.CIAEST 2022. RESOLUCION CONCESION 19/09/2023. CIAEST/2022/2/25/49/78. (LÍNEA S0296)</t>
        </is>
      </c>
      <c r="C26" s="106" t="n">
        <v>18000</v>
      </c>
    </row>
    <row r="27">
      <c r="A27" s="84" t="inlineStr">
        <is>
          <t>34.80.6P.00.45</t>
        </is>
      </c>
      <c r="B27" s="84" t="inlineStr">
        <is>
          <t>PID2022-138464NB-I00-142516OB-I00-139990NB-I00-141382OB-I00-139899OB-I00-136847NB-I00-137385NB-I00-139294NB-I00-137873NA-I00-138786NB-I00-136590OB-C43</t>
        </is>
      </c>
      <c r="C27" s="107" t="n">
        <v>15480</v>
      </c>
    </row>
    <row r="28">
      <c r="A28" s="87" t="inlineStr">
        <is>
          <t>34.80.6P.00.46</t>
        </is>
      </c>
      <c r="B28" s="87" t="inlineStr">
        <is>
          <t>PID2022-139105OB-I00-141712NB-C22-142356NB-I00-141694NB-I00-136399NB-C21-142159OB-I00-137566OB-I00-139552OB-C22-137302NB-C33-139820NB-I00-142960OB-C21</t>
        </is>
      </c>
      <c r="C28" s="112" t="n">
        <v>9198.559999999999</v>
      </c>
    </row>
    <row r="29">
      <c r="A29" s="89" t="inlineStr">
        <is>
          <t>Total</t>
        </is>
      </c>
      <c r="B29" s="89" t="n"/>
      <c r="C29" s="113">
        <f>SUBTOTAL(109,Tabla3[Imp. aplic.])</f>
        <v/>
      </c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topLeftCell="A10" workbookViewId="0">
      <selection activeCell="H30" sqref="H30"/>
    </sheetView>
  </sheetViews>
  <sheetFormatPr baseColWidth="10" defaultRowHeight="14.4"/>
  <cols>
    <col width="15.33203125" customWidth="1" min="1" max="1"/>
    <col width="49.21875" customWidth="1" min="2" max="2"/>
    <col width="14.5546875" customWidth="1" min="3" max="3"/>
  </cols>
  <sheetData>
    <row r="1">
      <c r="A1" s="94" t="inlineStr">
        <is>
          <t>Org. aplic.</t>
        </is>
      </c>
      <c r="B1" s="95" t="inlineStr">
        <is>
          <t>Descripción justificante</t>
        </is>
      </c>
      <c r="C1" s="95" t="inlineStr">
        <is>
          <t>Imp. aplic.</t>
        </is>
      </c>
    </row>
    <row r="2">
      <c r="A2" s="96" t="inlineStr">
        <is>
          <t>34.80.6C.00.42</t>
        </is>
      </c>
      <c r="B2" s="97" t="inlineStr">
        <is>
          <t>INVESTIGACIÓN PARA LA CARACTERIZACIÓN DE TAPAS ARMÓNICAS DE DIFERENTES MATERIALES Y VARETAJES, 2ª FASE. Segundo Pago.</t>
        </is>
      </c>
      <c r="C2" s="114" t="n">
        <v>3520</v>
      </c>
    </row>
    <row r="3">
      <c r="A3" s="99" t="inlineStr">
        <is>
          <t>34.80.6C.00.42</t>
        </is>
      </c>
      <c r="B3" s="100" t="inlineStr">
        <is>
          <t xml:space="preserve">INVESTIGACIÓN PARA LA CARACTERIZACIÓN DE TAPAS ARMÓNICAS DE DIFERENTES MATERIALES Y VARETAJES, 2ª FASE. TERCER PAGO. </t>
        </is>
      </c>
      <c r="C3" s="115" t="n">
        <v>3520</v>
      </c>
    </row>
    <row r="4">
      <c r="A4" s="96" t="inlineStr">
        <is>
          <t>34.80.6C.00.43</t>
        </is>
      </c>
      <c r="B4" s="97" t="inlineStr">
        <is>
          <t xml:space="preserve">INVESTIGACIÓN Y DESARROLLO DE UN MODELO DE PREDICCIÓN DE PROPIEDADES ACÚSTICAS Y MECÁNICAS EN MEZCLAS ASFÁLTICAS. Segundo Pago. </t>
        </is>
      </c>
      <c r="C4" s="114" t="n">
        <v>3520</v>
      </c>
    </row>
    <row r="5">
      <c r="A5" s="99" t="inlineStr">
        <is>
          <t>34.80.6C.00.43</t>
        </is>
      </c>
      <c r="B5" s="100" t="inlineStr">
        <is>
          <t>INVESTIGACIÓN Y DESARROLLO DE UN MODELO DE PREDICCIÓN DE PROPIEDADES ACÚSTICAS Y MECÁNICAS EN MEZCLAS ASFÁLTICAS. TERCER PAGO.</t>
        </is>
      </c>
      <c r="C5" s="115" t="n">
        <v>3520</v>
      </c>
    </row>
    <row r="6">
      <c r="A6" s="96" t="inlineStr">
        <is>
          <t>34.80.6C.00.49</t>
        </is>
      </c>
      <c r="B6" s="97" t="inlineStr">
        <is>
          <t>Nº de pedido P133/24. Ref. SAES: 67-01346-A0 "INVESTIGACIÓN Y ASESORAMIENTO CIENTÍFICO-TÉCNICO EN MATERIA DE VIBROACÚSTICA PARA EL PROYECTO EUROPEO (EDF) dTHOR." Fase 1 Cálculo de Funciones de Transferencia (FT) Vibroacústica en buques de superficie. Segundo  pago</t>
        </is>
      </c>
      <c r="C6" s="114" t="n">
        <v>8800</v>
      </c>
    </row>
    <row r="7">
      <c r="A7" s="99" t="inlineStr">
        <is>
          <t>34.80.6C.00.49</t>
        </is>
      </c>
      <c r="B7" s="100" t="inlineStr">
        <is>
          <t>Nº de pedido P133/24. Ref. SAES: 67-01346-A0 "INVESTIGACIÓN Y ASESORAMIENTO CIENTÍFICO-TÉCNICO EN MATERIA DE VIBROACÚSTICA PARA EL PROYECTO EUROPEO (EDF) dTHOR." Fase 2 Adaptación de métodos numéricos aplicados a FTs a Modelos de Análisis Híbridos (HAM). Tercer pago.</t>
        </is>
      </c>
      <c r="C7" s="115" t="n">
        <v>24640</v>
      </c>
    </row>
    <row r="8">
      <c r="A8" s="96" t="inlineStr">
        <is>
          <t>34.80.6C.00.49</t>
        </is>
      </c>
      <c r="B8" s="97" t="inlineStr">
        <is>
          <t>Proyecto: MAT4ENERGY - Nº de Pedido: PC.25-5832. VISIÓN TÉCNICA Y PRÁCTICA SOBRE COMPORTAMIENTO ACÚSTICO DE MATERIALES POROSOS AVANZADOS</t>
        </is>
      </c>
      <c r="C8" s="114" t="n">
        <v>3080</v>
      </c>
    </row>
    <row r="9">
      <c r="A9" s="99" t="inlineStr">
        <is>
          <t>34.80.6C.00.51</t>
        </is>
      </c>
      <c r="B9" s="100" t="inlineStr">
        <is>
          <t>2023/2289/PIDI/02-TM Evaluación del proyecto: PERTE VEC P04_DECOVEC - PROCESO INTELIGENTE E INTEGRADO DE INYECCIÓN, TRATAMIENTO MECÁNICO SUPERFICIAL Y RECUBRIMIENTO DECORATIVO, CON INSPECCIÓN MEDIANTE TÉCNICAS DE VISIÓN POR COMPUTADOR Y DE INTELIGENCIA ARTIFICIAL, PARA PIEZAS LIGERAS DE VEC</t>
        </is>
      </c>
      <c r="C9" s="115" t="n">
        <v>132</v>
      </c>
    </row>
    <row r="10">
      <c r="A10" s="96" t="inlineStr">
        <is>
          <t>34.80.6C.00.52</t>
        </is>
      </c>
      <c r="B10" s="97" t="inlineStr">
        <is>
          <t>2023/2291/PIDI/02-TM Evaluación del proyecto: PERTE VEC P05_GALMAVEC - Investigación tecnológica del proceso y subprocesos para una generación avanzada de mecanizados y tratamientos superficiales de aluminio para piezas ligeras del sistema de freno en el vehículo eléctrico conectado.</t>
        </is>
      </c>
      <c r="C10" s="114" t="n">
        <v>132</v>
      </c>
    </row>
    <row r="11">
      <c r="A11" s="99" t="inlineStr">
        <is>
          <t>34.80.6C.00.53</t>
        </is>
      </c>
      <c r="B11" s="100" t="inlineStr">
        <is>
          <t>REALIZACIÓN DE ENSAYOS ACÚSTICOS DE RUIDO DE RODADURA EN PAVIMENTOS ASFÁLTICOS EN CARRER DEL TORRENT DE L'OLLA, BARCELONA</t>
        </is>
      </c>
      <c r="C11" s="115" t="n">
        <v>2482.48</v>
      </c>
    </row>
    <row r="12">
      <c r="A12" s="96" t="inlineStr">
        <is>
          <t>34.80.6C.00.55</t>
        </is>
      </c>
      <c r="B12" s="97" t="inlineStr">
        <is>
          <t xml:space="preserve">CONSULTORÍA EN LA EVALUACIÓN DE LAS OFERTAS TÉCNICAS PRESENTADAS PARA LA LICITACIÓN DE RENOVACIÓN TECNOLÓGICA DEL DATACENTER </t>
        </is>
      </c>
      <c r="C12" s="114" t="n">
        <v>792</v>
      </c>
    </row>
    <row r="13">
      <c r="A13" s="99" t="inlineStr">
        <is>
          <t>34.80.6C.00.56</t>
        </is>
      </c>
      <c r="B13" s="100" t="inlineStr">
        <is>
          <t>PEDIDO: IT250021 - Dispositivo para el control de calidad de audio en cabinas de ascensor. Primer pago. Ref.:  ORONA1-25I - Investigador responsable: Jesús Carbajo San Martín.</t>
        </is>
      </c>
      <c r="C13" s="115" t="n">
        <v>3520</v>
      </c>
    </row>
    <row r="14">
      <c r="A14" s="96" t="inlineStr">
        <is>
          <t>34.80.6C.00.56</t>
        </is>
      </c>
      <c r="B14" s="97" t="inlineStr">
        <is>
          <t xml:space="preserve">PEDIDO: IT250021 - Dispositivo para el control de calidad de audio en cabinas de ascensor. Segundo Pago. Ref.: ORONA1-25I - Investigador responsable: Jesús Carbajo San Martín. </t>
        </is>
      </c>
      <c r="C14" s="114" t="n">
        <v>3520</v>
      </c>
    </row>
    <row r="15">
      <c r="A15" s="99" t="inlineStr">
        <is>
          <t>34.80.6C.00.56</t>
        </is>
      </c>
      <c r="B15" s="100" t="inlineStr">
        <is>
          <t>PEDIDO: IT250021 - Dispositivo para el control de calidad de audio en cabinas de ascensor. Tercer Pago. Ref.: ORONA1-25I - Investigador responsable: Jesús Carbajo San Martín.</t>
        </is>
      </c>
      <c r="C15" s="115" t="n">
        <v>3520</v>
      </c>
    </row>
    <row r="16">
      <c r="A16" s="96" t="inlineStr">
        <is>
          <t>34.80.6C.00.57</t>
        </is>
      </c>
      <c r="B16" s="97" t="inlineStr">
        <is>
          <t xml:space="preserve">PEDIDO PPO-36514 DESARROLLO DE LOSETAS MULTICAPA CON ALTAS PROPIEDADES VIBRO ACÚSTICAS, TÉRMICAS E IGNÚFUGAS. PRIMER PAGO. </t>
        </is>
      </c>
      <c r="C16" s="114" t="n">
        <v>17600</v>
      </c>
    </row>
    <row r="17">
      <c r="A17" s="99" t="inlineStr">
        <is>
          <t>34.80.6C.00.58</t>
        </is>
      </c>
      <c r="B17" s="100" t="inlineStr">
        <is>
          <t>02OP/25116211 - SUPERVISIÓN PROYECTO 2023/0782/PIDI/02 PREFRUTA- INVESTIGACIÓN PARA LA DETERMINACIÓN DE LA CALIDAD Y TRAZABILIDAD DE LA FRUTA EN TAREAS DE PRECLASIFICACIÓN MEDIANTE IA Y VA PERTENECIENTE A LA ENTIDAD AGERPIX TECHNOLOGIES, S.L.U.</t>
        </is>
      </c>
      <c r="C17" s="115" t="n">
        <v>93.48</v>
      </c>
    </row>
    <row r="18">
      <c r="A18" s="96" t="inlineStr">
        <is>
          <t>34.80.6C.00.58</t>
        </is>
      </c>
      <c r="B18" s="97" t="inlineStr">
        <is>
          <t>02OP/25119491 -2008/0133/PIDI/05-TM - EVALUACIÓN PERTE - AUMATECH - OPTIMIZACIÓN DE LA EFICIENCIA PRODUCTIVA Y DE LA SEGURIDAD DEL PROCESO DE AHUMADO MEDIANTE SOLUCIONES BASADAS EN SENSÓRICA, ROBÓTICA E IA PERTENECIENTE A LA EMPRESA TSK ELECTRÓNICA Y ELECTRICIDAD, S.A.</t>
        </is>
      </c>
      <c r="C18" s="114" t="n">
        <v>266.06</v>
      </c>
    </row>
    <row r="19">
      <c r="A19" s="99" t="inlineStr">
        <is>
          <t>34.80.6C.00.58</t>
        </is>
      </c>
      <c r="B19" s="100" t="inlineStr">
        <is>
          <t>02OP/25128080 - 2008/0133/PIDI/06 - PP11- Investigación de tecnologías de visualización avanzada para optimización de la eficiencia productiva en los procesos alimentarios (VIRTOFIP) perteneciente a la entidad T SK ELECTRÓNICA Y ELECTRICIDAD, S.A. / BODEGAS GRUPO YLLERA, S.L</t>
        </is>
      </c>
      <c r="C19" s="115" t="n">
        <v>93.48</v>
      </c>
    </row>
    <row r="20">
      <c r="A20" s="96" t="inlineStr">
        <is>
          <t>34.80.6C.00.58</t>
        </is>
      </c>
      <c r="B20" s="97" t="inlineStr">
        <is>
          <t>02OP/25117079 - 2008/0133/PIDI/01-TM EVALUACIÓN PERTE PP08 HIPERES - INVESTIGACIÓN BASADA EN SENSORES ÓPTICOS AVANZADOS E IA PARA EL CONTROL DE CALIDAD Y SEGURIDAD ALIMENTARIA DE PRODUCTOS CÁRNICOS PERTENECIENTE A LA EMPRESA TSK ELECTRÓNICA Y ELECTRICIDAD, S.A.</t>
        </is>
      </c>
      <c r="C20" s="114" t="n">
        <v>266.06</v>
      </c>
    </row>
    <row r="21">
      <c r="A21" s="99" t="inlineStr">
        <is>
          <t>34.80.6P.00.37</t>
        </is>
      </c>
      <c r="B21" s="100" t="inlineStr">
        <is>
          <t>DEVOLUCIÓN DE INGRESOS_MODELO 047_  REFERENCIA: CIACO/2021/158/279/339/124/348/074/345/173</t>
        </is>
      </c>
      <c r="C21" s="115" t="n">
        <v>-1011.33</v>
      </c>
    </row>
    <row r="22">
      <c r="A22" s="96" t="inlineStr">
        <is>
          <t>34.80.6P.00.43</t>
        </is>
      </c>
      <c r="B22" s="97" t="inlineStr">
        <is>
          <t>Ayudas INNEST/2023/7, INNEST/2023/10, INNEST/2023/11, INNEST/2023/13, INNEST/2023/14, INNEST/2023/15, INNEST/2023/20</t>
        </is>
      </c>
      <c r="C22" s="114" t="n">
        <v>36745.3</v>
      </c>
    </row>
    <row r="23">
      <c r="A23" s="99" t="inlineStr">
        <is>
          <t>34.80.6P.00.43</t>
        </is>
      </c>
      <c r="B23" s="100" t="inlineStr">
        <is>
          <t xml:space="preserve">Minoración INNEST/2023/13   </t>
        </is>
      </c>
      <c r="C23" s="115" t="n">
        <v>-2375.26</v>
      </c>
    </row>
    <row r="24">
      <c r="A24" s="96" t="inlineStr">
        <is>
          <t>34.80.6P.00.45</t>
        </is>
      </c>
      <c r="B24" s="97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24" s="114" t="n">
        <v>9540</v>
      </c>
    </row>
    <row r="25">
      <c r="A25" s="99" t="inlineStr">
        <is>
          <t>34.80.6P.00.46</t>
        </is>
      </c>
      <c r="B25" s="100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25" s="115" t="n">
        <v>5668.88</v>
      </c>
    </row>
    <row r="26">
      <c r="A26" s="96" t="inlineStr">
        <is>
          <t>34.80.6P.00.49</t>
        </is>
      </c>
      <c r="B26" s="97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26" s="114" t="n">
        <v>96780</v>
      </c>
    </row>
    <row r="27">
      <c r="A27" s="99" t="inlineStr">
        <is>
          <t>34.80.6P.00.49</t>
        </is>
      </c>
      <c r="B27" s="100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27" s="115" t="n">
        <v>54842</v>
      </c>
    </row>
    <row r="28">
      <c r="A28" s="96" t="inlineStr">
        <is>
          <t>34.80.6P.00.50</t>
        </is>
      </c>
      <c r="B28" s="97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28" s="114" t="n">
        <v>101645</v>
      </c>
    </row>
    <row r="29" ht="15" customHeight="1" thickBot="1">
      <c r="A29" s="99" t="inlineStr">
        <is>
          <t>34.80.6P.00.51</t>
        </is>
      </c>
      <c r="B29" s="100" t="inlineStr">
        <is>
          <t>INNVA1/2025/19/10</t>
        </is>
      </c>
      <c r="C29" s="115" t="n">
        <v>5800</v>
      </c>
    </row>
    <row r="30" ht="15" customHeight="1" thickTop="1">
      <c r="A30" s="102" t="inlineStr">
        <is>
          <t>Total</t>
        </is>
      </c>
      <c r="B30" s="103" t="n"/>
      <c r="C30" s="116" t="n">
        <v>390652.15</v>
      </c>
    </row>
    <row r="33">
      <c r="B33" s="92" t="inlineStr">
        <is>
          <t>Total ingresos investigación 2023-25</t>
        </is>
      </c>
      <c r="C33" s="117">
        <f>C30+Tabla2[[#Totals],[Imp.cob.aplic.]]+Tabla3[[#Totals],[Imp. 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G28" sqref="G28"/>
    </sheetView>
  </sheetViews>
  <sheetFormatPr baseColWidth="10" defaultRowHeight="14.4"/>
  <cols>
    <col width="17" customWidth="1" min="1" max="1"/>
    <col width="70.44140625" customWidth="1" min="2" max="2"/>
    <col width="16" customWidth="1" min="3" max="3"/>
  </cols>
  <sheetData>
    <row r="1">
      <c r="A1" s="81" t="inlineStr">
        <is>
          <t>Cód. org. aplic.</t>
        </is>
      </c>
      <c r="B1" s="81" t="inlineStr">
        <is>
          <t>Descripción justificante</t>
        </is>
      </c>
      <c r="C1" s="81" t="inlineStr">
        <is>
          <t>Imp.cob.aplic.</t>
        </is>
      </c>
    </row>
    <row r="2">
      <c r="A2" s="38" t="inlineStr">
        <is>
          <t>34.80.2E.00.09</t>
        </is>
      </c>
      <c r="B2" s="38" t="inlineStr">
        <is>
          <t>INGRESO DE REMANENTE DEL CONGRESO CONGRESO PAEE-ALE</t>
        </is>
      </c>
      <c r="C2" s="106" t="n">
        <v>1067.24</v>
      </c>
    </row>
    <row r="3">
      <c r="A3" s="39" t="inlineStr">
        <is>
          <t>34.80.2T.00.03</t>
        </is>
      </c>
      <c r="B3" s="39" t="inlineStr">
        <is>
          <t>Acuerdo de colaboración entre la Universidad de Alicante y Huawei Technologies, ICT Academy.</t>
        </is>
      </c>
      <c r="C3" s="107" t="n">
        <v>12450</v>
      </c>
    </row>
    <row r="4">
      <c r="A4" s="38" t="inlineStr">
        <is>
          <t>34.80.2T.00.03</t>
        </is>
      </c>
      <c r="B4" s="38" t="inlineStr">
        <is>
          <t xml:space="preserve">Acuerdo de colaboración entre la Universidad de Alicante y Huawei Technologies, proyecto H1 2023.  </t>
        </is>
      </c>
      <c r="C4" s="106" t="n">
        <v>5928</v>
      </c>
    </row>
    <row r="5">
      <c r="A5" s="39" t="inlineStr">
        <is>
          <t>34.80.2T.00.03</t>
        </is>
      </c>
      <c r="B5" s="39" t="inlineStr">
        <is>
          <t xml:space="preserve">Plan_9191 Curso_2022-23 Emitido_2022-23 - EXPERTO/A EN TECNOLOGÍAS Y CERTIFICACIONES DE TELECOMUNICACIONES </t>
        </is>
      </c>
      <c r="C5" s="107" t="n">
        <v>3825</v>
      </c>
    </row>
    <row r="6">
      <c r="A6" s="38" t="inlineStr">
        <is>
          <t>34.80.2T.00.05</t>
        </is>
      </c>
      <c r="B6" s="38" t="inlineStr">
        <is>
          <t>Plan_GD30 Curso_2022-23 Emitido_2022-23 - PRODUCCIÓN MUSICAL CON ABLETON LIVE</t>
        </is>
      </c>
      <c r="C6" s="106" t="n">
        <v>615.6</v>
      </c>
    </row>
    <row r="7">
      <c r="A7" s="82" t="inlineStr">
        <is>
          <t>34.80.2T.00.07</t>
        </is>
      </c>
      <c r="B7" s="82" t="inlineStr">
        <is>
          <t xml:space="preserve">Plan_GD29 Curso_2022-23 Emitido_2022-23 - MEZCLA DE SONIDO </t>
        </is>
      </c>
      <c r="C7" s="108" t="n">
        <v>1436.4</v>
      </c>
    </row>
    <row r="8">
      <c r="A8" s="79" t="inlineStr">
        <is>
          <t>Total</t>
        </is>
      </c>
      <c r="B8" s="79" t="n"/>
      <c r="C8" s="109">
        <f>SUBTOTAL(109,Tabla5[Imp.cob.aplic.])</f>
        <v/>
      </c>
    </row>
    <row r="9">
      <c r="C9" s="11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7" sqref="B7:C7"/>
    </sheetView>
  </sheetViews>
  <sheetFormatPr baseColWidth="10" defaultRowHeight="14.4"/>
  <cols>
    <col width="15.44140625" customWidth="1" min="1" max="1"/>
    <col width="51.5546875" customWidth="1" min="2" max="2"/>
    <col width="12.33203125" customWidth="1" min="3" max="3"/>
  </cols>
  <sheetData>
    <row r="1">
      <c r="A1" s="85" t="inlineStr">
        <is>
          <t>Org. aplic.</t>
        </is>
      </c>
      <c r="B1" s="85" t="inlineStr">
        <is>
          <t>Descripción justificante</t>
        </is>
      </c>
      <c r="C1" s="85" t="inlineStr">
        <is>
          <t>Imp. aplic.</t>
        </is>
      </c>
    </row>
    <row r="2">
      <c r="A2" s="87" t="inlineStr">
        <is>
          <t>34.80.2T.00.03</t>
        </is>
      </c>
      <c r="B2" s="87" t="inlineStr">
        <is>
          <t>CONVENIO DE COLABORACIÓN EMPRESARIAL EN ACTIVIDADES DE INTERÉS GENERAL ENTRE LA UNIVERSIDAD DE ALICANTE Y HUAWEI TECHNOLOGIES</t>
        </is>
      </c>
      <c r="C2" s="112" t="n">
        <v>14083.33</v>
      </c>
    </row>
    <row r="3" customFormat="1" s="91">
      <c r="A3" s="89" t="inlineStr">
        <is>
          <t>Total</t>
        </is>
      </c>
      <c r="B3" s="89" t="n"/>
      <c r="C3" s="113">
        <f>SUBTOTAL(109,Tabla6[Imp.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I16" sqref="I16"/>
    </sheetView>
  </sheetViews>
  <sheetFormatPr baseColWidth="10" defaultRowHeight="14.4"/>
  <cols>
    <col width="39.33203125" customWidth="1" min="3" max="3"/>
    <col width="11.88671875" bestFit="1" customWidth="1" min="4" max="4"/>
  </cols>
  <sheetData>
    <row r="2">
      <c r="B2" t="inlineStr">
        <is>
          <t>sin ingresos de formación en 2025</t>
        </is>
      </c>
    </row>
    <row r="6">
      <c r="C6" s="92" t="inlineStr">
        <is>
          <t>Total ingresos formación 2023-25</t>
        </is>
      </c>
      <c r="D6" s="117">
        <f>Tabla5[[#Totals],[Imp.cob.aplic.]]+Tabla6[[#Totals],[Imp. aplic.]]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dfgm@ua.es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2026-05-28T21:59:14Z</dcterms:modified>
  <cp:lastModifiedBy>MARIA TERESA PUJALTE DEVIS</cp:lastModifiedBy>
</cp:coreProperties>
</file>