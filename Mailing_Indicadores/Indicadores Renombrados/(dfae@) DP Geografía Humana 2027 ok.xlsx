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86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20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1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1" fillId="0" borderId="0"/>
  </cellStyleXfs>
  <cellXfs count="9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164" fontId="0" fillId="7" borderId="3" pivotButton="0" quotePrefix="0" xfId="6"/>
    <xf numFmtId="164" fontId="0" fillId="0" borderId="3" pivotButton="0" quotePrefix="0" xfId="6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4" fillId="6" borderId="2" pivotButton="0" quotePrefix="0" xfId="0"/>
    <xf numFmtId="0" fontId="14" fillId="6" borderId="3" pivotButton="0" quotePrefix="0" xfId="0"/>
    <xf numFmtId="0" fontId="15" fillId="7" borderId="2" pivotButton="0" quotePrefix="0" xfId="0"/>
    <xf numFmtId="0" fontId="15" fillId="7" borderId="3" pivotButton="0" quotePrefix="0" xfId="0"/>
    <xf numFmtId="0" fontId="15" fillId="0" borderId="2" pivotButton="0" quotePrefix="0" xfId="0"/>
    <xf numFmtId="0" fontId="15" fillId="0" borderId="3" pivotButton="0" quotePrefix="0" xfId="0"/>
    <xf numFmtId="164" fontId="0" fillId="0" borderId="0" pivotButton="0" quotePrefix="0" xfId="0"/>
    <xf numFmtId="0" fontId="2" fillId="8" borderId="0" pivotButton="0" quotePrefix="0" xfId="1"/>
    <xf numFmtId="0" fontId="2" fillId="8" borderId="0" applyAlignment="1" pivotButton="0" quotePrefix="0" xfId="1">
      <alignment horizontal="right"/>
    </xf>
    <xf numFmtId="0" fontId="6" fillId="0" borderId="1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10" fillId="8" borderId="0" pivotButton="0" quotePrefix="0" xfId="0"/>
    <xf numFmtId="165" fontId="3" fillId="8" borderId="0" pivotButton="0" quotePrefix="0" xfId="1"/>
    <xf numFmtId="0" fontId="14" fillId="6" borderId="4" pivotButton="0" quotePrefix="0" xfId="0"/>
    <xf numFmtId="0" fontId="15" fillId="7" borderId="5" pivotButton="0" quotePrefix="0" xfId="0"/>
    <xf numFmtId="164" fontId="0" fillId="7" borderId="5" pivotButton="0" quotePrefix="0" xfId="6"/>
    <xf numFmtId="0" fontId="9" fillId="7" borderId="5" pivotButton="0" quotePrefix="0" xfId="0"/>
    <xf numFmtId="164" fontId="11" fillId="7" borderId="5" pivotButton="0" quotePrefix="0" xfId="0"/>
    <xf numFmtId="0" fontId="0" fillId="7" borderId="3" pivotButton="0" quotePrefix="0" xfId="0"/>
    <xf numFmtId="0" fontId="0" fillId="0" borderId="3" pivotButton="0" quotePrefix="0" xfId="0"/>
    <xf numFmtId="0" fontId="16" fillId="6" borderId="4" pivotButton="0" quotePrefix="0" xfId="0"/>
    <xf numFmtId="164" fontId="16" fillId="6" borderId="4" pivotButton="0" quotePrefix="0" xfId="6"/>
    <xf numFmtId="0" fontId="0" fillId="7" borderId="5" pivotButton="0" quotePrefix="0" xfId="0"/>
    <xf numFmtId="0" fontId="0" fillId="7" borderId="5" pivotButton="0" quotePrefix="0" xfId="0"/>
    <xf numFmtId="0" fontId="0" fillId="9" borderId="5" pivotButton="0" quotePrefix="0" xfId="0"/>
    <xf numFmtId="164" fontId="11" fillId="9" borderId="5" pivotButton="0" quotePrefix="0" xfId="0"/>
    <xf numFmtId="0" fontId="0" fillId="10" borderId="0" pivotButton="0" quotePrefix="0" xfId="0"/>
    <xf numFmtId="0" fontId="10" fillId="0" borderId="1" pivotButton="0" quotePrefix="0" xfId="0"/>
    <xf numFmtId="166" fontId="10" fillId="0" borderId="1" pivotButton="0" quotePrefix="0" xfId="6"/>
    <xf numFmtId="0" fontId="17" fillId="11" borderId="6" pivotButton="0" quotePrefix="0" xfId="0"/>
    <xf numFmtId="0" fontId="17" fillId="11" borderId="7" pivotButton="0" quotePrefix="0" xfId="0"/>
    <xf numFmtId="0" fontId="18" fillId="12" borderId="6" pivotButton="0" quotePrefix="0" xfId="0"/>
    <xf numFmtId="0" fontId="18" fillId="12" borderId="7" pivotButton="0" quotePrefix="0" xfId="0"/>
    <xf numFmtId="166" fontId="18" fillId="12" borderId="7" pivotButton="0" quotePrefix="0" xfId="6"/>
    <xf numFmtId="0" fontId="18" fillId="0" borderId="6" pivotButton="0" quotePrefix="0" xfId="0"/>
    <xf numFmtId="0" fontId="18" fillId="0" borderId="7" pivotButton="0" quotePrefix="0" xfId="0"/>
    <xf numFmtId="166" fontId="18" fillId="0" borderId="7" pivotButton="0" quotePrefix="0" xfId="6"/>
    <xf numFmtId="0" fontId="19" fillId="0" borderId="8" pivotButton="0" quotePrefix="0" xfId="0"/>
    <xf numFmtId="0" fontId="19" fillId="0" borderId="9" pivotButton="0" quotePrefix="0" xfId="0"/>
    <xf numFmtId="166" fontId="19" fillId="0" borderId="9" pivotButton="0" quotePrefix="0" xfId="6"/>
    <xf numFmtId="0" fontId="12" fillId="11" borderId="6" pivotButton="0" quotePrefix="0" xfId="0"/>
    <xf numFmtId="0" fontId="12" fillId="11" borderId="7" pivotButton="0" quotePrefix="0" xfId="0"/>
    <xf numFmtId="166" fontId="12" fillId="11" borderId="7" pivotButton="0" quotePrefix="0" xfId="6"/>
    <xf numFmtId="0" fontId="9" fillId="12" borderId="6" pivotButton="0" quotePrefix="0" xfId="0"/>
    <xf numFmtId="0" fontId="9" fillId="12" borderId="7" pivotButton="0" quotePrefix="0" xfId="0"/>
    <xf numFmtId="166" fontId="9" fillId="12" borderId="7" pivotButton="0" quotePrefix="0" xfId="6"/>
    <xf numFmtId="0" fontId="13" fillId="0" borderId="8" pivotButton="0" quotePrefix="0" xfId="0"/>
    <xf numFmtId="0" fontId="13" fillId="0" borderId="9" pivotButton="0" quotePrefix="0" xfId="0"/>
    <xf numFmtId="166" fontId="13" fillId="0" borderId="9" pivotButton="0" quotePrefix="0" xfId="0"/>
    <xf numFmtId="164" fontId="10" fillId="0" borderId="0" pivotButton="0" quotePrefix="0" xfId="0"/>
    <xf numFmtId="164" fontId="0" fillId="7" borderId="3" pivotButton="0" quotePrefix="0" xfId="6"/>
    <xf numFmtId="164" fontId="0" fillId="0" borderId="3" pivotButton="0" quotePrefix="0" xfId="6"/>
    <xf numFmtId="164" fontId="0" fillId="7" borderId="5" pivotButton="0" quotePrefix="0" xfId="6"/>
    <xf numFmtId="164" fontId="11" fillId="7" borderId="5" pivotButton="0" quotePrefix="0" xfId="0"/>
    <xf numFmtId="164" fontId="0" fillId="0" borderId="0" pivotButton="0" quotePrefix="0" xfId="0"/>
    <xf numFmtId="164" fontId="16" fillId="6" borderId="4" pivotButton="0" quotePrefix="0" xfId="6"/>
    <xf numFmtId="164" fontId="11" fillId="9" borderId="5" pivotButton="0" quotePrefix="0" xfId="0"/>
    <xf numFmtId="166" fontId="18" fillId="12" borderId="7" pivotButton="0" quotePrefix="0" xfId="6"/>
    <xf numFmtId="166" fontId="18" fillId="0" borderId="7" pivotButton="0" quotePrefix="0" xfId="6"/>
    <xf numFmtId="166" fontId="19" fillId="0" borderId="9" pivotButton="0" quotePrefix="0" xfId="6"/>
    <xf numFmtId="166" fontId="10" fillId="0" borderId="1" pivotButton="0" quotePrefix="0" xfId="6"/>
    <xf numFmtId="164" fontId="10" fillId="0" borderId="0" pivotButton="0" quotePrefix="0" xfId="0"/>
    <xf numFmtId="166" fontId="12" fillId="11" borderId="7" pivotButton="0" quotePrefix="0" xfId="6"/>
    <xf numFmtId="166" fontId="9" fillId="12" borderId="7" pivotButton="0" quotePrefix="0" xfId="6"/>
    <xf numFmtId="166" fontId="13" fillId="0" borderId="9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0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7" headerRowCount="1" totalsRowCount="1" headerRowDxfId="29" headerRowBorderDxfId="28" tableBorderDxfId="27" totalsRowBorderDxfId="26">
  <autoFilter ref="A1:C6"/>
  <tableColumns count="3">
    <tableColumn id="1" name="Cód. org. aplic." totalsRowLabel="Total" dataDxfId="25" totalsRowDxfId="24"/>
    <tableColumn id="2" name="Descripción justificante" dataDxfId="23" totalsRowDxfId="22"/>
    <tableColumn id="3" name="Imp.cob.aplic." totalsRowFunction="sum" dataDxfId="21" totalsRowDxfId="2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7" headerRowCount="1" totalsRowCount="1" totalsRowDxfId="17" headerRowBorderDxfId="19" tableBorderDxfId="18" totalsRowBorderDxfId="16">
  <autoFilter ref="A1:C6"/>
  <tableColumns count="3">
    <tableColumn id="1" name="Org. aplic." totalsRowLabel="Total" dataDxfId="15" totalsRowDxfId="14"/>
    <tableColumn id="2" name="Descripción justificante" dataDxfId="13" totalsRowDxfId="12"/>
    <tableColumn id="3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3" headerRowCount="1" totalsRowCount="1" headerRowDxfId="9" headerRowBorderDxfId="8" tableBorderDxfId="7" totalsRowBorderDxfId="6">
  <autoFilter ref="A1:C2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U023 </t>
        </is>
      </c>
      <c r="B2" s="18" t="inlineStr">
        <is>
          <t xml:space="preserve">ADM. FACULTAD DE FILOSOFIA Y LETRAS </t>
        </is>
      </c>
      <c r="C2" s="18" t="inlineStr">
        <is>
          <t xml:space="preserve">DOCTORADO EN FILOSOFÍA Y LETRAS </t>
        </is>
      </c>
      <c r="D2" s="18" t="inlineStr">
        <is>
          <t xml:space="preserve">Pin Figueroa, Walter Jesus </t>
        </is>
      </c>
      <c r="E2" s="18" t="inlineStr">
        <is>
          <t xml:space="preserve">Turismo rural en áreas cafetaleras en la zona sur de Manabí, Ecuador </t>
        </is>
      </c>
      <c r="F2" s="18" t="inlineStr">
        <is>
          <t xml:space="preserve">28/02/2020 </t>
        </is>
      </c>
      <c r="G2" s="18" t="inlineStr">
        <is>
          <t xml:space="preserve">74218386P </t>
        </is>
      </c>
      <c r="H2" s="18" t="inlineStr">
        <is>
          <t xml:space="preserve">Director de tesis </t>
        </is>
      </c>
      <c r="I2" s="18" t="inlineStr">
        <is>
          <t xml:space="preserve">B120 </t>
        </is>
      </c>
      <c r="J2" s="18" t="inlineStr">
        <is>
          <t xml:space="preserve">GEOGRAFIA HUMANA </t>
        </is>
      </c>
      <c r="K2" s="18" t="n">
        <v>1</v>
      </c>
      <c r="L2" s="18" t="inlineStr">
        <is>
          <t>B120</t>
        </is>
      </c>
      <c r="M2" s="18" t="n">
        <v>2019</v>
      </c>
      <c r="N2" s="18" t="inlineStr">
        <is>
          <t>10.25</t>
        </is>
      </c>
      <c r="O2" s="18" t="inlineStr">
        <is>
          <t>30</t>
        </is>
      </c>
      <c r="P2" s="18" t="inlineStr"/>
      <c r="Q2" s="18" t="inlineStr"/>
      <c r="R2" s="18" t="n">
        <v>70</v>
      </c>
      <c r="S2" s="18" t="n">
        <v>0.7</v>
      </c>
      <c r="T2" s="18" t="n">
        <v>0.3</v>
      </c>
      <c r="U2" s="18" t="n">
        <v>0</v>
      </c>
    </row>
    <row r="3">
      <c r="A3" s="18" t="inlineStr">
        <is>
          <t xml:space="preserve">U023 </t>
        </is>
      </c>
      <c r="B3" s="18" t="inlineStr">
        <is>
          <t xml:space="preserve">ADM. FACULTAD DE FILOSOFIA Y LETRAS </t>
        </is>
      </c>
      <c r="C3" s="18" t="inlineStr">
        <is>
          <t xml:space="preserve">DOCTORADO EN FILOSOFÍA Y LETRAS </t>
        </is>
      </c>
      <c r="D3" s="18" t="inlineStr">
        <is>
          <t xml:space="preserve">Ríos Pérez, Manuel </t>
        </is>
      </c>
      <c r="E3" s="18" t="inlineStr">
        <is>
          <t xml:space="preserve">Concesiones de transporte público regular de viajeros por carretera y su dependencia territorial. Evolución, contexto socioeconómico y modelo desarrollado en la provincia de Alicante </t>
        </is>
      </c>
      <c r="F3" s="18" t="inlineStr">
        <is>
          <t xml:space="preserve">05/11/2020 </t>
        </is>
      </c>
      <c r="G3" s="18" t="inlineStr">
        <is>
          <t xml:space="preserve">74218386P </t>
        </is>
      </c>
      <c r="H3" s="18" t="inlineStr">
        <is>
          <t xml:space="preserve">Codirector de tesis </t>
        </is>
      </c>
      <c r="I3" s="18" t="inlineStr">
        <is>
          <t xml:space="preserve">B120 </t>
        </is>
      </c>
      <c r="J3" s="18" t="inlineStr">
        <is>
          <t xml:space="preserve">GEOGRAFIA HUMANA </t>
        </is>
      </c>
      <c r="K3" s="18" t="n">
        <v>0.5</v>
      </c>
      <c r="L3" s="18" t="inlineStr">
        <is>
          <t>B120</t>
        </is>
      </c>
      <c r="M3" s="18" t="n">
        <v>2019</v>
      </c>
      <c r="N3" s="18" t="inlineStr">
        <is>
          <t>10.25</t>
        </is>
      </c>
      <c r="O3" s="18" t="n">
        <v>30</v>
      </c>
      <c r="P3" s="18" t="inlineStr">
        <is>
          <t>10.21</t>
        </is>
      </c>
      <c r="Q3" s="18" t="n">
        <v>30</v>
      </c>
      <c r="R3" s="18" t="n">
        <v>40</v>
      </c>
      <c r="S3" s="18" t="n">
        <v>0.2</v>
      </c>
      <c r="T3" s="18" t="n">
        <v>0.15</v>
      </c>
      <c r="U3" s="18" t="n">
        <v>0.15</v>
      </c>
    </row>
    <row r="4">
      <c r="A4" s="18" t="inlineStr">
        <is>
          <t xml:space="preserve">U023 </t>
        </is>
      </c>
      <c r="B4" s="18" t="inlineStr">
        <is>
          <t xml:space="preserve">ADM. FACULTAD DE FILOSOFIA Y LETRAS </t>
        </is>
      </c>
      <c r="C4" s="18" t="inlineStr">
        <is>
          <t xml:space="preserve">DOCTORADO EN FILOSOFÍA Y LETRAS </t>
        </is>
      </c>
      <c r="D4" s="18" t="inlineStr">
        <is>
          <t xml:space="preserve">Latorre Aizaga, Franklin Lenin </t>
        </is>
      </c>
      <c r="E4" s="18" t="inlineStr">
        <is>
          <t xml:space="preserve">IMPACTO DE LAS POLÍTICAS ECONOMICAS-LABORALES EN LAS CONDICIONES DE TRABAJO EN ECUADOR (2007-2017) </t>
        </is>
      </c>
      <c r="F4" s="18" t="inlineStr">
        <is>
          <t xml:space="preserve">23/10/2020 </t>
        </is>
      </c>
      <c r="G4" s="18" t="inlineStr">
        <is>
          <t xml:space="preserve">74218386P </t>
        </is>
      </c>
      <c r="H4" s="18" t="inlineStr">
        <is>
          <t xml:space="preserve">Codirector de tesis </t>
        </is>
      </c>
      <c r="I4" s="18" t="inlineStr">
        <is>
          <t xml:space="preserve">B120 </t>
        </is>
      </c>
      <c r="J4" s="18" t="inlineStr">
        <is>
          <t xml:space="preserve">GEOGRAFIA HUMANA </t>
        </is>
      </c>
      <c r="K4" s="18" t="n">
        <v>0.5</v>
      </c>
      <c r="L4" s="18" t="inlineStr">
        <is>
          <t>B120</t>
        </is>
      </c>
      <c r="M4" s="18" t="n">
        <v>2019</v>
      </c>
      <c r="N4" s="18" t="inlineStr">
        <is>
          <t>10.25</t>
        </is>
      </c>
      <c r="O4" s="18" t="n">
        <v>30</v>
      </c>
      <c r="P4" s="18" t="inlineStr">
        <is>
          <t>10.21</t>
        </is>
      </c>
      <c r="Q4" s="18" t="n">
        <v>30</v>
      </c>
      <c r="R4" s="18" t="n">
        <v>40</v>
      </c>
      <c r="S4" s="18" t="n">
        <v>0.2</v>
      </c>
      <c r="T4" s="18" t="n">
        <v>0.15</v>
      </c>
      <c r="U4" s="18" t="n">
        <v>0.15</v>
      </c>
    </row>
    <row r="5">
      <c r="A5" s="18" t="inlineStr">
        <is>
          <t xml:space="preserve">U023 </t>
        </is>
      </c>
      <c r="B5" s="18" t="inlineStr">
        <is>
          <t xml:space="preserve">ADM. FACULTAD DE FILOSOFIA Y LETRAS </t>
        </is>
      </c>
      <c r="C5" s="18" t="inlineStr">
        <is>
          <t xml:space="preserve">DOCTORADO EN FILOSOFÍA Y LETRAS </t>
        </is>
      </c>
      <c r="D5" s="18" t="inlineStr">
        <is>
          <t xml:space="preserve">García Serrano, Irma </t>
        </is>
      </c>
      <c r="E5" s="18" t="inlineStr">
        <is>
          <t xml:space="preserve">FACTORES SOCIOECONÓMICOS Y CULTURALES QUE EXPLICAN EL DESARROLLO COMUNITARIO EN ECUADOR. Incidencia de la cooperación internacional en comunidades de la parroquia de Cangahua, Cantón Cayambe, Provincia de Pichincha </t>
        </is>
      </c>
      <c r="F5" s="18" t="inlineStr">
        <is>
          <t xml:space="preserve">29/09/2021 </t>
        </is>
      </c>
      <c r="G5" s="18" t="inlineStr">
        <is>
          <t xml:space="preserve">74218386P </t>
        </is>
      </c>
      <c r="H5" s="18" t="inlineStr">
        <is>
          <t xml:space="preserve">Director de tesis </t>
        </is>
      </c>
      <c r="I5" s="18" t="inlineStr">
        <is>
          <t xml:space="preserve">B120 </t>
        </is>
      </c>
      <c r="J5" s="18" t="inlineStr">
        <is>
          <t xml:space="preserve">GEOGRAFIA HUMANA </t>
        </is>
      </c>
      <c r="K5" s="18" t="n">
        <v>1</v>
      </c>
      <c r="L5" s="18" t="inlineStr">
        <is>
          <t>B120</t>
        </is>
      </c>
      <c r="M5" s="18" t="n">
        <v>2020</v>
      </c>
      <c r="N5" s="18" t="inlineStr">
        <is>
          <t>10.25</t>
        </is>
      </c>
      <c r="O5" s="18" t="n">
        <v>30</v>
      </c>
      <c r="P5" s="18" t="inlineStr">
        <is>
          <t>10.21</t>
        </is>
      </c>
      <c r="Q5" s="18" t="n">
        <v>30</v>
      </c>
      <c r="R5" s="18" t="n">
        <v>40</v>
      </c>
      <c r="S5" s="18" t="n">
        <v>0.4</v>
      </c>
      <c r="T5" s="18" t="n">
        <v>0.3</v>
      </c>
      <c r="U5" s="18" t="n">
        <v>0.3</v>
      </c>
    </row>
    <row r="6">
      <c r="A6" s="18" t="inlineStr">
        <is>
          <t xml:space="preserve">U023 </t>
        </is>
      </c>
      <c r="B6" s="18" t="inlineStr">
        <is>
          <t xml:space="preserve">ADM. FACULTAD DE FILOSOFIA Y LETRAS </t>
        </is>
      </c>
      <c r="C6" s="18" t="inlineStr">
        <is>
          <t xml:space="preserve">DOCTORADO EN FILOSOFÍA Y LETRAS </t>
        </is>
      </c>
      <c r="D6" s="18" t="inlineStr">
        <is>
          <t xml:space="preserve">Ayón Villafuerte, Libia Soledad </t>
        </is>
      </c>
      <c r="E6" s="18" t="inlineStr">
        <is>
          <t xml:space="preserve">El ecoturismo en el perfil costero de Manabí (Ecuador). Estudio de caso Puerto López </t>
        </is>
      </c>
      <c r="F6" s="18" t="inlineStr">
        <is>
          <t xml:space="preserve">09/06/2022 </t>
        </is>
      </c>
      <c r="G6" s="18" t="inlineStr">
        <is>
          <t xml:space="preserve">74218386P </t>
        </is>
      </c>
      <c r="H6" s="18" t="inlineStr">
        <is>
          <t xml:space="preserve">Director de tesis </t>
        </is>
      </c>
      <c r="I6" s="18" t="inlineStr">
        <is>
          <t xml:space="preserve">B120 </t>
        </is>
      </c>
      <c r="J6" s="18" t="inlineStr">
        <is>
          <t xml:space="preserve">GEOGRAFIA HUMANA </t>
        </is>
      </c>
      <c r="K6" s="18" t="n">
        <v>1</v>
      </c>
      <c r="L6" s="18" t="inlineStr">
        <is>
          <t>B120</t>
        </is>
      </c>
      <c r="M6" s="18" t="n">
        <v>2021</v>
      </c>
      <c r="N6" s="18" t="inlineStr">
        <is>
          <t>10.25</t>
        </is>
      </c>
      <c r="O6" s="18" t="n">
        <v>30</v>
      </c>
      <c r="P6" s="18" t="inlineStr">
        <is>
          <t>10.21</t>
        </is>
      </c>
      <c r="Q6" s="18" t="n">
        <v>30</v>
      </c>
      <c r="R6" s="18" t="n">
        <v>40</v>
      </c>
      <c r="S6" s="18" t="n">
        <v>0.4</v>
      </c>
      <c r="T6" s="18" t="n">
        <v>0.3</v>
      </c>
      <c r="U6" s="18" t="n">
        <v>0.3</v>
      </c>
    </row>
    <row r="7">
      <c r="A7" s="18" t="inlineStr">
        <is>
          <t xml:space="preserve">U023 </t>
        </is>
      </c>
      <c r="B7" s="18" t="inlineStr">
        <is>
          <t xml:space="preserve">ADM. FACULTAD DE FILOSOFIA Y LETRAS </t>
        </is>
      </c>
      <c r="C7" s="18" t="inlineStr">
        <is>
          <t xml:space="preserve">DOCTORADO EN FILOSOFÍA Y LETRAS </t>
        </is>
      </c>
      <c r="D7" s="18" t="inlineStr">
        <is>
          <t xml:space="preserve">Lázaro Pérez, Miguel Ángel </t>
        </is>
      </c>
      <c r="E7" s="18" t="inlineStr">
        <is>
          <t xml:space="preserve">Imperialismo y Teoría marxista de la dependencia </t>
        </is>
      </c>
      <c r="F7" s="18" t="inlineStr">
        <is>
          <t xml:space="preserve">22/03/2022 </t>
        </is>
      </c>
      <c r="G7" s="18" t="inlineStr">
        <is>
          <t xml:space="preserve">10078923R </t>
        </is>
      </c>
      <c r="H7" s="18" t="inlineStr">
        <is>
          <t xml:space="preserve">Director de tesis </t>
        </is>
      </c>
      <c r="I7" s="18" t="inlineStr">
        <is>
          <t xml:space="preserve">B120 </t>
        </is>
      </c>
      <c r="J7" s="18" t="inlineStr">
        <is>
          <t xml:space="preserve">GEOGRAFIA HUMANA </t>
        </is>
      </c>
      <c r="K7" s="18" t="n">
        <v>1</v>
      </c>
      <c r="L7" s="18" t="inlineStr">
        <is>
          <t>B120</t>
        </is>
      </c>
      <c r="M7" s="18" t="n">
        <v>2021</v>
      </c>
      <c r="N7" s="18" t="inlineStr">
        <is>
          <t>10.25</t>
        </is>
      </c>
      <c r="O7" s="18" t="n">
        <v>30</v>
      </c>
      <c r="P7" s="18" t="inlineStr"/>
      <c r="Q7" s="18" t="n">
        <v>0</v>
      </c>
      <c r="R7" s="18" t="n">
        <v>70</v>
      </c>
      <c r="S7" s="18" t="n">
        <v>0.7</v>
      </c>
      <c r="T7" s="18" t="n">
        <v>0.3</v>
      </c>
      <c r="U7" s="18" t="n">
        <v>0</v>
      </c>
    </row>
    <row r="8">
      <c r="A8" s="18" t="inlineStr">
        <is>
          <t xml:space="preserve">U023 </t>
        </is>
      </c>
      <c r="B8" s="18" t="inlineStr">
        <is>
          <t xml:space="preserve">ADM. FACULTAD DE FILOSOFIA Y LETRAS </t>
        </is>
      </c>
      <c r="C8" s="18" t="inlineStr">
        <is>
          <t xml:space="preserve">DOCTORADO EN FILOSOFÍA Y LETRAS </t>
        </is>
      </c>
      <c r="D8" s="18" t="inlineStr">
        <is>
          <t xml:space="preserve">Flores Águila, Melissa Andrea </t>
        </is>
      </c>
      <c r="E8" s="18" t="inlineStr">
        <is>
          <t xml:space="preserve">Desarrollo Local inclusivo: Cohesión territorial y experiencias de innovación en la inclusión social de personas con discapacidad: El caso de la Región de Magallanes, Chile. </t>
        </is>
      </c>
      <c r="F8" s="18" t="inlineStr">
        <is>
          <t xml:space="preserve">20/06/2022 </t>
        </is>
      </c>
      <c r="G8" s="18" t="inlineStr">
        <is>
          <t xml:space="preserve">44769069Y </t>
        </is>
      </c>
      <c r="H8" s="18" t="inlineStr">
        <is>
          <t xml:space="preserve">Director de tesis </t>
        </is>
      </c>
      <c r="I8" s="18" t="inlineStr">
        <is>
          <t xml:space="preserve">B120 </t>
        </is>
      </c>
      <c r="J8" s="18" t="inlineStr">
        <is>
          <t xml:space="preserve">GEOGRAFIA HUMANA </t>
        </is>
      </c>
      <c r="K8" s="18" t="n">
        <v>1</v>
      </c>
      <c r="L8" s="18" t="inlineStr">
        <is>
          <t>B120</t>
        </is>
      </c>
      <c r="M8" s="18" t="n">
        <v>2021</v>
      </c>
      <c r="N8" s="18" t="inlineStr"/>
      <c r="O8" s="18" t="inlineStr"/>
      <c r="P8" s="18" t="inlineStr"/>
      <c r="Q8" s="18" t="inlineStr"/>
      <c r="R8" s="18" t="n">
        <v>100</v>
      </c>
      <c r="S8" s="18" t="n">
        <v>1</v>
      </c>
      <c r="T8" s="18" t="n">
        <v>0</v>
      </c>
      <c r="U8" s="18" t="n">
        <v>0</v>
      </c>
    </row>
    <row r="9">
      <c r="A9" s="18" t="inlineStr">
        <is>
          <t xml:space="preserve">U023 </t>
        </is>
      </c>
      <c r="B9" s="18" t="inlineStr">
        <is>
          <t xml:space="preserve">ADM. FACULTAD DE FILOSOFIA Y LETRAS </t>
        </is>
      </c>
      <c r="C9" s="18" t="inlineStr">
        <is>
          <t xml:space="preserve">DOCTORADO EN FILOSOFÍA Y LETRAS </t>
        </is>
      </c>
      <c r="D9" s="18" t="inlineStr">
        <is>
          <t xml:space="preserve">Vázquez Pérez, Antonio </t>
        </is>
      </c>
      <c r="E9" s="18" t="inlineStr">
        <is>
          <t xml:space="preserve">El manejo de fuentes renovables de energía para el desarrollo local endógeno y sostenible en la provincia de Manabí (Ecuador) </t>
        </is>
      </c>
      <c r="F9" s="18" t="inlineStr">
        <is>
          <t xml:space="preserve">08/03/2022 </t>
        </is>
      </c>
      <c r="G9" s="18" t="inlineStr">
        <is>
          <t xml:space="preserve">74211761F </t>
        </is>
      </c>
      <c r="H9" s="18" t="inlineStr">
        <is>
          <t xml:space="preserve">Director de tesis </t>
        </is>
      </c>
      <c r="I9" s="18" t="inlineStr">
        <is>
          <t xml:space="preserve">B120 </t>
        </is>
      </c>
      <c r="J9" s="18" t="inlineStr">
        <is>
          <t xml:space="preserve">GEOGRAFIA HUMANA </t>
        </is>
      </c>
      <c r="K9" s="18" t="n">
        <v>1</v>
      </c>
      <c r="L9" s="18" t="inlineStr">
        <is>
          <t>B120</t>
        </is>
      </c>
      <c r="M9" s="18" t="n">
        <v>2021</v>
      </c>
      <c r="N9" s="18" t="inlineStr">
        <is>
          <t>10.21</t>
        </is>
      </c>
      <c r="O9" s="18" t="n">
        <v>10</v>
      </c>
      <c r="P9" s="18" t="inlineStr"/>
      <c r="Q9" s="18" t="n">
        <v>0</v>
      </c>
      <c r="R9" s="18" t="n">
        <v>90</v>
      </c>
      <c r="S9" s="18" t="n">
        <v>0.9</v>
      </c>
      <c r="T9" s="18" t="n">
        <v>0.1</v>
      </c>
      <c r="U9" s="18" t="n">
        <v>0</v>
      </c>
    </row>
    <row r="10">
      <c r="A10" s="18" t="inlineStr">
        <is>
          <t xml:space="preserve">U075 </t>
        </is>
      </c>
      <c r="B10" s="18" t="inlineStr">
        <is>
          <t xml:space="preserve">ADM. I.U.INVESTIGACIÓN DE ESTUDIOS SOCIALES DE AMÉRICA LATINA </t>
        </is>
      </c>
      <c r="C10" s="18" t="inlineStr">
        <is>
          <t xml:space="preserve">DOCTORADO EN HUMANIDADES Y ESTUDIOS SOCIALES DE AMÉRICA LATINA </t>
        </is>
      </c>
      <c r="D10" s="18" t="inlineStr">
        <is>
          <t xml:space="preserve">Demarchi Sánchez, Geydi Dahiana </t>
        </is>
      </c>
      <c r="E10" s="18" t="inlineStr">
        <is>
          <t xml:space="preserve">Gestión educativa y curricular en la educación superior. reflexiones desde las pruebas saber pro en Medellín ¿Colombia </t>
        </is>
      </c>
      <c r="F10" s="18" t="inlineStr">
        <is>
          <t xml:space="preserve">12/09/2022 </t>
        </is>
      </c>
      <c r="G10" s="18" t="inlineStr">
        <is>
          <t xml:space="preserve">74218386P </t>
        </is>
      </c>
      <c r="H10" s="18" t="inlineStr">
        <is>
          <t xml:space="preserve">Director de tesis </t>
        </is>
      </c>
      <c r="I10" s="18" t="inlineStr">
        <is>
          <t xml:space="preserve">B120 </t>
        </is>
      </c>
      <c r="J10" s="18" t="inlineStr">
        <is>
          <t xml:space="preserve">GEOGRAFIA HUMANA </t>
        </is>
      </c>
      <c r="K10" s="18" t="n">
        <v>1</v>
      </c>
      <c r="L10" s="18" t="inlineStr">
        <is>
          <t>B120</t>
        </is>
      </c>
      <c r="M10" s="18" t="n">
        <v>2021</v>
      </c>
      <c r="N10" s="18" t="inlineStr">
        <is>
          <t>10.25</t>
        </is>
      </c>
      <c r="O10" s="18" t="n">
        <v>30</v>
      </c>
      <c r="P10" s="18" t="inlineStr">
        <is>
          <t>10.21</t>
        </is>
      </c>
      <c r="Q10" s="18" t="n">
        <v>30</v>
      </c>
      <c r="R10" s="18" t="n">
        <v>40</v>
      </c>
      <c r="S10" s="18" t="n">
        <v>0.4</v>
      </c>
      <c r="T10" s="18" t="n">
        <v>0.3</v>
      </c>
      <c r="U10" s="18" t="n">
        <v>0.3</v>
      </c>
    </row>
    <row r="11">
      <c r="A11" s="18" t="inlineStr">
        <is>
          <t xml:space="preserve">U023 </t>
        </is>
      </c>
      <c r="B11" s="18" t="inlineStr">
        <is>
          <t xml:space="preserve">ADM. FACULTAD DE FILOSOFIA Y LETRAS </t>
        </is>
      </c>
      <c r="C11" s="18" t="inlineStr">
        <is>
          <t xml:space="preserve">DOCTORADO EN FILOSOFÍA Y LETRAS </t>
        </is>
      </c>
      <c r="D11" s="18" t="inlineStr">
        <is>
          <t xml:space="preserve">Romera Tébar, Cristina </t>
        </is>
      </c>
      <c r="E11" s="18" t="inlineStr">
        <is>
          <t xml:space="preserve">La minería del azufre en Hellín y sectores adyacentes (Albacete). Improntas territoriales desde época romana hasta la conformación de sus múltiples dimensiones patrimoniales y sus posibilidades de aprovechamiento. </t>
        </is>
      </c>
      <c r="F11" s="18" t="inlineStr">
        <is>
          <t xml:space="preserve">27/09/2022 </t>
        </is>
      </c>
      <c r="G11" s="18" t="inlineStr">
        <is>
          <t xml:space="preserve">21424313C </t>
        </is>
      </c>
      <c r="H11" s="18" t="inlineStr">
        <is>
          <t xml:space="preserve">Director de tesis </t>
        </is>
      </c>
      <c r="I11" s="18" t="inlineStr">
        <is>
          <t xml:space="preserve">B120 </t>
        </is>
      </c>
      <c r="J11" s="18" t="inlineStr">
        <is>
          <t xml:space="preserve">GEOGRAFIA HUMANA </t>
        </is>
      </c>
      <c r="K11" s="18" t="n">
        <v>1</v>
      </c>
      <c r="L11" s="18" t="inlineStr">
        <is>
          <t>B120</t>
        </is>
      </c>
      <c r="M11" s="18" t="n">
        <v>2021</v>
      </c>
      <c r="N11" s="18" t="inlineStr"/>
      <c r="O11" s="18" t="inlineStr"/>
      <c r="P11" s="18" t="inlineStr"/>
      <c r="Q11" s="18" t="inlineStr"/>
      <c r="R11" s="18" t="n">
        <v>100</v>
      </c>
      <c r="S11" s="18" t="n">
        <v>1</v>
      </c>
      <c r="T11" s="18" t="n">
        <v>0</v>
      </c>
      <c r="U11" s="18" t="n">
        <v>0</v>
      </c>
    </row>
    <row r="12">
      <c r="A12" s="18" t="inlineStr">
        <is>
          <t xml:space="preserve">U023 </t>
        </is>
      </c>
      <c r="B12" s="18" t="inlineStr">
        <is>
          <t xml:space="preserve">ADM. FACULTAD DE FILOSOFIA Y LETRAS </t>
        </is>
      </c>
      <c r="C12" s="18" t="inlineStr">
        <is>
          <t xml:space="preserve">DOCTORADO EN FILOSOFÍA Y LETRAS </t>
        </is>
      </c>
      <c r="D12" s="18" t="inlineStr">
        <is>
          <t>Naranjo Llupart, María Rosa</t>
        </is>
      </c>
      <c r="E12" s="18" t="inlineStr">
        <is>
          <t xml:space="preserve">Turismo en Ecuador. Modelos de desarrollo y propuestas estratégicas. Caso de estudio modelo teórico para el análisis del turismo comunitario. </t>
        </is>
      </c>
      <c r="F12" s="18" t="inlineStr">
        <is>
          <t xml:space="preserve">10/02/2023 </t>
        </is>
      </c>
      <c r="G12" s="18" t="inlineStr">
        <is>
          <t xml:space="preserve">48533253X </t>
        </is>
      </c>
      <c r="H12" s="18" t="inlineStr">
        <is>
          <t xml:space="preserve">Director de tesis </t>
        </is>
      </c>
      <c r="I12" s="18" t="inlineStr">
        <is>
          <t xml:space="preserve">B120 </t>
        </is>
      </c>
      <c r="J12" s="18" t="inlineStr">
        <is>
          <t xml:space="preserve">GEOGRAFIA HUMANA </t>
        </is>
      </c>
      <c r="K12" s="18" t="n">
        <v>1</v>
      </c>
      <c r="L12" s="18" t="inlineStr">
        <is>
          <t>B120</t>
        </is>
      </c>
      <c r="M12" s="18" t="n">
        <v>2022</v>
      </c>
      <c r="N12" s="18" t="inlineStr"/>
      <c r="O12" s="18" t="inlineStr"/>
      <c r="P12" s="18" t="inlineStr"/>
      <c r="Q12" s="18" t="inlineStr"/>
      <c r="R12" s="18" t="n">
        <v>100</v>
      </c>
      <c r="S12" s="18" t="n">
        <v>1</v>
      </c>
      <c r="T12" s="18" t="n">
        <v>0</v>
      </c>
      <c r="U12" s="18" t="n">
        <v>0</v>
      </c>
    </row>
    <row r="13">
      <c r="A13" s="18" t="inlineStr">
        <is>
          <t xml:space="preserve">U023 </t>
        </is>
      </c>
      <c r="B13" s="18" t="inlineStr">
        <is>
          <t xml:space="preserve">ADM. FACULTAD DE FILOSOFIA Y LETRAS </t>
        </is>
      </c>
      <c r="C13" s="18" t="inlineStr">
        <is>
          <t xml:space="preserve">DOCTORADO EN FILOSOFÍA Y LETRAS </t>
        </is>
      </c>
      <c r="D13" s="18" t="inlineStr">
        <is>
          <t>Pelegrín Naranjo, Lestter</t>
        </is>
      </c>
      <c r="E13" s="18" t="inlineStr">
        <is>
          <t xml:space="preserve">Modelos y propuestas estratégicas del turismo en Cuba. Trinidad y Camajuaní </t>
        </is>
      </c>
      <c r="F13" s="18" t="inlineStr">
        <is>
          <t xml:space="preserve">12/09/2023 </t>
        </is>
      </c>
      <c r="G13" s="18" t="inlineStr">
        <is>
          <t xml:space="preserve">44774024Q </t>
        </is>
      </c>
      <c r="H13" s="18" t="inlineStr">
        <is>
          <t xml:space="preserve">Director de tesis </t>
        </is>
      </c>
      <c r="I13" s="18" t="inlineStr">
        <is>
          <t xml:space="preserve">B120 </t>
        </is>
      </c>
      <c r="J13" s="18" t="inlineStr">
        <is>
          <t xml:space="preserve">GEOGRAFIA HUMANA </t>
        </is>
      </c>
      <c r="K13" s="18" t="n">
        <v>1</v>
      </c>
      <c r="L13" s="18" t="inlineStr">
        <is>
          <t>B120</t>
        </is>
      </c>
      <c r="M13" s="18" t="n">
        <v>2022</v>
      </c>
      <c r="N13" s="18" t="inlineStr">
        <is>
          <t>10.21</t>
        </is>
      </c>
      <c r="O13" s="18" t="n">
        <v>10</v>
      </c>
      <c r="P13" s="18" t="inlineStr"/>
      <c r="Q13" s="18" t="n">
        <v>0</v>
      </c>
      <c r="R13" s="18" t="n">
        <v>90</v>
      </c>
      <c r="S13" s="18" t="n">
        <v>0.9</v>
      </c>
      <c r="T13" s="18" t="n">
        <v>0.1</v>
      </c>
      <c r="U13" s="18" t="n">
        <v>0</v>
      </c>
    </row>
    <row r="14">
      <c r="A14" s="18" t="inlineStr">
        <is>
          <t xml:space="preserve">U036 </t>
        </is>
      </c>
      <c r="B14" s="18" t="inlineStr">
        <is>
          <t xml:space="preserve">ADM. FACULTAD DE CIENCIAS ECONÓMICAS </t>
        </is>
      </c>
      <c r="C14" s="18" t="inlineStr">
        <is>
          <t xml:space="preserve">DOCTORADO EN EMPRESA, ECONOMÍA Y SOCIEDAD </t>
        </is>
      </c>
      <c r="D14" s="18" t="inlineStr">
        <is>
          <t>Payá Pérez, Virginia Sofía</t>
        </is>
      </c>
      <c r="E14" s="18" t="inlineStr">
        <is>
          <t xml:space="preserve">Ecosistema Urbano de Emprendimiento: Factores Clave para la Innovación en los Centros Históricos a través de la Economía Creativa. </t>
        </is>
      </c>
      <c r="F14" s="18" t="inlineStr">
        <is>
          <t xml:space="preserve">15/09/2023 </t>
        </is>
      </c>
      <c r="G14" s="18" t="inlineStr">
        <is>
          <t xml:space="preserve">74218386P </t>
        </is>
      </c>
      <c r="H14" s="18" t="inlineStr">
        <is>
          <t xml:space="preserve">Codirector de tesis </t>
        </is>
      </c>
      <c r="I14" s="18" t="inlineStr">
        <is>
          <t xml:space="preserve">B120 </t>
        </is>
      </c>
      <c r="J14" s="18" t="inlineStr">
        <is>
          <t xml:space="preserve">GEOGRAFIA HUMANA </t>
        </is>
      </c>
      <c r="K14" s="18" t="n">
        <v>0.5</v>
      </c>
      <c r="L14" s="18" t="inlineStr">
        <is>
          <t>B120</t>
        </is>
      </c>
      <c r="M14" s="18" t="n">
        <v>2022</v>
      </c>
      <c r="N14" s="18" t="inlineStr">
        <is>
          <t>10.25</t>
        </is>
      </c>
      <c r="O14" s="18" t="n">
        <v>30</v>
      </c>
      <c r="P14" s="18" t="inlineStr">
        <is>
          <t>10.21</t>
        </is>
      </c>
      <c r="Q14" s="18" t="n">
        <v>30</v>
      </c>
      <c r="R14" s="18" t="n">
        <v>40</v>
      </c>
      <c r="S14" s="18" t="n">
        <v>0.2</v>
      </c>
      <c r="T14" s="18" t="n">
        <v>0.15</v>
      </c>
      <c r="U14" s="18" t="n">
        <v>0.15</v>
      </c>
    </row>
    <row r="15">
      <c r="A15" s="18" t="inlineStr">
        <is>
          <t xml:space="preserve">U058 </t>
        </is>
      </c>
      <c r="B15" s="18" t="inlineStr">
        <is>
          <t xml:space="preserve">I.U. DE INVESTIGACIONES TURÍSTICAS (10.17) </t>
        </is>
      </c>
      <c r="C15" s="18" t="inlineStr">
        <is>
          <t xml:space="preserve">DOCTORADO EN TURISMO </t>
        </is>
      </c>
      <c r="D15" s="18" t="inlineStr">
        <is>
          <t>Garcia Reinoso, Nelson</t>
        </is>
      </c>
      <c r="E15" s="18" t="inlineStr">
        <is>
          <t xml:space="preserve">Desarrollo territorial sostenible del turismo en Manabí, Ecuador. Modelos y estrategias </t>
        </is>
      </c>
      <c r="F15" s="18" t="inlineStr">
        <is>
          <t xml:space="preserve">16/12/2022 </t>
        </is>
      </c>
      <c r="G15" s="18" t="inlineStr">
        <is>
          <t xml:space="preserve">74218386P </t>
        </is>
      </c>
      <c r="H15" s="18" t="inlineStr">
        <is>
          <t xml:space="preserve">Codirector de tesis </t>
        </is>
      </c>
      <c r="I15" s="18" t="inlineStr">
        <is>
          <t xml:space="preserve">B120 </t>
        </is>
      </c>
      <c r="J15" s="18" t="inlineStr">
        <is>
          <t xml:space="preserve">GEOGRAFIA HUMANA </t>
        </is>
      </c>
      <c r="K15" s="18" t="n">
        <v>0.5</v>
      </c>
      <c r="L15" s="18" t="inlineStr">
        <is>
          <t>B120</t>
        </is>
      </c>
      <c r="M15" s="18" t="n">
        <v>2022</v>
      </c>
      <c r="N15" s="18" t="inlineStr">
        <is>
          <t>10.25</t>
        </is>
      </c>
      <c r="O15" s="18" t="n">
        <v>30</v>
      </c>
      <c r="P15" s="18" t="inlineStr">
        <is>
          <t>10.21</t>
        </is>
      </c>
      <c r="Q15" s="18" t="n">
        <v>30</v>
      </c>
      <c r="R15" s="18" t="n">
        <v>40</v>
      </c>
      <c r="S15" s="18" t="n">
        <v>0.2</v>
      </c>
      <c r="T15" s="18" t="n">
        <v>0.15</v>
      </c>
      <c r="U15" s="18" t="n">
        <v>0.15</v>
      </c>
    </row>
    <row r="16">
      <c r="A16" s="18" t="inlineStr">
        <is>
          <t xml:space="preserve">U075 </t>
        </is>
      </c>
      <c r="B16" s="18" t="inlineStr">
        <is>
          <t xml:space="preserve">I.U.INVESTIGACIÓN DE ESTUDIOS SOCIALES DE AMÉRICA LATINA (10.25) </t>
        </is>
      </c>
      <c r="C16" s="18" t="inlineStr">
        <is>
          <t xml:space="preserve">DOCTORADO EN HUMANIDADES Y ESTUDIOS SOCIALES DE AMÉRICA LATINA </t>
        </is>
      </c>
      <c r="D16" s="18" t="inlineStr">
        <is>
          <t>Devesa Morcillo, Roberto</t>
        </is>
      </c>
      <c r="E16" s="18" t="inlineStr">
        <is>
          <t xml:space="preserve">Cine y turismo en la provincia de Alicante: las oportunidades perdidas para la creación de productos de turismo cinematográfico. </t>
        </is>
      </c>
      <c r="F16" s="18" t="inlineStr">
        <is>
          <t xml:space="preserve">01/02/2023 </t>
        </is>
      </c>
      <c r="G16" s="18" t="inlineStr">
        <is>
          <t xml:space="preserve">74218386P </t>
        </is>
      </c>
      <c r="H16" s="18" t="inlineStr">
        <is>
          <t xml:space="preserve">Director de tesis </t>
        </is>
      </c>
      <c r="I16" s="18" t="inlineStr">
        <is>
          <t xml:space="preserve">B120 </t>
        </is>
      </c>
      <c r="J16" s="18" t="inlineStr">
        <is>
          <t xml:space="preserve">GEOGRAFIA HUMANA </t>
        </is>
      </c>
      <c r="K16" s="18" t="n">
        <v>1</v>
      </c>
      <c r="L16" s="18" t="inlineStr">
        <is>
          <t>B120</t>
        </is>
      </c>
      <c r="M16" s="18" t="n">
        <v>2022</v>
      </c>
      <c r="N16" s="18" t="inlineStr">
        <is>
          <t>10.25</t>
        </is>
      </c>
      <c r="O16" s="18" t="n">
        <v>30</v>
      </c>
      <c r="P16" s="18" t="inlineStr">
        <is>
          <t>10.21</t>
        </is>
      </c>
      <c r="Q16" s="18" t="n">
        <v>30</v>
      </c>
      <c r="R16" s="18" t="n">
        <v>40</v>
      </c>
      <c r="S16" s="18" t="n">
        <v>0.4</v>
      </c>
      <c r="T16" s="18" t="n">
        <v>0.3</v>
      </c>
      <c r="U16" s="18" t="n">
        <v>0.3</v>
      </c>
    </row>
    <row r="17">
      <c r="A17" s="18" t="inlineStr">
        <is>
          <t xml:space="preserve">U023 </t>
        </is>
      </c>
      <c r="B17" s="18" t="inlineStr">
        <is>
          <t>ADM. FACULTAD DE FILOSOFIA Y LETRAS</t>
        </is>
      </c>
      <c r="C17" s="18" t="inlineStr">
        <is>
          <t>DOCTORADO EN FILOSOFÍA Y LETRAS</t>
        </is>
      </c>
      <c r="D17" s="18" t="inlineStr">
        <is>
          <t>Ponce Murcia, María</t>
        </is>
      </c>
      <c r="E17" s="18" t="inlineStr">
        <is>
          <t>Las Cortesanas. Las figuras silenciadas de la Historia del Arte.</t>
        </is>
      </c>
      <c r="F17" s="18" t="inlineStr">
        <is>
          <t>27/09/2023</t>
        </is>
      </c>
      <c r="G17" s="18" t="inlineStr">
        <is>
          <t xml:space="preserve">21389246M </t>
        </is>
      </c>
      <c r="H17" s="18" t="inlineStr">
        <is>
          <t>Codirector de tesis</t>
        </is>
      </c>
      <c r="I17" s="18" t="inlineStr">
        <is>
          <t>B120</t>
        </is>
      </c>
      <c r="J17" s="18" t="inlineStr">
        <is>
          <t>GEOGRAFIA HUMANA</t>
        </is>
      </c>
      <c r="K17" s="18" t="n">
        <v>0.5</v>
      </c>
      <c r="L17" s="18" t="inlineStr">
        <is>
          <t>B120</t>
        </is>
      </c>
      <c r="M17" s="18" t="n">
        <v>2022</v>
      </c>
      <c r="N17" s="18" t="inlineStr">
        <is>
          <t>10.21</t>
        </is>
      </c>
      <c r="O17" s="18" t="n">
        <v>30</v>
      </c>
      <c r="P17" s="18" t="inlineStr"/>
      <c r="Q17" s="18" t="n">
        <v>0</v>
      </c>
      <c r="R17" s="18" t="n">
        <v>70</v>
      </c>
      <c r="S17" s="18" t="n">
        <v>0.35</v>
      </c>
      <c r="T17" s="18" t="n">
        <v>0.15</v>
      </c>
      <c r="U17" s="18" t="n">
        <v>0</v>
      </c>
    </row>
    <row r="18">
      <c r="A18" s="18" t="inlineStr">
        <is>
          <t>U023</t>
        </is>
      </c>
      <c r="B18" s="18" t="inlineStr">
        <is>
          <t>ADM. FACULTAD DE FILOSOFIA Y LETRAS</t>
        </is>
      </c>
      <c r="C18" s="18" t="inlineStr">
        <is>
          <t>DOCTORADO EN FILOSOFÍA Y LETRAS</t>
        </is>
      </c>
      <c r="D18" s="18" t="inlineStr">
        <is>
          <t>Villacreses Viteri, Carlos Gustavo</t>
        </is>
      </c>
      <c r="E18" s="18" t="inlineStr">
        <is>
          <t>Análisis de la resiliencia territorial multidimensional frente al riesgo de desastres naturales en Manabí (Ecuador)</t>
        </is>
      </c>
      <c r="F18" s="18" t="inlineStr">
        <is>
          <t>26/04/2024</t>
        </is>
      </c>
      <c r="G18" s="18" t="inlineStr">
        <is>
          <t>44774024Q</t>
        </is>
      </c>
      <c r="H18" s="18" t="inlineStr">
        <is>
          <t>Director de tesis</t>
        </is>
      </c>
      <c r="I18" s="18" t="inlineStr">
        <is>
          <t>B120</t>
        </is>
      </c>
      <c r="J18" s="18" t="inlineStr">
        <is>
          <t>GEOGRAFIA HUMANA</t>
        </is>
      </c>
      <c r="K18" s="18" t="n">
        <v>1</v>
      </c>
      <c r="L18" s="18" t="inlineStr">
        <is>
          <t>B120</t>
        </is>
      </c>
      <c r="M18" s="18" t="n">
        <v>2023</v>
      </c>
      <c r="N18" s="18" t="inlineStr">
        <is>
          <t>10.21</t>
        </is>
      </c>
      <c r="O18" s="18" t="inlineStr">
        <is>
          <t>10</t>
        </is>
      </c>
      <c r="P18" s="18" t="inlineStr"/>
      <c r="Q18" s="18" t="inlineStr"/>
      <c r="R18" s="18" t="n">
        <v>90</v>
      </c>
      <c r="S18" s="18" t="n">
        <v>0.9</v>
      </c>
      <c r="T18" s="18" t="n">
        <v>0.1</v>
      </c>
      <c r="U18" s="18" t="n">
        <v>0</v>
      </c>
      <c r="V18" s="6" t="inlineStr">
        <is>
          <t>S</t>
        </is>
      </c>
    </row>
    <row r="19">
      <c r="A19" s="18" t="inlineStr">
        <is>
          <t>U023</t>
        </is>
      </c>
      <c r="B19" s="18" t="inlineStr">
        <is>
          <t>ADM. FACULTAD DE FILOSOFIA Y LETRAS</t>
        </is>
      </c>
      <c r="C19" s="18" t="inlineStr">
        <is>
          <t>DOCTORADO EN FILOSOFÍA Y LETRAS</t>
        </is>
      </c>
      <c r="D19" s="18" t="inlineStr">
        <is>
          <t>Montoro Sánchez, Elisa</t>
        </is>
      </c>
      <c r="E19" s="18" t="inlineStr">
        <is>
          <t>SEVERIANO SÁNCHEZ BALLESTA, ARQUITECTO (1884¿1943). SU ÉPOCA Y ENTORNO.</t>
        </is>
      </c>
      <c r="F19" s="18" t="inlineStr">
        <is>
          <t>15/03/2024</t>
        </is>
      </c>
      <c r="G19" s="18" t="inlineStr">
        <is>
          <t>21389246M</t>
        </is>
      </c>
      <c r="H19" s="18" t="inlineStr">
        <is>
          <t>Director de tesis</t>
        </is>
      </c>
      <c r="I19" s="18" t="inlineStr">
        <is>
          <t>B120</t>
        </is>
      </c>
      <c r="J19" s="18" t="inlineStr">
        <is>
          <t>GEOGRAFIA HUMANA</t>
        </is>
      </c>
      <c r="K19" s="18" t="n">
        <v>1</v>
      </c>
      <c r="L19" s="18" t="inlineStr">
        <is>
          <t>B120</t>
        </is>
      </c>
      <c r="M19" s="18" t="n">
        <v>2023</v>
      </c>
      <c r="N19" s="18" t="inlineStr">
        <is>
          <t>10.21</t>
        </is>
      </c>
      <c r="O19" s="18" t="inlineStr">
        <is>
          <t>30</t>
        </is>
      </c>
      <c r="P19" s="18" t="inlineStr"/>
      <c r="Q19" s="18" t="inlineStr"/>
      <c r="R19" s="18" t="n">
        <v>70</v>
      </c>
      <c r="S19" s="18" t="n">
        <v>0.7</v>
      </c>
      <c r="T19" s="18" t="n">
        <v>0.3</v>
      </c>
      <c r="U19" s="18" t="n">
        <v>0</v>
      </c>
      <c r="V19" s="6" t="inlineStr">
        <is>
          <t>S</t>
        </is>
      </c>
    </row>
    <row r="20">
      <c r="A20" s="18" t="inlineStr">
        <is>
          <t>U023</t>
        </is>
      </c>
      <c r="B20" s="18" t="inlineStr">
        <is>
          <t>ADM. FACULTAD DE FILOSOFIA Y LETRAS</t>
        </is>
      </c>
      <c r="C20" s="18" t="inlineStr">
        <is>
          <t>DOCTORADO EN FILOSOFÍA Y LETRAS</t>
        </is>
      </c>
      <c r="D20" s="18" t="inlineStr">
        <is>
          <t>Sánchez Gallardo, Francisco Javier</t>
        </is>
      </c>
      <c r="E20" s="18" t="inlineStr">
        <is>
          <t>Diálogo sobre Desarrollo Local y Empleo. Estudio del mercado de empleo de Torrevieja</t>
        </is>
      </c>
      <c r="F20" s="18" t="inlineStr">
        <is>
          <t>24/09/2024</t>
        </is>
      </c>
      <c r="G20" s="18" t="inlineStr">
        <is>
          <t>74218386P</t>
        </is>
      </c>
      <c r="H20" s="18" t="inlineStr">
        <is>
          <t>Director de tesis</t>
        </is>
      </c>
      <c r="I20" s="18" t="inlineStr">
        <is>
          <t>B120</t>
        </is>
      </c>
      <c r="J20" s="18" t="inlineStr">
        <is>
          <t>GEOGRAFIA HUMANA</t>
        </is>
      </c>
      <c r="K20" s="18" t="n">
        <v>1</v>
      </c>
      <c r="L20" s="18" t="inlineStr">
        <is>
          <t>B120</t>
        </is>
      </c>
      <c r="M20" s="18" t="n">
        <v>2023</v>
      </c>
      <c r="N20" s="18" t="inlineStr">
        <is>
          <t>10.25</t>
        </is>
      </c>
      <c r="O20" s="18" t="inlineStr">
        <is>
          <t>30</t>
        </is>
      </c>
      <c r="P20" s="18" t="inlineStr">
        <is>
          <t>10.21</t>
        </is>
      </c>
      <c r="Q20" s="18" t="inlineStr">
        <is>
          <t>30</t>
        </is>
      </c>
      <c r="R20" s="18" t="n">
        <v>40</v>
      </c>
      <c r="S20" s="18" t="n">
        <v>0.4</v>
      </c>
      <c r="T20" s="18" t="n">
        <v>0.3</v>
      </c>
      <c r="U20" s="18" t="n">
        <v>0.3</v>
      </c>
      <c r="V20" s="6" t="inlineStr">
        <is>
          <t>S</t>
        </is>
      </c>
    </row>
    <row r="21">
      <c r="A21" s="18" t="inlineStr">
        <is>
          <t>U075</t>
        </is>
      </c>
      <c r="B21" s="18" t="inlineStr">
        <is>
          <t>I.U.INVESTIGACIÓN DE ESTUDIOS SOCIALES DE AMÉRICA LATINA (10.25)</t>
        </is>
      </c>
      <c r="C21" s="18" t="inlineStr">
        <is>
          <t>DOCTORADO EN HUMANIDADES Y ESTUDIOS SOCIALES DE AMÉRICA LATINA</t>
        </is>
      </c>
      <c r="D21" s="18" t="inlineStr">
        <is>
          <t>Albuja Rivadeneira, Zoila Karina</t>
        </is>
      </c>
      <c r="E21" s="18" t="inlineStr">
        <is>
          <t>EL COOPERATIVISMO MODERNO ALIADO ESTRATÉGICO DEL DESARROLLO RURAL: De productor a empresario con visión social</t>
        </is>
      </c>
      <c r="F21" s="18" t="inlineStr">
        <is>
          <t>11/06/2024</t>
        </is>
      </c>
      <c r="G21" s="18" t="inlineStr">
        <is>
          <t>10078923R</t>
        </is>
      </c>
      <c r="H21" s="18" t="inlineStr">
        <is>
          <t>Director de tesis</t>
        </is>
      </c>
      <c r="I21" s="18" t="inlineStr">
        <is>
          <t>B120</t>
        </is>
      </c>
      <c r="J21" s="18" t="inlineStr">
        <is>
          <t>GEOGRAFIA HUMANA</t>
        </is>
      </c>
      <c r="K21" s="18" t="n">
        <v>1</v>
      </c>
      <c r="L21" s="18" t="inlineStr">
        <is>
          <t>B120</t>
        </is>
      </c>
      <c r="M21" s="18" t="n">
        <v>2023</v>
      </c>
      <c r="N21" s="18" t="inlineStr">
        <is>
          <t>10.25</t>
        </is>
      </c>
      <c r="O21" s="18" t="inlineStr">
        <is>
          <t>30</t>
        </is>
      </c>
      <c r="P21" s="18" t="inlineStr"/>
      <c r="Q21" s="18" t="inlineStr"/>
      <c r="R21" s="18" t="n">
        <v>70</v>
      </c>
      <c r="S21" s="18" t="n">
        <v>0.7</v>
      </c>
      <c r="T21" s="18" t="n">
        <v>0.3</v>
      </c>
      <c r="U21" s="18" t="n">
        <v>0</v>
      </c>
      <c r="V21" s="6" t="inlineStr">
        <is>
          <t>S</t>
        </is>
      </c>
    </row>
    <row r="22">
      <c r="A22" s="18" t="inlineStr">
        <is>
          <t>U023</t>
        </is>
      </c>
      <c r="B22" s="18" t="inlineStr">
        <is>
          <t>Administración Facultad de Filosofía y Letras</t>
        </is>
      </c>
      <c r="C22" s="18" t="inlineStr">
        <is>
          <t>DOCTORADO EN FILOSOFÍA Y LETRAS</t>
        </is>
      </c>
      <c r="D22" s="18" t="inlineStr">
        <is>
          <t>Sánchez Tarrago, Carlos</t>
        </is>
      </c>
      <c r="E22" s="18" t="inlineStr">
        <is>
          <t>Eduardo Ortega y Gasset (1882-1965). Referente intelectual y moral republicano, silenciado por el franquismo</t>
        </is>
      </c>
      <c r="F22" s="18" t="inlineStr">
        <is>
          <t>12/09/2025</t>
        </is>
      </c>
      <c r="G22" s="18" t="inlineStr">
        <is>
          <t>21389246M</t>
        </is>
      </c>
      <c r="H22" s="18" t="inlineStr">
        <is>
          <t>Director de tesis</t>
        </is>
      </c>
      <c r="I22" s="18" t="inlineStr">
        <is>
          <t>B120</t>
        </is>
      </c>
      <c r="J22" s="18" t="inlineStr">
        <is>
          <t>Geografía Humana</t>
        </is>
      </c>
      <c r="K22" s="18" t="n">
        <v>1</v>
      </c>
      <c r="L22" s="18" t="inlineStr">
        <is>
          <t>B120</t>
        </is>
      </c>
      <c r="M22" s="18" t="n">
        <v>2024</v>
      </c>
      <c r="N22" s="18" t="inlineStr"/>
      <c r="O22" s="18" t="inlineStr"/>
      <c r="P22" s="18" t="inlineStr"/>
      <c r="Q22" s="18" t="inlineStr"/>
      <c r="R22" s="18" t="n">
        <v>100</v>
      </c>
      <c r="S22" s="18" t="n">
        <v>1</v>
      </c>
      <c r="T22" s="18" t="n">
        <v>0</v>
      </c>
      <c r="U22" s="18" t="n">
        <v>0</v>
      </c>
    </row>
    <row r="23">
      <c r="A23" s="18" t="inlineStr">
        <is>
          <t>U023</t>
        </is>
      </c>
      <c r="B23" s="18" t="inlineStr">
        <is>
          <t>Administración Facultad de Filosofía y Letras</t>
        </is>
      </c>
      <c r="C23" s="18" t="inlineStr">
        <is>
          <t>DOCTORADO EN FILOSOFÍA Y LETRAS</t>
        </is>
      </c>
      <c r="D23" s="18" t="inlineStr">
        <is>
          <t>Linzán Saltos, María Fernanda</t>
        </is>
      </c>
      <c r="E23" s="18" t="inlineStr">
        <is>
          <t>La influencia de las narrativas en la política de infraestructura para el desarrollo rural. El caso de Manabí, Ecuador</t>
        </is>
      </c>
      <c r="F23" s="18" t="inlineStr">
        <is>
          <t>07/03/2025</t>
        </is>
      </c>
      <c r="G23" s="18" t="inlineStr">
        <is>
          <t>44774024Q</t>
        </is>
      </c>
      <c r="H23" s="18" t="inlineStr">
        <is>
          <t>Director de tesis</t>
        </is>
      </c>
      <c r="I23" s="18" t="inlineStr">
        <is>
          <t>B120</t>
        </is>
      </c>
      <c r="J23" s="18" t="inlineStr">
        <is>
          <t>Geografía Humana</t>
        </is>
      </c>
      <c r="K23" s="18" t="n">
        <v>1</v>
      </c>
      <c r="L23" s="18" t="inlineStr">
        <is>
          <t>B120</t>
        </is>
      </c>
      <c r="M23" s="18" t="n">
        <v>2024</v>
      </c>
      <c r="N23" s="18" t="inlineStr">
        <is>
          <t>10.21</t>
        </is>
      </c>
      <c r="O23" s="18" t="inlineStr">
        <is>
          <t>10</t>
        </is>
      </c>
      <c r="P23" s="18" t="inlineStr"/>
      <c r="Q23" s="18" t="inlineStr"/>
      <c r="R23" s="18" t="n">
        <v>90</v>
      </c>
      <c r="S23" s="18" t="n">
        <v>0.9</v>
      </c>
      <c r="T23" s="18" t="n">
        <v>0.1</v>
      </c>
      <c r="U23" s="18" t="n">
        <v>0</v>
      </c>
    </row>
    <row r="24">
      <c r="A24" s="18" t="inlineStr">
        <is>
          <t>U023</t>
        </is>
      </c>
      <c r="B24" s="18" t="inlineStr">
        <is>
          <t>Administración Facultad de Filosofía y Letras</t>
        </is>
      </c>
      <c r="C24" s="18" t="inlineStr">
        <is>
          <t>DOCTORADO EN FILOSOFÍA Y LETRAS</t>
        </is>
      </c>
      <c r="D24" s="18" t="inlineStr">
        <is>
          <t>Ávila Zambrano, José Leonardo</t>
        </is>
      </c>
      <c r="E24" s="18" t="inlineStr">
        <is>
          <t>El papel de los emprendedores artesanales en la comunidad La Pila de Montecristi en el desarrollo local de Manabí, Ecuador</t>
        </is>
      </c>
      <c r="F24" s="18" t="inlineStr">
        <is>
          <t>08/07/2025</t>
        </is>
      </c>
      <c r="G24" s="18" t="inlineStr">
        <is>
          <t>21516367M</t>
        </is>
      </c>
      <c r="H24" s="18" t="inlineStr">
        <is>
          <t>Director de tesis</t>
        </is>
      </c>
      <c r="I24" s="18" t="inlineStr">
        <is>
          <t>B120</t>
        </is>
      </c>
      <c r="J24" s="18" t="inlineStr">
        <is>
          <t>Geografía Humana</t>
        </is>
      </c>
      <c r="K24" s="18" t="n">
        <v>1</v>
      </c>
      <c r="L24" s="18" t="inlineStr">
        <is>
          <t>B120</t>
        </is>
      </c>
      <c r="M24" s="18" t="n">
        <v>2024</v>
      </c>
      <c r="N24" s="18" t="inlineStr"/>
      <c r="O24" s="18" t="inlineStr"/>
      <c r="P24" s="18" t="inlineStr"/>
      <c r="Q24" s="18" t="inlineStr"/>
      <c r="R24" s="18" t="n">
        <v>100</v>
      </c>
      <c r="S24" s="18" t="n">
        <v>1</v>
      </c>
      <c r="T24" s="18" t="n">
        <v>0</v>
      </c>
      <c r="U24" s="18" t="n">
        <v>0</v>
      </c>
    </row>
    <row r="25">
      <c r="A25" s="18" t="inlineStr">
        <is>
          <t>U023</t>
        </is>
      </c>
      <c r="B25" s="18" t="inlineStr">
        <is>
          <t>Administración Facultad de Filosofía y Letras</t>
        </is>
      </c>
      <c r="C25" s="18" t="inlineStr">
        <is>
          <t>DOCTORADO EN FILOSOFÍA Y LETRAS</t>
        </is>
      </c>
      <c r="D25" s="18" t="inlineStr">
        <is>
          <t>Vargas Mursulí, Flavia María</t>
        </is>
      </c>
      <c r="E25" s="18" t="inlineStr">
        <is>
          <t>Profesionales y herramientas para el desarrollo local en la provincia de Manabí. Evaluación y propuestas de futuro</t>
        </is>
      </c>
      <c r="F25" s="18" t="inlineStr">
        <is>
          <t>28/02/2025</t>
        </is>
      </c>
      <c r="G25" s="18" t="inlineStr">
        <is>
          <t>44774024Q</t>
        </is>
      </c>
      <c r="H25" s="18" t="inlineStr">
        <is>
          <t>Director de tesis</t>
        </is>
      </c>
      <c r="I25" s="18" t="inlineStr">
        <is>
          <t>B120</t>
        </is>
      </c>
      <c r="J25" s="18" t="inlineStr">
        <is>
          <t>Geografía Humana</t>
        </is>
      </c>
      <c r="K25" s="18" t="n">
        <v>1</v>
      </c>
      <c r="L25" s="18" t="inlineStr">
        <is>
          <t>B120</t>
        </is>
      </c>
      <c r="M25" s="18" t="n">
        <v>2024</v>
      </c>
      <c r="N25" s="18" t="inlineStr">
        <is>
          <t>10.21</t>
        </is>
      </c>
      <c r="O25" s="18" t="inlineStr">
        <is>
          <t>10</t>
        </is>
      </c>
      <c r="P25" s="18" t="inlineStr"/>
      <c r="Q25" s="18" t="inlineStr"/>
      <c r="R25" s="18" t="n">
        <v>90</v>
      </c>
      <c r="S25" s="18" t="n">
        <v>0.9</v>
      </c>
      <c r="T25" s="18" t="n">
        <v>0.1</v>
      </c>
      <c r="U25" s="18" t="n">
        <v>0</v>
      </c>
    </row>
    <row r="26">
      <c r="A26" s="18" t="inlineStr">
        <is>
          <t>U075</t>
        </is>
      </c>
      <c r="B26" s="18" t="inlineStr">
        <is>
          <t>Instituto Universitario Investigación de Estudios Sociales de América Latina (10</t>
        </is>
      </c>
      <c r="C26" s="18" t="inlineStr">
        <is>
          <t>DOCTORADO EN HUMANIDADES Y ESTUDIOS SOCIALES DE AMÉRICA LATINA</t>
        </is>
      </c>
      <c r="D26" s="18" t="inlineStr">
        <is>
          <t>Pérez Guevara, David Anacleto</t>
        </is>
      </c>
      <c r="E26" s="18" t="inlineStr">
        <is>
          <t>Metodología para la evaluación del potencial turístico de una localidad</t>
        </is>
      </c>
      <c r="F26" s="18" t="inlineStr">
        <is>
          <t>16/09/2025</t>
        </is>
      </c>
      <c r="G26" s="18" t="inlineStr">
        <is>
          <t>74218386P</t>
        </is>
      </c>
      <c r="H26" s="18" t="inlineStr">
        <is>
          <t>Codirector de tesis</t>
        </is>
      </c>
      <c r="I26" s="18" t="inlineStr">
        <is>
          <t>B120</t>
        </is>
      </c>
      <c r="J26" s="18" t="inlineStr">
        <is>
          <t>Geografía Humana</t>
        </is>
      </c>
      <c r="K26" s="18" t="n">
        <v>0.5</v>
      </c>
      <c r="L26" s="18" t="inlineStr">
        <is>
          <t>B120</t>
        </is>
      </c>
      <c r="M26" s="18" t="n">
        <v>2024</v>
      </c>
      <c r="N26" s="18" t="inlineStr">
        <is>
          <t>10.21</t>
        </is>
      </c>
      <c r="O26" s="18" t="inlineStr">
        <is>
          <t>30</t>
        </is>
      </c>
      <c r="P26" s="18" t="inlineStr">
        <is>
          <t>10.25</t>
        </is>
      </c>
      <c r="Q26" s="18" t="inlineStr">
        <is>
          <t>30</t>
        </is>
      </c>
      <c r="R26" s="18" t="n">
        <v>40</v>
      </c>
      <c r="S26" s="18" t="n">
        <v>0.2</v>
      </c>
      <c r="T26" s="18" t="n">
        <v>0.15</v>
      </c>
      <c r="U26" s="18" t="n">
        <v>0.15</v>
      </c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2" t="n"/>
      <c r="P27" s="31" t="n"/>
      <c r="Q27" s="32" t="n"/>
      <c r="R27" s="31" t="n"/>
      <c r="S27" s="37">
        <f>SUM(S2:S26)</f>
        <v/>
      </c>
      <c r="T27" s="31" t="n"/>
      <c r="U27" s="31" t="n"/>
    </row>
  </sheetData>
  <autoFilter ref="A1:U1">
    <sortState ref="A2:T1883">
      <sortCondition ref="K2:K1883"/>
      <sortCondition ref="L2:L1883"/>
      <sortCondition ref="D2:D1883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7"/>
  <sheetViews>
    <sheetView zoomScaleNormal="100" workbookViewId="0">
      <selection activeCell="G25" sqref="G25"/>
    </sheetView>
  </sheetViews>
  <sheetFormatPr baseColWidth="10" defaultColWidth="11.44140625" defaultRowHeight="13.2"/>
  <cols>
    <col width="10.5546875" bestFit="1" customWidth="1" style="11" min="1" max="1"/>
    <col width="39.4414062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10.109375" bestFit="1" customWidth="1" style="11" min="11" max="11"/>
    <col width="5.5546875" bestFit="1" customWidth="1" style="11" min="12" max="12"/>
    <col width="5.6640625" bestFit="1" customWidth="1" style="11" min="13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  <c r="U1" s="11" t="n"/>
    </row>
    <row r="2" ht="14.4" customHeight="1">
      <c r="A2" s="21" t="inlineStr">
        <is>
          <t>10078923R</t>
        </is>
      </c>
      <c r="B2" s="21" t="inlineStr">
        <is>
          <t>Gómez López, José Daniel</t>
        </is>
      </c>
      <c r="C2" s="22" t="inlineStr">
        <is>
          <t>Vivos</t>
        </is>
      </c>
      <c r="D2" s="21" t="n"/>
      <c r="E2" s="21" t="n"/>
      <c r="F2" s="21" t="n"/>
      <c r="G2" s="21" t="n"/>
      <c r="H2" s="21" t="n"/>
      <c r="I2" s="21" t="n">
        <v>1</v>
      </c>
      <c r="J2" s="16" t="n">
        <v>1</v>
      </c>
      <c r="K2" s="16" t="inlineStr">
        <is>
          <t>B120</t>
        </is>
      </c>
      <c r="L2" s="17" t="inlineStr">
        <is>
          <t>10.25</t>
        </is>
      </c>
      <c r="M2" s="17" t="inlineStr">
        <is>
          <t>30</t>
        </is>
      </c>
      <c r="N2" s="17" t="inlineStr"/>
      <c r="O2" s="17" t="inlineStr"/>
      <c r="P2" s="17" t="n">
        <v>70</v>
      </c>
      <c r="Q2" s="17" t="n">
        <v>0.3</v>
      </c>
      <c r="R2" s="17" t="n">
        <v>0</v>
      </c>
      <c r="S2" s="17" t="n">
        <v>0.7</v>
      </c>
    </row>
    <row r="3" ht="14.4" customHeight="1">
      <c r="A3" s="16" t="inlineStr">
        <is>
          <t>21424313C</t>
        </is>
      </c>
      <c r="B3" s="16" t="inlineStr">
        <is>
          <t>Segrelles Serrano, José Antonio</t>
        </is>
      </c>
      <c r="C3" s="16" t="inlineStr">
        <is>
          <t>FUNCIONARIO</t>
        </is>
      </c>
      <c r="D3" s="16" t="n">
        <v>1</v>
      </c>
      <c r="E3" s="16" t="n"/>
      <c r="F3" s="16" t="n"/>
      <c r="G3" s="16" t="n"/>
      <c r="H3" s="16" t="n"/>
      <c r="I3" s="16" t="n"/>
      <c r="J3" s="16" t="n">
        <v>1</v>
      </c>
      <c r="K3" s="16" t="inlineStr">
        <is>
          <t>B120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6" t="inlineStr">
        <is>
          <t>21516367M</t>
        </is>
      </c>
      <c r="B4" s="16" t="inlineStr">
        <is>
          <t>Sempere Souvannavong, Juan David</t>
        </is>
      </c>
      <c r="C4" s="16" t="inlineStr">
        <is>
          <t>FUNCIONARIO</t>
        </is>
      </c>
      <c r="D4" s="16" t="n"/>
      <c r="E4" s="16" t="n"/>
      <c r="F4" s="16" t="n">
        <v>1</v>
      </c>
      <c r="G4" s="16" t="n"/>
      <c r="H4" s="16" t="n"/>
      <c r="I4" s="16" t="n"/>
      <c r="J4" s="16" t="n">
        <v>1</v>
      </c>
      <c r="K4" s="16" t="inlineStr">
        <is>
          <t>B120</t>
        </is>
      </c>
      <c r="L4" s="17" t="n">
        <v>0</v>
      </c>
      <c r="M4" s="17" t="n">
        <v>0</v>
      </c>
      <c r="N4" s="17" t="inlineStr"/>
      <c r="O4" s="17" t="inlineStr"/>
      <c r="P4" s="17" t="n">
        <v>100</v>
      </c>
      <c r="Q4" s="17" t="n">
        <v>0</v>
      </c>
      <c r="R4" s="17" t="n">
        <v>0</v>
      </c>
      <c r="S4" s="17" t="n">
        <v>1</v>
      </c>
    </row>
    <row r="5" ht="14.4" customHeight="1">
      <c r="A5" s="16" t="inlineStr">
        <is>
          <t>21666342C</t>
        </is>
      </c>
      <c r="B5" s="16" t="inlineStr">
        <is>
          <t>Cortés Samper, Carlos</t>
        </is>
      </c>
      <c r="C5" s="16" t="inlineStr">
        <is>
          <t>NO FUNCIONARIO</t>
        </is>
      </c>
      <c r="D5" s="16" t="n"/>
      <c r="E5" s="16" t="n"/>
      <c r="F5" s="16" t="n"/>
      <c r="G5" s="16" t="n"/>
      <c r="H5" s="16" t="n">
        <v>1</v>
      </c>
      <c r="I5" s="16" t="n"/>
      <c r="J5" s="16" t="n">
        <v>1</v>
      </c>
      <c r="K5" s="16" t="inlineStr">
        <is>
          <t>B120</t>
        </is>
      </c>
      <c r="L5" s="17" t="n">
        <v>0</v>
      </c>
      <c r="M5" s="17" t="n">
        <v>0</v>
      </c>
      <c r="N5" s="17" t="inlineStr"/>
      <c r="O5" s="17" t="inlineStr"/>
      <c r="P5" s="17" t="n">
        <v>100</v>
      </c>
      <c r="Q5" s="17" t="n">
        <v>0</v>
      </c>
      <c r="R5" s="17" t="n">
        <v>0</v>
      </c>
      <c r="S5" s="17" t="n">
        <v>1</v>
      </c>
    </row>
    <row r="6" ht="14.4" customHeight="1">
      <c r="A6" s="16" t="inlineStr">
        <is>
          <t>21985529J</t>
        </is>
      </c>
      <c r="B6" s="16" t="inlineStr">
        <is>
          <t>Palazón Ferrando, Salvador</t>
        </is>
      </c>
      <c r="C6" s="23" t="inlineStr">
        <is>
          <t>Vivos</t>
        </is>
      </c>
      <c r="D6" s="16" t="n"/>
      <c r="E6" s="16" t="n"/>
      <c r="F6" s="16" t="n"/>
      <c r="G6" s="16" t="n"/>
      <c r="H6" s="16" t="n"/>
      <c r="I6" s="16" t="n">
        <v>1</v>
      </c>
      <c r="J6" s="16" t="n">
        <v>1</v>
      </c>
      <c r="K6" s="16" t="inlineStr">
        <is>
          <t>B120</t>
        </is>
      </c>
      <c r="L6" s="17" t="inlineStr">
        <is>
          <t>10.25</t>
        </is>
      </c>
      <c r="M6" s="17" t="inlineStr">
        <is>
          <t>10</t>
        </is>
      </c>
      <c r="N6" s="17" t="inlineStr"/>
      <c r="O6" s="17" t="inlineStr"/>
      <c r="P6" s="17" t="n">
        <v>90</v>
      </c>
      <c r="Q6" s="17" t="n">
        <v>0.1</v>
      </c>
      <c r="R6" s="17" t="n">
        <v>0</v>
      </c>
      <c r="S6" s="17" t="n">
        <v>0.9</v>
      </c>
    </row>
    <row r="7" ht="14.4" customHeight="1">
      <c r="A7" s="16" t="inlineStr">
        <is>
          <t>22108770C</t>
        </is>
      </c>
      <c r="B7" s="16" t="inlineStr">
        <is>
          <t>Valero Escandell, José Ramón</t>
        </is>
      </c>
      <c r="C7" s="16" t="inlineStr">
        <is>
          <t>Vivos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B120</t>
        </is>
      </c>
      <c r="L7" s="17" t="inlineStr">
        <is>
          <t>10.17</t>
        </is>
      </c>
      <c r="M7" s="17" t="inlineStr">
        <is>
          <t>10</t>
        </is>
      </c>
      <c r="N7" s="17" t="inlineStr"/>
      <c r="O7" s="17" t="inlineStr"/>
      <c r="P7" s="17" t="n">
        <v>90</v>
      </c>
      <c r="Q7" s="17" t="n">
        <v>0.1</v>
      </c>
      <c r="R7" s="17" t="n">
        <v>0</v>
      </c>
      <c r="S7" s="17" t="n">
        <v>0.9</v>
      </c>
    </row>
    <row r="8" ht="14.4" customHeight="1">
      <c r="A8" s="21" t="inlineStr">
        <is>
          <t>33487679R</t>
        </is>
      </c>
      <c r="B8" s="21" t="inlineStr">
        <is>
          <t>Larrosa Rocamora, José Antonio</t>
        </is>
      </c>
      <c r="C8" s="22" t="inlineStr">
        <is>
          <t>FUNCIONARIO</t>
        </is>
      </c>
      <c r="D8" s="21" t="n"/>
      <c r="E8" s="21" t="n"/>
      <c r="F8" s="21" t="n"/>
      <c r="G8" s="21" t="n"/>
      <c r="H8" s="21" t="n">
        <v>1</v>
      </c>
      <c r="I8" s="21" t="n"/>
      <c r="J8" s="16" t="n">
        <v>1</v>
      </c>
      <c r="K8" s="16" t="inlineStr">
        <is>
          <t>B120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 ht="14.4" customHeight="1">
      <c r="A9" s="16" t="inlineStr">
        <is>
          <t>44769069Y</t>
        </is>
      </c>
      <c r="B9" s="16" t="inlineStr">
        <is>
          <t>Cutillas Orgiles, Ernesto</t>
        </is>
      </c>
      <c r="C9" s="16" t="inlineStr">
        <is>
          <t>NO FUNCIONARIO</t>
        </is>
      </c>
      <c r="D9" s="16" t="n"/>
      <c r="E9" s="16" t="n"/>
      <c r="F9" s="16" t="n"/>
      <c r="G9" s="16" t="n"/>
      <c r="H9" s="16" t="n"/>
      <c r="I9" s="16" t="n">
        <v>1</v>
      </c>
      <c r="J9" s="16" t="n">
        <v>1</v>
      </c>
      <c r="K9" s="16" t="inlineStr">
        <is>
          <t>B120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1</v>
      </c>
    </row>
    <row r="10" ht="14.4" customHeight="1">
      <c r="A10" s="16" t="inlineStr">
        <is>
          <t>44774024Q</t>
        </is>
      </c>
      <c r="B10" s="16" t="inlineStr">
        <is>
          <t>Amat Montesinos, Xavier</t>
        </is>
      </c>
      <c r="C10" s="16" t="inlineStr">
        <is>
          <t>NO FUNCIONARIO</t>
        </is>
      </c>
      <c r="D10" s="16" t="n"/>
      <c r="E10" s="16" t="n"/>
      <c r="F10" s="16" t="n">
        <v>1</v>
      </c>
      <c r="G10" s="16" t="n"/>
      <c r="H10" s="16" t="n">
        <v>1</v>
      </c>
      <c r="I10" s="16" t="n"/>
      <c r="J10" s="16" t="n">
        <v>2</v>
      </c>
      <c r="K10" s="16" t="inlineStr">
        <is>
          <t>B120</t>
        </is>
      </c>
      <c r="L10" s="17" t="inlineStr">
        <is>
          <t>10.21</t>
        </is>
      </c>
      <c r="M10" s="17" t="inlineStr">
        <is>
          <t>10</t>
        </is>
      </c>
      <c r="N10" s="17" t="inlineStr"/>
      <c r="O10" s="17" t="inlineStr"/>
      <c r="P10" s="17" t="n">
        <v>90</v>
      </c>
      <c r="Q10" s="17" t="n">
        <v>0.2</v>
      </c>
      <c r="R10" s="17" t="n">
        <v>0</v>
      </c>
      <c r="S10" s="17" t="n">
        <v>1.8</v>
      </c>
    </row>
    <row r="11" ht="14.4" customHeight="1">
      <c r="A11" s="16" t="inlineStr">
        <is>
          <t>48530775Q</t>
        </is>
      </c>
      <c r="B11" s="16" t="inlineStr">
        <is>
          <t>Espinosa Seguí, Ana Isabel</t>
        </is>
      </c>
      <c r="C11" s="16" t="inlineStr">
        <is>
          <t>FUNCIONARIO</t>
        </is>
      </c>
      <c r="D11" s="16" t="n"/>
      <c r="E11" s="16" t="n"/>
      <c r="F11" s="16" t="n"/>
      <c r="G11" s="16" t="n"/>
      <c r="H11" s="16" t="n">
        <v>2</v>
      </c>
      <c r="I11" s="16" t="n"/>
      <c r="J11" s="16" t="n">
        <v>2</v>
      </c>
      <c r="K11" s="16" t="inlineStr">
        <is>
          <t>B120</t>
        </is>
      </c>
      <c r="L11" s="17" t="inlineStr">
        <is>
          <t>10.21</t>
        </is>
      </c>
      <c r="M11" s="17" t="inlineStr">
        <is>
          <t>10</t>
        </is>
      </c>
      <c r="N11" s="17" t="inlineStr"/>
      <c r="O11" s="17" t="inlineStr"/>
      <c r="P11" s="17" t="n">
        <v>90</v>
      </c>
      <c r="Q11" s="17" t="n">
        <v>0.2</v>
      </c>
      <c r="R11" s="17" t="n">
        <v>0</v>
      </c>
      <c r="S11" s="17" t="n">
        <v>1.8</v>
      </c>
    </row>
    <row r="12" ht="14.4" customHeight="1">
      <c r="A12" s="16" t="inlineStr">
        <is>
          <t>48533253X</t>
        </is>
      </c>
      <c r="B12" s="16" t="inlineStr">
        <is>
          <t>Ortiz Pérez, Samuel</t>
        </is>
      </c>
      <c r="C12" s="16" t="inlineStr">
        <is>
          <t>NO FUNCIONARIO</t>
        </is>
      </c>
      <c r="D12" s="16" t="n"/>
      <c r="E12" s="16" t="n"/>
      <c r="F12" s="16" t="n"/>
      <c r="G12" s="16" t="n"/>
      <c r="H12" s="16" t="n">
        <v>1</v>
      </c>
      <c r="I12" s="16" t="n">
        <v>1</v>
      </c>
      <c r="J12" s="16" t="n">
        <v>2</v>
      </c>
      <c r="K12" s="16" t="inlineStr">
        <is>
          <t>B120</t>
        </is>
      </c>
      <c r="L12" s="17" t="inlineStr">
        <is>
          <t>10.21</t>
        </is>
      </c>
      <c r="M12" s="17" t="inlineStr">
        <is>
          <t>10</t>
        </is>
      </c>
      <c r="N12" s="17" t="inlineStr">
        <is>
          <t>10.22</t>
        </is>
      </c>
      <c r="O12" s="17" t="inlineStr">
        <is>
          <t>10</t>
        </is>
      </c>
      <c r="P12" s="17" t="n">
        <v>80</v>
      </c>
      <c r="Q12" s="17" t="n">
        <v>0.2</v>
      </c>
      <c r="R12" s="17" t="n">
        <v>0.2</v>
      </c>
      <c r="S12" s="17" t="n">
        <v>1.6</v>
      </c>
    </row>
    <row r="13" ht="14.4" customHeight="1">
      <c r="A13" s="16" t="inlineStr">
        <is>
          <t>48536401F</t>
        </is>
      </c>
      <c r="B13" s="16" t="inlineStr">
        <is>
          <t>Cabezón Fernández, María Jesús</t>
        </is>
      </c>
      <c r="C13" s="16" t="inlineStr">
        <is>
          <t>FUNCIONARIO</t>
        </is>
      </c>
      <c r="D13" s="16" t="n"/>
      <c r="E13" s="16" t="n"/>
      <c r="F13" s="16" t="n"/>
      <c r="G13" s="16" t="n"/>
      <c r="H13" s="16" t="n"/>
      <c r="I13" s="16" t="n">
        <v>1</v>
      </c>
      <c r="J13" s="16" t="n">
        <v>1</v>
      </c>
      <c r="K13" s="16" t="inlineStr">
        <is>
          <t>B120</t>
        </is>
      </c>
      <c r="L13" s="17" t="n">
        <v>0</v>
      </c>
      <c r="M13" s="17" t="n">
        <v>0</v>
      </c>
      <c r="N13" s="17" t="inlineStr"/>
      <c r="O13" s="17" t="inlineStr"/>
      <c r="P13" s="17" t="n">
        <v>100</v>
      </c>
      <c r="Q13" s="17" t="n">
        <v>0</v>
      </c>
      <c r="R13" s="17" t="n">
        <v>0</v>
      </c>
      <c r="S13" s="17" t="n">
        <v>1</v>
      </c>
    </row>
    <row r="14" ht="14.4" customHeight="1">
      <c r="A14" s="21" t="inlineStr">
        <is>
          <t>52763585K</t>
        </is>
      </c>
      <c r="B14" s="21" t="inlineStr">
        <is>
          <t>López Jiménez, Juan</t>
        </is>
      </c>
      <c r="C14" s="22" t="inlineStr">
        <is>
          <t>NO FUNCIONARIO</t>
        </is>
      </c>
      <c r="D14" s="21" t="n"/>
      <c r="E14" s="21" t="n"/>
      <c r="F14" s="21" t="n"/>
      <c r="G14" s="21" t="n"/>
      <c r="H14" s="21" t="n">
        <v>1</v>
      </c>
      <c r="I14" s="21" t="n"/>
      <c r="J14" s="21" t="n">
        <v>1</v>
      </c>
      <c r="K14" s="16" t="inlineStr">
        <is>
          <t>B120</t>
        </is>
      </c>
      <c r="L14" s="33" t="inlineStr">
        <is>
          <t>10.21</t>
        </is>
      </c>
      <c r="M14" s="33" t="inlineStr">
        <is>
          <t>10</t>
        </is>
      </c>
      <c r="N14" s="33" t="inlineStr"/>
      <c r="O14" s="33" t="inlineStr"/>
      <c r="P14" s="33" t="n">
        <v>90</v>
      </c>
      <c r="Q14" s="33" t="n">
        <v>0.1</v>
      </c>
      <c r="R14" s="33" t="n">
        <v>0</v>
      </c>
      <c r="S14" s="33" t="n">
        <v>0.9</v>
      </c>
    </row>
    <row r="15" ht="14.4" customHeight="1">
      <c r="A15" s="21" t="inlineStr">
        <is>
          <t>74211761F</t>
        </is>
      </c>
      <c r="B15" s="21" t="inlineStr">
        <is>
          <t>Ponce Herrero, Gabino Joaquín</t>
        </is>
      </c>
      <c r="C15" s="22" t="inlineStr">
        <is>
          <t>FUNCIONARIO</t>
        </is>
      </c>
      <c r="D15" s="21" t="n">
        <v>1</v>
      </c>
      <c r="E15" s="21" t="n"/>
      <c r="F15" s="21" t="n"/>
      <c r="G15" s="21" t="n"/>
      <c r="H15" s="21" t="n"/>
      <c r="I15" s="21" t="n"/>
      <c r="J15" s="21" t="n">
        <v>1</v>
      </c>
      <c r="K15" s="16" t="inlineStr">
        <is>
          <t>B120</t>
        </is>
      </c>
      <c r="L15" s="33" t="inlineStr">
        <is>
          <t>10.21</t>
        </is>
      </c>
      <c r="M15" s="33" t="inlineStr">
        <is>
          <t>10</t>
        </is>
      </c>
      <c r="N15" s="33" t="inlineStr"/>
      <c r="O15" s="33" t="inlineStr"/>
      <c r="P15" s="33" t="n">
        <v>90</v>
      </c>
      <c r="Q15" s="33" t="n">
        <v>0.1</v>
      </c>
      <c r="R15" s="33" t="n">
        <v>0</v>
      </c>
      <c r="S15" s="33" t="n">
        <v>0.9</v>
      </c>
    </row>
    <row r="16" ht="14.4" customHeight="1">
      <c r="A16" s="21" t="inlineStr">
        <is>
          <t>74218386P</t>
        </is>
      </c>
      <c r="B16" s="21" t="inlineStr">
        <is>
          <t>Martínez Puche, Antonio</t>
        </is>
      </c>
      <c r="C16" s="22" t="inlineStr">
        <is>
          <t>FUNCIONARIO</t>
        </is>
      </c>
      <c r="D16" s="21" t="n"/>
      <c r="E16" s="21" t="n"/>
      <c r="F16" s="21" t="n"/>
      <c r="G16" s="21" t="n"/>
      <c r="H16" s="21" t="n"/>
      <c r="I16" s="21" t="n">
        <v>1</v>
      </c>
      <c r="J16" s="21" t="n">
        <v>1</v>
      </c>
      <c r="K16" s="16" t="inlineStr">
        <is>
          <t>B120</t>
        </is>
      </c>
      <c r="L16" s="33" t="inlineStr">
        <is>
          <t>10.21</t>
        </is>
      </c>
      <c r="M16" s="33" t="inlineStr">
        <is>
          <t>30</t>
        </is>
      </c>
      <c r="N16" s="33" t="inlineStr">
        <is>
          <t>10.25</t>
        </is>
      </c>
      <c r="O16" s="33" t="inlineStr">
        <is>
          <t>30</t>
        </is>
      </c>
      <c r="P16" s="33" t="n">
        <v>40</v>
      </c>
      <c r="Q16" s="33" t="n">
        <v>0.3</v>
      </c>
      <c r="R16" s="33" t="n">
        <v>0.3</v>
      </c>
      <c r="S16" s="33" t="n">
        <v>0.4</v>
      </c>
    </row>
    <row r="17" ht="14.4" customHeight="1">
      <c r="A17" s="34" t="n"/>
      <c r="B17" s="34" t="n"/>
      <c r="C17" s="35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6">
        <f>SUM(S2:S16)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H17" sqref="H17"/>
    </sheetView>
  </sheetViews>
  <sheetFormatPr baseColWidth="10" defaultRowHeight="14.4"/>
  <cols>
    <col width="17" customWidth="1" min="1" max="1"/>
    <col width="63.5546875" customWidth="1" min="2" max="2"/>
    <col width="16" customWidth="1" min="3" max="3"/>
  </cols>
  <sheetData>
    <row r="1">
      <c r="A1" s="38" t="inlineStr">
        <is>
          <t>Cód. org. aplic.</t>
        </is>
      </c>
      <c r="B1" s="38" t="inlineStr">
        <is>
          <t>Descripción justificante</t>
        </is>
      </c>
      <c r="C1" s="38" t="inlineStr">
        <is>
          <t>Imp.cob.aplic.</t>
        </is>
      </c>
    </row>
    <row r="2">
      <c r="A2" s="27" t="inlineStr">
        <is>
          <t>30.20.6C.00.14</t>
        </is>
      </c>
      <c r="B2" s="27" t="inlineStr">
        <is>
          <t xml:space="preserve">Elaboración de un informe científico-técnico para el cálculo del centro geográfico de la comarca de la Vega Baja del Segura. </t>
        </is>
      </c>
      <c r="C2" s="75" t="n">
        <v>1056</v>
      </c>
    </row>
    <row r="3">
      <c r="A3" s="29" t="inlineStr">
        <is>
          <t>30.20.6M.00.05</t>
        </is>
      </c>
      <c r="B3" s="29" t="inlineStr">
        <is>
          <t>CICLO DE CONFERENCIAS SOBRE EL CASTILLO DE SAX A PARTIR DE LAS INVESTIGACIONES ARQUEOLÓGICAS LLEVADAS A CABO POR EL EQUIPO DEL PROFESOR GABINO PONCE HERRERO.</t>
        </is>
      </c>
      <c r="C3" s="76" t="n">
        <v>1760</v>
      </c>
    </row>
    <row r="4">
      <c r="A4" s="27" t="inlineStr">
        <is>
          <t>30.20.6P.00.10</t>
        </is>
      </c>
      <c r="B4" s="27" t="inlineStr">
        <is>
          <t>ayudas CIGE/2022/4-6-8-10-15-16-21-30-36-45-46-51-52- 54-55-105-170-179</t>
        </is>
      </c>
      <c r="C4" s="75" t="n">
        <v>9850</v>
      </c>
    </row>
    <row r="5">
      <c r="A5" s="29" t="inlineStr">
        <is>
          <t>30.20.6Q.00.01</t>
        </is>
      </c>
      <c r="B5" s="29" t="inlineStr">
        <is>
          <t>S0732 CÀTEDRA UNIVERSITÀRIA PER A LA LLUITA CONTRA EL DESPOBLAMENT (AVANT). EXERCICI 2023</t>
        </is>
      </c>
      <c r="C5" s="76" t="n">
        <v>15000</v>
      </c>
    </row>
    <row r="6">
      <c r="A6" s="39" t="inlineStr">
        <is>
          <t>30.20.6X.00.02</t>
        </is>
      </c>
      <c r="B6" s="39" t="inlineStr">
        <is>
          <t xml:space="preserve">INGRESO DEL PROYECTO PACES </t>
        </is>
      </c>
      <c r="C6" s="77" t="n">
        <v>37511.82</v>
      </c>
    </row>
    <row r="7">
      <c r="A7" s="41" t="inlineStr">
        <is>
          <t>Total</t>
        </is>
      </c>
      <c r="B7" s="41" t="n"/>
      <c r="C7" s="78">
        <f>SUBTOTAL(109,Tabla2[Imp.cob.aplic.])</f>
        <v/>
      </c>
    </row>
    <row r="8">
      <c r="C8" s="7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0" sqref="B10:C10"/>
    </sheetView>
  </sheetViews>
  <sheetFormatPr baseColWidth="10" defaultRowHeight="14.4"/>
  <cols>
    <col width="12" customWidth="1" min="1" max="1"/>
    <col width="61.6640625" customWidth="1" min="2" max="2"/>
    <col width="13.109375" customWidth="1" min="3" max="3"/>
  </cols>
  <sheetData>
    <row r="1">
      <c r="A1" s="45" t="inlineStr">
        <is>
          <t>Org. aplic.</t>
        </is>
      </c>
      <c r="B1" s="45" t="inlineStr">
        <is>
          <t>Descripción justificante</t>
        </is>
      </c>
      <c r="C1" s="80" t="inlineStr">
        <is>
          <t>Imp. aplic.</t>
        </is>
      </c>
    </row>
    <row r="2">
      <c r="A2" s="43" t="inlineStr">
        <is>
          <t>30.20.6C.00.15</t>
        </is>
      </c>
      <c r="B2" s="43" t="inlineStr">
        <is>
          <t>Asesoramiento en la selección de los grupos de Acción Local (GAL) y de las estrategias de Desarrollo Local Participativo (EDLP) de la Comunitat Valenciana:  Propuesta de criterios de selección para los grupos de acción local de la Comunidad Valenciana; Revisión de los criterios de valoración territorial a considerar y su correspondiente puntuación. Revisión de los criterios de valoración para la selección de las Estrategias de Desarrollo Local Participativo (EDLP); Evaluación de las Estrategias de Desarrollo Local Participativo (EDLP) presentadas por los grupos de acción local de la Comunidad Valenciana.</t>
        </is>
      </c>
      <c r="C2" s="75" t="n">
        <v>880</v>
      </c>
    </row>
    <row r="3">
      <c r="A3" s="44" t="inlineStr">
        <is>
          <t>30.20.6P.00.10</t>
        </is>
      </c>
      <c r="B3" s="44" t="inlineStr">
        <is>
          <t>ayudas CIGE/2022/4, CIGE/2022/6, CIGE/2022/8, CIGE/2022/15, CIGE/2022/16, CIGE/2022/21, CIGE/2022/30, CIGE/2022/45, CIGE/2022/46, CIGE/2022/51, CIGE/2022/52, CIGE/2022/54, CIGE/2022/55, CIGE/2022/105, CIGE/2022/170, CIGE/2022/179</t>
        </is>
      </c>
      <c r="C3" s="76" t="n">
        <v>9950</v>
      </c>
    </row>
    <row r="4">
      <c r="A4" s="43" t="inlineStr">
        <is>
          <t>30.20.6P.00.10</t>
        </is>
      </c>
      <c r="B4" s="43" t="inlineStr">
        <is>
          <t>DEVOLUCIÓN DE INGRESOS_ MODELO 047_ Nº DE LIQUIDACIÓN: 46/2024/RAS/10325/1 Nº DE JUSTIFICANTE: 047/1/002551836_Nº DE REFERENCIA: 047/1/002551836</t>
        </is>
      </c>
      <c r="C4" s="75" t="n">
        <v>-6576.67</v>
      </c>
    </row>
    <row r="5">
      <c r="A5" s="44" t="inlineStr">
        <is>
          <t>30.20.6Q.00.01</t>
        </is>
      </c>
      <c r="B5" s="44" t="inlineStr">
        <is>
          <t>Convenio Cátedra Avant. Exp 05/S0616/2024. Fra. 6003531264. Presup S061600000.</t>
        </is>
      </c>
      <c r="C5" s="76" t="n">
        <v>10000</v>
      </c>
    </row>
    <row r="6">
      <c r="A6" s="48" t="inlineStr">
        <is>
          <t>30.20.6X.00.02</t>
        </is>
      </c>
      <c r="B6" s="48" t="inlineStr">
        <is>
          <t>Segundo cobro del proyecto PACES</t>
        </is>
      </c>
      <c r="C6" s="77" t="n">
        <v>9378.450000000001</v>
      </c>
    </row>
    <row r="7" customFormat="1" s="51">
      <c r="A7" s="49" t="inlineStr">
        <is>
          <t>Total</t>
        </is>
      </c>
      <c r="B7" s="49" t="n"/>
      <c r="C7" s="81">
        <f>SUBTOTAL(109,Tabla3[Imp.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18" sqref="C18"/>
    </sheetView>
  </sheetViews>
  <sheetFormatPr baseColWidth="10" defaultRowHeight="14.4"/>
  <cols>
    <col width="17.6640625" customWidth="1" min="1" max="1"/>
    <col width="48.33203125" customWidth="1" min="2" max="2"/>
    <col width="16.5546875" customWidth="1" min="3" max="3"/>
  </cols>
  <sheetData>
    <row r="1">
      <c r="A1" s="54" t="inlineStr">
        <is>
          <t>Org. aplic.</t>
        </is>
      </c>
      <c r="B1" s="55" t="inlineStr">
        <is>
          <t>Descripción justificante</t>
        </is>
      </c>
      <c r="C1" s="55" t="inlineStr">
        <is>
          <t>Imp. aplic.</t>
        </is>
      </c>
    </row>
    <row r="2">
      <c r="A2" s="56" t="inlineStr">
        <is>
          <t>30.20.6C.00.16</t>
        </is>
      </c>
      <c r="B2" s="57" t="inlineStr">
        <is>
          <t xml:space="preserve">REALIZACIÓN DE UNA IMPRESIÓN 3D DE LA MÁSCARA MORTUORIA DE EMILIO CASTELAR (REPRODUCCIÓN FOTOGRÁFICA E IMPRESIÓN 3D). </t>
        </is>
      </c>
      <c r="C2" s="82" t="n">
        <v>209.97</v>
      </c>
    </row>
    <row r="3">
      <c r="A3" s="59" t="inlineStr">
        <is>
          <t>30.20.6P.00.10</t>
        </is>
      </c>
      <c r="B3" s="60" t="inlineStr">
        <is>
          <t>DEVOLUCIÓN DE INGRESOS_MODELO 047_CIGE 2022</t>
        </is>
      </c>
      <c r="C3" s="83" t="n">
        <v>-938.9299999999999</v>
      </c>
    </row>
    <row r="4">
      <c r="A4" s="56" t="inlineStr">
        <is>
          <t>30.20.6P.00.13</t>
        </is>
      </c>
      <c r="B4" s="57" t="inlineStr">
        <is>
          <t>PROGRAMA PROPIO DEL CENTRO DE GASTRONOMÍA DEL MEDITERRÁNEO (GASTERRA) UA_DENIA PARA EL FOMENTO DE LA I+D+I EN EL ÁMBITO DE LA GASTRONOMÍA 2025</t>
        </is>
      </c>
      <c r="C4" s="82" t="n">
        <v>2000</v>
      </c>
    </row>
    <row r="5" ht="15" customHeight="1" thickBot="1">
      <c r="A5" s="59" t="inlineStr">
        <is>
          <t>30.20.6X.00.02</t>
        </is>
      </c>
      <c r="B5" s="60" t="inlineStr">
        <is>
          <t>Proyecto: PACES. Programa: HORIZONTE EUROPA. Ref. Proyecto: PACES</t>
        </is>
      </c>
      <c r="C5" s="83" t="n">
        <v>19083.68</v>
      </c>
    </row>
    <row r="6" ht="15" customHeight="1" thickTop="1">
      <c r="A6" s="62" t="inlineStr">
        <is>
          <t>Total</t>
        </is>
      </c>
      <c r="B6" s="63" t="n"/>
      <c r="C6" s="84" t="n">
        <v>20354.72</v>
      </c>
    </row>
    <row r="10">
      <c r="B10" s="52" t="inlineStr">
        <is>
          <t>Total ingresos de investigación 2023-25</t>
        </is>
      </c>
      <c r="C10" s="85">
        <f>C6+Tabla2[[#Totals],[Imp.cob.aplic.]]+Tabla3[[#Totals],[Imp.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F17" sqref="F17"/>
    </sheetView>
  </sheetViews>
  <sheetFormatPr baseColWidth="10" defaultRowHeight="14.4"/>
  <cols>
    <col width="14.88671875" customWidth="1" min="1" max="1"/>
    <col width="81.6640625" customWidth="1" min="2" max="2"/>
  </cols>
  <sheetData>
    <row r="1">
      <c r="A1" s="24" t="inlineStr">
        <is>
          <t>Cód. org. aplic.</t>
        </is>
      </c>
      <c r="B1" s="25" t="inlineStr">
        <is>
          <t>Descripción justificante</t>
        </is>
      </c>
      <c r="C1" s="25" t="inlineStr">
        <is>
          <t>Imp.cob.aplic.</t>
        </is>
      </c>
    </row>
    <row r="2">
      <c r="A2" s="26" t="inlineStr">
        <is>
          <t>30.20.2T.00.01</t>
        </is>
      </c>
      <c r="B2" s="27" t="inlineStr">
        <is>
          <t>INGRESO POR CONVENIO DE COLABORACIÓN ENTRE LA UNIVERSIDAD DE ALICANTE Y EL AYUNTAMIENTO DE GUARDAMAR DEL SEGURA PARA EL DESARROLLO DEL PROGRAMA DE ESTUDIOS PROPIO EN GESTIÓN DEL PATRIMONIO.</t>
        </is>
      </c>
      <c r="C2" s="75" t="n">
        <v>18000</v>
      </c>
    </row>
    <row r="3">
      <c r="A3" s="28" t="inlineStr">
        <is>
          <t>30.20.2T.00.01</t>
        </is>
      </c>
      <c r="B3" s="29" t="inlineStr">
        <is>
          <t xml:space="preserve">Plan_9140 Curso_2022-23 Emitido_2022-23 - MÁSTER EN GESTIÓN DEL PATRIMONIO </t>
        </is>
      </c>
      <c r="C3" s="76" t="n">
        <v>6104.7</v>
      </c>
    </row>
    <row r="4">
      <c r="C4" s="86">
        <f>SUM(C2:C3)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:C6"/>
    </sheetView>
  </sheetViews>
  <sheetFormatPr baseColWidth="10" defaultRowHeight="14.4"/>
  <cols>
    <col width="12" customWidth="1" min="1" max="1"/>
    <col width="43.88671875" customWidth="1" min="2" max="2"/>
    <col width="12.33203125" customWidth="1" min="3" max="3"/>
  </cols>
  <sheetData>
    <row r="1">
      <c r="A1" s="45" t="inlineStr">
        <is>
          <t>Org. aplic.</t>
        </is>
      </c>
      <c r="B1" s="45" t="inlineStr">
        <is>
          <t>Descripción justificante</t>
        </is>
      </c>
      <c r="C1" s="45" t="inlineStr">
        <is>
          <t>Imp. aplic.</t>
        </is>
      </c>
    </row>
    <row r="2">
      <c r="A2" s="48" t="inlineStr">
        <is>
          <t>30.20.2T.00.01</t>
        </is>
      </c>
      <c r="B2" s="48" t="inlineStr">
        <is>
          <t>DEVOLUCIÓN PARCIAL DE INGRESO (50%) REFERENTE AL CONVENIO DE COLABORACIÓN ENTRE LA UNIVERSIDAD DE ALICANTE Y EL AYUNTAMIENTO DE GUARDAMAR DEL SEGURA PARA EL DESARROLLO DEL PROGRAMA DE ESTUDIOS PROPIO EN GESTIÓN DEL PATRIMONIO DEBIDO A INSUFICIENCIA DE ALUMNOS INSCRITOS.</t>
        </is>
      </c>
      <c r="C2" s="77" t="n">
        <v>-9000</v>
      </c>
    </row>
    <row r="3">
      <c r="A3" s="48" t="inlineStr">
        <is>
          <t>Total</t>
        </is>
      </c>
      <c r="B3" s="48" t="n"/>
      <c r="C3" s="78">
        <f>SUBTOTAL(109,Tabla5[Imp.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7" sqref="C7"/>
    </sheetView>
  </sheetViews>
  <sheetFormatPr baseColWidth="10" defaultRowHeight="14.4"/>
  <cols>
    <col width="14.88671875" customWidth="1" min="1" max="1"/>
    <col width="48.44140625" customWidth="1" min="2" max="2"/>
    <col width="11.88671875" bestFit="1" customWidth="1" min="3" max="3"/>
  </cols>
  <sheetData>
    <row r="1">
      <c r="A1" s="65" t="inlineStr">
        <is>
          <t>Org. aplic.</t>
        </is>
      </c>
      <c r="B1" s="66" t="inlineStr">
        <is>
          <t>Descripción justificante</t>
        </is>
      </c>
      <c r="C1" s="87" t="inlineStr">
        <is>
          <t>Imp. aplic.</t>
        </is>
      </c>
    </row>
    <row r="2" ht="15" customHeight="1" thickBot="1">
      <c r="A2" s="68" t="inlineStr">
        <is>
          <t>10.91.2T.00.69</t>
        </is>
      </c>
      <c r="B2" s="69" t="inlineStr">
        <is>
          <t>Cátedra de Responsabilidad Social. Año 2025</t>
        </is>
      </c>
      <c r="C2" s="88" t="n">
        <v>1000</v>
      </c>
    </row>
    <row r="3" ht="15" customHeight="1" thickTop="1">
      <c r="A3" s="71" t="inlineStr">
        <is>
          <t>Total</t>
        </is>
      </c>
      <c r="B3" s="72" t="n"/>
      <c r="C3" s="89" t="n">
        <v>1000</v>
      </c>
    </row>
    <row r="6">
      <c r="B6" s="52" t="inlineStr">
        <is>
          <t>Total ingresos formación 2023-25</t>
        </is>
      </c>
      <c r="C6" s="85">
        <f>C3+'Ingresos formación 2023'!C4+Tabla5[[#Totals],[Imp.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dfae@ua.es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2026-05-28T21:59:14Z</dcterms:modified>
  <cp:lastModifiedBy>MARIA TERESA PUJALTE DEVIS</cp:lastModifiedBy>
</cp:coreProperties>
</file>