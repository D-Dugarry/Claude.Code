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4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760" firstSheet="3" activeTab="7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Ingresos formación 2023" sheetId="6" state="visible" r:id="rId6"/>
    <sheet name="Ingresos formación 2024" sheetId="7" state="visible" r:id="rId7"/>
    <sheet name="Ingresos formación 2025" sheetId="8" state="visible" r:id="rId8"/>
    <sheet name="Correo" sheetId="9" state="veryHidden" r:id="rId9"/>
  </sheets>
  <definedNames>
    <definedName name="_xlnm._FilterDatabase" localSheetId="0" hidden="1">'Tesis'!$A$1:$U$1</definedName>
    <definedName name="_xlnm.Print_Titles" localSheetId="0">'Tesis'!$1:$1,'Tesis'!$D:$D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"/>
    <numFmt numFmtId="166" formatCode="_-* #,##0.00_-;\-* #,##0.00_-;_-* &quot;-&quot;??_-;_-@_-"/>
    <numFmt numFmtId="167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sz val="10"/>
    </font>
    <font>
      <name val="Arial"/>
      <family val="2"/>
      <b val="1"/>
      <color indexed="8"/>
      <sz val="10"/>
    </font>
    <font>
      <name val="Arial"/>
      <family val="2"/>
      <b val="1"/>
      <sz val="10"/>
    </font>
    <font>
      <name val="Arial"/>
      <family val="2"/>
      <color theme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color theme="1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10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Verdana"/>
      <family val="2"/>
      <sz val="8"/>
    </font>
    <font>
      <name val="Arial"/>
      <family val="2"/>
      <b val="1"/>
      <color theme="0"/>
      <sz val="10"/>
    </font>
    <font>
      <name val="Arial"/>
      <family val="2"/>
      <color theme="1"/>
      <sz val="10"/>
    </font>
    <font>
      <name val="Arial"/>
      <family val="2"/>
      <b val="1"/>
      <color theme="1"/>
      <sz val="10"/>
    </font>
  </fonts>
  <fills count="1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</borders>
  <cellStyleXfs count="7">
    <xf numFmtId="0" fontId="13" fillId="0" borderId="0"/>
    <xf numFmtId="0" fontId="2" fillId="0" borderId="0"/>
    <xf numFmtId="0" fontId="5" fillId="0" borderId="0"/>
    <xf numFmtId="0" fontId="5" fillId="0" borderId="0"/>
    <xf numFmtId="0" fontId="6" fillId="0" borderId="0"/>
    <xf numFmtId="0" fontId="1" fillId="0" borderId="0"/>
    <xf numFmtId="167" fontId="13" fillId="0" borderId="0"/>
  </cellStyleXfs>
  <cellXfs count="100">
    <xf numFmtId="0" fontId="0" fillId="0" borderId="0" pivotButton="0" quotePrefix="0" xfId="0"/>
    <xf numFmtId="0" fontId="3" fillId="3" borderId="1" applyAlignment="1" pivotButton="0" quotePrefix="0" xfId="1">
      <alignment horizontal="center"/>
    </xf>
    <xf numFmtId="0" fontId="4" fillId="3" borderId="1" applyAlignment="1" pivotButton="0" quotePrefix="0" xfId="1">
      <alignment horizontal="center"/>
    </xf>
    <xf numFmtId="0" fontId="4" fillId="3" borderId="1" applyAlignment="1" pivotButton="0" quotePrefix="0" xfId="2">
      <alignment horizontal="center"/>
    </xf>
    <xf numFmtId="0" fontId="4" fillId="3" borderId="1" applyAlignment="1" pivotButton="0" quotePrefix="0" xfId="3">
      <alignment horizontal="center" wrapText="1"/>
    </xf>
    <xf numFmtId="0" fontId="4" fillId="3" borderId="1" applyAlignment="1" pivotButton="0" quotePrefix="0" xfId="3">
      <alignment horizontal="right" wrapText="1"/>
    </xf>
    <xf numFmtId="0" fontId="2" fillId="4" borderId="0" pivotButton="0" quotePrefix="0" xfId="1"/>
    <xf numFmtId="0" fontId="2" fillId="2" borderId="0" pivotButton="0" quotePrefix="0" xfId="1"/>
    <xf numFmtId="0" fontId="2" fillId="2" borderId="0" applyAlignment="1" pivotButton="0" quotePrefix="0" xfId="1">
      <alignment horizontal="right"/>
    </xf>
    <xf numFmtId="0" fontId="2" fillId="4" borderId="0" applyAlignment="1" pivotButton="0" quotePrefix="0" xfId="1">
      <alignment horizontal="right"/>
    </xf>
    <xf numFmtId="0" fontId="8" fillId="5" borderId="1" applyAlignment="1" pivotButton="0" quotePrefix="0" xfId="3">
      <alignment horizontal="center" textRotation="90" wrapText="1"/>
    </xf>
    <xf numFmtId="0" fontId="8" fillId="3" borderId="1" applyAlignment="1" pivotButton="0" quotePrefix="0" xfId="3">
      <alignment horizontal="center" textRotation="90" wrapText="1"/>
    </xf>
    <xf numFmtId="0" fontId="5" fillId="0" borderId="0" pivotButton="0" quotePrefix="0" xfId="5"/>
    <xf numFmtId="0" fontId="9" fillId="0" borderId="0" pivotButton="0" quotePrefix="0" xfId="5"/>
    <xf numFmtId="0" fontId="9" fillId="0" borderId="0" applyAlignment="1" pivotButton="0" quotePrefix="0" xfId="5">
      <alignment horizontal="right"/>
    </xf>
    <xf numFmtId="0" fontId="7" fillId="2" borderId="1" pivotButton="0" quotePrefix="0" xfId="0"/>
    <xf numFmtId="0" fontId="7" fillId="2" borderId="1" applyAlignment="1" pivotButton="0" quotePrefix="0" xfId="0">
      <alignment textRotation="90"/>
    </xf>
    <xf numFmtId="0" fontId="8" fillId="3" borderId="1" applyAlignment="1" pivotButton="0" quotePrefix="0" xfId="3">
      <alignment horizontal="center" wrapText="1"/>
    </xf>
    <xf numFmtId="0" fontId="2" fillId="4" borderId="1" pivotButton="0" quotePrefix="0" xfId="1"/>
    <xf numFmtId="0" fontId="2" fillId="4" borderId="1" applyAlignment="1" pivotButton="0" quotePrefix="0" xfId="1">
      <alignment horizontal="right"/>
    </xf>
    <xf numFmtId="0" fontId="2" fillId="4" borderId="2" pivotButton="0" quotePrefix="0" xfId="1"/>
    <xf numFmtId="164" fontId="2" fillId="4" borderId="2" pivotButton="0" quotePrefix="0" xfId="1"/>
    <xf numFmtId="0" fontId="2" fillId="4" borderId="2" applyAlignment="1" pivotButton="0" quotePrefix="0" xfId="1">
      <alignment horizontal="right"/>
    </xf>
    <xf numFmtId="1" fontId="2" fillId="4" borderId="2" pivotButton="0" quotePrefix="0" xfId="1"/>
    <xf numFmtId="165" fontId="2" fillId="4" borderId="2" pivotButton="0" quotePrefix="0" xfId="1"/>
    <xf numFmtId="0" fontId="2" fillId="0" borderId="1" pivotButton="0" quotePrefix="0" xfId="1"/>
    <xf numFmtId="0" fontId="2" fillId="4" borderId="3" pivotButton="0" quotePrefix="0" xfId="1"/>
    <xf numFmtId="165" fontId="3" fillId="2" borderId="0" pivotButton="0" quotePrefix="0" xfId="1"/>
    <xf numFmtId="166" fontId="0" fillId="7" borderId="4" pivotButton="0" quotePrefix="0" xfId="6"/>
    <xf numFmtId="166" fontId="0" fillId="0" borderId="4" pivotButton="0" quotePrefix="0" xfId="6"/>
    <xf numFmtId="0" fontId="16" fillId="7" borderId="4" pivotButton="0" quotePrefix="0" xfId="0"/>
    <xf numFmtId="0" fontId="16" fillId="0" borderId="4" pivotButton="0" quotePrefix="0" xfId="0"/>
    <xf numFmtId="166" fontId="0" fillId="0" borderId="0" pivotButton="0" quotePrefix="0" xfId="0"/>
    <xf numFmtId="0" fontId="17" fillId="0" borderId="0" pivotButton="0" quotePrefix="0" xfId="0"/>
    <xf numFmtId="0" fontId="12" fillId="8" borderId="0" pivotButton="0" quotePrefix="0" xfId="5"/>
    <xf numFmtId="0" fontId="12" fillId="8" borderId="0" applyAlignment="1" pivotButton="0" quotePrefix="0" xfId="5">
      <alignment horizontal="right"/>
    </xf>
    <xf numFmtId="0" fontId="9" fillId="0" borderId="1" pivotButton="0" quotePrefix="0" xfId="5"/>
    <xf numFmtId="0" fontId="9" fillId="0" borderId="1" applyAlignment="1" pivotButton="0" quotePrefix="0" xfId="5">
      <alignment horizontal="right"/>
    </xf>
    <xf numFmtId="165" fontId="12" fillId="8" borderId="0" pivotButton="0" quotePrefix="0" xfId="5"/>
    <xf numFmtId="0" fontId="2" fillId="4" borderId="1" pivotButton="0" quotePrefix="0" xfId="1"/>
    <xf numFmtId="0" fontId="2" fillId="0" borderId="1" pivotButton="0" quotePrefix="0" xfId="1"/>
    <xf numFmtId="0" fontId="2" fillId="0" borderId="1" pivotButton="0" quotePrefix="0" xfId="0"/>
    <xf numFmtId="0" fontId="15" fillId="6" borderId="5" pivotButton="0" quotePrefix="0" xfId="0"/>
    <xf numFmtId="0" fontId="16" fillId="7" borderId="6" pivotButton="0" quotePrefix="0" xfId="0"/>
    <xf numFmtId="166" fontId="0" fillId="7" borderId="6" pivotButton="0" quotePrefix="0" xfId="6"/>
    <xf numFmtId="0" fontId="9" fillId="9" borderId="6" pivotButton="0" quotePrefix="0" xfId="0"/>
    <xf numFmtId="166" fontId="13" fillId="9" borderId="6" pivotButton="0" quotePrefix="0" xfId="0"/>
    <xf numFmtId="0" fontId="0" fillId="10" borderId="0" pivotButton="0" quotePrefix="0" xfId="0"/>
    <xf numFmtId="0" fontId="0" fillId="7" borderId="4" pivotButton="0" quotePrefix="0" xfId="0"/>
    <xf numFmtId="0" fontId="0" fillId="0" borderId="4" pivotButton="0" quotePrefix="0" xfId="0"/>
    <xf numFmtId="0" fontId="10" fillId="6" borderId="5" pivotButton="0" quotePrefix="0" xfId="0"/>
    <xf numFmtId="166" fontId="10" fillId="6" borderId="5" pivotButton="0" quotePrefix="0" xfId="6"/>
    <xf numFmtId="0" fontId="0" fillId="7" borderId="6" pivotButton="0" quotePrefix="0" xfId="0"/>
    <xf numFmtId="167" fontId="0" fillId="7" borderId="4" pivotButton="0" quotePrefix="0" xfId="6"/>
    <xf numFmtId="167" fontId="0" fillId="0" borderId="4" pivotButton="0" quotePrefix="0" xfId="6"/>
    <xf numFmtId="167" fontId="0" fillId="7" borderId="6" pivotButton="0" quotePrefix="0" xfId="6"/>
    <xf numFmtId="0" fontId="0" fillId="9" borderId="6" pivotButton="0" quotePrefix="0" xfId="0"/>
    <xf numFmtId="167" fontId="13" fillId="9" borderId="6" pivotButton="0" quotePrefix="0" xfId="0"/>
    <xf numFmtId="0" fontId="11" fillId="0" borderId="1" pivotButton="0" quotePrefix="0" xfId="0"/>
    <xf numFmtId="167" fontId="11" fillId="0" borderId="1" pivotButton="0" quotePrefix="0" xfId="6"/>
    <xf numFmtId="0" fontId="18" fillId="11" borderId="7" pivotButton="0" quotePrefix="0" xfId="0"/>
    <xf numFmtId="0" fontId="18" fillId="11" borderId="8" pivotButton="0" quotePrefix="0" xfId="0"/>
    <xf numFmtId="0" fontId="19" fillId="12" borderId="7" pivotButton="0" quotePrefix="0" xfId="0"/>
    <xf numFmtId="0" fontId="19" fillId="12" borderId="8" pivotButton="0" quotePrefix="0" xfId="0"/>
    <xf numFmtId="167" fontId="19" fillId="12" borderId="8" pivotButton="0" quotePrefix="0" xfId="6"/>
    <xf numFmtId="0" fontId="19" fillId="0" borderId="7" pivotButton="0" quotePrefix="0" xfId="0"/>
    <xf numFmtId="0" fontId="19" fillId="0" borderId="8" pivotButton="0" quotePrefix="0" xfId="0"/>
    <xf numFmtId="167" fontId="19" fillId="0" borderId="8" pivotButton="0" quotePrefix="0" xfId="6"/>
    <xf numFmtId="0" fontId="20" fillId="0" borderId="9" pivotButton="0" quotePrefix="0" xfId="0"/>
    <xf numFmtId="0" fontId="20" fillId="0" borderId="10" pivotButton="0" quotePrefix="0" xfId="0"/>
    <xf numFmtId="167" fontId="20" fillId="0" borderId="10" pivotButton="0" quotePrefix="0" xfId="6"/>
    <xf numFmtId="0" fontId="9" fillId="12" borderId="8" pivotButton="0" quotePrefix="0" xfId="0"/>
    <xf numFmtId="167" fontId="9" fillId="12" borderId="8" pivotButton="0" quotePrefix="0" xfId="6"/>
    <xf numFmtId="0" fontId="9" fillId="0" borderId="8" pivotButton="0" quotePrefix="0" xfId="0"/>
    <xf numFmtId="167" fontId="9" fillId="0" borderId="8" pivotButton="0" quotePrefix="0" xfId="6"/>
    <xf numFmtId="0" fontId="14" fillId="11" borderId="11" pivotButton="0" quotePrefix="0" xfId="0"/>
    <xf numFmtId="167" fontId="14" fillId="11" borderId="11" pivotButton="0" quotePrefix="0" xfId="6"/>
    <xf numFmtId="0" fontId="9" fillId="0" borderId="12" pivotButton="0" quotePrefix="0" xfId="0"/>
    <xf numFmtId="167" fontId="9" fillId="0" borderId="12" pivotButton="0" quotePrefix="0" xfId="6"/>
    <xf numFmtId="167" fontId="9" fillId="0" borderId="12" pivotButton="0" quotePrefix="0" xfId="0"/>
    <xf numFmtId="164" fontId="2" fillId="4" borderId="2" pivotButton="0" quotePrefix="0" xfId="1"/>
    <xf numFmtId="166" fontId="0" fillId="7" borderId="4" pivotButton="0" quotePrefix="0" xfId="6"/>
    <xf numFmtId="166" fontId="0" fillId="0" borderId="4" pivotButton="0" quotePrefix="0" xfId="6"/>
    <xf numFmtId="166" fontId="0" fillId="7" borderId="6" pivotButton="0" quotePrefix="0" xfId="6"/>
    <xf numFmtId="166" fontId="13" fillId="9" borderId="6" pivotButton="0" quotePrefix="0" xfId="0"/>
    <xf numFmtId="166" fontId="0" fillId="0" borderId="0" pivotButton="0" quotePrefix="0" xfId="0"/>
    <xf numFmtId="166" fontId="10" fillId="6" borderId="5" pivotButton="0" quotePrefix="0" xfId="6"/>
    <xf numFmtId="167" fontId="0" fillId="7" borderId="4" pivotButton="0" quotePrefix="0" xfId="6"/>
    <xf numFmtId="167" fontId="0" fillId="0" borderId="4" pivotButton="0" quotePrefix="0" xfId="6"/>
    <xf numFmtId="167" fontId="0" fillId="7" borderId="6" pivotButton="0" quotePrefix="0" xfId="6"/>
    <xf numFmtId="167" fontId="13" fillId="9" borderId="6" pivotButton="0" quotePrefix="0" xfId="0"/>
    <xf numFmtId="167" fontId="19" fillId="12" borderId="8" pivotButton="0" quotePrefix="0" xfId="6"/>
    <xf numFmtId="167" fontId="19" fillId="0" borderId="8" pivotButton="0" quotePrefix="0" xfId="6"/>
    <xf numFmtId="167" fontId="20" fillId="0" borderId="10" pivotButton="0" quotePrefix="0" xfId="6"/>
    <xf numFmtId="167" fontId="11" fillId="0" borderId="1" pivotButton="0" quotePrefix="0" xfId="6"/>
    <xf numFmtId="167" fontId="14" fillId="11" borderId="11" pivotButton="0" quotePrefix="0" xfId="6"/>
    <xf numFmtId="167" fontId="9" fillId="12" borderId="8" pivotButton="0" quotePrefix="0" xfId="6"/>
    <xf numFmtId="167" fontId="9" fillId="0" borderId="8" pivotButton="0" quotePrefix="0" xfId="6"/>
    <xf numFmtId="167" fontId="9" fillId="0" borderId="12" pivotButton="0" quotePrefix="0" xfId="6"/>
    <xf numFmtId="167" fontId="9" fillId="0" borderId="12" pivotButton="0" quotePrefix="0" xfId="0"/>
  </cellXfs>
  <cellStyles count="7">
    <cellStyle name="Normal" xfId="0" builtinId="0"/>
    <cellStyle name="Normal_Ind.2010" xfId="1"/>
    <cellStyle name="Normal_Becas 14_9_2005" xfId="2"/>
    <cellStyle name="Normal_PDI por Centro" xfId="3"/>
    <cellStyle name="Normal 2" xfId="4"/>
    <cellStyle name="Normal 3" xfId="5"/>
    <cellStyle name="Millares" xfId="6" builtinId="3"/>
  </cellStyles>
  <dxfs count="42"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4"/>
          <bgColor theme="4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/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0" formatCode="General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theme="9" tint="0.7999816888943144"/>
          <bgColor theme="0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abla2" displayName="Tabla2" ref="A1:C11" headerRowCount="1" totalsRowCount="1" headerRowDxfId="41" totalsRowDxfId="38" headerRowBorderDxfId="40" tableBorderDxfId="39" totalsRowBorderDxfId="37">
  <autoFilter ref="A1:C10"/>
  <tableColumns count="3">
    <tableColumn id="1" name="Cód. org. aplic." totalsRowLabel="Total" dataDxfId="36" totalsRowDxfId="35"/>
    <tableColumn id="2" name="Descripción justificante" dataDxfId="34" totalsRowDxfId="33"/>
    <tableColumn id="3" name="Imp.cob.aplic." totalsRowFunction="sum" dataDxfId="32" totalsRowDxfId="31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43" headerRowCount="1" totalsRowCount="1" totalsRowDxfId="28" headerRowBorderDxfId="30" tableBorderDxfId="29" totalsRowBorderDxfId="27">
  <autoFilter ref="A1:C42"/>
  <tableColumns count="3">
    <tableColumn id="1" name="Org. aplic." totalsRowLabel="Total" dataDxfId="26" totalsRowDxfId="25"/>
    <tableColumn id="2" name="Descripción justificante" dataDxfId="24" totalsRowDxfId="23"/>
    <tableColumn id="3" name="Imp. aplic." totalsRowFunction="sum" dataDxfId="22" totalsRowDxfId="21" dataCellStyle="Millares" totalsRowCellStyle="Millar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:C3" headerRowCount="1" totalsRowCount="1" headerRowDxfId="20" totalsRowDxfId="17" headerRowBorderDxfId="19" tableBorderDxfId="18" totalsRowBorderDxfId="16">
  <autoFilter ref="A1:C2"/>
  <tableColumns count="3">
    <tableColumn id="1" name="Cód. org. aplic." totalsRowLabel="Total" dataDxfId="15" totalsRowDxfId="14"/>
    <tableColumn id="2" name="Descripción justificante" dataDxfId="13" totalsRowDxfId="12"/>
    <tableColumn id="3" name="Imp.cob.aplic." totalsRowFunction="sum" dataDxfId="11" totalsRowDxfId="10" dataCellStyle="Millares" totalsRowCellStyle="Millar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1" displayName="Tabla1" ref="A1:C22" headerRowCount="1" totalsRowCount="1" headerRowDxfId="3" headerRowBorderDxfId="8" tableBorderDxfId="9" totalsRowBorderDxfId="7">
  <autoFilter ref="A1:C21"/>
  <tableColumns count="3">
    <tableColumn id="1" name="Org. aplic." totalsRowLabel="Total" dataDxfId="6" totalsRowDxfId="2"/>
    <tableColumn id="2" name="Descripción justificante" dataDxfId="5" totalsRowDxfId="1"/>
    <tableColumn id="3" name="Imp. aplic." totalsRowFunction="sum" dataDxfId="4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7"/>
  <sheetViews>
    <sheetView showGridLines="0" zoomScale="120" zoomScaleNormal="120" workbookViewId="0">
      <pane xSplit="1" ySplit="1" topLeftCell="D2" activePane="bottomRight" state="frozen"/>
      <selection pane="topRight" activeCell="B1" sqref="B1"/>
      <selection pane="bottomLeft" activeCell="A2" sqref="A2"/>
      <selection pane="bottomRight" activeCell="I28" sqref="I28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9" min="15" max="15"/>
    <col width="4.88671875" customWidth="1" style="6" min="16" max="16"/>
    <col width="3.5546875" customWidth="1" style="9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0" t="inlineStr">
        <is>
          <t xml:space="preserve">U023 </t>
        </is>
      </c>
      <c r="B2" s="20" t="inlineStr">
        <is>
          <t xml:space="preserve">ADM. FACULTAD DE FILOSOFIA Y LETRAS </t>
        </is>
      </c>
      <c r="C2" s="20" t="inlineStr">
        <is>
          <t xml:space="preserve">DOCTORADO EN FILOSOFÍA Y LETRAS </t>
        </is>
      </c>
      <c r="D2" s="20" t="inlineStr">
        <is>
          <t xml:space="preserve">Martínez Copete, Antonio </t>
        </is>
      </c>
      <c r="E2" s="20" t="inlineStr">
        <is>
          <t xml:space="preserve">The effects of captioning and viewing original versions in english on long-term acquisition and comprehension of the english language </t>
        </is>
      </c>
      <c r="F2" s="20" t="inlineStr">
        <is>
          <t xml:space="preserve">10/07/2020 </t>
        </is>
      </c>
      <c r="G2" s="20" t="inlineStr">
        <is>
          <t xml:space="preserve">76414567B </t>
        </is>
      </c>
      <c r="H2" s="20" t="inlineStr">
        <is>
          <t xml:space="preserve">Director de tesis </t>
        </is>
      </c>
      <c r="I2" s="20" t="inlineStr">
        <is>
          <t xml:space="preserve">B116 </t>
        </is>
      </c>
      <c r="J2" s="20" t="inlineStr">
        <is>
          <t xml:space="preserve">FILOLOGÍA INGLESA </t>
        </is>
      </c>
      <c r="K2" s="80" t="n">
        <v>1</v>
      </c>
      <c r="L2" s="20" t="inlineStr">
        <is>
          <t>B116</t>
        </is>
      </c>
      <c r="M2" s="20" t="n">
        <v>2019</v>
      </c>
      <c r="N2" s="20" t="inlineStr">
        <is>
          <t>10.23</t>
        </is>
      </c>
      <c r="O2" s="22" t="n">
        <v>20</v>
      </c>
      <c r="P2" s="20" t="inlineStr">
        <is>
          <t>10.15</t>
        </is>
      </c>
      <c r="Q2" s="22" t="n">
        <v>20</v>
      </c>
      <c r="R2" s="23" t="n">
        <v>60</v>
      </c>
      <c r="S2" s="24" t="n">
        <v>0.6</v>
      </c>
      <c r="T2" s="24" t="n">
        <v>0.2</v>
      </c>
      <c r="U2" s="24" t="n">
        <v>0.2</v>
      </c>
    </row>
    <row r="3">
      <c r="A3" s="20" t="inlineStr">
        <is>
          <t xml:space="preserve">U023 </t>
        </is>
      </c>
      <c r="B3" s="20" t="inlineStr">
        <is>
          <t xml:space="preserve">ADM. FACULTAD DE FILOSOFIA Y LETRAS </t>
        </is>
      </c>
      <c r="C3" s="20" t="inlineStr">
        <is>
          <t xml:space="preserve">DOCTORADO EN FILOSOFÍA Y LETRAS </t>
        </is>
      </c>
      <c r="D3" s="20" t="inlineStr">
        <is>
          <t xml:space="preserve">Mateo Guillen, Copelia </t>
        </is>
      </c>
      <c r="E3" s="20" t="inlineStr">
        <is>
          <t xml:space="preserve">ONLINE STRATEGIES TO FOSTER AUTONOMOUS ENBLISH LANGUAGE LEARNING IN VIRUTAL ENVIRONMENTS: The case of teh COMALAT European Project </t>
        </is>
      </c>
      <c r="F3" s="20" t="inlineStr">
        <is>
          <t xml:space="preserve">29/07/2020 </t>
        </is>
      </c>
      <c r="G3" s="20" t="inlineStr">
        <is>
          <t xml:space="preserve">53214805G </t>
        </is>
      </c>
      <c r="H3" s="20" t="inlineStr">
        <is>
          <t xml:space="preserve">Director de tesis </t>
        </is>
      </c>
      <c r="I3" s="20" t="inlineStr">
        <is>
          <t xml:space="preserve">B116 </t>
        </is>
      </c>
      <c r="J3" s="20" t="inlineStr">
        <is>
          <t xml:space="preserve">FILOLOGÍA INGLESA </t>
        </is>
      </c>
      <c r="K3" s="80" t="n">
        <v>1</v>
      </c>
      <c r="L3" s="20" t="inlineStr">
        <is>
          <t>B116</t>
        </is>
      </c>
      <c r="M3" s="20" t="n">
        <v>2019</v>
      </c>
      <c r="N3" s="20" t="inlineStr">
        <is>
          <t>10.15</t>
        </is>
      </c>
      <c r="O3" s="22" t="inlineStr">
        <is>
          <t>50</t>
        </is>
      </c>
      <c r="P3" s="20" t="inlineStr"/>
      <c r="Q3" s="22" t="inlineStr"/>
      <c r="R3" s="23" t="n">
        <v>50</v>
      </c>
      <c r="S3" s="24" t="n">
        <v>0.5</v>
      </c>
      <c r="T3" s="24" t="n">
        <v>0.5</v>
      </c>
      <c r="U3" s="24" t="n">
        <v>0</v>
      </c>
    </row>
    <row r="4">
      <c r="A4" s="20" t="inlineStr">
        <is>
          <t xml:space="preserve">U023 </t>
        </is>
      </c>
      <c r="B4" s="20" t="inlineStr">
        <is>
          <t xml:space="preserve">ADM. FACULTAD DE FILOSOFIA Y LETRAS </t>
        </is>
      </c>
      <c r="C4" s="20" t="inlineStr">
        <is>
          <t xml:space="preserve">DOCTORADO EN FILOSOFÍA Y LETRAS </t>
        </is>
      </c>
      <c r="D4" s="20" t="inlineStr">
        <is>
          <t xml:space="preserve">Sinyashina , Ekaterina </t>
        </is>
      </c>
      <c r="E4" s="20" t="inlineStr">
        <is>
          <t xml:space="preserve">THE EFFECTIVENESS OF WATHING CAPTIONED AUTHENTIC VIDEOS FOR INCIDENTAL VOCABULARY LEARNING: THE REPETITION VARIABLE </t>
        </is>
      </c>
      <c r="F4" s="20" t="inlineStr">
        <is>
          <t xml:space="preserve">10/06/2020 </t>
        </is>
      </c>
      <c r="G4" s="20" t="inlineStr">
        <is>
          <t xml:space="preserve">76414567B </t>
        </is>
      </c>
      <c r="H4" s="20" t="inlineStr">
        <is>
          <t xml:space="preserve">Director de tesis </t>
        </is>
      </c>
      <c r="I4" s="20" t="inlineStr">
        <is>
          <t xml:space="preserve">B116 </t>
        </is>
      </c>
      <c r="J4" s="20" t="inlineStr">
        <is>
          <t xml:space="preserve">FILOLOGÍA INGLESA </t>
        </is>
      </c>
      <c r="K4" s="80" t="n">
        <v>1</v>
      </c>
      <c r="L4" s="20" t="inlineStr">
        <is>
          <t>B116</t>
        </is>
      </c>
      <c r="M4" s="20" t="n">
        <v>2019</v>
      </c>
      <c r="N4" s="20" t="inlineStr">
        <is>
          <t>10.23</t>
        </is>
      </c>
      <c r="O4" s="22" t="n">
        <v>20</v>
      </c>
      <c r="P4" s="20" t="inlineStr">
        <is>
          <t>10.15</t>
        </is>
      </c>
      <c r="Q4" s="22" t="n">
        <v>20</v>
      </c>
      <c r="R4" s="23" t="n">
        <v>60</v>
      </c>
      <c r="S4" s="24" t="n">
        <v>0.6</v>
      </c>
      <c r="T4" s="24" t="n">
        <v>0.2</v>
      </c>
      <c r="U4" s="24" t="n">
        <v>0.2</v>
      </c>
    </row>
    <row r="5">
      <c r="A5" s="39" t="inlineStr">
        <is>
          <t xml:space="preserve">U023 </t>
        </is>
      </c>
      <c r="B5" s="39" t="inlineStr">
        <is>
          <t xml:space="preserve">ADM. FACULTAD DE FILOSOFIA Y LETRAS </t>
        </is>
      </c>
      <c r="C5" s="39" t="inlineStr">
        <is>
          <t xml:space="preserve">DOCTORADO EN FILOSOFÍA Y LETRAS </t>
        </is>
      </c>
      <c r="D5" s="39" t="inlineStr">
        <is>
          <t xml:space="preserve">Segura Martínez, Vicente </t>
        </is>
      </c>
      <c r="E5" s="39" t="inlineStr">
        <is>
          <t xml:space="preserve">Cultura industrial, ludismo y proyección literaria </t>
        </is>
      </c>
      <c r="F5" s="39" t="inlineStr">
        <is>
          <t xml:space="preserve">23/10/2020 </t>
        </is>
      </c>
      <c r="G5" s="39" t="inlineStr">
        <is>
          <t xml:space="preserve">48345463S </t>
        </is>
      </c>
      <c r="H5" s="39" t="inlineStr">
        <is>
          <t xml:space="preserve">Codirector de tesis </t>
        </is>
      </c>
      <c r="I5" s="39" t="inlineStr">
        <is>
          <t xml:space="preserve">B116 </t>
        </is>
      </c>
      <c r="J5" s="39" t="inlineStr">
        <is>
          <t xml:space="preserve">FILOLOGÍA INGLESA </t>
        </is>
      </c>
      <c r="K5" s="40" t="n">
        <v>0.5</v>
      </c>
      <c r="L5" s="40" t="inlineStr">
        <is>
          <t>B116</t>
        </is>
      </c>
      <c r="M5" s="26" t="n">
        <v>2019</v>
      </c>
      <c r="N5" s="39" t="inlineStr">
        <is>
          <t>10.22</t>
        </is>
      </c>
      <c r="O5" s="19" t="n">
        <v>10</v>
      </c>
      <c r="P5" s="39" t="inlineStr">
        <is>
          <t>10.23</t>
        </is>
      </c>
      <c r="Q5" s="19" t="n">
        <v>20</v>
      </c>
      <c r="R5" s="39" t="n">
        <v>70</v>
      </c>
      <c r="S5" s="39" t="n">
        <v>0.35</v>
      </c>
      <c r="T5" s="39" t="n">
        <v>0.05</v>
      </c>
      <c r="U5" s="39" t="n">
        <v>0.1</v>
      </c>
    </row>
    <row r="6">
      <c r="A6" s="39" t="inlineStr">
        <is>
          <t xml:space="preserve">U023 </t>
        </is>
      </c>
      <c r="B6" s="39" t="inlineStr">
        <is>
          <t xml:space="preserve">ADM. FACULTAD DE FILOSOFIA Y LETRAS </t>
        </is>
      </c>
      <c r="C6" s="39" t="inlineStr">
        <is>
          <t xml:space="preserve">DOCTORADO EN FILOSOFÍA Y LETRAS </t>
        </is>
      </c>
      <c r="D6" s="39" t="inlineStr">
        <is>
          <t xml:space="preserve">Llorens Simón, Eva María </t>
        </is>
      </c>
      <c r="E6" s="39" t="inlineStr">
        <is>
          <t xml:space="preserve">"Emociones y polaridad en un corpus especializado sobre lenguaje turístico. Análisis contrastivo de elementos recurrentes y fundamentos cognitivos en inglés y en español" </t>
        </is>
      </c>
      <c r="F6" s="39" t="inlineStr">
        <is>
          <t xml:space="preserve">03/02/2022 </t>
        </is>
      </c>
      <c r="G6" s="39" t="inlineStr">
        <is>
          <t xml:space="preserve">21481015G </t>
        </is>
      </c>
      <c r="H6" s="39" t="inlineStr">
        <is>
          <t xml:space="preserve">Director de tesis </t>
        </is>
      </c>
      <c r="I6" s="39" t="inlineStr">
        <is>
          <t xml:space="preserve">B116 </t>
        </is>
      </c>
      <c r="J6" s="39" t="inlineStr">
        <is>
          <t xml:space="preserve">FILOLOGÍA INGLESA </t>
        </is>
      </c>
      <c r="K6" s="40" t="n">
        <v>1</v>
      </c>
      <c r="L6" s="40" t="inlineStr">
        <is>
          <t>B116</t>
        </is>
      </c>
      <c r="M6" s="39" t="n">
        <v>2021</v>
      </c>
      <c r="N6" s="39" t="inlineStr">
        <is>
          <t>10.15</t>
        </is>
      </c>
      <c r="O6" s="19" t="n">
        <v>50</v>
      </c>
      <c r="P6" s="39" t="inlineStr"/>
      <c r="Q6" s="19" t="n">
        <v>0</v>
      </c>
      <c r="R6" s="39" t="n">
        <v>50</v>
      </c>
      <c r="S6" s="39" t="n">
        <v>0.5</v>
      </c>
      <c r="T6" s="39" t="n">
        <v>0.5</v>
      </c>
      <c r="U6" s="39" t="n">
        <v>0</v>
      </c>
    </row>
    <row r="7">
      <c r="A7" s="39" t="inlineStr">
        <is>
          <t xml:space="preserve">U023 </t>
        </is>
      </c>
      <c r="B7" s="39" t="inlineStr">
        <is>
          <t xml:space="preserve">ADM. FACULTAD DE FILOSOFIA Y LETRAS </t>
        </is>
      </c>
      <c r="C7" s="39" t="inlineStr">
        <is>
          <t xml:space="preserve">DOCTORADO EN FILOSOFÍA Y LETRAS </t>
        </is>
      </c>
      <c r="D7" s="39" t="inlineStr">
        <is>
          <t xml:space="preserve">Marrahi Gómez, Victor </t>
        </is>
      </c>
      <c r="E7" s="39" t="inlineStr">
        <is>
          <t xml:space="preserve">La Realidad Aumentada (RA) en el aprendizaje del inglés: análisis de la eficacia de su uso en el léxico y la gramática. </t>
        </is>
      </c>
      <c r="F7" s="39" t="inlineStr">
        <is>
          <t xml:space="preserve">22/07/2022 </t>
        </is>
      </c>
      <c r="G7" s="39" t="inlineStr">
        <is>
          <t xml:space="preserve">22145079N </t>
        </is>
      </c>
      <c r="H7" s="39" t="inlineStr">
        <is>
          <t xml:space="preserve">Director de tesis </t>
        </is>
      </c>
      <c r="I7" s="39" t="inlineStr">
        <is>
          <t xml:space="preserve">B116 </t>
        </is>
      </c>
      <c r="J7" s="39" t="inlineStr">
        <is>
          <t xml:space="preserve">FILOLOGÍA INGLESA </t>
        </is>
      </c>
      <c r="K7" s="40" t="n">
        <v>1</v>
      </c>
      <c r="L7" s="40" t="inlineStr">
        <is>
          <t>B116</t>
        </is>
      </c>
      <c r="M7" s="39" t="n">
        <v>2021</v>
      </c>
      <c r="N7" s="39" t="inlineStr">
        <is>
          <t>10.15</t>
        </is>
      </c>
      <c r="O7" s="19" t="n">
        <v>10</v>
      </c>
      <c r="P7" s="39" t="inlineStr"/>
      <c r="Q7" s="19" t="n">
        <v>0</v>
      </c>
      <c r="R7" s="39" t="n">
        <v>90</v>
      </c>
      <c r="S7" s="39" t="n">
        <v>0.9</v>
      </c>
      <c r="T7" s="39" t="n">
        <v>0.1</v>
      </c>
      <c r="U7" s="39" t="n">
        <v>0</v>
      </c>
    </row>
    <row r="8">
      <c r="A8" s="39" t="inlineStr">
        <is>
          <t xml:space="preserve">U023 </t>
        </is>
      </c>
      <c r="B8" s="39" t="inlineStr">
        <is>
          <t xml:space="preserve">ADM. FACULTAD DE FILOSOFIA Y LETRAS </t>
        </is>
      </c>
      <c r="C8" s="39" t="inlineStr">
        <is>
          <t xml:space="preserve">DOCTORADO EN FILOSOFÍA Y LETRAS </t>
        </is>
      </c>
      <c r="D8" s="39" t="inlineStr">
        <is>
          <t xml:space="preserve">Espinosa Zaragoza, Isabel </t>
        </is>
      </c>
      <c r="E8" s="39" t="inlineStr">
        <is>
          <t xml:space="preserve">A STUDY OF COLOUR NAMES IN THE COSMETIC INDUSTRY </t>
        </is>
      </c>
      <c r="F8" s="39" t="inlineStr">
        <is>
          <t xml:space="preserve">04/04/2022 </t>
        </is>
      </c>
      <c r="G8" s="39" t="inlineStr">
        <is>
          <t xml:space="preserve">76414567B </t>
        </is>
      </c>
      <c r="H8" s="39" t="inlineStr">
        <is>
          <t xml:space="preserve">Director de tesis </t>
        </is>
      </c>
      <c r="I8" s="39" t="inlineStr">
        <is>
          <t xml:space="preserve">B116 </t>
        </is>
      </c>
      <c r="J8" s="39" t="inlineStr">
        <is>
          <t xml:space="preserve">FILOLOGÍA INGLESA </t>
        </is>
      </c>
      <c r="K8" s="40" t="n">
        <v>1</v>
      </c>
      <c r="L8" s="40" t="inlineStr">
        <is>
          <t>B116</t>
        </is>
      </c>
      <c r="M8" s="39" t="n">
        <v>2021</v>
      </c>
      <c r="N8" s="39" t="inlineStr">
        <is>
          <t>10.23</t>
        </is>
      </c>
      <c r="O8" s="19" t="n">
        <v>20</v>
      </c>
      <c r="P8" s="39" t="inlineStr">
        <is>
          <t>10.15</t>
        </is>
      </c>
      <c r="Q8" s="19" t="n">
        <v>20</v>
      </c>
      <c r="R8" s="39" t="n">
        <v>60</v>
      </c>
      <c r="S8" s="39" t="n">
        <v>0.6</v>
      </c>
      <c r="T8" s="39" t="n">
        <v>0.2</v>
      </c>
      <c r="U8" s="39" t="n">
        <v>0.2</v>
      </c>
    </row>
    <row r="9">
      <c r="A9" s="39" t="inlineStr">
        <is>
          <t xml:space="preserve">U073 </t>
        </is>
      </c>
      <c r="B9" s="39" t="inlineStr">
        <is>
          <t xml:space="preserve">ADM. I.U. INVESTIGACIÓN DE ESTUDIOS DE GÉNERO </t>
        </is>
      </c>
      <c r="C9" s="39" t="inlineStr">
        <is>
          <t xml:space="preserve">DOCTORADO EN ESTUDIOS INTERDISCIPLINARES DE GÉNERO </t>
        </is>
      </c>
      <c r="D9" s="39" t="inlineStr">
        <is>
          <t xml:space="preserve">Ráez Domínguez, María </t>
        </is>
      </c>
      <c r="E9" s="39" t="inlineStr">
        <is>
          <t xml:space="preserve">"Análisis discursivo y violencias simbólicas en torno a la mujer subsahariana. Una comparación de los discursos de violencia en servicios públicos y organizaciones no gubernamentales". </t>
        </is>
      </c>
      <c r="F9" s="39" t="inlineStr">
        <is>
          <t xml:space="preserve">04/05/2022 </t>
        </is>
      </c>
      <c r="G9" s="39" t="inlineStr">
        <is>
          <t xml:space="preserve">26226014B </t>
        </is>
      </c>
      <c r="H9" s="39" t="inlineStr">
        <is>
          <t xml:space="preserve">Director de tesis </t>
        </is>
      </c>
      <c r="I9" s="39" t="inlineStr">
        <is>
          <t xml:space="preserve">B116 </t>
        </is>
      </c>
      <c r="J9" s="39" t="inlineStr">
        <is>
          <t xml:space="preserve">FILOLOGÍA INGLESA </t>
        </is>
      </c>
      <c r="K9" s="40" t="n">
        <v>1</v>
      </c>
      <c r="L9" s="40" t="inlineStr">
        <is>
          <t>B116</t>
        </is>
      </c>
      <c r="M9" s="39" t="n">
        <v>2021</v>
      </c>
      <c r="N9" s="39" t="inlineStr">
        <is>
          <t>10.15</t>
        </is>
      </c>
      <c r="O9" s="19" t="n">
        <v>10</v>
      </c>
      <c r="P9" s="39" t="inlineStr">
        <is>
          <t>10.23</t>
        </is>
      </c>
      <c r="Q9" s="19" t="n">
        <v>20</v>
      </c>
      <c r="R9" s="39" t="n">
        <v>70</v>
      </c>
      <c r="S9" s="39" t="n">
        <v>0.7</v>
      </c>
      <c r="T9" s="39" t="n">
        <v>0.1</v>
      </c>
      <c r="U9" s="39" t="n">
        <v>0.2</v>
      </c>
    </row>
    <row r="10" ht="10.2" customHeight="1">
      <c r="A10" s="39" t="inlineStr">
        <is>
          <t>U023</t>
        </is>
      </c>
      <c r="B10" s="39" t="inlineStr">
        <is>
          <t>ADM. FACULTAD DE FILOSOFIA Y LETRAS</t>
        </is>
      </c>
      <c r="C10" s="39" t="inlineStr">
        <is>
          <t>DOCTORADO EN FILOSOFÍA Y LETRAS</t>
        </is>
      </c>
      <c r="D10" s="39" t="inlineStr">
        <is>
          <t>Martínez Quiles, María Teresa</t>
        </is>
      </c>
      <c r="E10" s="39" t="inlineStr">
        <is>
          <t>Writing the Friend, Writing Difference: A Study of Contemporary Female Friendship in Fiction by Diaspora Women Authors</t>
        </is>
      </c>
      <c r="F10" s="39" t="inlineStr">
        <is>
          <t>12/01/2024</t>
        </is>
      </c>
      <c r="G10" s="39" t="inlineStr">
        <is>
          <t>34895192Y</t>
        </is>
      </c>
      <c r="H10" s="39" t="inlineStr">
        <is>
          <t>Director de tesis</t>
        </is>
      </c>
      <c r="I10" s="40" t="inlineStr">
        <is>
          <t>B116</t>
        </is>
      </c>
      <c r="J10" s="39" t="inlineStr">
        <is>
          <t>FILOLOGÍA INGLESA</t>
        </is>
      </c>
      <c r="K10" s="41" t="n">
        <v>1</v>
      </c>
      <c r="L10" s="41" t="inlineStr">
        <is>
          <t>B116</t>
        </is>
      </c>
      <c r="M10" s="41" t="n">
        <v>2023</v>
      </c>
      <c r="N10" s="41" t="inlineStr">
        <is>
          <t>10.15</t>
        </is>
      </c>
      <c r="O10" s="41" t="inlineStr">
        <is>
          <t>10</t>
        </is>
      </c>
      <c r="P10" s="41" t="inlineStr"/>
      <c r="Q10" s="41" t="inlineStr"/>
      <c r="R10" s="41" t="n">
        <v>90</v>
      </c>
      <c r="S10" s="41" t="n">
        <v>0.9</v>
      </c>
      <c r="T10" s="41" t="n">
        <v>0.1</v>
      </c>
      <c r="U10" s="41" t="n">
        <v>0</v>
      </c>
      <c r="V10" s="33" t="n"/>
      <c r="Y10" s="6" t="n"/>
    </row>
    <row r="11" ht="10.2" customHeight="1">
      <c r="A11" s="39" t="inlineStr">
        <is>
          <t>U023</t>
        </is>
      </c>
      <c r="B11" s="39" t="inlineStr">
        <is>
          <t>ADM. FACULTAD DE FILOSOFIA Y LETRAS</t>
        </is>
      </c>
      <c r="C11" s="39" t="inlineStr">
        <is>
          <t>DOCTORADO EN FILOSOFÍA Y LETRAS</t>
        </is>
      </c>
      <c r="D11" s="39" t="inlineStr">
        <is>
          <t>Chen , Yanxia</t>
        </is>
      </c>
      <c r="E11" s="39" t="inlineStr">
        <is>
          <t>LA APLICACIÓN DE LOS DISCURSOS HUMORÍSTICOS A LA ENSEÑANZA DE CHINO COMO LENGUA EXTRANJERA</t>
        </is>
      </c>
      <c r="F11" s="39" t="inlineStr">
        <is>
          <t>19/07/2024</t>
        </is>
      </c>
      <c r="G11" s="39" t="inlineStr">
        <is>
          <t>45273600D</t>
        </is>
      </c>
      <c r="H11" s="39" t="inlineStr">
        <is>
          <t>Director de tesis</t>
        </is>
      </c>
      <c r="I11" s="40" t="inlineStr">
        <is>
          <t>B116</t>
        </is>
      </c>
      <c r="J11" s="39" t="inlineStr">
        <is>
          <t>FILOLOGÍA INGLESA</t>
        </is>
      </c>
      <c r="K11" s="41" t="n">
        <v>1</v>
      </c>
      <c r="L11" s="41" t="inlineStr">
        <is>
          <t>B116</t>
        </is>
      </c>
      <c r="M11" s="41" t="n">
        <v>2023</v>
      </c>
      <c r="N11" s="41" t="inlineStr">
        <is>
          <t>10.15</t>
        </is>
      </c>
      <c r="O11" s="41" t="inlineStr">
        <is>
          <t>50</t>
        </is>
      </c>
      <c r="P11" s="41" t="inlineStr"/>
      <c r="Q11" s="41" t="inlineStr"/>
      <c r="R11" s="41" t="n">
        <v>50</v>
      </c>
      <c r="S11" s="41" t="n">
        <v>0.5</v>
      </c>
      <c r="T11" s="41" t="n">
        <v>0.5</v>
      </c>
      <c r="U11" s="41" t="n">
        <v>0</v>
      </c>
      <c r="V11" s="33" t="n"/>
      <c r="Y11" s="6" t="n"/>
    </row>
    <row r="12" ht="10.2" customHeight="1">
      <c r="A12" s="39" t="inlineStr">
        <is>
          <t>U023</t>
        </is>
      </c>
      <c r="B12" s="39" t="inlineStr">
        <is>
          <t>ADM. FACULTAD DE FILOSOFIA Y LETRAS</t>
        </is>
      </c>
      <c r="C12" s="39" t="inlineStr">
        <is>
          <t>DOCTORADO EN FILOSOFÍA Y LETRAS</t>
        </is>
      </c>
      <c r="D12" s="39" t="inlineStr">
        <is>
          <t>Goddard , Max Benjamin</t>
        </is>
      </c>
      <c r="E12" s="39" t="inlineStr">
        <is>
          <t>La integración del DST (Digital Storytelling) en la formación del profesorado de inglés como lengua extranjera (EFL)</t>
        </is>
      </c>
      <c r="F12" s="39" t="inlineStr">
        <is>
          <t>05/03/2024</t>
        </is>
      </c>
      <c r="G12" s="39" t="inlineStr">
        <is>
          <t>22145079N</t>
        </is>
      </c>
      <c r="H12" s="39" t="inlineStr">
        <is>
          <t>Director de tesis</t>
        </is>
      </c>
      <c r="I12" s="40" t="inlineStr">
        <is>
          <t>B116</t>
        </is>
      </c>
      <c r="J12" s="39" t="inlineStr">
        <is>
          <t>FILOLOGÍA INGLESA</t>
        </is>
      </c>
      <c r="K12" s="41" t="n">
        <v>1</v>
      </c>
      <c r="L12" s="41" t="inlineStr">
        <is>
          <t>B116</t>
        </is>
      </c>
      <c r="M12" s="41" t="n">
        <v>2023</v>
      </c>
      <c r="N12" s="41" t="inlineStr">
        <is>
          <t>10.15</t>
        </is>
      </c>
      <c r="O12" s="41" t="inlineStr">
        <is>
          <t>50</t>
        </is>
      </c>
      <c r="P12" s="41" t="inlineStr"/>
      <c r="Q12" s="41" t="inlineStr"/>
      <c r="R12" s="41" t="n">
        <v>50</v>
      </c>
      <c r="S12" s="41" t="n">
        <v>0.5</v>
      </c>
      <c r="T12" s="41" t="n">
        <v>0.5</v>
      </c>
      <c r="U12" s="41" t="n">
        <v>0</v>
      </c>
      <c r="V12" s="33" t="n"/>
      <c r="Y12" s="6" t="n"/>
    </row>
    <row r="13" ht="10.2" customHeight="1">
      <c r="A13" s="39" t="inlineStr">
        <is>
          <t>B172</t>
        </is>
      </c>
      <c r="B13" s="39" t="inlineStr">
        <is>
          <t>Traducción e Interpretación</t>
        </is>
      </c>
      <c r="C13" s="39" t="inlineStr">
        <is>
          <t>DOCTORADO EN TRADUCTOLOGÍA, TRADUCCIÓN PROFESIONAL Y AUDIOVISUAL</t>
        </is>
      </c>
      <c r="D13" s="39" t="inlineStr">
        <is>
          <t>Monteagudo Medina, Mary Ann Elsa</t>
        </is>
      </c>
      <c r="E13" s="39" t="inlineStr">
        <is>
          <t>Variación terminológica y fraseológica en escrituras de constitución y contratos comerciales: estrategias para la traducción jurídica entre Perú y Estados Unidos</t>
        </is>
      </c>
      <c r="F13" s="39" t="inlineStr">
        <is>
          <t>05/05/2025</t>
        </is>
      </c>
      <c r="G13" s="39" t="inlineStr">
        <is>
          <t>21481015G</t>
        </is>
      </c>
      <c r="H13" s="39" t="inlineStr">
        <is>
          <t>Director de tesis</t>
        </is>
      </c>
      <c r="I13" s="40" t="inlineStr">
        <is>
          <t>B116</t>
        </is>
      </c>
      <c r="J13" s="39" t="inlineStr">
        <is>
          <t>Filología Inglesa</t>
        </is>
      </c>
      <c r="K13" s="41" t="n">
        <v>1</v>
      </c>
      <c r="L13" s="41" t="inlineStr">
        <is>
          <t>B116</t>
        </is>
      </c>
      <c r="M13" s="41" t="n">
        <v>2024</v>
      </c>
      <c r="N13" s="41" t="inlineStr">
        <is>
          <t>10.15</t>
        </is>
      </c>
      <c r="O13" s="41" t="inlineStr">
        <is>
          <t>50</t>
        </is>
      </c>
      <c r="P13" s="41" t="inlineStr"/>
      <c r="Q13" s="41" t="inlineStr"/>
      <c r="R13" s="41" t="n">
        <v>50</v>
      </c>
      <c r="S13" s="41" t="n">
        <v>0.5</v>
      </c>
      <c r="T13" s="41" t="n">
        <v>0.5</v>
      </c>
      <c r="U13" s="41" t="n">
        <v>0</v>
      </c>
      <c r="V13" s="33" t="n"/>
      <c r="Y13" s="6" t="n"/>
    </row>
    <row r="14" ht="10.2" customHeight="1">
      <c r="A14" s="39" t="inlineStr">
        <is>
          <t>U023</t>
        </is>
      </c>
      <c r="B14" s="39" t="inlineStr">
        <is>
          <t>Administración Facultad de Filosofía y Letras</t>
        </is>
      </c>
      <c r="C14" s="39" t="inlineStr">
        <is>
          <t>DOCTORADO EN FILOSOFÍA Y LETRAS</t>
        </is>
      </c>
      <c r="D14" s="39" t="inlineStr">
        <is>
          <t>Jesús Ortiz, Esther</t>
        </is>
      </c>
      <c r="E14" s="39" t="inlineStr">
        <is>
          <t>Mejora de la competencia en lengua inglesa a través de la localización de videojuegos y la Traducción Audiovisual Didáctica</t>
        </is>
      </c>
      <c r="F14" s="39" t="inlineStr">
        <is>
          <t>25/07/2025</t>
        </is>
      </c>
      <c r="G14" s="39" t="inlineStr">
        <is>
          <t>74230456A</t>
        </is>
      </c>
      <c r="H14" s="39" t="inlineStr">
        <is>
          <t>Director de tesis</t>
        </is>
      </c>
      <c r="I14" s="40" t="inlineStr">
        <is>
          <t>B116</t>
        </is>
      </c>
      <c r="J14" s="39" t="inlineStr">
        <is>
          <t>Filología Inglesa</t>
        </is>
      </c>
      <c r="K14" s="41" t="n">
        <v>1</v>
      </c>
      <c r="L14" s="41" t="inlineStr">
        <is>
          <t>B116</t>
        </is>
      </c>
      <c r="M14" s="41" t="n">
        <v>2024</v>
      </c>
      <c r="N14" s="41" t="inlineStr">
        <is>
          <t>10.15</t>
        </is>
      </c>
      <c r="O14" s="41" t="inlineStr">
        <is>
          <t>50</t>
        </is>
      </c>
      <c r="P14" s="41" t="inlineStr"/>
      <c r="Q14" s="41" t="inlineStr"/>
      <c r="R14" s="41" t="n">
        <v>50</v>
      </c>
      <c r="S14" s="41" t="n">
        <v>0.5</v>
      </c>
      <c r="T14" s="41" t="n">
        <v>0.5</v>
      </c>
      <c r="U14" s="41" t="n">
        <v>0</v>
      </c>
      <c r="V14" s="33" t="n"/>
      <c r="Y14" s="6" t="n"/>
    </row>
    <row r="15" ht="10.2" customHeight="1">
      <c r="A15" s="39" t="inlineStr">
        <is>
          <t>U023</t>
        </is>
      </c>
      <c r="B15" s="39" t="inlineStr">
        <is>
          <t>Administración Facultad de Filosofía y Letras</t>
        </is>
      </c>
      <c r="C15" s="39" t="inlineStr">
        <is>
          <t>DOCTORADO EN FILOSOFÍA Y LETRAS</t>
        </is>
      </c>
      <c r="D15" s="39" t="inlineStr">
        <is>
          <t>BELOVA , KSENIIA</t>
        </is>
      </c>
      <c r="E15" s="39" t="inlineStr">
        <is>
          <t>THE LANGUAGE OF HOMOPHOBIC HATE SPEECH: GRAMMATICAL AND DISCURSIVE CHARACTERISTICS</t>
        </is>
      </c>
      <c r="F15" s="39" t="inlineStr">
        <is>
          <t>17/03/2025</t>
        </is>
      </c>
      <c r="G15" s="39" t="inlineStr">
        <is>
          <t>21436412K</t>
        </is>
      </c>
      <c r="H15" s="39" t="inlineStr">
        <is>
          <t>Director de tesis</t>
        </is>
      </c>
      <c r="I15" s="40" t="inlineStr">
        <is>
          <t>B116</t>
        </is>
      </c>
      <c r="J15" s="39" t="inlineStr">
        <is>
          <t>Filología Inglesa</t>
        </is>
      </c>
      <c r="K15" s="41" t="n">
        <v>1</v>
      </c>
      <c r="L15" s="41" t="inlineStr">
        <is>
          <t>B116</t>
        </is>
      </c>
      <c r="M15" s="41" t="n">
        <v>2024</v>
      </c>
      <c r="N15" s="41" t="inlineStr">
        <is>
          <t>10.15</t>
        </is>
      </c>
      <c r="O15" s="41" t="inlineStr">
        <is>
          <t>50</t>
        </is>
      </c>
      <c r="P15" s="41" t="inlineStr"/>
      <c r="Q15" s="41" t="inlineStr"/>
      <c r="R15" s="41" t="n">
        <v>50</v>
      </c>
      <c r="S15" s="41" t="n">
        <v>0.5</v>
      </c>
      <c r="T15" s="41" t="n">
        <v>0.5</v>
      </c>
      <c r="U15" s="41" t="n">
        <v>0</v>
      </c>
      <c r="V15" s="33" t="n"/>
      <c r="Y15" s="6" t="n"/>
    </row>
    <row r="16" ht="10.2" customHeight="1">
      <c r="A16" s="39" t="inlineStr">
        <is>
          <t>U073</t>
        </is>
      </c>
      <c r="B16" s="39" t="inlineStr">
        <is>
          <t>Instituto Universitario Investigación de Estudios de Género (10.23)</t>
        </is>
      </c>
      <c r="C16" s="39" t="inlineStr">
        <is>
          <t>DOCTORADO EN ESTUDIOS INTERDISCIPLINARES DE GÉNERO</t>
        </is>
      </c>
      <c r="D16" s="39" t="inlineStr">
        <is>
          <t>Campoy Martínez, Alba</t>
        </is>
      </c>
      <c r="E16" s="39" t="inlineStr">
        <is>
          <t>Feminismo en el cine de animación de Hayao Miyazaki: Análisis del discurso lingüístico y visual basado en el empoderamiento femenino de las protagonistas y antagonistas de La princesa Mononoke (1997), El viaje de Chihiro (2001) y El castillo ambulant</t>
        </is>
      </c>
      <c r="F16" s="39" t="inlineStr">
        <is>
          <t>23/05/2025</t>
        </is>
      </c>
      <c r="G16" s="39" t="inlineStr">
        <is>
          <t>26226014B</t>
        </is>
      </c>
      <c r="H16" s="39" t="inlineStr">
        <is>
          <t>Director de tesis</t>
        </is>
      </c>
      <c r="I16" s="40" t="inlineStr">
        <is>
          <t>B116</t>
        </is>
      </c>
      <c r="J16" s="39" t="inlineStr">
        <is>
          <t>Filología Inglesa</t>
        </is>
      </c>
      <c r="K16" s="41" t="n">
        <v>1</v>
      </c>
      <c r="L16" s="41" t="inlineStr">
        <is>
          <t>B116</t>
        </is>
      </c>
      <c r="M16" s="41" t="n">
        <v>2024</v>
      </c>
      <c r="N16" s="41" t="inlineStr">
        <is>
          <t>10.23</t>
        </is>
      </c>
      <c r="O16" s="41" t="inlineStr">
        <is>
          <t>20</t>
        </is>
      </c>
      <c r="P16" s="41" t="inlineStr">
        <is>
          <t>10.15</t>
        </is>
      </c>
      <c r="Q16" s="41" t="inlineStr">
        <is>
          <t>10</t>
        </is>
      </c>
      <c r="R16" s="41" t="n">
        <v>70</v>
      </c>
      <c r="S16" s="41" t="n">
        <v>0.7</v>
      </c>
      <c r="T16" s="41" t="n">
        <v>0.2</v>
      </c>
      <c r="U16" s="41" t="n">
        <v>0.1</v>
      </c>
      <c r="V16" s="33" t="n"/>
      <c r="Y16" s="6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8" t="n"/>
      <c r="P17" s="7" t="n"/>
      <c r="Q17" s="8" t="n"/>
      <c r="R17" s="7" t="n"/>
      <c r="S17" s="27">
        <f>SUM(S2:S16)</f>
        <v/>
      </c>
      <c r="T17" s="7" t="n"/>
      <c r="U17" s="7" t="n"/>
    </row>
  </sheetData>
  <autoFilter ref="A1:U1">
    <sortState ref="A2:T1880">
      <sortCondition ref="K3:K1880"/>
      <sortCondition ref="L3:L1880"/>
      <sortCondition ref="D3:D1880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S30"/>
  <sheetViews>
    <sheetView zoomScaleNormal="100" workbookViewId="0">
      <selection activeCell="U14" sqref="U14"/>
    </sheetView>
  </sheetViews>
  <sheetFormatPr baseColWidth="10" defaultColWidth="11.44140625" defaultRowHeight="13.2"/>
  <cols>
    <col width="10.5546875" bestFit="1" customWidth="1" style="13" min="1" max="1"/>
    <col width="49" bestFit="1" customWidth="1" style="13" min="2" max="2"/>
    <col width="17" bestFit="1" customWidth="1" style="13" min="3" max="3"/>
    <col width="3.33203125" bestFit="1" customWidth="1" style="13" min="4" max="9"/>
    <col width="13.109375" bestFit="1" customWidth="1" style="13" min="10" max="10"/>
    <col width="5.33203125" bestFit="1" customWidth="1" style="13" min="11" max="11"/>
    <col width="5.6640625" bestFit="1" customWidth="1" style="13" min="12" max="13"/>
    <col width="5.6640625" bestFit="1" customWidth="1" style="14" min="14" max="14"/>
    <col width="5.6640625" bestFit="1" customWidth="1" style="13" min="15" max="15"/>
    <col width="5.6640625" bestFit="1" customWidth="1" style="14" min="16" max="16"/>
    <col width="5.6640625" bestFit="1" customWidth="1" style="13" min="17" max="19"/>
    <col width="11.44140625" customWidth="1" style="13" min="20" max="16384"/>
  </cols>
  <sheetData>
    <row r="1" ht="60" customFormat="1" customHeight="1" s="12">
      <c r="A1" s="15" t="inlineStr">
        <is>
          <t>NIF</t>
        </is>
      </c>
      <c r="B1" s="15" t="inlineStr">
        <is>
          <t>NOMBRE_COMPLETO</t>
        </is>
      </c>
      <c r="C1" s="15" t="inlineStr">
        <is>
          <t>TIPO_SEXENIO</t>
        </is>
      </c>
      <c r="D1" s="16" t="inlineStr">
        <is>
          <t>2020</t>
        </is>
      </c>
      <c r="E1" s="16" t="inlineStr">
        <is>
          <t>2021</t>
        </is>
      </c>
      <c r="F1" s="16" t="inlineStr">
        <is>
          <t>2022</t>
        </is>
      </c>
      <c r="G1" s="16" t="inlineStr">
        <is>
          <t>2023</t>
        </is>
      </c>
      <c r="H1" s="16" t="inlineStr">
        <is>
          <t>2024</t>
        </is>
      </c>
      <c r="I1" s="16" t="inlineStr">
        <is>
          <t>2025</t>
        </is>
      </c>
      <c r="J1" s="15" t="inlineStr">
        <is>
          <t>Total general</t>
        </is>
      </c>
      <c r="K1" s="17" t="inlineStr">
        <is>
          <t>COD DEP</t>
        </is>
      </c>
      <c r="L1" s="10" t="inlineStr">
        <is>
          <t>INS
1</t>
        </is>
      </c>
      <c r="M1" s="10" t="inlineStr">
        <is>
          <t>DED
INS 1</t>
        </is>
      </c>
      <c r="N1" s="10" t="inlineStr">
        <is>
          <t>INS
2</t>
        </is>
      </c>
      <c r="O1" s="10" t="inlineStr">
        <is>
          <t>DED
INS 2</t>
        </is>
      </c>
      <c r="P1" s="11" t="inlineStr">
        <is>
          <t>DED
DEP</t>
        </is>
      </c>
      <c r="Q1" s="11" t="inlineStr">
        <is>
          <t>SEX
INS 1</t>
        </is>
      </c>
      <c r="R1" s="11" t="inlineStr">
        <is>
          <t>SEX
INS 2</t>
        </is>
      </c>
      <c r="S1" s="11" t="inlineStr">
        <is>
          <t>SEX
DEP</t>
        </is>
      </c>
    </row>
    <row r="2">
      <c r="A2" s="36" t="inlineStr">
        <is>
          <t>05424380Z</t>
        </is>
      </c>
      <c r="B2" s="36" t="inlineStr">
        <is>
          <t>Pallejá López, Clara</t>
        </is>
      </c>
      <c r="C2" s="36" t="inlineStr">
        <is>
          <t>NO FUNCIONARIO</t>
        </is>
      </c>
      <c r="D2" s="36" t="n"/>
      <c r="E2" s="36" t="n"/>
      <c r="F2" s="36" t="n"/>
      <c r="G2" s="36" t="n"/>
      <c r="H2" s="36" t="n"/>
      <c r="I2" s="36" t="n">
        <v>1</v>
      </c>
      <c r="J2" s="36" t="n">
        <v>1</v>
      </c>
      <c r="K2" s="36" t="inlineStr">
        <is>
          <t>B116</t>
        </is>
      </c>
      <c r="L2" s="36" t="n">
        <v>0</v>
      </c>
      <c r="M2" s="36" t="n">
        <v>0</v>
      </c>
      <c r="N2" s="37" t="inlineStr"/>
      <c r="O2" s="36" t="inlineStr"/>
      <c r="P2" s="37" t="n">
        <v>100</v>
      </c>
      <c r="Q2" s="36" t="n">
        <v>0</v>
      </c>
      <c r="R2" s="36" t="n">
        <v>0</v>
      </c>
      <c r="S2" s="36" t="n">
        <v>1</v>
      </c>
    </row>
    <row r="3">
      <c r="A3" s="36" t="inlineStr">
        <is>
          <t>13992123G</t>
        </is>
      </c>
      <c r="B3" s="36" t="inlineStr">
        <is>
          <t>Sinyashina Sinyashina, Ekaterina</t>
        </is>
      </c>
      <c r="C3" s="36" t="inlineStr">
        <is>
          <t>NO FUNCIONARIO</t>
        </is>
      </c>
      <c r="D3" s="36" t="n"/>
      <c r="E3" s="36" t="n"/>
      <c r="F3" s="36" t="n"/>
      <c r="G3" s="36" t="n"/>
      <c r="H3" s="36" t="n"/>
      <c r="I3" s="36" t="n">
        <v>1</v>
      </c>
      <c r="J3" s="36" t="n">
        <v>1</v>
      </c>
      <c r="K3" s="36" t="inlineStr">
        <is>
          <t>B116</t>
        </is>
      </c>
      <c r="L3" s="36" t="inlineStr">
        <is>
          <t>10.15</t>
        </is>
      </c>
      <c r="M3" s="36" t="inlineStr">
        <is>
          <t>30</t>
        </is>
      </c>
      <c r="N3" s="37" t="inlineStr"/>
      <c r="O3" s="36" t="inlineStr"/>
      <c r="P3" s="37" t="n">
        <v>70</v>
      </c>
      <c r="Q3" s="36" t="n">
        <v>0.3</v>
      </c>
      <c r="R3" s="36" t="n">
        <v>0</v>
      </c>
      <c r="S3" s="36" t="n">
        <v>0.7</v>
      </c>
    </row>
    <row r="4">
      <c r="A4" s="36" t="inlineStr">
        <is>
          <t>18989339X</t>
        </is>
      </c>
      <c r="B4" s="36" t="inlineStr">
        <is>
          <t>Sánchez Martí, Jordi</t>
        </is>
      </c>
      <c r="C4" s="36" t="inlineStr">
        <is>
          <t>FUNCIONARIO</t>
        </is>
      </c>
      <c r="D4" s="36" t="n">
        <v>1</v>
      </c>
      <c r="E4" s="36" t="n"/>
      <c r="F4" s="36" t="n"/>
      <c r="G4" s="36" t="n"/>
      <c r="H4" s="36" t="n"/>
      <c r="I4" s="36" t="n"/>
      <c r="J4" s="36" t="n">
        <v>1</v>
      </c>
      <c r="K4" s="36" t="inlineStr">
        <is>
          <t>B116</t>
        </is>
      </c>
      <c r="L4" s="36" t="n">
        <v>0</v>
      </c>
      <c r="M4" s="36" t="n">
        <v>0</v>
      </c>
      <c r="N4" s="37" t="inlineStr"/>
      <c r="O4" s="36" t="inlineStr"/>
      <c r="P4" s="37" t="n">
        <v>100</v>
      </c>
      <c r="Q4" s="36" t="n">
        <v>0</v>
      </c>
      <c r="R4" s="36" t="n">
        <v>0</v>
      </c>
      <c r="S4" s="36" t="n">
        <v>1</v>
      </c>
    </row>
    <row r="5">
      <c r="A5" s="36" t="inlineStr">
        <is>
          <t>21436412K</t>
        </is>
      </c>
      <c r="B5" s="36" t="inlineStr">
        <is>
          <t>Guillén Nieto, Victoria Loreto</t>
        </is>
      </c>
      <c r="C5" s="36" t="inlineStr">
        <is>
          <t>FUNCIONARIO</t>
        </is>
      </c>
      <c r="D5" s="36" t="n"/>
      <c r="E5" s="36" t="n"/>
      <c r="F5" s="36" t="n">
        <v>1</v>
      </c>
      <c r="G5" s="36" t="n"/>
      <c r="H5" s="36" t="n"/>
      <c r="I5" s="36" t="n"/>
      <c r="J5" s="36" t="n">
        <v>1</v>
      </c>
      <c r="K5" s="36" t="inlineStr">
        <is>
          <t>B116</t>
        </is>
      </c>
      <c r="L5" s="36" t="inlineStr">
        <is>
          <t>10.15</t>
        </is>
      </c>
      <c r="M5" s="36" t="inlineStr">
        <is>
          <t>50</t>
        </is>
      </c>
      <c r="N5" s="37" t="inlineStr"/>
      <c r="O5" s="36" t="inlineStr"/>
      <c r="P5" s="37" t="n">
        <v>50</v>
      </c>
      <c r="Q5" s="36" t="n">
        <v>0.5</v>
      </c>
      <c r="R5" s="36" t="n">
        <v>0</v>
      </c>
      <c r="S5" s="36" t="n">
        <v>0.5</v>
      </c>
    </row>
    <row r="6">
      <c r="A6" s="36" t="inlineStr">
        <is>
          <t>21446823J</t>
        </is>
      </c>
      <c r="B6" s="36" t="inlineStr">
        <is>
          <t>Congost Maestre, Nereida</t>
        </is>
      </c>
      <c r="C6" s="36" t="inlineStr">
        <is>
          <t>FUNCIONARIO</t>
        </is>
      </c>
      <c r="D6" s="36" t="n"/>
      <c r="E6" s="36" t="n"/>
      <c r="F6" s="36" t="n">
        <v>1</v>
      </c>
      <c r="G6" s="36" t="n"/>
      <c r="H6" s="36" t="n"/>
      <c r="I6" s="36" t="n"/>
      <c r="J6" s="36" t="n">
        <v>1</v>
      </c>
      <c r="K6" s="36" t="inlineStr">
        <is>
          <t>B116</t>
        </is>
      </c>
      <c r="L6" s="36" t="inlineStr">
        <is>
          <t>10.15</t>
        </is>
      </c>
      <c r="M6" s="36" t="inlineStr">
        <is>
          <t>50</t>
        </is>
      </c>
      <c r="N6" s="37" t="inlineStr"/>
      <c r="O6" s="36" t="inlineStr"/>
      <c r="P6" s="37" t="n">
        <v>50</v>
      </c>
      <c r="Q6" s="36" t="n">
        <v>0.5</v>
      </c>
      <c r="R6" s="36" t="n">
        <v>0</v>
      </c>
      <c r="S6" s="36" t="n">
        <v>0.5</v>
      </c>
    </row>
    <row r="7">
      <c r="A7" s="36" t="inlineStr">
        <is>
          <t>21455766D</t>
        </is>
      </c>
      <c r="B7" s="36" t="inlineStr">
        <is>
          <t>Campos Pardillos, Miguel Ángel</t>
        </is>
      </c>
      <c r="C7" s="36" t="inlineStr">
        <is>
          <t>FUNCIONARIO</t>
        </is>
      </c>
      <c r="D7" s="36" t="n"/>
      <c r="E7" s="36" t="n"/>
      <c r="F7" s="36" t="n"/>
      <c r="G7" s="36" t="n"/>
      <c r="H7" s="36" t="n">
        <v>1</v>
      </c>
      <c r="I7" s="36" t="n"/>
      <c r="J7" s="36" t="n">
        <v>1</v>
      </c>
      <c r="K7" s="36" t="inlineStr">
        <is>
          <t>B116</t>
        </is>
      </c>
      <c r="L7" s="36" t="inlineStr">
        <is>
          <t>10.15</t>
        </is>
      </c>
      <c r="M7" s="36" t="inlineStr">
        <is>
          <t>50</t>
        </is>
      </c>
      <c r="N7" s="37" t="inlineStr"/>
      <c r="O7" s="36" t="inlineStr"/>
      <c r="P7" s="37" t="n">
        <v>50</v>
      </c>
      <c r="Q7" s="36" t="n">
        <v>0.5</v>
      </c>
      <c r="R7" s="36" t="n">
        <v>0</v>
      </c>
      <c r="S7" s="36" t="n">
        <v>0.5</v>
      </c>
    </row>
    <row r="8">
      <c r="A8" s="36" t="inlineStr">
        <is>
          <t>21481015G</t>
        </is>
      </c>
      <c r="B8" s="36" t="inlineStr">
        <is>
          <t>Vargas Sierra, Chelo</t>
        </is>
      </c>
      <c r="C8" s="36" t="inlineStr">
        <is>
          <t>FUNCIONARIO</t>
        </is>
      </c>
      <c r="D8" s="36" t="n"/>
      <c r="E8" s="36" t="n"/>
      <c r="F8" s="36" t="n">
        <v>1</v>
      </c>
      <c r="G8" s="36" t="n"/>
      <c r="H8" s="36" t="n"/>
      <c r="I8" s="36" t="n"/>
      <c r="J8" s="36" t="n">
        <v>1</v>
      </c>
      <c r="K8" s="36" t="inlineStr">
        <is>
          <t>B116</t>
        </is>
      </c>
      <c r="L8" s="36" t="inlineStr">
        <is>
          <t>10.15</t>
        </is>
      </c>
      <c r="M8" s="36" t="inlineStr">
        <is>
          <t>50</t>
        </is>
      </c>
      <c r="N8" s="37" t="inlineStr"/>
      <c r="O8" s="36" t="inlineStr"/>
      <c r="P8" s="37" t="n">
        <v>50</v>
      </c>
      <c r="Q8" s="36" t="n">
        <v>0.5</v>
      </c>
      <c r="R8" s="36" t="n">
        <v>0</v>
      </c>
      <c r="S8" s="36" t="n">
        <v>0.5</v>
      </c>
    </row>
    <row r="9">
      <c r="A9" s="36" t="inlineStr">
        <is>
          <t>21491026X</t>
        </is>
      </c>
      <c r="B9" s="36" t="inlineStr">
        <is>
          <t>Pacheco Baldó, Rosa María</t>
        </is>
      </c>
      <c r="C9" s="36" t="inlineStr">
        <is>
          <t>FUNCIONARIO</t>
        </is>
      </c>
      <c r="D9" s="36" t="n"/>
      <c r="E9" s="36" t="n"/>
      <c r="F9" s="36" t="n"/>
      <c r="G9" s="36" t="n"/>
      <c r="H9" s="36" t="n"/>
      <c r="I9" s="36" t="n">
        <v>1</v>
      </c>
      <c r="J9" s="36" t="n">
        <v>1</v>
      </c>
      <c r="K9" s="36" t="inlineStr">
        <is>
          <t>B116</t>
        </is>
      </c>
      <c r="L9" s="36" t="inlineStr">
        <is>
          <t>10.15</t>
        </is>
      </c>
      <c r="M9" s="36" t="inlineStr">
        <is>
          <t>50</t>
        </is>
      </c>
      <c r="N9" s="37" t="inlineStr"/>
      <c r="O9" s="36" t="inlineStr"/>
      <c r="P9" s="37" t="n">
        <v>50</v>
      </c>
      <c r="Q9" s="36" t="n">
        <v>0.5</v>
      </c>
      <c r="R9" s="36" t="n">
        <v>0</v>
      </c>
      <c r="S9" s="36" t="n">
        <v>0.5</v>
      </c>
    </row>
    <row r="10">
      <c r="A10" s="36" t="inlineStr">
        <is>
          <t>21626813M</t>
        </is>
      </c>
      <c r="B10" s="36" t="inlineStr">
        <is>
          <t>Gómez Reus, María Teresa</t>
        </is>
      </c>
      <c r="C10" s="36" t="inlineStr">
        <is>
          <t>Vivos</t>
        </is>
      </c>
      <c r="D10" s="36" t="n"/>
      <c r="E10" s="36" t="n"/>
      <c r="F10" s="36" t="n"/>
      <c r="G10" s="36" t="n"/>
      <c r="H10" s="36" t="n"/>
      <c r="I10" s="36" t="n">
        <v>1</v>
      </c>
      <c r="J10" s="36" t="n">
        <v>1</v>
      </c>
      <c r="K10" s="36" t="inlineStr">
        <is>
          <t>B116</t>
        </is>
      </c>
      <c r="L10" s="36" t="inlineStr">
        <is>
          <t>10.23</t>
        </is>
      </c>
      <c r="M10" s="36" t="inlineStr">
        <is>
          <t>20</t>
        </is>
      </c>
      <c r="N10" s="37" t="inlineStr"/>
      <c r="O10" s="36" t="inlineStr"/>
      <c r="P10" s="37" t="n">
        <v>80</v>
      </c>
      <c r="Q10" s="36" t="n">
        <v>0.2</v>
      </c>
      <c r="R10" s="36" t="n">
        <v>0</v>
      </c>
      <c r="S10" s="36" t="n">
        <v>0.8</v>
      </c>
    </row>
    <row r="11">
      <c r="A11" s="36" t="inlineStr">
        <is>
          <t>21672037B</t>
        </is>
      </c>
      <c r="B11" s="36" t="inlineStr">
        <is>
          <t>Llorens Simón, Eva María</t>
        </is>
      </c>
      <c r="C11" s="36" t="inlineStr">
        <is>
          <t>NO FUNCIONARIO</t>
        </is>
      </c>
      <c r="D11" s="36" t="n"/>
      <c r="E11" s="36" t="n"/>
      <c r="F11" s="36" t="n"/>
      <c r="G11" s="36" t="n"/>
      <c r="H11" s="36" t="n">
        <v>1</v>
      </c>
      <c r="I11" s="36" t="n"/>
      <c r="J11" s="36" t="n">
        <v>1</v>
      </c>
      <c r="K11" s="36" t="inlineStr">
        <is>
          <t>B116</t>
        </is>
      </c>
      <c r="L11" s="36" t="inlineStr">
        <is>
          <t>10.15</t>
        </is>
      </c>
      <c r="M11" s="36" t="inlineStr">
        <is>
          <t>50</t>
        </is>
      </c>
      <c r="N11" s="37" t="inlineStr"/>
      <c r="O11" s="36" t="inlineStr"/>
      <c r="P11" s="37" t="n">
        <v>50</v>
      </c>
      <c r="Q11" s="36" t="n">
        <v>0.5</v>
      </c>
      <c r="R11" s="36" t="n">
        <v>0</v>
      </c>
      <c r="S11" s="36" t="n">
        <v>0.5</v>
      </c>
    </row>
    <row r="12">
      <c r="A12" s="36" t="inlineStr">
        <is>
          <t>21981283E</t>
        </is>
      </c>
      <c r="B12" s="36" t="inlineStr">
        <is>
          <t>Álvarez Amorós, José Antonio</t>
        </is>
      </c>
      <c r="C12" s="36" t="inlineStr">
        <is>
          <t>FUNCIONARIO</t>
        </is>
      </c>
      <c r="D12" s="36" t="n"/>
      <c r="E12" s="36" t="n">
        <v>1</v>
      </c>
      <c r="F12" s="36" t="n"/>
      <c r="G12" s="36" t="n"/>
      <c r="H12" s="36" t="n"/>
      <c r="I12" s="36" t="n"/>
      <c r="J12" s="36" t="n">
        <v>1</v>
      </c>
      <c r="K12" s="36" t="inlineStr">
        <is>
          <t>B116</t>
        </is>
      </c>
      <c r="L12" s="36" t="n">
        <v>0</v>
      </c>
      <c r="M12" s="36" t="n">
        <v>0</v>
      </c>
      <c r="N12" s="37" t="inlineStr"/>
      <c r="O12" s="36" t="inlineStr"/>
      <c r="P12" s="37" t="n">
        <v>100</v>
      </c>
      <c r="Q12" s="36" t="n">
        <v>0</v>
      </c>
      <c r="R12" s="36" t="n">
        <v>0</v>
      </c>
      <c r="S12" s="36" t="n">
        <v>1</v>
      </c>
    </row>
    <row r="13">
      <c r="A13" s="36" t="inlineStr">
        <is>
          <t>22145079N</t>
        </is>
      </c>
      <c r="B13" s="36" t="inlineStr">
        <is>
          <t>Belda Medina, Jose Ramon</t>
        </is>
      </c>
      <c r="C13" s="36" t="inlineStr">
        <is>
          <t>FUNCIONARIO</t>
        </is>
      </c>
      <c r="D13" s="36" t="n"/>
      <c r="E13" s="36" t="n"/>
      <c r="F13" s="36" t="n">
        <v>1</v>
      </c>
      <c r="G13" s="36" t="n"/>
      <c r="H13" s="36" t="n"/>
      <c r="I13" s="36" t="n"/>
      <c r="J13" s="36" t="n">
        <v>1</v>
      </c>
      <c r="K13" s="36" t="inlineStr">
        <is>
          <t>B116</t>
        </is>
      </c>
      <c r="L13" s="36" t="inlineStr">
        <is>
          <t>10.15</t>
        </is>
      </c>
      <c r="M13" s="36" t="inlineStr">
        <is>
          <t>50</t>
        </is>
      </c>
      <c r="N13" s="37" t="inlineStr"/>
      <c r="O13" s="36" t="inlineStr"/>
      <c r="P13" s="37" t="n">
        <v>50</v>
      </c>
      <c r="Q13" s="36" t="n">
        <v>0.5</v>
      </c>
      <c r="R13" s="36" t="n">
        <v>0</v>
      </c>
      <c r="S13" s="36" t="n">
        <v>0.5</v>
      </c>
    </row>
    <row r="14">
      <c r="A14" s="36" t="inlineStr">
        <is>
          <t>25130259E</t>
        </is>
      </c>
      <c r="B14" s="36" t="inlineStr">
        <is>
          <t>Díaz Sánchez, Isabel</t>
        </is>
      </c>
      <c r="C14" s="36" t="inlineStr">
        <is>
          <t>FUNCIONARIO</t>
        </is>
      </c>
      <c r="D14" s="36" t="n"/>
      <c r="E14" s="36" t="n"/>
      <c r="F14" s="36" t="n"/>
      <c r="G14" s="36" t="n">
        <v>1</v>
      </c>
      <c r="H14" s="36" t="n"/>
      <c r="I14" s="36" t="n"/>
      <c r="J14" s="36" t="n">
        <v>1</v>
      </c>
      <c r="K14" s="36" t="inlineStr">
        <is>
          <t>B116</t>
        </is>
      </c>
      <c r="L14" s="36" t="inlineStr">
        <is>
          <t>10.23</t>
        </is>
      </c>
      <c r="M14" s="36" t="inlineStr">
        <is>
          <t>50</t>
        </is>
      </c>
      <c r="N14" s="37" t="inlineStr"/>
      <c r="O14" s="36" t="inlineStr"/>
      <c r="P14" s="37" t="n">
        <v>50</v>
      </c>
      <c r="Q14" s="36" t="n">
        <v>0.5</v>
      </c>
      <c r="R14" s="36" t="n">
        <v>0</v>
      </c>
      <c r="S14" s="36" t="n">
        <v>0.5</v>
      </c>
    </row>
    <row r="15">
      <c r="A15" s="36" t="inlineStr">
        <is>
          <t>26226014B</t>
        </is>
      </c>
      <c r="B15" s="36" t="inlineStr">
        <is>
          <t>Martínez Lirola, María</t>
        </is>
      </c>
      <c r="C15" s="36" t="inlineStr">
        <is>
          <t>FUNCIONARIO</t>
        </is>
      </c>
      <c r="D15" s="36" t="n"/>
      <c r="E15" s="36" t="n"/>
      <c r="F15" s="36" t="n">
        <v>1</v>
      </c>
      <c r="G15" s="36" t="n"/>
      <c r="H15" s="36" t="n"/>
      <c r="I15" s="36" t="n"/>
      <c r="J15" s="36" t="n">
        <v>1</v>
      </c>
      <c r="K15" s="36" t="inlineStr">
        <is>
          <t>B116</t>
        </is>
      </c>
      <c r="L15" s="36" t="inlineStr">
        <is>
          <t>10.23</t>
        </is>
      </c>
      <c r="M15" s="36" t="inlineStr">
        <is>
          <t>20</t>
        </is>
      </c>
      <c r="N15" s="37" t="inlineStr">
        <is>
          <t>10.15</t>
        </is>
      </c>
      <c r="O15" s="36" t="inlineStr">
        <is>
          <t>10</t>
        </is>
      </c>
      <c r="P15" s="37" t="n">
        <v>70</v>
      </c>
      <c r="Q15" s="36" t="n">
        <v>0.2</v>
      </c>
      <c r="R15" s="36" t="n">
        <v>0.1</v>
      </c>
      <c r="S15" s="36" t="n">
        <v>0.7</v>
      </c>
    </row>
    <row r="16">
      <c r="A16" s="36" t="inlineStr">
        <is>
          <t>34895192Y</t>
        </is>
      </c>
      <c r="B16" s="36" t="inlineStr">
        <is>
          <t>López Ropero, María Lourdes</t>
        </is>
      </c>
      <c r="C16" s="36" t="inlineStr">
        <is>
          <t>FUNCIONARIO</t>
        </is>
      </c>
      <c r="D16" s="36" t="n"/>
      <c r="E16" s="36" t="n"/>
      <c r="F16" s="36" t="n">
        <v>1</v>
      </c>
      <c r="G16" s="36" t="n"/>
      <c r="H16" s="36" t="n"/>
      <c r="I16" s="36" t="n"/>
      <c r="J16" s="36" t="n">
        <v>1</v>
      </c>
      <c r="K16" s="36" t="inlineStr">
        <is>
          <t>B116</t>
        </is>
      </c>
      <c r="L16" s="36" t="n">
        <v>0</v>
      </c>
      <c r="M16" s="36" t="n">
        <v>0</v>
      </c>
      <c r="N16" s="37" t="inlineStr"/>
      <c r="O16" s="36" t="inlineStr"/>
      <c r="P16" s="37" t="n">
        <v>100</v>
      </c>
      <c r="Q16" s="36" t="n">
        <v>0</v>
      </c>
      <c r="R16" s="36" t="n">
        <v>0</v>
      </c>
      <c r="S16" s="36" t="n">
        <v>1</v>
      </c>
    </row>
    <row r="17">
      <c r="A17" s="36" t="inlineStr">
        <is>
          <t>45273600D</t>
        </is>
      </c>
      <c r="B17" s="36" t="inlineStr">
        <is>
          <t>Yus Ramos, Francisco Benigno</t>
        </is>
      </c>
      <c r="C17" s="36" t="inlineStr">
        <is>
          <t>FUNCIONARIO</t>
        </is>
      </c>
      <c r="D17" s="36" t="n"/>
      <c r="E17" s="36" t="n"/>
      <c r="F17" s="36" t="n"/>
      <c r="G17" s="36" t="n"/>
      <c r="H17" s="36" t="n">
        <v>1</v>
      </c>
      <c r="I17" s="36" t="n"/>
      <c r="J17" s="36" t="n">
        <v>1</v>
      </c>
      <c r="K17" s="36" t="inlineStr">
        <is>
          <t>B116</t>
        </is>
      </c>
      <c r="L17" s="36" t="inlineStr">
        <is>
          <t>10.15</t>
        </is>
      </c>
      <c r="M17" s="36" t="inlineStr">
        <is>
          <t>50</t>
        </is>
      </c>
      <c r="N17" s="37" t="inlineStr"/>
      <c r="O17" s="36" t="inlineStr"/>
      <c r="P17" s="37" t="n">
        <v>50</v>
      </c>
      <c r="Q17" s="36" t="n">
        <v>0.5</v>
      </c>
      <c r="R17" s="36" t="n">
        <v>0</v>
      </c>
      <c r="S17" s="36" t="n">
        <v>0.5</v>
      </c>
    </row>
    <row r="18">
      <c r="A18" s="36" t="inlineStr">
        <is>
          <t>48345463S</t>
        </is>
      </c>
      <c r="B18" s="36" t="inlineStr">
        <is>
          <t>Caporale Bizzini, Silvia Julia</t>
        </is>
      </c>
      <c r="C18" s="36" t="inlineStr">
        <is>
          <t>Vivos</t>
        </is>
      </c>
      <c r="D18" s="36" t="n"/>
      <c r="E18" s="36" t="n"/>
      <c r="F18" s="36" t="n"/>
      <c r="G18" s="36" t="n"/>
      <c r="H18" s="36" t="n"/>
      <c r="I18" s="36" t="n">
        <v>1</v>
      </c>
      <c r="J18" s="36" t="n">
        <v>1</v>
      </c>
      <c r="K18" s="36" t="inlineStr">
        <is>
          <t>B116</t>
        </is>
      </c>
      <c r="L18" s="36" t="inlineStr">
        <is>
          <t>10.23</t>
        </is>
      </c>
      <c r="M18" s="36" t="inlineStr">
        <is>
          <t>20</t>
        </is>
      </c>
      <c r="N18" s="37" t="inlineStr">
        <is>
          <t>10.22</t>
        </is>
      </c>
      <c r="O18" s="36" t="inlineStr">
        <is>
          <t>10</t>
        </is>
      </c>
      <c r="P18" s="37" t="n">
        <v>70</v>
      </c>
      <c r="Q18" s="36" t="n">
        <v>0.2</v>
      </c>
      <c r="R18" s="36" t="n">
        <v>0.1</v>
      </c>
      <c r="S18" s="36" t="n">
        <v>0.7</v>
      </c>
    </row>
    <row r="19">
      <c r="A19" s="36" t="inlineStr">
        <is>
          <t>48355574Y</t>
        </is>
      </c>
      <c r="B19" s="36" t="inlineStr">
        <is>
          <t>Sanderson Pastor, John Douglas</t>
        </is>
      </c>
      <c r="C19" s="36" t="inlineStr">
        <is>
          <t>FUNCIONARIO</t>
        </is>
      </c>
      <c r="D19" s="36" t="n"/>
      <c r="E19" s="36" t="n"/>
      <c r="F19" s="36" t="n"/>
      <c r="G19" s="36" t="n"/>
      <c r="H19" s="36" t="n"/>
      <c r="I19" s="36" t="n">
        <v>1</v>
      </c>
      <c r="J19" s="36" t="n">
        <v>1</v>
      </c>
      <c r="K19" s="36" t="inlineStr">
        <is>
          <t>B116</t>
        </is>
      </c>
      <c r="L19" s="36" t="inlineStr">
        <is>
          <t>10.15</t>
        </is>
      </c>
      <c r="M19" s="36" t="inlineStr">
        <is>
          <t>10</t>
        </is>
      </c>
      <c r="N19" s="37" t="inlineStr"/>
      <c r="O19" s="36" t="inlineStr"/>
      <c r="P19" s="37" t="n">
        <v>90</v>
      </c>
      <c r="Q19" s="36" t="n">
        <v>0.1</v>
      </c>
      <c r="R19" s="36" t="n">
        <v>0</v>
      </c>
      <c r="S19" s="36" t="n">
        <v>0.9</v>
      </c>
    </row>
    <row r="20">
      <c r="A20" s="36" t="inlineStr">
        <is>
          <t>49625619Z</t>
        </is>
      </c>
      <c r="B20" s="36" t="inlineStr">
        <is>
          <t>Sánchez Fajardo, José Antonio</t>
        </is>
      </c>
      <c r="C20" s="36" t="inlineStr">
        <is>
          <t>FUNCIONARIO</t>
        </is>
      </c>
      <c r="D20" s="36" t="n"/>
      <c r="E20" s="36" t="n"/>
      <c r="F20" s="36" t="n"/>
      <c r="G20" s="36" t="n">
        <v>1</v>
      </c>
      <c r="H20" s="36" t="n"/>
      <c r="I20" s="36" t="n"/>
      <c r="J20" s="36" t="n">
        <v>1</v>
      </c>
      <c r="K20" s="36" t="inlineStr">
        <is>
          <t>B116</t>
        </is>
      </c>
      <c r="L20" s="36" t="inlineStr">
        <is>
          <t>10.25</t>
        </is>
      </c>
      <c r="M20" s="36" t="inlineStr">
        <is>
          <t>20</t>
        </is>
      </c>
      <c r="N20" s="37" t="inlineStr">
        <is>
          <t>10.15</t>
        </is>
      </c>
      <c r="O20" s="36" t="inlineStr">
        <is>
          <t>20</t>
        </is>
      </c>
      <c r="P20" s="37" t="n">
        <v>60</v>
      </c>
      <c r="Q20" s="36" t="n">
        <v>0.2</v>
      </c>
      <c r="R20" s="36" t="n">
        <v>0.2</v>
      </c>
      <c r="S20" s="36" t="n">
        <v>0.6</v>
      </c>
    </row>
    <row r="21">
      <c r="A21" s="36" t="inlineStr">
        <is>
          <t>53626562S</t>
        </is>
      </c>
      <c r="B21" s="36" t="inlineStr">
        <is>
          <t>Kerslake Young, Lorraine</t>
        </is>
      </c>
      <c r="C21" s="36" t="inlineStr">
        <is>
          <t>FUNCIONARIO</t>
        </is>
      </c>
      <c r="D21" s="36" t="n"/>
      <c r="E21" s="36" t="n"/>
      <c r="F21" s="36" t="n"/>
      <c r="G21" s="36" t="n">
        <v>1</v>
      </c>
      <c r="H21" s="36" t="n"/>
      <c r="I21" s="36" t="n">
        <v>1</v>
      </c>
      <c r="J21" s="36" t="n">
        <v>2</v>
      </c>
      <c r="K21" s="36" t="inlineStr">
        <is>
          <t>B116</t>
        </is>
      </c>
      <c r="L21" s="36" t="inlineStr">
        <is>
          <t>10.23</t>
        </is>
      </c>
      <c r="M21" s="36" t="inlineStr">
        <is>
          <t>20</t>
        </is>
      </c>
      <c r="N21" s="37" t="inlineStr"/>
      <c r="O21" s="36" t="inlineStr"/>
      <c r="P21" s="37" t="n">
        <v>80</v>
      </c>
      <c r="Q21" s="36" t="n">
        <v>0.4</v>
      </c>
      <c r="R21" s="36" t="n">
        <v>0</v>
      </c>
      <c r="S21" s="36" t="n">
        <v>1.6</v>
      </c>
    </row>
    <row r="22">
      <c r="A22" s="36" t="inlineStr">
        <is>
          <t>71661231Q</t>
        </is>
      </c>
      <c r="B22" s="36" t="inlineStr">
        <is>
          <t>Prieto García-Cañedo, Sara</t>
        </is>
      </c>
      <c r="C22" s="36" t="inlineStr">
        <is>
          <t>FUNCIONARIO</t>
        </is>
      </c>
      <c r="D22" s="36" t="n"/>
      <c r="E22" s="36" t="n"/>
      <c r="F22" s="36" t="n"/>
      <c r="G22" s="36" t="n"/>
      <c r="H22" s="36" t="n"/>
      <c r="I22" s="36" t="n">
        <v>2</v>
      </c>
      <c r="J22" s="36" t="n">
        <v>2</v>
      </c>
      <c r="K22" s="36" t="inlineStr">
        <is>
          <t>B116</t>
        </is>
      </c>
      <c r="L22" s="36" t="inlineStr">
        <is>
          <t>10.23</t>
        </is>
      </c>
      <c r="M22" s="36" t="inlineStr">
        <is>
          <t>50</t>
        </is>
      </c>
      <c r="N22" s="37" t="inlineStr"/>
      <c r="O22" s="36" t="inlineStr"/>
      <c r="P22" s="37" t="n">
        <v>50</v>
      </c>
      <c r="Q22" s="36" t="n">
        <v>1</v>
      </c>
      <c r="R22" s="36" t="n">
        <v>0</v>
      </c>
      <c r="S22" s="36" t="n">
        <v>1</v>
      </c>
    </row>
    <row r="23">
      <c r="A23" s="36" t="inlineStr">
        <is>
          <t>74007257L</t>
        </is>
      </c>
      <c r="B23" s="36" t="inlineStr">
        <is>
          <t>Rodríguez Morales, Verónica</t>
        </is>
      </c>
      <c r="C23" s="36" t="inlineStr">
        <is>
          <t>NO FUNCIONARIO</t>
        </is>
      </c>
      <c r="D23" s="36" t="n"/>
      <c r="E23" s="36" t="n"/>
      <c r="F23" s="36" t="n"/>
      <c r="G23" s="36" t="n"/>
      <c r="H23" s="36" t="n">
        <v>2</v>
      </c>
      <c r="I23" s="36" t="n"/>
      <c r="J23" s="36" t="n">
        <v>2</v>
      </c>
      <c r="K23" s="36" t="inlineStr">
        <is>
          <t>B116</t>
        </is>
      </c>
      <c r="L23" s="36" t="inlineStr">
        <is>
          <t>10.23</t>
        </is>
      </c>
      <c r="M23" s="36" t="inlineStr">
        <is>
          <t>30</t>
        </is>
      </c>
      <c r="N23" s="37" t="inlineStr"/>
      <c r="O23" s="36" t="inlineStr"/>
      <c r="P23" s="37" t="n">
        <v>70</v>
      </c>
      <c r="Q23" s="36" t="n">
        <v>0.6</v>
      </c>
      <c r="R23" s="36" t="n">
        <v>0</v>
      </c>
      <c r="S23" s="36" t="n">
        <v>1.4</v>
      </c>
    </row>
    <row r="24">
      <c r="A24" s="36" t="inlineStr">
        <is>
          <t>74192819V</t>
        </is>
      </c>
      <c r="B24" s="36" t="inlineStr">
        <is>
          <t>Lillo Buades, Antonio</t>
        </is>
      </c>
      <c r="C24" s="36" t="inlineStr">
        <is>
          <t>FUNCIONARIO</t>
        </is>
      </c>
      <c r="D24" s="36" t="n"/>
      <c r="E24" s="36" t="n">
        <v>1</v>
      </c>
      <c r="F24" s="36" t="n"/>
      <c r="G24" s="36" t="n"/>
      <c r="H24" s="36" t="n"/>
      <c r="I24" s="36" t="n"/>
      <c r="J24" s="36" t="n">
        <v>1</v>
      </c>
      <c r="K24" s="36" t="inlineStr">
        <is>
          <t>B116</t>
        </is>
      </c>
      <c r="L24" s="36" t="inlineStr">
        <is>
          <t>10.15</t>
        </is>
      </c>
      <c r="M24" s="36" t="inlineStr">
        <is>
          <t>30</t>
        </is>
      </c>
      <c r="N24" s="37" t="inlineStr"/>
      <c r="O24" s="36" t="inlineStr"/>
      <c r="P24" s="37" t="n">
        <v>70</v>
      </c>
      <c r="Q24" s="36" t="n">
        <v>0.3</v>
      </c>
      <c r="R24" s="36" t="n">
        <v>0</v>
      </c>
      <c r="S24" s="36" t="n">
        <v>0.7</v>
      </c>
    </row>
    <row r="25">
      <c r="A25" s="36" t="inlineStr">
        <is>
          <t>74230456A</t>
        </is>
      </c>
      <c r="B25" s="36" t="inlineStr">
        <is>
          <t>Calvo Ferrer, José Ramón</t>
        </is>
      </c>
      <c r="C25" s="36" t="inlineStr">
        <is>
          <t>FUNCIONARIO</t>
        </is>
      </c>
      <c r="D25" s="36" t="n"/>
      <c r="E25" s="36" t="n"/>
      <c r="F25" s="36" t="n"/>
      <c r="G25" s="36" t="n">
        <v>2</v>
      </c>
      <c r="H25" s="36" t="n"/>
      <c r="I25" s="36" t="n"/>
      <c r="J25" s="36" t="n">
        <v>2</v>
      </c>
      <c r="K25" s="36" t="inlineStr">
        <is>
          <t>B116</t>
        </is>
      </c>
      <c r="L25" s="36" t="inlineStr">
        <is>
          <t>10.15</t>
        </is>
      </c>
      <c r="M25" s="36" t="inlineStr">
        <is>
          <t>50</t>
        </is>
      </c>
      <c r="N25" s="37" t="inlineStr"/>
      <c r="O25" s="36" t="inlineStr"/>
      <c r="P25" s="37" t="n">
        <v>50</v>
      </c>
      <c r="Q25" s="36" t="n">
        <v>1</v>
      </c>
      <c r="R25" s="36" t="n">
        <v>0</v>
      </c>
      <c r="S25" s="36" t="n">
        <v>1</v>
      </c>
    </row>
    <row r="26">
      <c r="A26" s="36" t="inlineStr">
        <is>
          <t>76414567B</t>
        </is>
      </c>
      <c r="B26" s="36" t="inlineStr">
        <is>
          <t>Balteiro Fernández, María Isabel</t>
        </is>
      </c>
      <c r="C26" s="36" t="inlineStr">
        <is>
          <t>FUNCIONARIO</t>
        </is>
      </c>
      <c r="D26" s="36" t="n">
        <v>1</v>
      </c>
      <c r="E26" s="36" t="n"/>
      <c r="F26" s="36" t="n"/>
      <c r="G26" s="36" t="n"/>
      <c r="H26" s="36" t="n"/>
      <c r="I26" s="36" t="n"/>
      <c r="J26" s="36" t="n">
        <v>1</v>
      </c>
      <c r="K26" s="36" t="inlineStr">
        <is>
          <t>B116</t>
        </is>
      </c>
      <c r="L26" s="36" t="inlineStr">
        <is>
          <t>10.15</t>
        </is>
      </c>
      <c r="M26" s="36" t="inlineStr">
        <is>
          <t>20</t>
        </is>
      </c>
      <c r="N26" s="37" t="inlineStr">
        <is>
          <t>10.23</t>
        </is>
      </c>
      <c r="O26" s="36" t="inlineStr">
        <is>
          <t>20</t>
        </is>
      </c>
      <c r="P26" s="37" t="n">
        <v>60</v>
      </c>
      <c r="Q26" s="36" t="n">
        <v>0.2</v>
      </c>
      <c r="R26" s="36" t="n">
        <v>0.2</v>
      </c>
      <c r="S26" s="36" t="n">
        <v>0.6</v>
      </c>
    </row>
    <row r="27">
      <c r="A27" s="36" t="inlineStr">
        <is>
          <t>77706785C</t>
        </is>
      </c>
      <c r="B27" s="36" t="inlineStr">
        <is>
          <t>Perni Llorente, Remedios</t>
        </is>
      </c>
      <c r="C27" s="36" t="inlineStr">
        <is>
          <t>FUNCIONARIO</t>
        </is>
      </c>
      <c r="D27" s="36" t="n"/>
      <c r="E27" s="36" t="n"/>
      <c r="F27" s="36" t="n"/>
      <c r="G27" s="36" t="n"/>
      <c r="H27" s="36" t="n"/>
      <c r="I27" s="36" t="n">
        <v>2</v>
      </c>
      <c r="J27" s="36" t="n">
        <v>2</v>
      </c>
      <c r="K27" s="36" t="inlineStr">
        <is>
          <t>B116</t>
        </is>
      </c>
      <c r="L27" s="36" t="inlineStr">
        <is>
          <t>10.23</t>
        </is>
      </c>
      <c r="M27" s="36" t="inlineStr">
        <is>
          <t>25</t>
        </is>
      </c>
      <c r="N27" s="37" t="inlineStr"/>
      <c r="O27" s="36" t="inlineStr"/>
      <c r="P27" s="37" t="n">
        <v>75</v>
      </c>
      <c r="Q27" s="36" t="n">
        <v>0.5</v>
      </c>
      <c r="R27" s="36" t="n">
        <v>0</v>
      </c>
      <c r="S27" s="36" t="n">
        <v>1.5</v>
      </c>
    </row>
    <row r="28">
      <c r="A28" s="36" t="inlineStr">
        <is>
          <t>77718607C</t>
        </is>
      </c>
      <c r="B28" s="36" t="inlineStr">
        <is>
          <t>Soto Almela, Jorge</t>
        </is>
      </c>
      <c r="C28" s="36" t="inlineStr">
        <is>
          <t>FUNCIONARIO</t>
        </is>
      </c>
      <c r="D28" s="36" t="n"/>
      <c r="E28" s="36" t="n"/>
      <c r="F28" s="36" t="n"/>
      <c r="G28" s="36" t="n"/>
      <c r="H28" s="36" t="n"/>
      <c r="I28" s="36" t="n">
        <v>2</v>
      </c>
      <c r="J28" s="36" t="n">
        <v>2</v>
      </c>
      <c r="K28" s="36" t="inlineStr">
        <is>
          <t>B116</t>
        </is>
      </c>
      <c r="L28" s="36" t="inlineStr">
        <is>
          <t>10.15</t>
        </is>
      </c>
      <c r="M28" s="36" t="inlineStr">
        <is>
          <t>20</t>
        </is>
      </c>
      <c r="N28" s="37" t="inlineStr"/>
      <c r="O28" s="36" t="inlineStr"/>
      <c r="P28" s="37" t="n">
        <v>80</v>
      </c>
      <c r="Q28" s="36" t="n">
        <v>0.4</v>
      </c>
      <c r="R28" s="36" t="n">
        <v>0</v>
      </c>
      <c r="S28" s="36" t="n">
        <v>1.6</v>
      </c>
    </row>
    <row r="29">
      <c r="A29" s="36" t="inlineStr">
        <is>
          <t>78296693R</t>
        </is>
      </c>
      <c r="B29" s="36" t="inlineStr">
        <is>
          <t>Mykytka Durkach, Iryna</t>
        </is>
      </c>
      <c r="C29" s="36" t="inlineStr">
        <is>
          <t>NO FUNCIONARIO</t>
        </is>
      </c>
      <c r="D29" s="36" t="n"/>
      <c r="E29" s="36" t="n"/>
      <c r="F29" s="36" t="n"/>
      <c r="G29" s="36" t="n"/>
      <c r="H29" s="36" t="n"/>
      <c r="I29" s="36" t="n">
        <v>1</v>
      </c>
      <c r="J29" s="36" t="n">
        <v>1</v>
      </c>
      <c r="K29" s="36" t="inlineStr">
        <is>
          <t>B116</t>
        </is>
      </c>
      <c r="L29" s="36" t="n">
        <v>0</v>
      </c>
      <c r="M29" s="36" t="n">
        <v>0</v>
      </c>
      <c r="N29" s="37" t="inlineStr"/>
      <c r="O29" s="36" t="inlineStr"/>
      <c r="P29" s="37" t="n">
        <v>100</v>
      </c>
      <c r="Q29" s="36" t="n">
        <v>0</v>
      </c>
      <c r="R29" s="36" t="n">
        <v>0</v>
      </c>
      <c r="S29" s="36" t="n">
        <v>1</v>
      </c>
    </row>
    <row r="30">
      <c r="A30" s="34" t="n"/>
      <c r="B30" s="34" t="n"/>
      <c r="C30" s="34" t="n"/>
      <c r="D30" s="34" t="n"/>
      <c r="E30" s="34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5" t="n"/>
      <c r="O30" s="34" t="n"/>
      <c r="P30" s="35" t="n"/>
      <c r="Q30" s="34" t="n"/>
      <c r="R30" s="34" t="n"/>
      <c r="S30" s="38">
        <f>SUM(S2:S29)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C22" sqref="C22"/>
    </sheetView>
  </sheetViews>
  <sheetFormatPr baseColWidth="10" defaultRowHeight="14.4"/>
  <cols>
    <col width="17" customWidth="1" min="1" max="1"/>
    <col width="74.6640625" customWidth="1" min="2" max="2"/>
    <col width="16" customWidth="1" min="3" max="3"/>
  </cols>
  <sheetData>
    <row r="1">
      <c r="A1" s="42" t="inlineStr">
        <is>
          <t>Cód. org. aplic.</t>
        </is>
      </c>
      <c r="B1" s="42" t="inlineStr">
        <is>
          <t>Descripción justificante</t>
        </is>
      </c>
      <c r="C1" s="42" t="inlineStr">
        <is>
          <t>Imp.cob.aplic.</t>
        </is>
      </c>
    </row>
    <row r="2">
      <c r="A2" s="30" t="inlineStr">
        <is>
          <t>30.80.6C.00.13</t>
        </is>
      </c>
      <c r="B2" s="30" t="inlineStr">
        <is>
          <t>Informe pericial lingüístico forense sobre verificación de autor en proyectos docentes.</t>
        </is>
      </c>
      <c r="C2" s="81" t="n">
        <v>1056</v>
      </c>
    </row>
    <row r="3">
      <c r="A3" s="31" t="inlineStr">
        <is>
          <t>30.80.6C.00.14</t>
        </is>
      </c>
      <c r="B3" s="31" t="inlineStr">
        <is>
          <t>PERICIAL LINGÜÍSTICA SOBRE DETERMINACIÓN DE MANIPULACIÓN AFECTIVA EN CONVERSACIONES EN WHATSAPP.</t>
        </is>
      </c>
      <c r="C3" s="82" t="n">
        <v>1320</v>
      </c>
    </row>
    <row r="4">
      <c r="A4" s="30" t="inlineStr">
        <is>
          <t>30.80.6C.00.15</t>
        </is>
      </c>
      <c r="B4" s="30" t="inlineStr">
        <is>
          <t>LOCALIZACIÓN, TESTEO E INFORME TÉCNICO DE LA CALIDAD LINGÜÍSTICA Y FUNCIONAL DE LA VERSIÓN DEMO DEL VIDEOJUEGO «NOM NOM: COZY FOREST CAFÉ»</t>
        </is>
      </c>
      <c r="C4" s="81" t="n">
        <v>294.8</v>
      </c>
    </row>
    <row r="5">
      <c r="A5" s="31" t="inlineStr">
        <is>
          <t>30.80.6P.00.16</t>
        </is>
      </c>
      <c r="B5" s="31" t="inlineStr">
        <is>
          <t xml:space="preserve">PID2020-112540RB-C43/112611RB-I00/112930GB-I00/113343GB-I00/113472RB-I00/114381GB-I00/114517GB-I00/114896RB-I00/115140RB-I00/115735GB-I00  </t>
        </is>
      </c>
      <c r="C5" s="82" t="n">
        <v>5723.91</v>
      </c>
    </row>
    <row r="6">
      <c r="A6" s="30" t="inlineStr">
        <is>
          <t>30.80.6P.00.17</t>
        </is>
      </c>
      <c r="B6" s="30" t="inlineStr">
        <is>
          <t>DEVOLUCIÓN DE INGRESOS_ MODELO 047_Nº de liquidación:46/2023/RAS/10321/1_ Número de justificante:047/1/002385120_Nº de referencia:047/1/002385120</t>
        </is>
      </c>
      <c r="C6" s="81" t="n">
        <v>-5876.77</v>
      </c>
    </row>
    <row r="7">
      <c r="A7" s="31" t="inlineStr">
        <is>
          <t>30.80.6P.00.17</t>
        </is>
      </c>
      <c r="B7" s="31" t="inlineStr">
        <is>
          <t>CIGE/2021/021/041/046/103/136/162/178/153</t>
        </is>
      </c>
      <c r="C7" s="82" t="n">
        <v>10000</v>
      </c>
    </row>
    <row r="8">
      <c r="A8" s="30" t="inlineStr">
        <is>
          <t>30.80.6P.00.18</t>
        </is>
      </c>
      <c r="B8" s="30" t="inlineStr">
        <is>
          <t>ayudas CIAICO/2022/017, CIAICO/2022/019, CIAICO/2022/038, CIAICO/2022/046, CIAICO/2022/047, CIAICO/2022/049, CIAICO/2022/077, CIAICO/2022/078, CIAICO/2022/079, CIAICO/2022/112, CIAICO/2022/132 , CIAICO/2022/167, CIAICO/2022/177</t>
        </is>
      </c>
      <c r="C8" s="81" t="n">
        <v>13300</v>
      </c>
    </row>
    <row r="9">
      <c r="A9" s="31" t="inlineStr">
        <is>
          <t>30.80.6P.00.19</t>
        </is>
      </c>
      <c r="B9" s="31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9" s="82" t="n">
        <v>45052.8</v>
      </c>
    </row>
    <row r="10">
      <c r="A10" s="43" t="inlineStr">
        <is>
          <t>30.80.6P.00.20</t>
        </is>
      </c>
      <c r="B10" s="43" t="inlineStr">
        <is>
          <t xml:space="preserve">ayudas PID2022  138464NB-142516OB-139990NB-141382OB-137350NB-139899OB--136847NB-137385NB-139294NB-137873NA-138786NB-141712NB-136590OB-139105OB-142356NB-141694NB-136399NB  </t>
        </is>
      </c>
      <c r="C10" s="83" t="n">
        <v>23104</v>
      </c>
    </row>
    <row r="11" customFormat="1" s="47">
      <c r="A11" s="45" t="inlineStr">
        <is>
          <t>Total</t>
        </is>
      </c>
      <c r="B11" s="45" t="n"/>
      <c r="C11" s="84">
        <f>SUBTOTAL(109,Tabla2[Imp.cob.aplic.])</f>
        <v/>
      </c>
    </row>
    <row r="12">
      <c r="C12" s="8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3"/>
  <sheetViews>
    <sheetView topLeftCell="A19" workbookViewId="0">
      <selection activeCell="B47" sqref="B47:C47"/>
    </sheetView>
  </sheetViews>
  <sheetFormatPr baseColWidth="10" defaultRowHeight="14.4"/>
  <cols>
    <col width="17.6640625" customWidth="1" min="1" max="1"/>
    <col width="68.109375" customWidth="1" min="2" max="2"/>
    <col width="13.109375" customWidth="1" min="3" max="3"/>
  </cols>
  <sheetData>
    <row r="1">
      <c r="A1" s="50" t="inlineStr">
        <is>
          <t>Org. aplic.</t>
        </is>
      </c>
      <c r="B1" s="50" t="inlineStr">
        <is>
          <t>Descripción justificante</t>
        </is>
      </c>
      <c r="C1" s="86" t="inlineStr">
        <is>
          <t>Imp. aplic.</t>
        </is>
      </c>
    </row>
    <row r="2">
      <c r="A2" s="48" t="inlineStr">
        <is>
          <t>30.80.6C.00.16</t>
        </is>
      </c>
      <c r="B2" s="48" t="inlineStr">
        <is>
          <t>PERICIAL LINGÜÍSTICA SOBRE VERIFICACIÓN DE AUTORÍA EN TEXTOS PROCESALES</t>
        </is>
      </c>
      <c r="C2" s="87" t="n">
        <v>3036</v>
      </c>
    </row>
    <row r="3">
      <c r="A3" s="49" t="inlineStr">
        <is>
          <t>30.80.6C.00.17</t>
        </is>
      </c>
      <c r="B3" s="49" t="inlineStr">
        <is>
          <t>AMPLIACIÓN DEL INFORME PERICIAL LINGÜÍSTICO SOBRE VERIFICACIÓN DE AUTOR EN TEXTOS PROCESALES.</t>
        </is>
      </c>
      <c r="C3" s="88" t="n">
        <v>660</v>
      </c>
    </row>
    <row r="4">
      <c r="A4" s="48" t="inlineStr">
        <is>
          <t>30.80.6C.00.18</t>
        </is>
      </c>
      <c r="B4" s="48" t="inlineStr">
        <is>
          <t>Evaluación por parte de Sara Prieto García-Cañedo de Contenido del proyecto 942.166, actuando como Experta Técnica.</t>
        </is>
      </c>
      <c r="C4" s="87" t="n">
        <v>132</v>
      </c>
    </row>
    <row r="5">
      <c r="A5" s="49" t="inlineStr">
        <is>
          <t>30.80.6G.00.03</t>
        </is>
      </c>
      <c r="B5" s="49" t="inlineStr">
        <is>
          <t>Liq_JyC_2024__IX CIJIET_01__Congreso Internacional IX CIJIET / II TEATRALES</t>
        </is>
      </c>
      <c r="C5" s="88" t="n">
        <v>3359.15</v>
      </c>
    </row>
    <row r="6">
      <c r="A6" s="48" t="inlineStr">
        <is>
          <t>30.80.6G.00.03</t>
        </is>
      </c>
      <c r="B6" s="48" t="inlineStr">
        <is>
          <t>Pago de la inscripción de Isabel Guerrero Llorente al "Congreso Internacional IX CIJIET / II TEATRALES". Tarifa: Socio teatrales</t>
        </is>
      </c>
      <c r="C6" s="87" t="n">
        <v>85</v>
      </c>
    </row>
    <row r="7">
      <c r="A7" s="49" t="inlineStr">
        <is>
          <t>30.80.6G.00.03</t>
        </is>
      </c>
      <c r="B7" s="49" t="inlineStr">
        <is>
          <t>Pago de la inscripción de Benjamín Alonso Barreña al "Congreso Internacional IX CIJIET / II TEATRALES". Tarifa: Socio Teatrales</t>
        </is>
      </c>
      <c r="C7" s="88" t="n">
        <v>85</v>
      </c>
    </row>
    <row r="8">
      <c r="A8" s="48" t="inlineStr">
        <is>
          <t>30.80.6G.00.03</t>
        </is>
      </c>
      <c r="B8" s="48" t="inlineStr">
        <is>
          <t>Pago de la inscripción de Cristina Riaño Alonso al "Congreso Internacional IX CIJIET / II TEATRALES". Tarifa: No socio Teatrales</t>
        </is>
      </c>
      <c r="C8" s="87" t="n">
        <v>65</v>
      </c>
    </row>
    <row r="9">
      <c r="A9" s="49" t="inlineStr">
        <is>
          <t>30.80.6G.00.03</t>
        </is>
      </c>
      <c r="B9" s="49" t="inlineStr">
        <is>
          <t>Pago de la inscripción de María Durán Eusebio al "Congreso Internacional IX CIJIET / II TEATRALES". Tarifa: No socio/a Teatrales</t>
        </is>
      </c>
      <c r="C9" s="88" t="n">
        <v>65</v>
      </c>
    </row>
    <row r="10">
      <c r="A10" s="48" t="inlineStr">
        <is>
          <t>30.80.6G.00.03</t>
        </is>
      </c>
      <c r="B10" s="48" t="inlineStr">
        <is>
          <t>Liq_JyC_2024__IX_CIJIET_02__Congreso Internacional IX CIJIET / II TEATRALES</t>
        </is>
      </c>
      <c r="C10" s="87" t="n">
        <v>2394.2</v>
      </c>
    </row>
    <row r="11">
      <c r="A11" s="49" t="inlineStr">
        <is>
          <t>30.80.6G.00.03</t>
        </is>
      </c>
      <c r="B11" s="49" t="inlineStr">
        <is>
          <t>Liq_JyC_2024__IX_CIJIET_03__Congreso Internacional IX CIJIET / II TEATRALES</t>
        </is>
      </c>
      <c r="C11" s="88" t="n">
        <v>310</v>
      </c>
    </row>
    <row r="12">
      <c r="A12" s="48" t="inlineStr">
        <is>
          <t>30.80.6G.00.03</t>
        </is>
      </c>
      <c r="B12" s="48" t="inlineStr">
        <is>
          <t>DEVOLUCION DE INGRESOS_JyC_2024__IX_CIJIET_02__DEV__Congreso Internacional IX CIJIET / II TEATRALES JI-24-5046</t>
        </is>
      </c>
      <c r="C12" s="87" t="n">
        <v>-85</v>
      </c>
    </row>
    <row r="13">
      <c r="A13" s="49" t="inlineStr">
        <is>
          <t>30.80.6G.00.03</t>
        </is>
      </c>
      <c r="B13" s="49" t="inlineStr">
        <is>
          <t>DEVOLUCION DE INGRESOS_JyC_2024__IX_CIJIET_02__DEV__Congreso Internacional IX CIJIET / II TEATRALES JI-24-5362</t>
        </is>
      </c>
      <c r="C13" s="88" t="n">
        <v>-65</v>
      </c>
    </row>
    <row r="14">
      <c r="A14" s="48" t="inlineStr">
        <is>
          <t>30.80.6G.00.03</t>
        </is>
      </c>
      <c r="B14" s="48" t="inlineStr">
        <is>
          <t>DEVOLUCION DE INGRESOS_JyC_2024__IX_CIJIET_02__DEV__Congreso Internacional IX CIJIET / II TEATRALES JI-24-5046</t>
        </is>
      </c>
      <c r="C14" s="87" t="n">
        <v>-65</v>
      </c>
    </row>
    <row r="15">
      <c r="A15" s="49" t="inlineStr">
        <is>
          <t>30.80.6G.00.03</t>
        </is>
      </c>
      <c r="B15" s="49" t="inlineStr">
        <is>
          <t>Pago de la inscripción de MARKEL HERNÁNDEZ PÉREZ al "Congreso Internacional IX CIJIET / II TEATRALES". Tarifa: No Socio/a Teatrales</t>
        </is>
      </c>
      <c r="C15" s="88" t="n">
        <v>65</v>
      </c>
    </row>
    <row r="16">
      <c r="A16" s="48" t="inlineStr">
        <is>
          <t>30.80.6G.00.03</t>
        </is>
      </c>
      <c r="B16" s="48" t="inlineStr">
        <is>
          <t>Pago de la inscripción de DIDAC LLORENS CUBEDO al "Congreso Internacional IX CIJIET / II TEATRALES". Tarifa: No Socio/a Teatrales</t>
        </is>
      </c>
      <c r="C16" s="87" t="n">
        <v>65</v>
      </c>
    </row>
    <row r="17">
      <c r="A17" s="49" t="inlineStr">
        <is>
          <t>30.80.6G.00.03</t>
        </is>
      </c>
      <c r="B17" s="49" t="inlineStr">
        <is>
          <t>Liq_JyC_2024__IX_CIJIET_07__Congreso Internacional IX CIJIET / II TEATRALES</t>
        </is>
      </c>
      <c r="C17" s="88" t="n">
        <v>60</v>
      </c>
    </row>
    <row r="18">
      <c r="A18" s="48" t="inlineStr">
        <is>
          <t>30.80.6G.00.04</t>
        </is>
      </c>
      <c r="B18" s="48" t="inlineStr">
        <is>
          <t>Liq_JyC_2024__GLOTECH_01__International Conference on Global Perspectives on Technology-Enhanced Language Learning and Translation - GLOTECH</t>
        </is>
      </c>
      <c r="C18" s="87" t="n">
        <v>50</v>
      </c>
    </row>
    <row r="19">
      <c r="A19" s="49" t="inlineStr">
        <is>
          <t>30.80.6G.00.04</t>
        </is>
      </c>
      <c r="B19" s="49" t="inlineStr">
        <is>
          <t>Inscripción de Ferran Gesa a International Conference Global Perspectives on Technology-Enhanced Language Learning and Translation (GLOTECH)</t>
        </is>
      </c>
      <c r="C19" s="88" t="n">
        <v>50</v>
      </c>
    </row>
    <row r="20">
      <c r="A20" s="48" t="inlineStr">
        <is>
          <t>30.80.6G.00.04</t>
        </is>
      </c>
      <c r="B20" s="48" t="inlineStr">
        <is>
          <t>Liq_JyC_2024__GLOTECH_02__International Conference on Global Perspectives on Technology-Enhanced Language Learning and Translation - GLOTECH</t>
        </is>
      </c>
      <c r="C20" s="87" t="n">
        <v>200</v>
      </c>
    </row>
    <row r="21">
      <c r="A21" s="49" t="inlineStr">
        <is>
          <t>30.80.6G.00.04</t>
        </is>
      </c>
      <c r="B21" s="49" t="inlineStr">
        <is>
          <t>Liq_JyC_2024__GLOTECH_03__International Conference on Global Perspectives on Technology-Enhanced Language Learning and Translation - GLOTECH</t>
        </is>
      </c>
      <c r="C21" s="88" t="n">
        <v>296.82</v>
      </c>
    </row>
    <row r="22">
      <c r="A22" s="48" t="inlineStr">
        <is>
          <t>30.80.6G.00.04</t>
        </is>
      </c>
      <c r="B22" s="48" t="inlineStr">
        <is>
          <t>Inscripción de Boris Vázquez Calvo a International Conference Global Perspectives on Technology-Enhanced Language Learningand Translation (GLOTECH)</t>
        </is>
      </c>
      <c r="C22" s="87" t="n">
        <v>50</v>
      </c>
    </row>
    <row r="23">
      <c r="A23" s="49" t="inlineStr">
        <is>
          <t>30.80.6G.00.04</t>
        </is>
      </c>
      <c r="B23" s="49" t="inlineStr">
        <is>
          <t>Inscripción de Mª Inmaculada Vicente López a International Conference Global Perspectives on Technology-Enhanced Language Learningand Translation (GLOTECH)</t>
        </is>
      </c>
      <c r="C23" s="88" t="n">
        <v>50</v>
      </c>
    </row>
    <row r="24">
      <c r="A24" s="48" t="inlineStr">
        <is>
          <t>30.80.6G.00.04</t>
        </is>
      </c>
      <c r="B24" s="48" t="inlineStr">
        <is>
          <t>Inscripción de María José Varela Salinas a International Conference Global Perspectives on Technology-Enhanced Language Learningand Translation (GLOTECH)</t>
        </is>
      </c>
      <c r="C24" s="87" t="n">
        <v>50</v>
      </c>
    </row>
    <row r="25">
      <c r="A25" s="49" t="inlineStr">
        <is>
          <t>30.80.6G.00.04</t>
        </is>
      </c>
      <c r="B25" s="49" t="inlineStr">
        <is>
          <t>Liq_JyC_2024__GLOTECH_04__International Conference on Global Perspectives on Technology-Enhanced Language Learning and Translation - GLOTECH</t>
        </is>
      </c>
      <c r="C25" s="88" t="n">
        <v>198.26</v>
      </c>
    </row>
    <row r="26">
      <c r="A26" s="48" t="inlineStr">
        <is>
          <t>30.80.6G.00.04</t>
        </is>
      </c>
      <c r="B26" s="48" t="inlineStr">
        <is>
          <t>Inscripción de Lourdes Gay Punzano en el International Conference Global Perspectives on Technology-Enhanced Language Learningand Translation (GLOTECH)</t>
        </is>
      </c>
      <c r="C26" s="87" t="n">
        <v>50</v>
      </c>
    </row>
    <row r="27">
      <c r="A27" s="49" t="inlineStr">
        <is>
          <t>30.80.6G.00.04</t>
        </is>
      </c>
      <c r="B27" s="49" t="inlineStr">
        <is>
          <t>Liq_JyC_2024__GLOTECH_05__International Conference on Global Perspectives on Technology-Enhanced Language Learning and Translation - GLOTECH</t>
        </is>
      </c>
      <c r="C27" s="88" t="n">
        <v>127.83</v>
      </c>
    </row>
    <row r="28">
      <c r="A28" s="48" t="inlineStr">
        <is>
          <t>30.80.6G.00.04</t>
        </is>
      </c>
      <c r="B28" s="48" t="inlineStr">
        <is>
          <t>Liq_JyC_2024__GLOTECH_06__International Conference on Global Perspectives on Technology-Enhanced Language Learning and Translation - GLOTECH</t>
        </is>
      </c>
      <c r="C28" s="87" t="n">
        <v>555.52</v>
      </c>
    </row>
    <row r="29">
      <c r="A29" s="49" t="inlineStr">
        <is>
          <t>30.80.6G.00.04</t>
        </is>
      </c>
      <c r="B29" s="49" t="inlineStr">
        <is>
          <t>Inscripción de Ana Albalat Mascarell en el International Conference Global Perspectives on Technology-Enhanced Language Learningand Translation (GLOTECH)</t>
        </is>
      </c>
      <c r="C29" s="88" t="n">
        <v>80</v>
      </c>
    </row>
    <row r="30">
      <c r="A30" s="48" t="inlineStr">
        <is>
          <t>30.80.6G.00.04</t>
        </is>
      </c>
      <c r="B30" s="48" t="inlineStr">
        <is>
          <t>Liq_JyC_2024__GLOTECH_07__International Conference on Global Perspectives on Technology-Enhanced Language Learning and Translation - GLOTECH</t>
        </is>
      </c>
      <c r="C30" s="87" t="n">
        <v>219.38</v>
      </c>
    </row>
    <row r="31">
      <c r="A31" s="49" t="inlineStr">
        <is>
          <t>30.80.6G.00.04</t>
        </is>
      </c>
      <c r="B31" s="49" t="inlineStr">
        <is>
          <t>Liq_JyC_2024__GLOTECH_08__International Conference on Global Perspectives on Technology-Enhanced Language Learning and Translation - GLOTECH</t>
        </is>
      </c>
      <c r="C31" s="88" t="n">
        <v>430</v>
      </c>
    </row>
    <row r="32">
      <c r="A32" s="48" t="inlineStr">
        <is>
          <t>30.80.6G.00.04</t>
        </is>
      </c>
      <c r="B32" s="48" t="inlineStr">
        <is>
          <t xml:space="preserve">Inscripción de Antonio Hermán Carvajal en el International Conference Global Perspectives on Technology-Enhanced Language Learningand Translation (GLOTECH)  </t>
        </is>
      </c>
      <c r="C32" s="87" t="n">
        <v>80</v>
      </c>
    </row>
    <row r="33">
      <c r="A33" s="49" t="inlineStr">
        <is>
          <t>30.80.6G.00.04</t>
        </is>
      </c>
      <c r="B33" s="49" t="inlineStr">
        <is>
          <t>Registration fee of Anna Pietruszewska at the International Conference Global Perspectives on Technology-Enhanced Language Learning and Translation (GLOTECH)</t>
        </is>
      </c>
      <c r="C33" s="88" t="n">
        <v>50</v>
      </c>
    </row>
    <row r="34">
      <c r="A34" s="48" t="inlineStr">
        <is>
          <t>30.80.6M.00.01</t>
        </is>
      </c>
      <c r="B34" s="48" t="inlineStr">
        <is>
          <t>ORIENTACIÓN Y ACOMPAÑAMIENTO EN EL APRENDIZAJE DE LOS ESTUDIANTES DE LA ASIGNATURA "ANGLÈS B2.2" DE LOS ESTUDIOS DE ARTES Y HUMANIDADES (SEGUNDO SEMESTRE CURSO 2023/2024).</t>
        </is>
      </c>
      <c r="C34" s="87" t="n">
        <v>806.08</v>
      </c>
    </row>
    <row r="35">
      <c r="A35" s="49" t="inlineStr">
        <is>
          <t>30.80.6M.00.01</t>
        </is>
      </c>
      <c r="B35" s="49" t="inlineStr">
        <is>
          <t>SEGUNDO PAGO DEL SEMESTRE EN CONCEPTO DE AJUSTE FINAL: ORIENTACIÓN Y ACOMPAÑAMIENTO EN EL APRENDIZAJE DE LOS ESTUDIANTES DE LA ASIGNATURA "ANGLÈS B2.2" DE LOS ESTUDIOS DE ARTES Y HUMANIDADES (SEGUNDO SEMESTRE CURSO 2023/2024).</t>
        </is>
      </c>
      <c r="C35" s="88" t="n">
        <v>1884.96</v>
      </c>
    </row>
    <row r="36">
      <c r="A36" s="48" t="inlineStr">
        <is>
          <t>30.80.6M.00.02</t>
        </is>
      </c>
      <c r="B36" s="48" t="inlineStr">
        <is>
          <t>Primer pago del semestre por apoyo académico realizando las tareas de orientación y el acompañamiento en el aprendizaje de los estudiantes de la asignatura  "Inglés B2.2" (código 72.175)</t>
        </is>
      </c>
      <c r="C36" s="87" t="n">
        <v>860.29</v>
      </c>
    </row>
    <row r="37">
      <c r="A37" s="49" t="inlineStr">
        <is>
          <t>30.80.6P.00.16</t>
        </is>
      </c>
      <c r="B37" s="49" t="inlineStr">
        <is>
          <t>PID2020-112540RB-C43-112930GB-I00-115735GB-I00-115956GB-I00-119383GB-I00-119734RB-I00</t>
        </is>
      </c>
      <c r="C37" s="88" t="n">
        <v>13260</v>
      </c>
    </row>
    <row r="38">
      <c r="A38" s="48" t="inlineStr">
        <is>
          <t>30.80.6P.00.17</t>
        </is>
      </c>
      <c r="B38" s="48" t="inlineStr">
        <is>
          <t>DEVOLUCIÓN DE INGRESOS_MODELO 047_Nº DE LIQUIDACIÓN: 46/2024/RAS/10112/1_ Nº DE JUSTIFICANTE: 047/1/002477921_ Nº DE REFERENCIA: 047/1/002477921</t>
        </is>
      </c>
      <c r="C38" s="87" t="n">
        <v>-4327.45</v>
      </c>
    </row>
    <row r="39">
      <c r="A39" s="49" t="inlineStr">
        <is>
          <t>30.80.6P.00.18</t>
        </is>
      </c>
      <c r="B39" s="49" t="inlineStr">
        <is>
          <t xml:space="preserve">AYUDAS CIAICO/2022/017, CIAICO/2022/019, CIAICO/2022/038, CIAICO/2022/046, CIAICO/2022/047, CIAICO/2022/049, CIAICO/2022/077, CIAICO/2022/078, CIAICO/2022/079, CIAICO/2022/112, CIAICO/2022/132 CIAICO/2022/167 CIAICO/2022/177 </t>
        </is>
      </c>
      <c r="C39" s="88" t="n">
        <v>12300</v>
      </c>
    </row>
    <row r="40">
      <c r="A40" s="48" t="inlineStr">
        <is>
          <t>30.80.6P.00.18</t>
        </is>
      </c>
      <c r="B40" s="48" t="inlineStr">
        <is>
          <t>DEVOLUCIÓN DE INGRESOS_MODELO 047_ REFERENCIA: CIACO 2022 EN 2023.</t>
        </is>
      </c>
      <c r="C40" s="87" t="n">
        <v>-1307.3</v>
      </c>
    </row>
    <row r="41">
      <c r="A41" s="49" t="inlineStr">
        <is>
          <t>30.80.6P.00.19</t>
        </is>
      </c>
      <c r="B41" s="49" t="inlineStr">
        <is>
          <t>PID2022-138464NB-I00-142516OB-I00-139990NB-I00-141382OB-I00-139899OB-I00-136847NB-I00-137385NB-I00-139294NB-I00-137873NA-I00-138786NB-I00-136590OB-C43</t>
        </is>
      </c>
      <c r="C41" s="88" t="n">
        <v>10732.8</v>
      </c>
    </row>
    <row r="42">
      <c r="A42" s="52" t="inlineStr">
        <is>
          <t>30.80.6P.00.20</t>
        </is>
      </c>
      <c r="B42" s="52" t="inlineStr">
        <is>
          <t>PID2022-138464NB-I00-142516OB-I00-139990NB-I00-141382OB-I00-139899OB-I00-136847NB-I00-137385NB-I00-139294NB-I00-137873NA-I00-138786NB-I00-136590OB-C43</t>
        </is>
      </c>
      <c r="C42" s="89" t="n">
        <v>5504</v>
      </c>
    </row>
    <row r="43" customFormat="1" s="47">
      <c r="A43" s="56" t="inlineStr">
        <is>
          <t>Total</t>
        </is>
      </c>
      <c r="B43" s="56" t="n"/>
      <c r="C43" s="90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9"/>
  <sheetViews>
    <sheetView topLeftCell="A61" workbookViewId="0">
      <selection activeCell="C80" sqref="C80"/>
    </sheetView>
  </sheetViews>
  <sheetFormatPr baseColWidth="10" defaultRowHeight="14.4"/>
  <cols>
    <col width="15.5546875" customWidth="1" min="1" max="1"/>
    <col width="51.6640625" customWidth="1" min="2" max="2"/>
    <col width="16.21875" customWidth="1" min="3" max="3"/>
  </cols>
  <sheetData>
    <row r="1">
      <c r="A1" s="60" t="inlineStr">
        <is>
          <t>Org. aplic.</t>
        </is>
      </c>
      <c r="B1" s="61" t="inlineStr">
        <is>
          <t>Descripción justificante</t>
        </is>
      </c>
      <c r="C1" s="61" t="inlineStr">
        <is>
          <t>Imp. aplic.</t>
        </is>
      </c>
    </row>
    <row r="2">
      <c r="A2" s="62" t="inlineStr">
        <is>
          <t>30.80.6C.00.20</t>
        </is>
      </c>
      <c r="B2" s="63" t="inlineStr">
        <is>
          <t>ENTREGA DE INFORME PERICIAL LINGÜÍSTICO SOBRE VERIFICACIÓN DE AUTOR EN TEXTOS LEGALES</t>
        </is>
      </c>
      <c r="C2" s="91" t="n">
        <v>2640</v>
      </c>
    </row>
    <row r="3">
      <c r="A3" s="65" t="inlineStr">
        <is>
          <t>30.80.6C.00.21</t>
        </is>
      </c>
      <c r="B3" s="66" t="inlineStr">
        <is>
          <t>ENTREGA DE INFORME PERICIAL LINGÜÍSTICO SOBRE VERIFICACIÓN DE AUTOR EN TEXTO PROCESAL DUBITADO</t>
        </is>
      </c>
      <c r="C3" s="92" t="n">
        <v>1760</v>
      </c>
    </row>
    <row r="4">
      <c r="A4" s="62" t="inlineStr">
        <is>
          <t>30.80.6G.00.03</t>
        </is>
      </c>
      <c r="B4" s="63" t="inlineStr">
        <is>
          <t>Pago de la inscripción de Elena Teresa Baquero Cardete al "Congreso Internacional IX CIJIET / II TEATRALES". Tarifa: No Socio Teatrales</t>
        </is>
      </c>
      <c r="C4" s="91" t="n">
        <v>95</v>
      </c>
    </row>
    <row r="5">
      <c r="A5" s="65" t="inlineStr">
        <is>
          <t>30.80.6G.00.05</t>
        </is>
      </c>
      <c r="B5" s="66" t="inlineStr">
        <is>
          <t>Liq_JyC_2025__CReaTING_25_01__CReaTING - Creativity and Critical Thinking in Translation and Interpreting</t>
        </is>
      </c>
      <c r="C5" s="92" t="n">
        <v>300</v>
      </c>
    </row>
    <row r="6">
      <c r="A6" s="62" t="inlineStr">
        <is>
          <t>30.80.6G.00.05</t>
        </is>
      </c>
      <c r="B6" s="63" t="inlineStr">
        <is>
          <t>Liq_JyC_2025__CReaTING_25_02__CReaTING - Creativity and Critical Thinking in Translation and Interpreting</t>
        </is>
      </c>
      <c r="C6" s="91" t="n">
        <v>598.35</v>
      </c>
    </row>
    <row r="7">
      <c r="A7" s="65" t="inlineStr">
        <is>
          <t>30.80.6G.00.05</t>
        </is>
      </c>
      <c r="B7" s="66" t="inlineStr">
        <is>
          <t>Inscripción de Gonzalo Benjumeda Wynhoven en Congreso Internacional de Creatividad y Pensamiento Crítico en Traducción e Interpretación. CReaTING 2025.</t>
        </is>
      </c>
      <c r="C7" s="92" t="n">
        <v>150</v>
      </c>
    </row>
    <row r="8">
      <c r="A8" s="62" t="inlineStr">
        <is>
          <t>30.80.6G.00.05</t>
        </is>
      </c>
      <c r="B8" s="63" t="inlineStr">
        <is>
          <t>Inscripción de Maria Ferragud Ferragud en Congreso Internacional de Creatividad y Pensamiento Crítico en Traducción e Interpretación. CReaTING 2025.</t>
        </is>
      </c>
      <c r="C8" s="91" t="n">
        <v>150</v>
      </c>
    </row>
    <row r="9">
      <c r="A9" s="65" t="inlineStr">
        <is>
          <t>30.80.6G.00.05</t>
        </is>
      </c>
      <c r="B9" s="66" t="inlineStr">
        <is>
          <t>Inscripción de Isabelle Meurville en Congreso Internacional de Creatividad y Pensamiento Crítico en Traducción e Interpretación. CReaTING 2025.</t>
        </is>
      </c>
      <c r="C9" s="92" t="n">
        <v>150</v>
      </c>
    </row>
    <row r="10">
      <c r="A10" s="62" t="inlineStr">
        <is>
          <t>30.80.6G.00.05</t>
        </is>
      </c>
      <c r="B10" s="63" t="inlineStr">
        <is>
          <t>Liq_JyC_2025__CReaTING_25_03__CReaTING - Creativity and Critical Thinking in Translation and Interpreting</t>
        </is>
      </c>
      <c r="C10" s="91" t="n">
        <v>450</v>
      </c>
    </row>
    <row r="11">
      <c r="A11" s="65" t="inlineStr">
        <is>
          <t>30.80.6G.00.05</t>
        </is>
      </c>
      <c r="B11" s="66" t="inlineStr">
        <is>
          <t>Liq_JyC_2025__CReaTING_25_04__CReaTING - Creativity and Critical Thinking in Translation and Interpreting</t>
        </is>
      </c>
      <c r="C11" s="92" t="n">
        <v>1050</v>
      </c>
    </row>
    <row r="12">
      <c r="A12" s="62" t="inlineStr">
        <is>
          <t>30.80.6G.00.05</t>
        </is>
      </c>
      <c r="B12" s="63" t="inlineStr">
        <is>
          <t>Inscripción de Lukasz Bogucki  en Congreso Internacional de Creatividad y Pensamiento Crítico en Traducción e Interpretación. CReaTING 2025.</t>
        </is>
      </c>
      <c r="C12" s="91" t="n">
        <v>150</v>
      </c>
    </row>
    <row r="13">
      <c r="A13" s="65" t="inlineStr">
        <is>
          <t>30.80.6G.00.05</t>
        </is>
      </c>
      <c r="B13" s="66" t="inlineStr">
        <is>
          <t>Inscripción de María Dolores Oltra Ripoll en Congreso Internacional de Creatividad y Pensamiento Crítico en Traducción e Interpretación. CReaTING2025.</t>
        </is>
      </c>
      <c r="C13" s="92" t="n">
        <v>150</v>
      </c>
    </row>
    <row r="14">
      <c r="A14" s="62" t="inlineStr">
        <is>
          <t>30.80.6G.00.05</t>
        </is>
      </c>
      <c r="B14" s="63" t="inlineStr">
        <is>
          <t>Inscripción de Maribel Tercedor Sánchez en Congreso Internacional de Creatividad y Pensamiento Crítico en Traducción e Interpretación. CReaTING2025</t>
        </is>
      </c>
      <c r="C14" s="91" t="n">
        <v>150</v>
      </c>
    </row>
    <row r="15">
      <c r="A15" s="65" t="inlineStr">
        <is>
          <t>30.80.6G.00.05</t>
        </is>
      </c>
      <c r="B15" s="66" t="inlineStr">
        <is>
          <t>Incripción de Adriana Bausells Espín en Congreso Internacional de Creatividad y Pensamiento Crítico en Traducción e Interpretación. CReaTING 2025.</t>
        </is>
      </c>
      <c r="C15" s="92" t="n">
        <v>150</v>
      </c>
    </row>
    <row r="16">
      <c r="A16" s="62" t="inlineStr">
        <is>
          <t>30.80.6G.00.05</t>
        </is>
      </c>
      <c r="B16" s="63" t="inlineStr">
        <is>
          <t>Inscripción de Paula Cifuentes Ferez en Congreso Internacional de Creatividad y Pensamiento Crítico en Traducción e Interpretación. CReaTING 2025.</t>
        </is>
      </c>
      <c r="C16" s="91" t="n">
        <v>150</v>
      </c>
    </row>
    <row r="17">
      <c r="A17" s="65" t="inlineStr">
        <is>
          <t>30.80.6G.00.05</t>
        </is>
      </c>
      <c r="B17" s="66" t="inlineStr">
        <is>
          <t>Inscripción de Patricia Muñoz en Congreso Internacional de Creatividad y Pensamiento Crítico en Traducción e Interpretación. CReaTING 2025.</t>
        </is>
      </c>
      <c r="C17" s="92" t="n">
        <v>150</v>
      </c>
    </row>
    <row r="18">
      <c r="A18" s="62" t="inlineStr">
        <is>
          <t>30.80.6G.00.05</t>
        </is>
      </c>
      <c r="B18" s="63" t="inlineStr">
        <is>
          <t>Inscripción de María de la Cinta Gallent Torres en Congreso Internacional de Creatividad y Pensamiento Crítico en Traducción e Interpretación. CReaTING2025</t>
        </is>
      </c>
      <c r="C18" s="91" t="n">
        <v>150</v>
      </c>
    </row>
    <row r="19">
      <c r="A19" s="65" t="inlineStr">
        <is>
          <t>30.80.6G.00.05</t>
        </is>
      </c>
      <c r="B19" s="66" t="inlineStr">
        <is>
          <t>Inscripción de Alejandro Romero Muñoz en Congreso Internacional de Creatividad y Pensamiento Crítico en Traducción e Interpretación. CReaTING 2025.</t>
        </is>
      </c>
      <c r="C19" s="92" t="n">
        <v>150</v>
      </c>
    </row>
    <row r="20">
      <c r="A20" s="62" t="inlineStr">
        <is>
          <t>30.80.6G.00.05</t>
        </is>
      </c>
      <c r="B20" s="63" t="inlineStr">
        <is>
          <t>Inscripción de Ana Belén Mansilla Pérez en Congreso Internacional de Creatividad y Pensamiento Crítico en Traducción e Interpretación. CReaTING 2025</t>
        </is>
      </c>
      <c r="C20" s="91" t="n">
        <v>150</v>
      </c>
    </row>
    <row r="21">
      <c r="A21" s="65" t="inlineStr">
        <is>
          <t>30.80.6G.00.05</t>
        </is>
      </c>
      <c r="B21" s="66" t="inlineStr">
        <is>
          <t>Inscripción de José Luis Aja en Congreso Internacional de Creatividad y Pensamiento Crítico en Traducción e Interpretación. CReaTING2025</t>
        </is>
      </c>
      <c r="C21" s="92" t="n">
        <v>150</v>
      </c>
    </row>
    <row r="22">
      <c r="A22" s="62" t="inlineStr">
        <is>
          <t>30.80.6G.00.05</t>
        </is>
      </c>
      <c r="B22" s="63" t="inlineStr">
        <is>
          <t>Inscripción de Araceli María Alanís Corral en Congreso Internacional de Creatividad y Pensamiento Crítico en Traducción e Interpretación. CReaTING2025</t>
        </is>
      </c>
      <c r="C22" s="91" t="n">
        <v>150</v>
      </c>
    </row>
    <row r="23">
      <c r="A23" s="65" t="inlineStr">
        <is>
          <t>30.80.6G.00.05</t>
        </is>
      </c>
      <c r="B23" s="66" t="inlineStr">
        <is>
          <t>Inscripción de Laura de la Fuente López en Congreso Internacional de Creatividad y Pensamiento Crítico en Traducción e Interpretación. CReaTING2025</t>
        </is>
      </c>
      <c r="C23" s="92" t="n">
        <v>150</v>
      </c>
    </row>
    <row r="24">
      <c r="A24" s="62" t="inlineStr">
        <is>
          <t>30.80.6G.00.05</t>
        </is>
      </c>
      <c r="B24" s="63" t="inlineStr">
        <is>
          <t>Inscripción de Franziska Dinkelacker en Congreso Internacional de Creatividad y Pensamiento Crítico en Traducción e Interpretación. CReaTING2025</t>
        </is>
      </c>
      <c r="C24" s="91" t="n">
        <v>150</v>
      </c>
    </row>
    <row r="25">
      <c r="A25" s="65" t="inlineStr">
        <is>
          <t>30.80.6G.00.05</t>
        </is>
      </c>
      <c r="B25" s="66" t="inlineStr">
        <is>
          <t>Inscripción de Clara Inés López Rodríguez en Congreso Internacional de Creatividad y Pensamiento Crítico en Traducción e Interpretación. CReaTING2025</t>
        </is>
      </c>
      <c r="C25" s="92" t="n">
        <v>150</v>
      </c>
    </row>
    <row r="26">
      <c r="A26" s="62" t="inlineStr">
        <is>
          <t>30.80.6G.00.05</t>
        </is>
      </c>
      <c r="B26" s="63" t="inlineStr">
        <is>
          <t>Liq_JyC_2025__CReaTING_25_06__CReaTING - Creativity and Critical Thinking in Translation and Interpreting</t>
        </is>
      </c>
      <c r="C26" s="91" t="n">
        <v>1590</v>
      </c>
    </row>
    <row r="27">
      <c r="A27" s="65" t="inlineStr">
        <is>
          <t>30.80.6G.00.05</t>
        </is>
      </c>
      <c r="B27" s="66" t="inlineStr">
        <is>
          <t>Liq_JyC_2025__CReaTING_25_05__CReaTING - Creativity and Critical Thinking in Translation and Interpreting</t>
        </is>
      </c>
      <c r="C27" s="92" t="n">
        <v>3427.1</v>
      </c>
    </row>
    <row r="28">
      <c r="A28" s="62" t="inlineStr">
        <is>
          <t>30.80.6G.00.05</t>
        </is>
      </c>
      <c r="B28" s="63" t="inlineStr">
        <is>
          <t>Inscripción de Nora Aranberri en Congreso Internacional de Creatividad y Pensamiento Crítico en Traducción e Interpretación. CReaTING2025</t>
        </is>
      </c>
      <c r="C28" s="91" t="n">
        <v>150</v>
      </c>
    </row>
    <row r="29">
      <c r="A29" s="65" t="inlineStr">
        <is>
          <t>30.80.6G.00.05</t>
        </is>
      </c>
      <c r="B29" s="66" t="inlineStr">
        <is>
          <t>Inscripción de Francisco Rodríguez Rodríguez en Congreso Internacional de Creatividad y Pensamiento Crítico en Traducción e Interpretación. CReaTING2025</t>
        </is>
      </c>
      <c r="C29" s="92" t="n">
        <v>150</v>
      </c>
    </row>
    <row r="30">
      <c r="A30" s="62" t="inlineStr">
        <is>
          <t>30.80.6G.00.05</t>
        </is>
      </c>
      <c r="B30" s="63" t="inlineStr">
        <is>
          <t>Inscripción de Josep Marco Borillo en Congreso Internacional de Creatividad y Pensamiento Crítico en Traducción e Interpretación. CReaTING2025</t>
        </is>
      </c>
      <c r="C30" s="91" t="n">
        <v>150</v>
      </c>
    </row>
    <row r="31">
      <c r="A31" s="65" t="inlineStr">
        <is>
          <t>30.80.6G.00.05</t>
        </is>
      </c>
      <c r="B31" s="66" t="inlineStr">
        <is>
          <t>Inscripción de Aleksandra Jackiewicz en Congreso Internacional de Creatividad y Pensamiento Crítico en Traducción e Interpretación. CReaTING2025</t>
        </is>
      </c>
      <c r="C31" s="92" t="n">
        <v>150</v>
      </c>
    </row>
    <row r="32">
      <c r="A32" s="62" t="inlineStr">
        <is>
          <t>30.80.6G.00.05</t>
        </is>
      </c>
      <c r="B32" s="63" t="inlineStr">
        <is>
          <t>Inscripción de María Nieves Fluet Sánchez en Congreso Internacional de Creatividad y Pensamiento Crítico en Traducción e Interpretación. CReaTING2025</t>
        </is>
      </c>
      <c r="C32" s="91" t="n">
        <v>150</v>
      </c>
    </row>
    <row r="33">
      <c r="A33" s="65" t="inlineStr">
        <is>
          <t>30.80.6G.00.05</t>
        </is>
      </c>
      <c r="B33" s="66" t="inlineStr">
        <is>
          <t>Inscripción de Ana María Navarro López en Congreso Internacional de Creatividad y Pensamiento Crítico en Traducción e Interpretación. CReaTING2025</t>
        </is>
      </c>
      <c r="C33" s="92" t="n">
        <v>150</v>
      </c>
    </row>
    <row r="34">
      <c r="A34" s="62" t="inlineStr">
        <is>
          <t>30.80.6G.00.05</t>
        </is>
      </c>
      <c r="B34" s="63" t="inlineStr">
        <is>
          <t>Inscripción de Sofía Sánchez Mompean en Congreso Internacional de Creatividad y Pensamiento Crítico en Traducción e Interpretación. CReaTING2025</t>
        </is>
      </c>
      <c r="C34" s="91" t="n">
        <v>150</v>
      </c>
    </row>
    <row r="35">
      <c r="A35" s="65" t="inlineStr">
        <is>
          <t>30.80.6G.00.05</t>
        </is>
      </c>
      <c r="B35" s="66" t="inlineStr">
        <is>
          <t>Inscripción de Gaia Bezzi en Congreso Internacional de Creatividad y Pensamiento Crítico en Traducción e Interpretación. CReaTING2025</t>
        </is>
      </c>
      <c r="C35" s="92" t="n">
        <v>150</v>
      </c>
    </row>
    <row r="36">
      <c r="A36" s="62" t="inlineStr">
        <is>
          <t>30.80.6G.00.05</t>
        </is>
      </c>
      <c r="B36" s="63" t="inlineStr">
        <is>
          <t>Inscripción de Vanessa Gumier García en Congreso Internacional de Creatividad y Pensamiento Crítico en Traducción e Interpretación. CReaTING 2025</t>
        </is>
      </c>
      <c r="C36" s="91" t="n">
        <v>150</v>
      </c>
    </row>
    <row r="37">
      <c r="A37" s="65" t="inlineStr">
        <is>
          <t>30.80.6G.00.05</t>
        </is>
      </c>
      <c r="B37" s="66" t="inlineStr">
        <is>
          <t>Inscripción de Ana Isabel Foulquié Rubio en Congreso Internacional de Creatividad y Pensamiento Crítico en Traducción e Interpretación. CReaTING 2025</t>
        </is>
      </c>
      <c r="C37" s="92" t="n">
        <v>150</v>
      </c>
    </row>
    <row r="38">
      <c r="A38" s="62" t="inlineStr">
        <is>
          <t>30.80.6G.00.05</t>
        </is>
      </c>
      <c r="B38" s="63" t="inlineStr">
        <is>
          <t>Inscripción de Marina Inmaculada Molina Corbalán en Congreso Internacional de Creatividad y Pensamiento Crítico en Traducción e Interpretación. CReaTING 2025</t>
        </is>
      </c>
      <c r="C38" s="91" t="n">
        <v>150</v>
      </c>
    </row>
    <row r="39">
      <c r="A39" s="65" t="inlineStr">
        <is>
          <t>30.80.6G.00.05</t>
        </is>
      </c>
      <c r="B39" s="66" t="inlineStr">
        <is>
          <t>Inscripción de Ana Isabel Pérez Real en Congreso Internacional de Creatividad y Pensamiento Crítico en Traducción e Interpretación. CReaTING 2025</t>
        </is>
      </c>
      <c r="C39" s="92" t="n">
        <v>180</v>
      </c>
    </row>
    <row r="40">
      <c r="A40" s="62" t="inlineStr">
        <is>
          <t>30.80.6G.00.05</t>
        </is>
      </c>
      <c r="B40" s="63" t="inlineStr">
        <is>
          <t>Inscripción de Mar Ogea Pozo en Congreso Internacional de Creatividad y Pensamiento Crítico en Traducción e Interpretación. CReaTING2025</t>
        </is>
      </c>
      <c r="C40" s="91" t="n">
        <v>150</v>
      </c>
    </row>
    <row r="41">
      <c r="A41" s="65" t="inlineStr">
        <is>
          <t>30.80.6G.00.05</t>
        </is>
      </c>
      <c r="B41" s="66" t="inlineStr">
        <is>
          <t>INGRESO PERCIBIDO POR LA UNIVERSIDAD DE ALICANTE EN CONCEPTO DE AYUDA AIETI PARA LA CELEBRACIÓN DE CONGRESOS Y EVENTOS CIENTÍFICOS  A CReaTING (CReativity and CRitical Thinking in Traslation and InterpreTING).</t>
        </is>
      </c>
      <c r="C41" s="92" t="n">
        <v>500</v>
      </c>
    </row>
    <row r="42">
      <c r="A42" s="62" t="inlineStr">
        <is>
          <t>30.80.6G.00.05</t>
        </is>
      </c>
      <c r="B42" s="63" t="inlineStr">
        <is>
          <t>Liq_JyC_2025__CReaTING_25_07__CReaTING - Creativity and Critical Thinking in Translation and Interpreting</t>
        </is>
      </c>
      <c r="C42" s="91" t="n">
        <v>476.36</v>
      </c>
    </row>
    <row r="43">
      <c r="A43" s="65" t="inlineStr">
        <is>
          <t>30.80.6G.00.05</t>
        </is>
      </c>
      <c r="B43" s="66" t="inlineStr">
        <is>
          <t>Liq_JyC_2025__CReaTING_25_09__CReaTING - Creativity and Critical Thinking in Translation and Interpreting</t>
        </is>
      </c>
      <c r="C43" s="92" t="n">
        <v>720</v>
      </c>
    </row>
    <row r="44">
      <c r="A44" s="62" t="inlineStr">
        <is>
          <t>30.80.6G.00.05</t>
        </is>
      </c>
      <c r="B44" s="63" t="inlineStr">
        <is>
          <t>Inscripción de Mar Díaz Millón en Congreso Internacional de Creatividad y Pensamiento Crítico en Traducción e Interpretación. CReaTING 2025.</t>
        </is>
      </c>
      <c r="C44" s="91" t="n">
        <v>180</v>
      </c>
    </row>
    <row r="45">
      <c r="A45" s="65" t="inlineStr">
        <is>
          <t>30.80.6G.00.05</t>
        </is>
      </c>
      <c r="B45" s="66" t="inlineStr">
        <is>
          <t>Inscripción de María Dolores Olvera Lobo en Congreso Internacional de Creatividad y Pensamiento Crítico en Traducción e Interpretación. CReaTING 2025.</t>
        </is>
      </c>
      <c r="C45" s="92" t="n">
        <v>180</v>
      </c>
    </row>
    <row r="46">
      <c r="A46" s="62" t="inlineStr">
        <is>
          <t>30.80.6G.00.05</t>
        </is>
      </c>
      <c r="B46" s="63" t="inlineStr">
        <is>
          <t>Inscripción de Olga Mastela en Congreso Internacional de Creatividad y Pensamiento Crítico en Traducción e Interpretación. CReaTING 2025.</t>
        </is>
      </c>
      <c r="C46" s="91" t="n">
        <v>180</v>
      </c>
    </row>
    <row r="47">
      <c r="A47" s="65" t="inlineStr">
        <is>
          <t>30.80.6G.00.05</t>
        </is>
      </c>
      <c r="B47" s="66" t="inlineStr">
        <is>
          <t>Inscripción de Jennifer Lertola en Congreso Internacional de Creatividad y Pensamiento Crítico en Traducción e Interpretación. CReaTING 2025.</t>
        </is>
      </c>
      <c r="C47" s="92" t="n">
        <v>180</v>
      </c>
    </row>
    <row r="48">
      <c r="A48" s="62" t="inlineStr">
        <is>
          <t>30.80.6G.00.05</t>
        </is>
      </c>
      <c r="B48" s="63" t="inlineStr">
        <is>
          <t>DEVOLUCIÓN DE INGRESOS Liq_JyC_2025__CReaTING_25_01,08-DEV__CReaTING - Creativity and Critical Thinking in Translation and Interpreting</t>
        </is>
      </c>
      <c r="C48" s="91" t="n">
        <v>-150</v>
      </c>
    </row>
    <row r="49">
      <c r="A49" s="65" t="inlineStr">
        <is>
          <t>30.80.6G.00.05</t>
        </is>
      </c>
      <c r="B49" s="66" t="inlineStr">
        <is>
          <t>Inscripción de Animmarn Leksawat en Congreso Internacional de Creatividad y Pensamiento Crítico en Traducción e Interpretación. CReaTING2025</t>
        </is>
      </c>
      <c r="C49" s="92" t="n">
        <v>180</v>
      </c>
    </row>
    <row r="50">
      <c r="A50" s="62" t="inlineStr">
        <is>
          <t>30.80.6G.00.05</t>
        </is>
      </c>
      <c r="B50" s="63" t="inlineStr">
        <is>
          <t>Liq_JyC_2025__CReaTING_25_10__CReaTING - Creativity and Critical Thinking in Translation and Interpreting</t>
        </is>
      </c>
      <c r="C50" s="91" t="n">
        <v>479.55</v>
      </c>
    </row>
    <row r="51">
      <c r="A51" s="65" t="inlineStr">
        <is>
          <t>30.80.6G.00.05</t>
        </is>
      </c>
      <c r="B51" s="66" t="inlineStr">
        <is>
          <t xml:space="preserve">Liq_JyC_2025__CReaTING_25_11__CReaTING - Creativity and Critical Thinking in Translation and Interpreting </t>
        </is>
      </c>
      <c r="C51" s="92" t="n">
        <v>780</v>
      </c>
    </row>
    <row r="52">
      <c r="A52" s="62" t="inlineStr">
        <is>
          <t>30.80.6G.00.05</t>
        </is>
      </c>
      <c r="B52" s="63" t="inlineStr">
        <is>
          <t>Inscripción de Heather Adams en Congreso Internacional de Creatividad y Pensamiento Crítico en Traducción e Interpretación. CReaTING2025</t>
        </is>
      </c>
      <c r="C52" s="91" t="n">
        <v>180</v>
      </c>
    </row>
    <row r="53">
      <c r="A53" s="65" t="inlineStr">
        <is>
          <t>30.80.6G.00.05</t>
        </is>
      </c>
      <c r="B53" s="66" t="inlineStr">
        <is>
          <t>Inscripción de Carmen Mellado Blanco en Congreso Internacional de Creatividad y Pensamiento Crítico en Traduccióne Interpretación. CReaTING2025</t>
        </is>
      </c>
      <c r="C53" s="92" t="n">
        <v>180</v>
      </c>
    </row>
    <row r="54">
      <c r="A54" s="62" t="inlineStr">
        <is>
          <t>30.80.6G.00.05</t>
        </is>
      </c>
      <c r="B54" s="63" t="inlineStr">
        <is>
          <t>Inscripción de Ulrike Oster en Congreso Internacional de Creatividad y Pensamiento Crítico en Traduccióne Interpretación. CReaTING2025</t>
        </is>
      </c>
      <c r="C54" s="91" t="n">
        <v>180</v>
      </c>
    </row>
    <row r="55">
      <c r="A55" s="65" t="inlineStr">
        <is>
          <t>30.80.6G.00.05</t>
        </is>
      </c>
      <c r="B55" s="66" t="inlineStr">
        <is>
          <t>Liq_JyC_2025__CReaTING_25_12__CReaTING - Creativity and Critical Thinking in Translation and Interpreting</t>
        </is>
      </c>
      <c r="C55" s="92" t="n">
        <v>420</v>
      </c>
    </row>
    <row r="56">
      <c r="A56" s="62" t="inlineStr">
        <is>
          <t>30.80.6G.00.05</t>
        </is>
      </c>
      <c r="B56" s="63" t="inlineStr">
        <is>
          <t>Inscripción de Teresa Alegre en Congreso Internacional de Creatividad y Pensamiento Crítico en Traduccióne Interpretación. CReaTING2025. Compromiso nº: 31281/2015</t>
        </is>
      </c>
      <c r="C56" s="91" t="n">
        <v>180</v>
      </c>
    </row>
    <row r="57">
      <c r="A57" s="65" t="inlineStr">
        <is>
          <t>30.80.6G.00.05</t>
        </is>
      </c>
      <c r="B57" s="66" t="inlineStr">
        <is>
          <t>Liq_JyC_2025__CReaTING_25_13__CReaTING - Creativity and Critical Thinking in Translation and Interpreting</t>
        </is>
      </c>
      <c r="C57" s="92" t="n">
        <v>510</v>
      </c>
    </row>
    <row r="58">
      <c r="A58" s="62" t="inlineStr">
        <is>
          <t>30.80.6G.00.05</t>
        </is>
      </c>
      <c r="B58" s="63" t="inlineStr">
        <is>
          <t>Inscripción de Silvia Zarzoso Salvador en Congreso Internacional de Creatividad y Pensamiento Crítico en Traducción e Interpretación. CReaTING2025</t>
        </is>
      </c>
      <c r="C58" s="91" t="n">
        <v>180</v>
      </c>
    </row>
    <row r="59">
      <c r="A59" s="65" t="inlineStr">
        <is>
          <t>30.80.6G.00.05</t>
        </is>
      </c>
      <c r="B59" s="66" t="inlineStr">
        <is>
          <t>Inscripción de Katty Da Silva Ferreira en Congreso Internacional de Creatividad y Pensamiento Crítico en Traducción e Interpretación. CReaTING2025</t>
        </is>
      </c>
      <c r="C59" s="92" t="n">
        <v>180</v>
      </c>
    </row>
    <row r="60">
      <c r="A60" s="62" t="inlineStr">
        <is>
          <t>30.80.6G.00.05</t>
        </is>
      </c>
      <c r="B60" s="63" t="inlineStr">
        <is>
          <t>Inscripción de Clara Ureña Tormo en Congreso Internacional de Creatividad y Pensamiento Crítico en Traducción e Interpretación. CReaTING 2025</t>
        </is>
      </c>
      <c r="C60" s="91" t="n">
        <v>180</v>
      </c>
    </row>
    <row r="61">
      <c r="A61" s="65" t="inlineStr">
        <is>
          <t>30.80.6G.00.05</t>
        </is>
      </c>
      <c r="B61" s="66" t="inlineStr">
        <is>
          <t>Inscripción de María del Cielo Esteban Fonollosa en Congreso Internacional de Creatividad y Pensamiento Crítico en Traduccióne Interpretación. CReaTING2025</t>
        </is>
      </c>
      <c r="C61" s="92" t="n">
        <v>150</v>
      </c>
    </row>
    <row r="62">
      <c r="A62" s="62" t="inlineStr">
        <is>
          <t>30.80.6G.00.05</t>
        </is>
      </c>
      <c r="B62" s="63" t="inlineStr">
        <is>
          <t xml:space="preserve">Liq_JyC_2025__CReaTING_25_14__CReaTING - Creativity and Critical Thinking in Translation and Interpreting </t>
        </is>
      </c>
      <c r="C62" s="91" t="n">
        <v>120</v>
      </c>
    </row>
    <row r="63">
      <c r="A63" s="65" t="inlineStr">
        <is>
          <t>30.80.6G.00.05</t>
        </is>
      </c>
      <c r="B63" s="66" t="inlineStr">
        <is>
          <t>Devolución de ingresos - Liq_JyC_2025__CReaTING_25_15-DEV__CReaTING - Creativity and Critical Thinking in Translation and Interpreting</t>
        </is>
      </c>
      <c r="C63" s="92" t="n">
        <v>-150</v>
      </c>
    </row>
    <row r="64">
      <c r="A64" s="62" t="inlineStr">
        <is>
          <t>30.80.6G.00.05</t>
        </is>
      </c>
      <c r="B64" s="63" t="inlineStr">
        <is>
          <t>Inscripción de Arianna Alessandro en Congreso Internacional de Creatividad y Pensamiento Crítico en Traducción e Interpretación. CReaTING2025</t>
        </is>
      </c>
      <c r="C64" s="91" t="n">
        <v>150</v>
      </c>
    </row>
    <row r="65">
      <c r="A65" s="65" t="inlineStr">
        <is>
          <t>30.80.6G.00.05</t>
        </is>
      </c>
      <c r="B65" s="66" t="inlineStr">
        <is>
          <t>Inscripción de Esther Gimeno Ugalde en Congreso Internacional de Creatividad y Pensamiento Crítico en Traducción e Interpretación. CReaTING2025</t>
        </is>
      </c>
      <c r="C65" s="92" t="n">
        <v>150</v>
      </c>
    </row>
    <row r="66">
      <c r="A66" s="62" t="inlineStr">
        <is>
          <t>30.80.6G.00.05</t>
        </is>
      </c>
      <c r="B66" s="63" t="inlineStr">
        <is>
          <t>Inscripción de Isabel Tello Fons en Congreso Internacional de Creatividad y Pensamiento Crítico en Traducción e Interpretación. CReaTING2025</t>
        </is>
      </c>
      <c r="C66" s="91" t="n">
        <v>150</v>
      </c>
    </row>
    <row r="67">
      <c r="A67" s="65" t="inlineStr">
        <is>
          <t>30.80.6G.00.06</t>
        </is>
      </c>
      <c r="B67" s="66" t="inlineStr">
        <is>
          <t>Ingreso por inscripciones al Congreso "17th Internacional SAAS Conference 2025"</t>
        </is>
      </c>
      <c r="C67" s="92" t="n">
        <v>26975</v>
      </c>
    </row>
    <row r="68">
      <c r="A68" s="62" t="inlineStr">
        <is>
          <t>30.80.6M.00.02</t>
        </is>
      </c>
      <c r="B68" s="63" t="inlineStr">
        <is>
          <t>Servicios de apoyo académico realizando tareas de orientación y el acompañamiento en el aprendizaje de los estudiantes de la asignatura "Inglés B2.2" (Código 72.175). AJUSTE FINAL</t>
        </is>
      </c>
      <c r="C68" s="91" t="n">
        <v>2217.6</v>
      </c>
    </row>
    <row r="69">
      <c r="A69" s="65" t="inlineStr">
        <is>
          <t>30.80.6P.00.16</t>
        </is>
      </c>
      <c r="B69" s="66" t="inlineStr">
        <is>
          <t>DEVOLUCIÓN DE INGRESOS_CARTA DE PAGO_REFERENCIA: PID2020-115735GB-I00, ANUALIDAD: 2021</t>
        </is>
      </c>
      <c r="C69" s="92" t="n">
        <v>-4600.33</v>
      </c>
    </row>
    <row r="70">
      <c r="A70" s="62" t="inlineStr">
        <is>
          <t>30.80.6P.00.18</t>
        </is>
      </c>
      <c r="B70" s="63" t="inlineStr">
        <is>
          <t>Ayudas CIAICO/2022/017, CIAICO/2022/019, CIAICO/2022/038, CIAICO/2022/046, CIAICO/2022/047, CIAICO/2022/049, CIAICO/2022/077, CIAICO/2022/078,CIAICO/2022/079, CIAICO/2022/112, CIAICO/2022/132, CIAICO/2022/167, ,CIAICO/2022/177</t>
        </is>
      </c>
      <c r="C70" s="91" t="n">
        <v>14100</v>
      </c>
    </row>
    <row r="71">
      <c r="A71" s="65" t="inlineStr">
        <is>
          <t>30.80.6P.00.18</t>
        </is>
      </c>
      <c r="B71" s="66" t="inlineStr">
        <is>
          <t xml:space="preserve">Minoración AYUDAS CIAICO/2022/017, CIAICO/2022/019,  CIAICO/2022/046, CIAICO/2022/047,  CIAICO/2022/077, CIAICO/2022/078, CIAICO/2022/079, CIAICO/2022/112, CIAICO/2022/132 CIAICO/2022/167 CIAICO/2022/177 </t>
        </is>
      </c>
      <c r="C71" s="92" t="n">
        <v>-290.93</v>
      </c>
    </row>
    <row r="72">
      <c r="A72" s="62" t="inlineStr">
        <is>
          <t>30.80.6P.00.19</t>
        </is>
      </c>
      <c r="B72" s="63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72" s="91" t="n">
        <v>6614.4</v>
      </c>
    </row>
    <row r="73">
      <c r="A73" s="65" t="inlineStr">
        <is>
          <t>30.80.6P.00.20</t>
        </is>
      </c>
      <c r="B73" s="66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73" s="92" t="n">
        <v>3392</v>
      </c>
    </row>
    <row r="74">
      <c r="A74" s="62" t="inlineStr">
        <is>
          <t>30.80.6P.00.26</t>
        </is>
      </c>
      <c r="B74" s="63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74" s="91" t="n">
        <v>40658</v>
      </c>
    </row>
    <row r="75" ht="15" customHeight="1" thickBot="1">
      <c r="A75" s="65" t="inlineStr">
        <is>
          <t>30.80.6P.00.27</t>
        </is>
      </c>
      <c r="B75" s="66" t="inlineStr">
        <is>
          <t>Ayudas JDC2024-053381-I, JDC2024-053381-I (DOT. ADICIONAL), JDC2024-055795-I, JDC2024-055795-I (DOT. ADICIONAL), JDC2024-055193-I, JDC2024-055193-I (DOT. ADICIONAL), JDC2024-054052-I,  JDC2024-053152-I, JDC2024-054052-I (DOT. ADICIONAL), JDC2024-053152-I (DOT. ADICIONAL), JDC2024-055709-I, JDC2024-055709-I (DOT. ADICIONAL)</t>
        </is>
      </c>
      <c r="C75" s="92" t="n">
        <v>3700</v>
      </c>
    </row>
    <row r="76" ht="15" customHeight="1" thickTop="1">
      <c r="A76" s="68" t="inlineStr">
        <is>
          <t>Total</t>
        </is>
      </c>
      <c r="B76" s="69" t="n"/>
      <c r="C76" s="93" t="n">
        <v>115672.1</v>
      </c>
    </row>
    <row r="79">
      <c r="B79" s="58" t="inlineStr">
        <is>
          <t>Total ingresos investigación 2023-25</t>
        </is>
      </c>
      <c r="C79" s="94">
        <f>C76+Tabla2[[#Totals],[Imp.cob.aplic.]]+Tabla3[[#Totals],[Imp.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B12" sqref="B12"/>
    </sheetView>
  </sheetViews>
  <sheetFormatPr baseColWidth="10" defaultRowHeight="14.4"/>
  <cols>
    <col width="17" customWidth="1" min="1" max="1"/>
    <col width="60.109375" customWidth="1" min="2" max="2"/>
    <col width="16" customWidth="1" min="3" max="3"/>
  </cols>
  <sheetData>
    <row r="1">
      <c r="A1" s="42" t="inlineStr">
        <is>
          <t>Cód. org. aplic.</t>
        </is>
      </c>
      <c r="B1" s="42" t="inlineStr">
        <is>
          <t>Descripción justificante</t>
        </is>
      </c>
      <c r="C1" s="42" t="inlineStr">
        <is>
          <t>Imp.cob.aplic.</t>
        </is>
      </c>
    </row>
    <row r="2">
      <c r="A2" s="43" t="inlineStr">
        <is>
          <t>30.80.2T.00.05</t>
        </is>
      </c>
      <c r="B2" s="43" t="inlineStr">
        <is>
          <t>DEVOLUCIÓN DE TASAS NÓMINAS_REMESA Nº 2023DTR380589_RDT INVERSA: 2023EXPADM2019</t>
        </is>
      </c>
      <c r="C2" s="83" t="n">
        <v>-855</v>
      </c>
    </row>
    <row r="3" customFormat="1" s="47">
      <c r="A3" s="45" t="inlineStr">
        <is>
          <t>Total</t>
        </is>
      </c>
      <c r="B3" s="45" t="n"/>
      <c r="C3" s="84">
        <f>SUBTOTAL(109,Tabla5[Imp.cob.aplic.])</f>
        <v/>
      </c>
    </row>
    <row r="4">
      <c r="C4" s="8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B5" sqref="B5:C5"/>
    </sheetView>
  </sheetViews>
  <sheetFormatPr baseColWidth="10" defaultRowHeight="14.4"/>
  <cols>
    <col width="40.5546875" customWidth="1" min="2" max="2"/>
    <col width="12" bestFit="1" customWidth="1" min="3" max="3"/>
  </cols>
  <sheetData>
    <row r="1">
      <c r="B1" t="inlineStr">
        <is>
          <t>NO HAY INGRESOS DE FORMACIÓN EN 2024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6"/>
  <sheetViews>
    <sheetView tabSelected="1" workbookViewId="0">
      <selection activeCell="E16" sqref="E16"/>
    </sheetView>
  </sheetViews>
  <sheetFormatPr baseColWidth="10" defaultRowHeight="14.4"/>
  <cols>
    <col width="17.88671875" customWidth="1" min="1" max="1"/>
    <col width="61" customWidth="1" min="2" max="2"/>
    <col width="21.5546875" customWidth="1" min="3" max="3"/>
  </cols>
  <sheetData>
    <row r="1">
      <c r="A1" s="75" t="inlineStr">
        <is>
          <t>Org. aplic.</t>
        </is>
      </c>
      <c r="B1" s="75" t="inlineStr">
        <is>
          <t>Descripción justificante</t>
        </is>
      </c>
      <c r="C1" s="95" t="inlineStr">
        <is>
          <t>Imp. aplic.</t>
        </is>
      </c>
    </row>
    <row r="2">
      <c r="A2" s="71" t="inlineStr">
        <is>
          <t>10.91.2T.01.62</t>
        </is>
      </c>
      <c r="B2" s="71" t="inlineStr">
        <is>
          <t>CÓD: GM52. MICROCREDENCIAL. Aplicación de prompts de inteligencia artificial en gestión terminológica y traducción especializada</t>
        </is>
      </c>
      <c r="C2" s="96" t="n">
        <v>2231.25</v>
      </c>
    </row>
    <row r="3">
      <c r="A3" s="73" t="inlineStr">
        <is>
          <t>10.91.2T.01.63</t>
        </is>
      </c>
      <c r="B3" s="73" t="inlineStr">
        <is>
          <t>DEVOLUCIÓN DE PRECIOS PÚBLICOS_ REMESA Nº 2025DTR130008_RDT INVERSA 2025EXPADM0803</t>
        </is>
      </c>
      <c r="C3" s="97" t="n">
        <v>-127.5</v>
      </c>
    </row>
    <row r="4">
      <c r="A4" s="71" t="inlineStr">
        <is>
          <t>10.91.2T.01.63</t>
        </is>
      </c>
      <c r="B4" s="71" t="inlineStr">
        <is>
          <t>MERITXELL NADAL JIMENEZ - GM52-  APLICACIÓ DE PROMPTS D'INTEL·LIGÈNCIA ARTIFICIAL EN GESTIÓ TERMINOLÒGICA I TRADUCCIÓ ESPECIALITZADA</t>
        </is>
      </c>
      <c r="C4" s="96" t="n">
        <v>150</v>
      </c>
    </row>
    <row r="5">
      <c r="A5" s="73" t="inlineStr">
        <is>
          <t>10.91.2T.01.63</t>
        </is>
      </c>
      <c r="B5" s="73" t="inlineStr">
        <is>
          <t>SUSANA ÁLVAREZ ÁLVAREZ, APLICACIÓ DE PROMPTS D'INTEL·LIGÈNCIA ARTIFICIAL EN GESTIÓ TERMINOLÒGICA.</t>
        </is>
      </c>
      <c r="C5" s="97" t="n">
        <v>150</v>
      </c>
    </row>
    <row r="6">
      <c r="A6" s="71" t="inlineStr">
        <is>
          <t>10.91.2T.01.63</t>
        </is>
      </c>
      <c r="B6" s="71" t="inlineStr">
        <is>
          <t>CÓD: GM52. MICROCREDENCIAL. LIQ-TitProp_GM52-N Curso_2024-25 AñoCont_2025 - APLICACIÓN DE PROMPTS DE INTELIGENCIA ARTIFICIAL EN GESTIÓN T</t>
        </is>
      </c>
      <c r="C6" s="96" t="n">
        <v>4398.75</v>
      </c>
    </row>
    <row r="7">
      <c r="A7" s="73" t="inlineStr">
        <is>
          <t>10.91.2T.01.63</t>
        </is>
      </c>
      <c r="B7" s="73" t="inlineStr">
        <is>
          <t>Alumna María Inmaculada Vicente López Estudio: Microcredencial Universitaria GM52 APLICACIÓN DE PROMPTS DE INTELIGENCIA ARTIFICIAL EN GESTIÓN TERMINOLÓGICA.</t>
        </is>
      </c>
      <c r="C7" s="97" t="n">
        <v>150</v>
      </c>
    </row>
    <row r="8">
      <c r="A8" s="71" t="inlineStr">
        <is>
          <t>10.91.2T.01.63</t>
        </is>
      </c>
      <c r="B8" s="71" t="inlineStr">
        <is>
          <t xml:space="preserve">LIQ-TitProp_GM52-N Curso_2024-25 AñoCont_2025 - APLICACIÓN DE PROMPTS DE INTELIGENCIA ARTIFICIAL EN GESTIÓN T _ (Cierre-25) </t>
        </is>
      </c>
      <c r="C8" s="96" t="n">
        <v>127.5</v>
      </c>
    </row>
    <row r="9">
      <c r="A9" s="73" t="inlineStr">
        <is>
          <t>10.91.2T.01.96</t>
        </is>
      </c>
      <c r="B9" s="73" t="inlineStr">
        <is>
          <t>Factura a nombre de la Universidad de León para el pago de la matrícula de la alumna Ana Isabel Moreno Fernández en la Microcredencial Universitaria GN28 Inteligencia Artificial Aplicada a la Investigación.</t>
        </is>
      </c>
      <c r="C9" s="97" t="n">
        <v>37.5</v>
      </c>
    </row>
    <row r="10">
      <c r="A10" s="71" t="inlineStr">
        <is>
          <t>10.91.2T.01.96</t>
        </is>
      </c>
      <c r="B10" s="71" t="inlineStr">
        <is>
          <t>AMPARO PATRICIA BOU FRANCH Matrícula curso Plan GN28 - INTELIGENCIA ARTIFICIAL APLICADA A LA INVESTIGACIÓN: HERRAMIENTAS, MÉTODOS Y APLICACIONES PRÁCTICAS</t>
        </is>
      </c>
      <c r="C10" s="96" t="n">
        <v>125</v>
      </c>
    </row>
    <row r="11">
      <c r="A11" s="73" t="inlineStr">
        <is>
          <t>10.91.2T.01.96</t>
        </is>
      </c>
      <c r="B11" s="73" t="inlineStr">
        <is>
          <t xml:space="preserve">LIQ-TitProp_GN28-N Curso_2025-26 AñoCont_2025 - INTELIGENCIA ARTIFICIAL APLICADA A LA INVESTIGACIÓN (CIERRE 25 APLAZADO) </t>
        </is>
      </c>
      <c r="C11" s="97" t="n">
        <v>212.5</v>
      </c>
    </row>
    <row r="12">
      <c r="A12" s="71" t="inlineStr">
        <is>
          <t>10.91.2T.01.96</t>
        </is>
      </c>
      <c r="B12" s="71" t="inlineStr">
        <is>
          <t xml:space="preserve">LIQ-TitProp_GN28-N Curso_2025-26 AñoCont_2025 - INTELIGENCIA ARTIFICIAL APLICADA A LA INVESTIGACIÓN (CIERRE 25 APLAZADO) </t>
        </is>
      </c>
      <c r="C12" s="96" t="n">
        <v>-212.5</v>
      </c>
    </row>
    <row r="13">
      <c r="A13" s="73" t="inlineStr">
        <is>
          <t>10.91.2T.01.96</t>
        </is>
      </c>
      <c r="B13" s="73" t="inlineStr">
        <is>
          <t xml:space="preserve">LIQ-TitProp_GN28-N Curso_2025-26 AñoCont_2025 - INTELIGENCIA ARTIFICIAL APLICADA A LA INVESTIGACIÓN _ (Cierre-25) (EMITIDO25 COBRADO25) </t>
        </is>
      </c>
      <c r="C13" s="97" t="n">
        <v>5928.75</v>
      </c>
    </row>
    <row r="14">
      <c r="A14" s="71" t="inlineStr">
        <is>
          <t>30.80.2T.00.09</t>
        </is>
      </c>
      <c r="B14" s="71" t="inlineStr">
        <is>
          <t xml:space="preserve">LIQ-TitProp_GM45-N Curso_2024-25 AñoCont_2025 - INTERPRETACIÓN AUDIOVISUAL AVANZADA </t>
        </is>
      </c>
      <c r="C14" s="96" t="n">
        <v>1522.8</v>
      </c>
    </row>
    <row r="15">
      <c r="A15" s="73" t="inlineStr">
        <is>
          <t>30.80.2T.00.08</t>
        </is>
      </c>
      <c r="B15" s="73" t="inlineStr">
        <is>
          <t>CÓD: GM45. MICROCREDENCIAL. INTERPRETACIÓN AUDIOVISUAL AVANZADA (NEXTG)</t>
        </is>
      </c>
      <c r="C15" s="97" t="n">
        <v>4822.2</v>
      </c>
    </row>
    <row r="16">
      <c r="A16" s="71" t="inlineStr">
        <is>
          <t>30.80.2T.00.05</t>
        </is>
      </c>
      <c r="B16" s="71" t="inlineStr">
        <is>
          <t xml:space="preserve">LIQ-TitProp_9464-N Curso_2025-26 AñoCont_2025 - EXPERTO/A EN ARTE DRAMÁTICO APLICADO </t>
        </is>
      </c>
      <c r="C16" s="96" t="n">
        <v>808.23</v>
      </c>
    </row>
    <row r="17">
      <c r="A17" s="73" t="inlineStr">
        <is>
          <t>30.80.2T.00.05</t>
        </is>
      </c>
      <c r="B17" s="73" t="inlineStr">
        <is>
          <t xml:space="preserve">LIQ-TitProp_GN06-N Curso_2025-26 AñoCont_2025 - ARTE DRAMÁTICO APLICADO </t>
        </is>
      </c>
      <c r="C17" s="97" t="n">
        <v>855</v>
      </c>
    </row>
    <row r="18">
      <c r="A18" s="71" t="inlineStr">
        <is>
          <t>30.80.2T.00.05</t>
        </is>
      </c>
      <c r="B18" s="71" t="inlineStr">
        <is>
          <t>LIQ-TitProp_GN06-N Curso_2025-26 AñoCont_2025 - ARTE DRAMÁTICO APLICADO (CIERRE 25 APLAZADO)</t>
        </is>
      </c>
      <c r="C18" s="96" t="n">
        <v>855</v>
      </c>
    </row>
    <row r="19">
      <c r="A19" s="73" t="inlineStr">
        <is>
          <t>30.80.2T.00.05</t>
        </is>
      </c>
      <c r="B19" s="73" t="inlineStr">
        <is>
          <t>LIQ-TitProp_GN06-N Curso_2025-26 AñoCont_2025 - ARTE DRAMÁTICO APLICADO (CIERRE 25 APLAZADO)</t>
        </is>
      </c>
      <c r="C19" s="97" t="n">
        <v>-855</v>
      </c>
    </row>
    <row r="20">
      <c r="A20" s="71" t="inlineStr">
        <is>
          <t>30.80.2T.00.05</t>
        </is>
      </c>
      <c r="B20" s="71" t="inlineStr">
        <is>
          <t xml:space="preserve">LIQ-TitProp_9464-N Curso_2025-26 AñoCont_2025 - EXPERTO/A EN ARTE DRAMÁTICO APLICADO _ (CIERRE 25 APLAZADO) </t>
        </is>
      </c>
      <c r="C20" s="96" t="n">
        <v>806.77</v>
      </c>
    </row>
    <row r="21">
      <c r="A21" s="77" t="inlineStr">
        <is>
          <t>30.80.2T.00.05</t>
        </is>
      </c>
      <c r="B21" s="77" t="inlineStr">
        <is>
          <t xml:space="preserve">LIQ-TitProp_9464-N Curso_2025-26 AñoCont_2025 - EXPERTO/A EN ARTE DRAMÁTICO APLICADO _ (CIERRE 25 APLAZADO) </t>
        </is>
      </c>
      <c r="C21" s="98" t="n">
        <v>-806.77</v>
      </c>
    </row>
    <row r="22">
      <c r="A22" s="77" t="inlineStr">
        <is>
          <t>Total</t>
        </is>
      </c>
      <c r="B22" s="77" t="n"/>
      <c r="C22" s="99">
        <f>SUBTOTAL(109,Tabla1[Imp. aplic.])</f>
        <v/>
      </c>
    </row>
    <row r="26">
      <c r="B26" s="58" t="inlineStr">
        <is>
          <t>Total ingresos de formación 2023-25</t>
        </is>
      </c>
      <c r="C26" s="94">
        <f>Tabla1[[#Totals],[Imp. aplic.]]+Tabla5[[#Totals],[Imp.cob.aplic.]]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dfelg@ua.es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2019-07-03T07:15:54Z</dcterms:created>
  <dcterms:modified xsi:type="dcterms:W3CDTF">2026-05-28T21:59:13Z</dcterms:modified>
  <cp:lastModifiedBy>MARIA TERESA PUJALTE DEVIS</cp:lastModifiedBy>
</cp:coreProperties>
</file>