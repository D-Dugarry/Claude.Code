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3" sheetId="6" state="visible" r:id="rId6"/>
    <sheet name="Ingresos formación 2024" sheetId="7" state="visible" r:id="rId7"/>
    <sheet name="Ingresos formación 2025" sheetId="8" state="visible" r:id="rId8"/>
    <sheet name="Correo" sheetId="9" state="veryHidden" r:id="rId9"/>
  </sheets>
  <definedNames>
    <definedName name="_xlnm._FilterDatabase" localSheetId="0" hidden="1">'Tesis'!$A$1:$U$120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0.0"/>
    <numFmt numFmtId="166" formatCode="_-* #,##0.00\ _€_-;\-* #,##0.00\ _€_-;_-* &quot;-&quot;??\ _€_-;_-@_-"/>
  </numFmts>
  <fonts count="17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color theme="1"/>
      <sz val="10"/>
    </font>
  </fonts>
  <fills count="1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2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6" fontId="12" fillId="0" borderId="0"/>
  </cellStyleXfs>
  <cellXfs count="79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 textRotation="90" wrapText="1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0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/>
    </xf>
    <xf numFmtId="0" fontId="2" fillId="2" borderId="0" pivotButton="0" quotePrefix="0" xfId="1"/>
    <xf numFmtId="0" fontId="2" fillId="2" borderId="0" applyAlignment="1" pivotButton="0" quotePrefix="0" xfId="1">
      <alignment horizontal="right"/>
    </xf>
    <xf numFmtId="0" fontId="6" fillId="0" borderId="1" pivotButton="0" quotePrefix="0" xfId="0"/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16" fillId="8" borderId="2" pivotButton="0" quotePrefix="0" xfId="0"/>
    <xf numFmtId="164" fontId="0" fillId="8" borderId="2" pivotButton="0" quotePrefix="0" xfId="6"/>
    <xf numFmtId="0" fontId="16" fillId="0" borderId="2" pivotButton="0" quotePrefix="0" xfId="0"/>
    <xf numFmtId="164" fontId="0" fillId="0" borderId="2" pivotButton="0" quotePrefix="0" xfId="6"/>
    <xf numFmtId="164" fontId="0" fillId="0" borderId="0" pivotButton="0" quotePrefix="0" xfId="0"/>
    <xf numFmtId="0" fontId="0" fillId="9" borderId="0" pivotButton="0" quotePrefix="0" xfId="0"/>
    <xf numFmtId="0" fontId="0" fillId="9" borderId="0" applyAlignment="1" pivotButton="0" quotePrefix="0" xfId="0">
      <alignment horizontal="left"/>
    </xf>
    <xf numFmtId="165" fontId="11" fillId="9" borderId="0" pivotButton="0" quotePrefix="0" xfId="0"/>
    <xf numFmtId="0" fontId="0" fillId="0" borderId="0" pivotButton="0" quotePrefix="0" xfId="0"/>
    <xf numFmtId="0" fontId="15" fillId="7" borderId="4" pivotButton="0" quotePrefix="0" xfId="0"/>
    <xf numFmtId="166" fontId="0" fillId="0" borderId="0" pivotButton="0" quotePrefix="0" xfId="0"/>
    <xf numFmtId="0" fontId="16" fillId="8" borderId="2" applyAlignment="1" pivotButton="0" quotePrefix="0" xfId="0">
      <alignment wrapText="1"/>
    </xf>
    <xf numFmtId="0" fontId="16" fillId="0" borderId="2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6" fontId="0" fillId="0" borderId="0" pivotButton="0" quotePrefix="0" xfId="6"/>
    <xf numFmtId="0" fontId="11" fillId="0" borderId="1" pivotButton="0" quotePrefix="0" xfId="0"/>
    <xf numFmtId="166" fontId="11" fillId="0" borderId="1" pivotButton="0" quotePrefix="0" xfId="6"/>
    <xf numFmtId="0" fontId="16" fillId="0" borderId="5" pivotButton="0" quotePrefix="0" xfId="0"/>
    <xf numFmtId="164" fontId="0" fillId="0" borderId="5" pivotButton="0" quotePrefix="0" xfId="6"/>
    <xf numFmtId="0" fontId="16" fillId="0" borderId="5" applyAlignment="1" pivotButton="0" quotePrefix="0" xfId="0">
      <alignment wrapText="1"/>
    </xf>
    <xf numFmtId="0" fontId="9" fillId="0" borderId="5" pivotButton="0" quotePrefix="0" xfId="0"/>
    <xf numFmtId="0" fontId="9" fillId="0" borderId="5" applyAlignment="1" pivotButton="0" quotePrefix="0" xfId="0">
      <alignment wrapText="1"/>
    </xf>
    <xf numFmtId="164" fontId="12" fillId="0" borderId="5" pivotButton="0" quotePrefix="0" xfId="0"/>
    <xf numFmtId="0" fontId="13" fillId="11" borderId="6" pivotButton="0" quotePrefix="0" xfId="0"/>
    <xf numFmtId="0" fontId="13" fillId="11" borderId="7" pivotButton="0" quotePrefix="0" xfId="0"/>
    <xf numFmtId="0" fontId="9" fillId="10" borderId="6" pivotButton="0" quotePrefix="0" xfId="0"/>
    <xf numFmtId="0" fontId="9" fillId="10" borderId="7" pivotButton="0" quotePrefix="0" xfId="0"/>
    <xf numFmtId="166" fontId="9" fillId="10" borderId="7" pivotButton="0" quotePrefix="0" xfId="6"/>
    <xf numFmtId="0" fontId="9" fillId="0" borderId="6" pivotButton="0" quotePrefix="0" xfId="0"/>
    <xf numFmtId="0" fontId="9" fillId="0" borderId="7" pivotButton="0" quotePrefix="0" xfId="0"/>
    <xf numFmtId="166" fontId="9" fillId="0" borderId="7" pivotButton="0" quotePrefix="0" xfId="6"/>
    <xf numFmtId="0" fontId="14" fillId="0" borderId="8" pivotButton="0" quotePrefix="0" xfId="0"/>
    <xf numFmtId="0" fontId="14" fillId="0" borderId="9" pivotButton="0" quotePrefix="0" xfId="0"/>
    <xf numFmtId="166" fontId="14" fillId="0" borderId="9" pivotButton="0" quotePrefix="0" xfId="6"/>
    <xf numFmtId="166" fontId="13" fillId="11" borderId="7" pivotButton="0" quotePrefix="0" xfId="6"/>
    <xf numFmtId="166" fontId="14" fillId="0" borderId="9" pivotButton="0" quotePrefix="0" xfId="0"/>
    <xf numFmtId="165" fontId="3" fillId="2" borderId="3" applyAlignment="1" pivotButton="0" quotePrefix="0" xfId="1">
      <alignment horizontal="center"/>
    </xf>
    <xf numFmtId="2" fontId="10" fillId="12" borderId="1" applyAlignment="1" pivotButton="0" quotePrefix="0" xfId="0">
      <alignment horizontal="left" vertical="center"/>
    </xf>
    <xf numFmtId="2" fontId="10" fillId="6" borderId="1" applyAlignment="1" pivotButton="0" quotePrefix="0" xfId="0">
      <alignment horizontal="left" vertical="center"/>
    </xf>
    <xf numFmtId="2" fontId="2" fillId="12" borderId="1" applyAlignment="1" pivotButton="0" quotePrefix="0" xfId="0">
      <alignment horizontal="left" vertical="center"/>
    </xf>
    <xf numFmtId="0" fontId="0" fillId="0" borderId="3" pivotButton="0" quotePrefix="0" xfId="0"/>
    <xf numFmtId="166" fontId="0" fillId="0" borderId="0" pivotButton="0" quotePrefix="0" xfId="6"/>
    <xf numFmtId="166" fontId="0" fillId="0" borderId="0" pivotButton="0" quotePrefix="0" xfId="0"/>
    <xf numFmtId="166" fontId="9" fillId="10" borderId="7" pivotButton="0" quotePrefix="0" xfId="6"/>
    <xf numFmtId="166" fontId="9" fillId="0" borderId="7" pivotButton="0" quotePrefix="0" xfId="6"/>
    <xf numFmtId="166" fontId="14" fillId="0" borderId="9" pivotButton="0" quotePrefix="0" xfId="6"/>
    <xf numFmtId="166" fontId="11" fillId="0" borderId="1" pivotButton="0" quotePrefix="0" xfId="6"/>
    <xf numFmtId="164" fontId="0" fillId="8" borderId="2" pivotButton="0" quotePrefix="0" xfId="6"/>
    <xf numFmtId="164" fontId="0" fillId="0" borderId="2" pivotButton="0" quotePrefix="0" xfId="6"/>
    <xf numFmtId="164" fontId="0" fillId="0" borderId="5" pivotButton="0" quotePrefix="0" xfId="6"/>
    <xf numFmtId="164" fontId="12" fillId="0" borderId="5" pivotButton="0" quotePrefix="0" xfId="0"/>
    <xf numFmtId="164" fontId="0" fillId="0" borderId="0" pivotButton="0" quotePrefix="0" xfId="0"/>
    <xf numFmtId="166" fontId="13" fillId="11" borderId="7" pivotButton="0" quotePrefix="0" xfId="6"/>
    <xf numFmtId="166" fontId="14" fillId="0" borderId="9" pivotButton="0" quotePrefix="0" xfId="0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16">
    <dxf>
      <numFmt numFmtId="164" formatCode="_-* #,##0.00\ _€_-;\-* #,##0.00\ _€_-;_-* &quot;-&quot;??\ _€_-;_-@_-"/>
    </dxf>
    <dxf>
      <alignment horizontal="general" vertical="bottom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 wrapText="1"/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alignment horizontal="general" vertical="bottom" wrapText="1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a2" displayName="Tabla2" ref="A1:C43" headerRowCount="1" totalsRowCount="1">
  <autoFilter ref="A1:C42"/>
  <tableColumns count="3">
    <tableColumn id="1" name="Cód. org. aplic." totalsRowLabel="Total"/>
    <tableColumn id="2" name="Descripción justificante" dataDxfId="15" totalsRowDxfId="14"/>
    <tableColumn id="3" name="Imp.cob.aplic." totalsRowFunction="sum" dataCellStyle="Millares" totalsRowCellStyle="Millares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39" headerRowCount="1" totalsRowCount="1">
  <autoFilter ref="A1:C38"/>
  <tableColumns count="3">
    <tableColumn id="1" name="Org. aplic." totalsRowLabel="Total"/>
    <tableColumn id="2" name="Descripción justificante" dataDxfId="13" totalsRowDxfId="12"/>
    <tableColumn id="3" name="Imp. aplic." totalsRowFunction="sum" dataCellStyle="Millares" totalsRowCellStyle="Millares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Tabla5" displayName="Tabla5" ref="A1:C30" headerRowCount="1" totalsRowCount="1" headerRowDxfId="11" headerRowBorderDxfId="10" tableBorderDxfId="9" totalsRowBorderDxfId="8">
  <autoFilter ref="A1:C29"/>
  <tableColumns count="3">
    <tableColumn id="1" name="Cód. org. aplic." totalsRowLabel="Total" dataDxfId="7" totalsRowDxfId="6"/>
    <tableColumn id="2" name="Descripción justificante" dataDxfId="5" totalsRowDxfId="4"/>
    <tableColumn id="3" name="Imp.cob.aplic." totalsRowFunction="sum" dataDxfId="3" totalsRowDxfId="2" dataCellStyle="Millares" totalsRowCellStyle="Milla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4" displayName="Tabla4" ref="A1:C28" headerRowCount="1" totalsRowCount="1">
  <autoFilter ref="A1:C27"/>
  <tableColumns count="3">
    <tableColumn id="1" name="Org. aplic." totalsRowLabel="Total"/>
    <tableColumn id="2" name="Descripción justificante" dataDxfId="1"/>
    <tableColumn id="3" name="Imp. aplic." totalsRowFunction="sum" totalsRowDxfId="0" dataCellStyle="Millar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18"/>
  <sheetViews>
    <sheetView showGridLines="0" tabSelected="1" topLeftCell="A75" zoomScaleNormal="100" workbookViewId="0">
      <selection activeCell="Q136" sqref="Q136"/>
    </sheetView>
  </sheetViews>
  <sheetFormatPr baseColWidth="10" defaultColWidth="10.28515625" defaultRowHeight="11.25"/>
  <cols>
    <col width="5" customWidth="1" style="6" min="1" max="1"/>
    <col width="29.7109375" customWidth="1" style="6" min="2" max="4"/>
    <col width="40.7109375" customWidth="1" style="6" min="5" max="5"/>
    <col width="9.140625" customWidth="1" style="6" min="6" max="6"/>
    <col width="9.7109375" customWidth="1" style="6" min="7" max="7"/>
    <col width="14.42578125" customWidth="1" style="6" min="8" max="8"/>
    <col width="5.85546875" customWidth="1" style="6" min="9" max="9"/>
    <col width="25.7109375" customWidth="1" style="6" min="10" max="10"/>
    <col width="5.140625" customWidth="1" style="6" min="11" max="12"/>
    <col width="5.28515625" customWidth="1" style="7" min="13" max="13"/>
    <col width="4.85546875" customWidth="1" style="6" min="14" max="14"/>
    <col width="5.28515625" customWidth="1" style="7" min="15" max="15"/>
    <col width="4.85546875" customWidth="1" style="6" min="16" max="16"/>
    <col width="3.5703125" customWidth="1" style="7" min="17" max="17"/>
    <col width="3.5703125" customWidth="1" style="6" min="18" max="18"/>
    <col width="5.140625" customWidth="1" style="6" min="19" max="21"/>
    <col width="10.28515625" customWidth="1" style="6" min="22" max="16384"/>
  </cols>
  <sheetData>
    <row r="1" ht="45" customHeight="1" s="33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18" t="inlineStr">
        <is>
          <t xml:space="preserve">U020 </t>
        </is>
      </c>
      <c r="B2" s="18" t="inlineStr">
        <is>
          <t xml:space="preserve">ADM. I.U. DEL AGUA Y DE LAS CIENCIAS AMBIENTALES </t>
        </is>
      </c>
      <c r="C2" s="18" t="inlineStr">
        <is>
          <t xml:space="preserve">DOCTORADO EN AGUA Y DESARROLLO SOSTENIBLE </t>
        </is>
      </c>
      <c r="D2" s="18" t="inlineStr">
        <is>
          <t xml:space="preserve">Jódar Abellán, Antonio </t>
        </is>
      </c>
      <c r="E2" s="18" t="inlineStr">
        <is>
          <t xml:space="preserve">Hydrological impacts of global change. Adaptation alternatives in complex water systems with water resources scarcity and severe natural risks (southeast of Spain) </t>
        </is>
      </c>
      <c r="F2" s="18" t="inlineStr">
        <is>
          <t xml:space="preserve">09/07/2021 </t>
        </is>
      </c>
      <c r="G2" s="18" t="inlineStr">
        <is>
          <t xml:space="preserve">- </t>
        </is>
      </c>
      <c r="H2" s="18" t="inlineStr">
        <is>
          <t xml:space="preserve">Codirector de tesis </t>
        </is>
      </c>
      <c r="I2" s="18" t="inlineStr">
        <is>
          <t xml:space="preserve">U020 </t>
        </is>
      </c>
      <c r="J2" s="18" t="inlineStr">
        <is>
          <t xml:space="preserve">ADM. I.U. DEL AGUA Y DE LAS CIENCIAS AMBIENTALES </t>
        </is>
      </c>
      <c r="K2" s="18" t="n">
        <v>0.3333333333333333</v>
      </c>
      <c r="L2" s="18" t="inlineStr">
        <is>
          <t>10.05</t>
        </is>
      </c>
      <c r="M2" s="18" t="n">
        <v>2020</v>
      </c>
      <c r="N2" s="18" t="inlineStr"/>
      <c r="O2" s="18" t="inlineStr"/>
      <c r="P2" s="18" t="inlineStr"/>
      <c r="Q2" s="18" t="inlineStr"/>
      <c r="R2" s="18" t="n">
        <v>100</v>
      </c>
      <c r="S2" s="62" t="n">
        <v>0.3333333333333333</v>
      </c>
      <c r="T2" s="63" t="n">
        <v>0</v>
      </c>
      <c r="U2" s="63" t="n">
        <v>0</v>
      </c>
    </row>
    <row r="3">
      <c r="A3" s="18" t="inlineStr">
        <is>
          <t xml:space="preserve">U020 </t>
        </is>
      </c>
      <c r="B3" s="18" t="inlineStr">
        <is>
          <t xml:space="preserve">ADM. I.U. DEL AGUA Y DE LAS CIENCIAS AMBIENTALES </t>
        </is>
      </c>
      <c r="C3" s="18" t="inlineStr">
        <is>
          <t xml:space="preserve">DOCTORADO EN AGUA Y DESARROLLO SOSTENIBLE </t>
        </is>
      </c>
      <c r="D3" s="18" t="inlineStr">
        <is>
          <t xml:space="preserve">Ribeiro Freyesleben, Luiz Eduardo </t>
        </is>
      </c>
      <c r="E3" s="18" t="inlineStr">
        <is>
          <t xml:space="preserve">O RENASCIMENTO DO ULTRANACIONALISMO COMO AMEAÇA À CONSTRUÇÃO DE UMA GOVERNANÇA GLOBAL AMBIENTAL </t>
        </is>
      </c>
      <c r="F3" s="18" t="inlineStr">
        <is>
          <t xml:space="preserve">13/05/2021 </t>
        </is>
      </c>
      <c r="G3" s="18" t="inlineStr">
        <is>
          <t xml:space="preserve">- </t>
        </is>
      </c>
      <c r="H3" s="18" t="inlineStr">
        <is>
          <t xml:space="preserve">Codirector de tesis </t>
        </is>
      </c>
      <c r="I3" s="18" t="inlineStr">
        <is>
          <t xml:space="preserve">U020 </t>
        </is>
      </c>
      <c r="J3" s="18" t="inlineStr">
        <is>
          <t xml:space="preserve">ADM. I.U. DEL AGUA Y DE LAS CIENCIAS AMBIENTALES </t>
        </is>
      </c>
      <c r="K3" s="18" t="n">
        <v>0.5</v>
      </c>
      <c r="L3" s="18" t="inlineStr">
        <is>
          <t>10.05</t>
        </is>
      </c>
      <c r="M3" s="18" t="n">
        <v>2020</v>
      </c>
      <c r="N3" s="18" t="inlineStr"/>
      <c r="O3" s="18" t="inlineStr"/>
      <c r="P3" s="18" t="inlineStr"/>
      <c r="Q3" s="18" t="inlineStr"/>
      <c r="R3" s="18" t="n">
        <v>100</v>
      </c>
      <c r="S3" s="62" t="n">
        <v>0.5</v>
      </c>
      <c r="T3" s="63" t="n">
        <v>0</v>
      </c>
      <c r="U3" s="63" t="n">
        <v>0</v>
      </c>
    </row>
    <row r="4">
      <c r="A4" s="18" t="inlineStr">
        <is>
          <t xml:space="preserve">U020 </t>
        </is>
      </c>
      <c r="B4" s="18" t="inlineStr">
        <is>
          <t xml:space="preserve">ADM. I.U. DEL AGUA Y DE LAS CIENCIAS AMBIENTALES </t>
        </is>
      </c>
      <c r="C4" s="18" t="inlineStr">
        <is>
          <t xml:space="preserve">DOCTORADO EN AGUA Y DESARROLLO SOSTENIBLE </t>
        </is>
      </c>
      <c r="D4" s="18" t="inlineStr">
        <is>
          <t xml:space="preserve">Mendonça Neto, Wilson Paulo </t>
        </is>
      </c>
      <c r="E4" s="18" t="inlineStr">
        <is>
          <t xml:space="preserve">STANDARD PROBATÓRIO NA CRIMINALIDADE ORGANIZADA TRANSNACIONAL SOB O VIÉS DA SUSTENTABILIDADE </t>
        </is>
      </c>
      <c r="F4" s="18" t="inlineStr">
        <is>
          <t xml:space="preserve">06/05/2021 </t>
        </is>
      </c>
      <c r="G4" s="18" t="inlineStr">
        <is>
          <t xml:space="preserve">36481448V </t>
        </is>
      </c>
      <c r="H4" s="18" t="inlineStr">
        <is>
          <t xml:space="preserve">Codirector de tesis </t>
        </is>
      </c>
      <c r="I4" s="18" t="inlineStr">
        <is>
          <t xml:space="preserve">U020 </t>
        </is>
      </c>
      <c r="J4" s="18" t="inlineStr">
        <is>
          <t xml:space="preserve">ADM. I.U. DEL AGUA Y DE LAS CIENCIAS AMBIENTALES </t>
        </is>
      </c>
      <c r="K4" s="18" t="n">
        <v>0.5</v>
      </c>
      <c r="L4" s="18" t="inlineStr">
        <is>
          <t>10.05</t>
        </is>
      </c>
      <c r="M4" s="18" t="n">
        <v>2020</v>
      </c>
      <c r="N4" s="18" t="inlineStr"/>
      <c r="O4" s="18" t="inlineStr"/>
      <c r="P4" s="18" t="inlineStr"/>
      <c r="Q4" s="18" t="inlineStr"/>
      <c r="R4" s="18" t="n">
        <v>100</v>
      </c>
      <c r="S4" s="62" t="n">
        <v>0.5</v>
      </c>
      <c r="T4" s="63" t="n">
        <v>0</v>
      </c>
      <c r="U4" s="63" t="n">
        <v>0</v>
      </c>
    </row>
    <row r="5">
      <c r="A5" s="18" t="inlineStr">
        <is>
          <t xml:space="preserve">U020 </t>
        </is>
      </c>
      <c r="B5" s="18" t="inlineStr">
        <is>
          <t xml:space="preserve">ADM. I.U. DEL AGUA Y DE LAS CIENCIAS AMBIENTALES </t>
        </is>
      </c>
      <c r="C5" s="18" t="inlineStr">
        <is>
          <t xml:space="preserve">DOCTORADO EN AGUA Y DESARROLLO SOSTENIBLE </t>
        </is>
      </c>
      <c r="D5" s="18" t="inlineStr">
        <is>
          <t xml:space="preserve">Mendonça Neto, Wilson Paulo </t>
        </is>
      </c>
      <c r="E5" s="18" t="inlineStr">
        <is>
          <t xml:space="preserve">STANDARD PROBATÓRIO NA CRIMINALIDADE ORGANIZADA TRANSNACIONAL SOB O VIÉS DA SUSTENTABILIDADE </t>
        </is>
      </c>
      <c r="F5" s="18" t="inlineStr">
        <is>
          <t xml:space="preserve">06/05/2021 </t>
        </is>
      </c>
      <c r="G5" s="18" t="inlineStr">
        <is>
          <t xml:space="preserve">- </t>
        </is>
      </c>
      <c r="H5" s="18" t="inlineStr">
        <is>
          <t xml:space="preserve">Codirector de tesis </t>
        </is>
      </c>
      <c r="I5" s="18" t="inlineStr">
        <is>
          <t xml:space="preserve">U020 </t>
        </is>
      </c>
      <c r="J5" s="18" t="inlineStr">
        <is>
          <t xml:space="preserve">ADM. I.U. DEL AGUA Y DE LAS CIENCIAS AMBIENTALES </t>
        </is>
      </c>
      <c r="K5" s="18" t="n">
        <v>0.5</v>
      </c>
      <c r="L5" s="18" t="inlineStr">
        <is>
          <t>10.05</t>
        </is>
      </c>
      <c r="M5" s="18" t="n">
        <v>2020</v>
      </c>
      <c r="N5" s="18" t="inlineStr"/>
      <c r="O5" s="18" t="inlineStr"/>
      <c r="P5" s="18" t="inlineStr"/>
      <c r="Q5" s="18" t="inlineStr"/>
      <c r="R5" s="18" t="n">
        <v>100</v>
      </c>
      <c r="S5" s="62" t="n">
        <v>0.5</v>
      </c>
      <c r="T5" s="63" t="n">
        <v>0</v>
      </c>
      <c r="U5" s="63" t="n">
        <v>0</v>
      </c>
    </row>
    <row r="6">
      <c r="A6" s="18" t="inlineStr">
        <is>
          <t xml:space="preserve">U020 </t>
        </is>
      </c>
      <c r="B6" s="18" t="inlineStr">
        <is>
          <t xml:space="preserve">ADM. I.U. DEL AGUA Y DE LAS CIENCIAS AMBIENTALES </t>
        </is>
      </c>
      <c r="C6" s="18" t="inlineStr">
        <is>
          <t xml:space="preserve">DOCTORADO EN AGUA Y DESARROLLO SOSTENIBLE </t>
        </is>
      </c>
      <c r="D6" s="18" t="inlineStr">
        <is>
          <t xml:space="preserve">Franco , Silvio José </t>
        </is>
      </c>
      <c r="E6" s="18" t="inlineStr">
        <is>
          <t xml:space="preserve">SOCIEDADE DE RISCO E JUDICIÁRIO: A ATUAÇÃO DO JUIZ COMO UM LOCUS PARA A EFETIVAÇÃO DE UM ESTADO DE DIREITO SUSTENTÁVEL </t>
        </is>
      </c>
      <c r="F6" s="18" t="inlineStr">
        <is>
          <t xml:space="preserve">14/05/2021 </t>
        </is>
      </c>
      <c r="G6" s="18" t="inlineStr">
        <is>
          <t xml:space="preserve">36481448V </t>
        </is>
      </c>
      <c r="H6" s="18" t="inlineStr">
        <is>
          <t xml:space="preserve">Codirector de tesis </t>
        </is>
      </c>
      <c r="I6" s="18" t="inlineStr">
        <is>
          <t xml:space="preserve">U020 </t>
        </is>
      </c>
      <c r="J6" s="18" t="inlineStr">
        <is>
          <t xml:space="preserve">ADM. I.U. DEL AGUA Y DE LAS CIENCIAS AMBIENTALES </t>
        </is>
      </c>
      <c r="K6" s="18" t="n">
        <v>0.5</v>
      </c>
      <c r="L6" s="18" t="inlineStr">
        <is>
          <t>10.05</t>
        </is>
      </c>
      <c r="M6" s="18" t="n">
        <v>2020</v>
      </c>
      <c r="N6" s="18" t="inlineStr"/>
      <c r="O6" s="18" t="inlineStr"/>
      <c r="P6" s="18" t="inlineStr"/>
      <c r="Q6" s="18" t="inlineStr"/>
      <c r="R6" s="18" t="n">
        <v>100</v>
      </c>
      <c r="S6" s="62" t="n">
        <v>0.5</v>
      </c>
      <c r="T6" s="63" t="n">
        <v>0</v>
      </c>
      <c r="U6" s="63" t="n">
        <v>0</v>
      </c>
    </row>
    <row r="7">
      <c r="A7" s="18" t="inlineStr">
        <is>
          <t xml:space="preserve">U020 </t>
        </is>
      </c>
      <c r="B7" s="18" t="inlineStr">
        <is>
          <t xml:space="preserve">ADM. I.U. DEL AGUA Y DE LAS CIENCIAS AMBIENTALES </t>
        </is>
      </c>
      <c r="C7" s="18" t="inlineStr">
        <is>
          <t xml:space="preserve">DOCTORADO EN AGUA Y DESARROLLO SOSTENIBLE </t>
        </is>
      </c>
      <c r="D7" s="18" t="inlineStr">
        <is>
          <t xml:space="preserve">Franco , Silvio José </t>
        </is>
      </c>
      <c r="E7" s="18" t="inlineStr">
        <is>
          <t xml:space="preserve">SOCIEDADE DE RISCO E JUDICIÁRIO: A ATUAÇÃO DO JUIZ COMO UM LOCUS PARA A EFETIVAÇÃO DE UM ESTADO DE DIREITO SUSTENTÁVEL </t>
        </is>
      </c>
      <c r="F7" s="18" t="inlineStr">
        <is>
          <t xml:space="preserve">14/05/2021 </t>
        </is>
      </c>
      <c r="G7" s="18" t="inlineStr">
        <is>
          <t xml:space="preserve">- </t>
        </is>
      </c>
      <c r="H7" s="18" t="inlineStr">
        <is>
          <t xml:space="preserve">Codirector de tesis </t>
        </is>
      </c>
      <c r="I7" s="18" t="inlineStr">
        <is>
          <t xml:space="preserve">U020 </t>
        </is>
      </c>
      <c r="J7" s="18" t="inlineStr">
        <is>
          <t xml:space="preserve">ADM. I.U. DEL AGUA Y DE LAS CIENCIAS AMBIENTALES </t>
        </is>
      </c>
      <c r="K7" s="18" t="n">
        <v>0.5</v>
      </c>
      <c r="L7" s="18" t="inlineStr">
        <is>
          <t>10.05</t>
        </is>
      </c>
      <c r="M7" s="18" t="n">
        <v>2020</v>
      </c>
      <c r="N7" s="18" t="inlineStr"/>
      <c r="O7" s="18" t="inlineStr"/>
      <c r="P7" s="18" t="inlineStr"/>
      <c r="Q7" s="18" t="inlineStr"/>
      <c r="R7" s="18" t="n">
        <v>100</v>
      </c>
      <c r="S7" s="62" t="n">
        <v>0.5</v>
      </c>
      <c r="T7" s="63" t="n">
        <v>0</v>
      </c>
      <c r="U7" s="63" t="n">
        <v>0</v>
      </c>
    </row>
    <row r="8">
      <c r="A8" s="18" t="inlineStr">
        <is>
          <t xml:space="preserve">U020 </t>
        </is>
      </c>
      <c r="B8" s="18" t="inlineStr">
        <is>
          <t xml:space="preserve">ADM. I.U. DEL AGUA Y DE LAS CIENCIAS AMBIENTALES </t>
        </is>
      </c>
      <c r="C8" s="18" t="inlineStr">
        <is>
          <t xml:space="preserve">DOCTORADO EN AGUA Y DESARROLLO SOSTENIBLE </t>
        </is>
      </c>
      <c r="D8" s="18" t="inlineStr">
        <is>
          <t xml:space="preserve">Dexheimer , Marcus Alexsander </t>
        </is>
      </c>
      <c r="E8" s="18" t="inlineStr">
        <is>
          <t xml:space="preserve">DANO MULTICAUSAL: INCERTEZA E PROVA NA RESPONSABILIDADE AMBIENTAL </t>
        </is>
      </c>
      <c r="F8" s="18" t="inlineStr">
        <is>
          <t xml:space="preserve">13/05/2021 </t>
        </is>
      </c>
      <c r="G8" s="18" t="inlineStr">
        <is>
          <t xml:space="preserve">- </t>
        </is>
      </c>
      <c r="H8" s="18" t="inlineStr">
        <is>
          <t xml:space="preserve">Codirector de tesis </t>
        </is>
      </c>
      <c r="I8" s="18" t="inlineStr">
        <is>
          <t xml:space="preserve">U020 </t>
        </is>
      </c>
      <c r="J8" s="18" t="inlineStr">
        <is>
          <t xml:space="preserve">ADM. I.U. DEL AGUA Y DE LAS CIENCIAS AMBIENTALES </t>
        </is>
      </c>
      <c r="K8" s="18" t="n">
        <v>1</v>
      </c>
      <c r="L8" s="18" t="inlineStr">
        <is>
          <t>10.05</t>
        </is>
      </c>
      <c r="M8" s="18" t="n">
        <v>2020</v>
      </c>
      <c r="N8" s="18" t="inlineStr"/>
      <c r="O8" s="18" t="inlineStr"/>
      <c r="P8" s="18" t="inlineStr"/>
      <c r="Q8" s="18" t="inlineStr"/>
      <c r="R8" s="18" t="n">
        <v>100</v>
      </c>
      <c r="S8" s="62" t="n">
        <v>1</v>
      </c>
      <c r="T8" s="63" t="n">
        <v>0</v>
      </c>
      <c r="U8" s="63" t="n">
        <v>0</v>
      </c>
    </row>
    <row r="9">
      <c r="A9" s="18" t="inlineStr">
        <is>
          <t xml:space="preserve">U020 </t>
        </is>
      </c>
      <c r="B9" s="18" t="inlineStr">
        <is>
          <t xml:space="preserve">ADM. I.U. DEL AGUA Y DE LAS CIENCIAS AMBIENTALES </t>
        </is>
      </c>
      <c r="C9" s="18" t="inlineStr">
        <is>
          <t xml:space="preserve">DOCTORADO EN AGUA Y DESARROLLO SOSTENIBLE </t>
        </is>
      </c>
      <c r="D9" s="18" t="inlineStr">
        <is>
          <t xml:space="preserve">Cansi , Francine </t>
        </is>
      </c>
      <c r="E9" s="18" t="inlineStr">
        <is>
          <t xml:space="preserve">ÁGUA, ECONOMIA CIRCULAR E SUSTENTABILIDADE: ELEMENTOS TEÓRICOS PARA UM ORDENAMENTO JURÍDICO TRANSNACIONAL </t>
        </is>
      </c>
      <c r="F9" s="18" t="inlineStr">
        <is>
          <t xml:space="preserve">02/09/2021 </t>
        </is>
      </c>
      <c r="G9" s="18" t="inlineStr">
        <is>
          <t xml:space="preserve">- </t>
        </is>
      </c>
      <c r="H9" s="18" t="inlineStr">
        <is>
          <t xml:space="preserve">Codirector de tesis </t>
        </is>
      </c>
      <c r="I9" s="18" t="inlineStr">
        <is>
          <t xml:space="preserve">U020 </t>
        </is>
      </c>
      <c r="J9" s="18" t="inlineStr">
        <is>
          <t xml:space="preserve">ADM. I.U. DEL AGUA Y DE LAS CIENCIAS AMBIENTALES </t>
        </is>
      </c>
      <c r="K9" s="18" t="n">
        <v>0.5</v>
      </c>
      <c r="L9" s="18" t="inlineStr">
        <is>
          <t>10.05</t>
        </is>
      </c>
      <c r="M9" s="18" t="n">
        <v>2020</v>
      </c>
      <c r="N9" s="18" t="inlineStr"/>
      <c r="O9" s="18" t="inlineStr"/>
      <c r="P9" s="18" t="inlineStr"/>
      <c r="Q9" s="18" t="inlineStr"/>
      <c r="R9" s="18" t="n">
        <v>100</v>
      </c>
      <c r="S9" s="62" t="n">
        <v>0.5</v>
      </c>
      <c r="T9" s="63" t="n">
        <v>0</v>
      </c>
      <c r="U9" s="63" t="n">
        <v>0</v>
      </c>
    </row>
    <row r="10">
      <c r="A10" s="18" t="inlineStr">
        <is>
          <t xml:space="preserve">U020 </t>
        </is>
      </c>
      <c r="B10" s="18" t="inlineStr">
        <is>
          <t xml:space="preserve">ADM. I.U. DEL AGUA Y DE LAS CIENCIAS AMBIENTALES </t>
        </is>
      </c>
      <c r="C10" s="18" t="inlineStr">
        <is>
          <t xml:space="preserve">DOCTORADO EN AGUA Y DESARROLLO SOSTENIBLE </t>
        </is>
      </c>
      <c r="D10" s="18" t="inlineStr">
        <is>
          <t xml:space="preserve">Maas dos Anjos, Rafael </t>
        </is>
      </c>
      <c r="E10" s="18" t="inlineStr">
        <is>
          <t xml:space="preserve">ECONOMIA CIRCULAR NA PÓS-MODERNIDADE: GESTÃO SUSTENTÁVEL E RESPONSÁVEL DOS RESÍDUOS SÓLIDOS PÓS-CONSUMO EM TEMPOS DE OBSOLESCÊNCIA PLANEJADA </t>
        </is>
      </c>
      <c r="F10" s="18" t="inlineStr">
        <is>
          <t xml:space="preserve">14/05/2021 </t>
        </is>
      </c>
      <c r="G10" s="18" t="inlineStr">
        <is>
          <t xml:space="preserve">- </t>
        </is>
      </c>
      <c r="H10" s="18" t="inlineStr">
        <is>
          <t xml:space="preserve">Codirector de tesis </t>
        </is>
      </c>
      <c r="I10" s="18" t="inlineStr">
        <is>
          <t xml:space="preserve">U020 </t>
        </is>
      </c>
      <c r="J10" s="18" t="inlineStr">
        <is>
          <t xml:space="preserve">ADM. I.U. DEL AGUA Y DE LAS CIENCIAS AMBIENTALES </t>
        </is>
      </c>
      <c r="K10" s="18" t="n">
        <v>0.5</v>
      </c>
      <c r="L10" s="18" t="inlineStr">
        <is>
          <t>10.05</t>
        </is>
      </c>
      <c r="M10" s="18" t="n">
        <v>2020</v>
      </c>
      <c r="N10" s="18" t="inlineStr"/>
      <c r="O10" s="18" t="inlineStr"/>
      <c r="P10" s="18" t="inlineStr"/>
      <c r="Q10" s="18" t="inlineStr"/>
      <c r="R10" s="18" t="n">
        <v>100</v>
      </c>
      <c r="S10" s="62" t="n">
        <v>0.5</v>
      </c>
      <c r="T10" s="63" t="n">
        <v>0</v>
      </c>
      <c r="U10" s="63" t="n">
        <v>0</v>
      </c>
    </row>
    <row r="11">
      <c r="A11" s="18" t="inlineStr">
        <is>
          <t xml:space="preserve">U020 </t>
        </is>
      </c>
      <c r="B11" s="18" t="inlineStr">
        <is>
          <t xml:space="preserve">ADM. I.U. DEL AGUA Y DE LAS CIENCIAS AMBIENTALES </t>
        </is>
      </c>
      <c r="C11" s="18" t="inlineStr">
        <is>
          <t xml:space="preserve">DOCTORADO EN AGUA Y DESARROLLO SOSTENIBLE </t>
        </is>
      </c>
      <c r="D11" s="18" t="inlineStr">
        <is>
          <t xml:space="preserve">Pisano Motta Gemignani, Viviane </t>
        </is>
      </c>
      <c r="E11" s="18" t="inlineStr">
        <is>
          <t xml:space="preserve">MAPAS CAUSAIS COLABORATIVOS COMO FERRAMENTA DA AVALIAÇÃO DE IMPACTO SOCIAL EM TERRITÓRIOS DE MINERAÇÃO: contribuições para a gestão dos impactos sociais </t>
        </is>
      </c>
      <c r="F11" s="18" t="inlineStr">
        <is>
          <t xml:space="preserve">06/09/2022 </t>
        </is>
      </c>
      <c r="G11" s="18" t="inlineStr">
        <is>
          <t xml:space="preserve">- </t>
        </is>
      </c>
      <c r="H11" s="18" t="inlineStr">
        <is>
          <t xml:space="preserve">Codirector de tesis </t>
        </is>
      </c>
      <c r="I11" s="18" t="inlineStr">
        <is>
          <t xml:space="preserve">U020 </t>
        </is>
      </c>
      <c r="J11" s="18" t="inlineStr">
        <is>
          <t xml:space="preserve">ADM. I.U. DEL AGUA Y DE LAS CIENCIAS AMBIENTALES </t>
        </is>
      </c>
      <c r="K11" s="18" t="n">
        <v>0.5</v>
      </c>
      <c r="L11" s="18" t="inlineStr">
        <is>
          <t>10.05</t>
        </is>
      </c>
      <c r="M11" s="18" t="n">
        <v>2021</v>
      </c>
      <c r="N11" s="18" t="inlineStr"/>
      <c r="O11" s="18" t="inlineStr"/>
      <c r="P11" s="18" t="inlineStr"/>
      <c r="Q11" s="18" t="inlineStr"/>
      <c r="R11" s="18" t="n">
        <v>100</v>
      </c>
      <c r="S11" s="62" t="n">
        <v>0.5</v>
      </c>
      <c r="T11" s="63" t="n">
        <v>0</v>
      </c>
      <c r="U11" s="63" t="n">
        <v>0</v>
      </c>
    </row>
    <row r="12">
      <c r="A12" s="18" t="inlineStr">
        <is>
          <t xml:space="preserve">U020 </t>
        </is>
      </c>
      <c r="B12" s="18" t="inlineStr">
        <is>
          <t xml:space="preserve">I.U. DEL AGUA Y DE LAS CIENCIAS AMBIENTALES (10.05) </t>
        </is>
      </c>
      <c r="C12" s="18" t="inlineStr">
        <is>
          <t xml:space="preserve">DOCTORADO EN AGUA Y DESARROLLO SOSTENIBLE </t>
        </is>
      </c>
      <c r="D12" s="18" t="inlineStr">
        <is>
          <t xml:space="preserve">Brasil Soldati Bortolon , Manoelle </t>
        </is>
      </c>
      <c r="E12" s="18" t="inlineStr">
        <is>
          <t xml:space="preserve">Nova abordagem jurídica para as águas subterrâneas e aquíferos no ordenamento jurídico brasileiro: uma proposta qualificada. </t>
        </is>
      </c>
      <c r="F12" s="18" t="inlineStr">
        <is>
          <t xml:space="preserve">22/09/2022 </t>
        </is>
      </c>
      <c r="G12" s="18" t="inlineStr">
        <is>
          <t xml:space="preserve">- </t>
        </is>
      </c>
      <c r="H12" s="18" t="inlineStr">
        <is>
          <t xml:space="preserve">Codirector de tesis </t>
        </is>
      </c>
      <c r="I12" s="18" t="inlineStr">
        <is>
          <t xml:space="preserve">U020 </t>
        </is>
      </c>
      <c r="J12" s="18" t="inlineStr">
        <is>
          <t xml:space="preserve">I.U. DEL AGUA Y DE LAS CIENCIAS AMBIENTALES (10.05) </t>
        </is>
      </c>
      <c r="K12" s="18" t="n">
        <v>0.5</v>
      </c>
      <c r="L12" s="18" t="inlineStr">
        <is>
          <t>10.05</t>
        </is>
      </c>
      <c r="M12" s="18" t="n">
        <v>2021</v>
      </c>
      <c r="N12" s="18" t="inlineStr"/>
      <c r="O12" s="18" t="inlineStr"/>
      <c r="P12" s="18" t="inlineStr"/>
      <c r="Q12" s="18" t="inlineStr"/>
      <c r="R12" s="18" t="n">
        <v>100</v>
      </c>
      <c r="S12" s="62" t="n">
        <v>0.5</v>
      </c>
      <c r="T12" s="63" t="n">
        <v>0</v>
      </c>
      <c r="U12" s="63" t="n">
        <v>0</v>
      </c>
    </row>
    <row r="13">
      <c r="A13" s="18" t="inlineStr">
        <is>
          <t xml:space="preserve">U020 </t>
        </is>
      </c>
      <c r="B13" s="18" t="inlineStr">
        <is>
          <t xml:space="preserve">I.U. DEL AGUA Y DE LAS CIENCIAS AMBIENTALES (10.05) </t>
        </is>
      </c>
      <c r="C13" s="18" t="inlineStr">
        <is>
          <t xml:space="preserve">DOCTORADO EN AGUA Y DESARROLLO SOSTENIBLE </t>
        </is>
      </c>
      <c r="D13" s="18" t="inlineStr">
        <is>
          <t xml:space="preserve">Siegert Schuch, Luiz Felipe </t>
        </is>
      </c>
      <c r="E13" s="18" t="inlineStr">
        <is>
          <t xml:space="preserve">A possibilidade de harmonizaçao dos sistemas jurídicos no plano do meio ambiente e da sustentabilidade pela via do transcontitucionalismo e transjusfundamentalidade. </t>
        </is>
      </c>
      <c r="F13" s="18" t="inlineStr">
        <is>
          <t xml:space="preserve">28/09/2022 </t>
        </is>
      </c>
      <c r="G13" s="18" t="inlineStr">
        <is>
          <t xml:space="preserve">36477948V </t>
        </is>
      </c>
      <c r="H13" s="18" t="inlineStr">
        <is>
          <t xml:space="preserve">Codirector de tesis </t>
        </is>
      </c>
      <c r="I13" s="18" t="inlineStr">
        <is>
          <t xml:space="preserve">U020 </t>
        </is>
      </c>
      <c r="J13" s="18" t="inlineStr">
        <is>
          <t xml:space="preserve">I.U. DEL AGUA Y DE LAS CIENCIAS AMBIENTALES (10.05) </t>
        </is>
      </c>
      <c r="K13" s="18" t="n">
        <v>0.5</v>
      </c>
      <c r="L13" s="18" t="inlineStr">
        <is>
          <t>10.05</t>
        </is>
      </c>
      <c r="M13" s="18" t="n">
        <v>2021</v>
      </c>
      <c r="N13" s="18" t="inlineStr"/>
      <c r="O13" s="18" t="inlineStr"/>
      <c r="P13" s="18" t="inlineStr"/>
      <c r="Q13" s="18" t="inlineStr"/>
      <c r="R13" s="18" t="n">
        <v>100</v>
      </c>
      <c r="S13" s="62" t="n">
        <v>0.5</v>
      </c>
      <c r="T13" s="63" t="n">
        <v>0</v>
      </c>
      <c r="U13" s="63" t="n">
        <v>0</v>
      </c>
    </row>
    <row r="14">
      <c r="A14" s="18" t="inlineStr">
        <is>
          <t xml:space="preserve">U020 </t>
        </is>
      </c>
      <c r="B14" s="18" t="inlineStr">
        <is>
          <t xml:space="preserve">I.U. DEL AGUA Y DE LAS CIENCIAS AMBIENTALES (10.05) </t>
        </is>
      </c>
      <c r="C14" s="18" t="inlineStr">
        <is>
          <t xml:space="preserve">DOCTORADO EN AGUA Y DESARROLLO SOSTENIBLE </t>
        </is>
      </c>
      <c r="D14" s="18" t="inlineStr">
        <is>
          <t xml:space="preserve">Siegert Schuch, Luiz Felipe </t>
        </is>
      </c>
      <c r="E14" s="18" t="inlineStr">
        <is>
          <t xml:space="preserve">A possibilidade de harmonizaçao dos sistemas jurídicos no plano do meio ambiente e da sustentabilidade pela via do transcontitucionalismo e transjusfundamentalidade. </t>
        </is>
      </c>
      <c r="F14" s="18" t="inlineStr">
        <is>
          <t xml:space="preserve">28/09/2022 </t>
        </is>
      </c>
      <c r="G14" s="18" t="inlineStr">
        <is>
          <t xml:space="preserve">- </t>
        </is>
      </c>
      <c r="H14" s="18" t="inlineStr">
        <is>
          <t xml:space="preserve">Codirector de tesis </t>
        </is>
      </c>
      <c r="I14" s="18" t="inlineStr">
        <is>
          <t xml:space="preserve">U020 </t>
        </is>
      </c>
      <c r="J14" s="18" t="inlineStr">
        <is>
          <t xml:space="preserve">I.U. DEL AGUA Y DE LAS CIENCIAS AMBIENTALES (10.05) </t>
        </is>
      </c>
      <c r="K14" s="18" t="n">
        <v>0.5</v>
      </c>
      <c r="L14" s="18" t="inlineStr">
        <is>
          <t>10.05</t>
        </is>
      </c>
      <c r="M14" s="18" t="n">
        <v>2021</v>
      </c>
      <c r="N14" s="18" t="inlineStr"/>
      <c r="O14" s="18" t="inlineStr"/>
      <c r="P14" s="18" t="inlineStr"/>
      <c r="Q14" s="18" t="inlineStr"/>
      <c r="R14" s="18" t="n">
        <v>100</v>
      </c>
      <c r="S14" s="62" t="n">
        <v>0.5</v>
      </c>
      <c r="T14" s="63" t="n">
        <v>0</v>
      </c>
      <c r="U14" s="63" t="n">
        <v>0</v>
      </c>
    </row>
    <row r="15">
      <c r="A15" s="18" t="inlineStr">
        <is>
          <t xml:space="preserve">U020 </t>
        </is>
      </c>
      <c r="B15" s="18" t="inlineStr">
        <is>
          <t xml:space="preserve">I.U. DEL AGUA Y DE LAS CIENCIAS AMBIENTALES (10.05) </t>
        </is>
      </c>
      <c r="C15" s="18" t="inlineStr">
        <is>
          <t xml:space="preserve">DOCTORADO EN AGUA Y DESARROLLO SOSTENIBLE </t>
        </is>
      </c>
      <c r="D15" s="18" t="inlineStr">
        <is>
          <t>Palacios Cabrera, Teresa Alejandra</t>
        </is>
      </c>
      <c r="E15" s="18" t="inlineStr">
        <is>
          <t xml:space="preserve">El abandono de las zonas agrícolas tradicionales y su impacto en la respuesta hidrológica de una cuenca mediterránea bajo condiciones climáticas semiáridas. Caso de estudio de la cuenca vertiente al embalse del río Guadalest, sur este de España. </t>
        </is>
      </c>
      <c r="F15" s="18" t="inlineStr">
        <is>
          <t xml:space="preserve">24/11/2022 </t>
        </is>
      </c>
      <c r="G15" s="18" t="inlineStr">
        <is>
          <t xml:space="preserve">48660897G </t>
        </is>
      </c>
      <c r="H15" s="18" t="inlineStr">
        <is>
          <t xml:space="preserve">Codirector de tesis </t>
        </is>
      </c>
      <c r="I15" s="18" t="inlineStr">
        <is>
          <t xml:space="preserve">U020 </t>
        </is>
      </c>
      <c r="J15" s="18" t="inlineStr">
        <is>
          <t xml:space="preserve">I.U. DEL AGUA Y DE LAS CIENCIAS AMBIENTALES (10.05) </t>
        </is>
      </c>
      <c r="K15" s="18" t="n">
        <v>0.5</v>
      </c>
      <c r="L15" s="18" t="inlineStr">
        <is>
          <t>10.05</t>
        </is>
      </c>
      <c r="M15" s="18" t="n">
        <v>2022</v>
      </c>
      <c r="N15" s="18" t="inlineStr"/>
      <c r="O15" s="18" t="inlineStr"/>
      <c r="P15" s="18" t="inlineStr"/>
      <c r="Q15" s="18" t="inlineStr"/>
      <c r="R15" s="18" t="n">
        <v>100</v>
      </c>
      <c r="S15" s="62" t="n">
        <v>0.5</v>
      </c>
      <c r="T15" s="63" t="n">
        <v>0</v>
      </c>
      <c r="U15" s="63" t="n">
        <v>0</v>
      </c>
    </row>
    <row r="16">
      <c r="A16" s="18" t="inlineStr">
        <is>
          <t xml:space="preserve">U020 </t>
        </is>
      </c>
      <c r="B16" s="18" t="inlineStr">
        <is>
          <t xml:space="preserve">I.U. DEL AGUA Y DE LAS CIENCIAS AMBIENTALES (10.05) </t>
        </is>
      </c>
      <c r="C16" s="18" t="inlineStr">
        <is>
          <t xml:space="preserve">DOCTORADO EN AGUA Y DESARROLLO SOSTENIBLE </t>
        </is>
      </c>
      <c r="D16" s="18" t="inlineStr">
        <is>
          <t>borges moreira lourenço, bruna</t>
        </is>
      </c>
      <c r="E16" s="18" t="inlineStr">
        <is>
          <t xml:space="preserve">EL DERECHO DEPORTIVO TRANSNACIONAL COMO MECANISMO PARA REDUCIR LA DESIGUALDAD DE GÉNERO EN EL DEPORTE. </t>
        </is>
      </c>
      <c r="F16" s="18" t="inlineStr">
        <is>
          <t xml:space="preserve">13/09/2023 </t>
        </is>
      </c>
      <c r="G16" s="18" t="inlineStr">
        <is>
          <t xml:space="preserve">- </t>
        </is>
      </c>
      <c r="H16" s="18" t="inlineStr">
        <is>
          <t xml:space="preserve">Codirector de tesis </t>
        </is>
      </c>
      <c r="I16" s="18" t="inlineStr">
        <is>
          <t xml:space="preserve">U020 </t>
        </is>
      </c>
      <c r="J16" s="18" t="inlineStr">
        <is>
          <t xml:space="preserve">I.U. DEL AGUA Y DE LAS CIENCIAS AMBIENTALES (10.05) </t>
        </is>
      </c>
      <c r="K16" s="18" t="n">
        <v>0.5</v>
      </c>
      <c r="L16" s="18" t="inlineStr">
        <is>
          <t>10.05</t>
        </is>
      </c>
      <c r="M16" s="18" t="n">
        <v>2022</v>
      </c>
      <c r="N16" s="18" t="inlineStr"/>
      <c r="O16" s="18" t="inlineStr"/>
      <c r="P16" s="18" t="inlineStr"/>
      <c r="Q16" s="18" t="inlineStr"/>
      <c r="R16" s="18" t="n">
        <v>100</v>
      </c>
      <c r="S16" s="62" t="n">
        <v>0.5</v>
      </c>
      <c r="T16" s="63" t="n">
        <v>0</v>
      </c>
      <c r="U16" s="63" t="n">
        <v>0</v>
      </c>
    </row>
    <row r="17">
      <c r="A17" s="18" t="inlineStr">
        <is>
          <t xml:space="preserve">U020 </t>
        </is>
      </c>
      <c r="B17" s="18" t="inlineStr">
        <is>
          <t xml:space="preserve">I.U. DEL AGUA Y DE LAS CIENCIAS AMBIENTALES (10.05) </t>
        </is>
      </c>
      <c r="C17" s="18" t="inlineStr">
        <is>
          <t xml:space="preserve">DOCTORADO EN AGUA Y DESARROLLO SOSTENIBLE </t>
        </is>
      </c>
      <c r="D17" s="18" t="inlineStr">
        <is>
          <t>Pizolati , Marcelo</t>
        </is>
      </c>
      <c r="E17" s="18" t="inlineStr">
        <is>
          <t xml:space="preserve">PARA UMA TEORIA DA DECISÃO JUDICIAL DE URGÊNCIA EM MATÉRIA AMBIENTAL: EM </t>
        </is>
      </c>
      <c r="F17" s="18" t="inlineStr">
        <is>
          <t xml:space="preserve">30/05/2023 </t>
        </is>
      </c>
      <c r="G17" s="18" t="inlineStr">
        <is>
          <t xml:space="preserve">- </t>
        </is>
      </c>
      <c r="H17" s="18" t="inlineStr">
        <is>
          <t xml:space="preserve">Codirector de tesis </t>
        </is>
      </c>
      <c r="I17" s="18" t="inlineStr">
        <is>
          <t xml:space="preserve">U020 </t>
        </is>
      </c>
      <c r="J17" s="18" t="inlineStr">
        <is>
          <t xml:space="preserve">I.U. DEL AGUA Y DE LAS CIENCIAS AMBIENTALES (10.05) </t>
        </is>
      </c>
      <c r="K17" s="18" t="n">
        <v>0.5</v>
      </c>
      <c r="L17" s="18" t="inlineStr">
        <is>
          <t>10.05</t>
        </is>
      </c>
      <c r="M17" s="18" t="n">
        <v>2022</v>
      </c>
      <c r="N17" s="18" t="inlineStr"/>
      <c r="O17" s="18" t="inlineStr"/>
      <c r="P17" s="18" t="inlineStr"/>
      <c r="Q17" s="18" t="inlineStr"/>
      <c r="R17" s="18" t="n">
        <v>100</v>
      </c>
      <c r="S17" s="62" t="n">
        <v>0.5</v>
      </c>
      <c r="T17" s="63" t="n">
        <v>0</v>
      </c>
      <c r="U17" s="63" t="n">
        <v>0</v>
      </c>
    </row>
    <row r="18">
      <c r="A18" s="18" t="inlineStr">
        <is>
          <t xml:space="preserve">ZZ </t>
        </is>
      </c>
      <c r="B18" s="18" t="inlineStr">
        <is>
          <t xml:space="preserve">SIN ASIGNAR </t>
        </is>
      </c>
      <c r="C18" s="18" t="inlineStr">
        <is>
          <t xml:space="preserve">DOCTORADO EN AGUA Y DESARROLLO SOSTENIBLE </t>
        </is>
      </c>
      <c r="D18" s="18" t="inlineStr">
        <is>
          <t>Waltrick Rates, Alexandre</t>
        </is>
      </c>
      <c r="E18" s="18" t="inlineStr">
        <is>
          <t xml:space="preserve">O DIREITO À FELICIDADE COMO GARANTE DA EFETIVIDADE DAS POLÍTICAS PÚBLICAS </t>
        </is>
      </c>
      <c r="F18" s="18" t="inlineStr">
        <is>
          <t xml:space="preserve">18/09/2023 </t>
        </is>
      </c>
      <c r="G18" s="18" t="inlineStr">
        <is>
          <t xml:space="preserve">- </t>
        </is>
      </c>
      <c r="H18" s="18" t="inlineStr">
        <is>
          <t xml:space="preserve">Codirector de tesis </t>
        </is>
      </c>
      <c r="I18" s="18" t="inlineStr">
        <is>
          <t xml:space="preserve">U020 </t>
        </is>
      </c>
      <c r="J18" s="18" t="inlineStr">
        <is>
          <t xml:space="preserve">I.U. DEL AGUA Y DE LAS CIENCIAS AMBIENTALES (10.05) </t>
        </is>
      </c>
      <c r="K18" s="18" t="n">
        <v>0.33</v>
      </c>
      <c r="L18" s="18" t="inlineStr">
        <is>
          <t>10.05</t>
        </is>
      </c>
      <c r="M18" s="18" t="n">
        <v>2022</v>
      </c>
      <c r="N18" s="18" t="inlineStr"/>
      <c r="O18" s="18" t="inlineStr"/>
      <c r="P18" s="18" t="inlineStr"/>
      <c r="Q18" s="18" t="inlineStr"/>
      <c r="R18" s="18" t="n">
        <v>100</v>
      </c>
      <c r="S18" s="62" t="n">
        <v>0.33</v>
      </c>
      <c r="T18" s="63" t="n">
        <v>0</v>
      </c>
      <c r="U18" s="63" t="n">
        <v>0</v>
      </c>
    </row>
    <row r="19">
      <c r="A19" s="18" t="inlineStr">
        <is>
          <t>U020</t>
        </is>
      </c>
      <c r="B19" s="18" t="inlineStr">
        <is>
          <t>I.U. DEL AGUA Y DE LAS CIENCIAS AMBIENTALES (10.05)</t>
        </is>
      </c>
      <c r="C19" s="18" t="inlineStr">
        <is>
          <t>DOCTORADO EN AGUA Y DESARROLLO SOSTENIBLE</t>
        </is>
      </c>
      <c r="D19" s="18" t="inlineStr">
        <is>
          <t>Jenichen Filho , Artur</t>
        </is>
      </c>
      <c r="E19" s="18" t="inlineStr">
        <is>
          <t>O EFETIVO ACESSO À ÁGUA POTÁVEL COMO DIREITO FUNDAMENTAL NO ORDENAMENTO JURÍDICO BRASILEIRO: DEMONSTRAÇÃO DESSA POSSIBILIDADE A PARTIR DE ANÁLISES DE NORMAS DE DIREITO BRASILEIRO E ESPANHOL</t>
        </is>
      </c>
      <c r="F19" s="18" t="inlineStr">
        <is>
          <t>23/02/2024</t>
        </is>
      </c>
      <c r="G19" s="18" t="inlineStr">
        <is>
          <t>'-</t>
        </is>
      </c>
      <c r="H19" s="18" t="inlineStr">
        <is>
          <t>Codirector de tesis</t>
        </is>
      </c>
      <c r="I19" s="18" t="inlineStr">
        <is>
          <t>U020</t>
        </is>
      </c>
      <c r="J19" s="18" t="inlineStr">
        <is>
          <t>I.U. DEL AGUA Y DE LAS CIENCIAS AMBIENTALES (10.05)</t>
        </is>
      </c>
      <c r="K19" s="18" t="n">
        <v>0.5</v>
      </c>
      <c r="L19" s="18" t="inlineStr">
        <is>
          <t>10.05</t>
        </is>
      </c>
      <c r="M19" s="18" t="n">
        <v>2023</v>
      </c>
      <c r="N19" s="18" t="inlineStr"/>
      <c r="O19" s="18" t="inlineStr"/>
      <c r="P19" s="18" t="inlineStr"/>
      <c r="Q19" s="18" t="inlineStr"/>
      <c r="R19" s="18" t="n">
        <v>100</v>
      </c>
      <c r="S19" s="62" t="n">
        <v>0.5</v>
      </c>
      <c r="T19" s="63" t="n">
        <v>0</v>
      </c>
      <c r="U19" s="63" t="n">
        <v>0</v>
      </c>
    </row>
    <row r="20">
      <c r="A20" s="18" t="inlineStr">
        <is>
          <t>U020</t>
        </is>
      </c>
      <c r="B20" s="18" t="inlineStr">
        <is>
          <t>I.U. DEL AGUA Y DE LAS CIENCIAS AMBIENTALES (10.05)</t>
        </is>
      </c>
      <c r="C20" s="18" t="inlineStr">
        <is>
          <t>DOCTORADO EN AGUA Y DESARROLLO SOSTENIBLE</t>
        </is>
      </c>
      <c r="D20" s="18" t="inlineStr">
        <is>
          <t>Botke E Silva, Paula</t>
        </is>
      </c>
      <c r="E20" s="18" t="inlineStr">
        <is>
          <t>A POSSIBILIDADE DE AMPLIAÇÃO DA TUTELA PROTETIVA DAS ÁGUAS SUBTERRÂNEAS FRENTE À CONTAMINAÇÃO POR AGROTÓXICOS</t>
        </is>
      </c>
      <c r="F20" s="18" t="inlineStr">
        <is>
          <t>26/03/2024</t>
        </is>
      </c>
      <c r="G20" s="18" t="inlineStr">
        <is>
          <t>'-</t>
        </is>
      </c>
      <c r="H20" s="18" t="inlineStr">
        <is>
          <t>Codirector de tesis</t>
        </is>
      </c>
      <c r="I20" s="18" t="inlineStr">
        <is>
          <t>U020</t>
        </is>
      </c>
      <c r="J20" s="18" t="inlineStr">
        <is>
          <t>I.U. DEL AGUA Y DE LAS CIENCIAS AMBIENTALES (10.05)</t>
        </is>
      </c>
      <c r="K20" s="18" t="n">
        <v>1</v>
      </c>
      <c r="L20" s="18" t="inlineStr">
        <is>
          <t>10.05</t>
        </is>
      </c>
      <c r="M20" s="18" t="n">
        <v>2023</v>
      </c>
      <c r="N20" s="18" t="inlineStr"/>
      <c r="O20" s="18" t="inlineStr"/>
      <c r="P20" s="18" t="inlineStr"/>
      <c r="Q20" s="18" t="inlineStr"/>
      <c r="R20" s="18" t="n">
        <v>100</v>
      </c>
      <c r="S20" s="62" t="n">
        <v>1</v>
      </c>
      <c r="T20" s="63" t="n">
        <v>0</v>
      </c>
      <c r="U20" s="63" t="n">
        <v>0</v>
      </c>
    </row>
    <row r="21">
      <c r="A21" s="18" t="inlineStr">
        <is>
          <t>U020</t>
        </is>
      </c>
      <c r="B21" s="18" t="inlineStr">
        <is>
          <t>I.U. DEL AGUA Y DE LAS CIENCIAS AMBIENTALES (10.05)</t>
        </is>
      </c>
      <c r="C21" s="18" t="inlineStr">
        <is>
          <t>DOCTORADO EN AGUA Y DESARROLLO SOSTENIBLE</t>
        </is>
      </c>
      <c r="D21" s="18" t="inlineStr">
        <is>
          <t>Maldaner Corbetta, Janiara</t>
        </is>
      </c>
      <c r="E21" s="18" t="inlineStr">
        <is>
          <t>Princípio da solidariedade conjugado com a extrafiscalidade tributária para instituir política pública ambiental: a taxa ambiental como instrumento de proteção ao meio ambiente.</t>
        </is>
      </c>
      <c r="F21" s="18" t="inlineStr">
        <is>
          <t>18/12/2023</t>
        </is>
      </c>
      <c r="G21" s="18" t="inlineStr">
        <is>
          <t>'-</t>
        </is>
      </c>
      <c r="H21" s="18" t="inlineStr">
        <is>
          <t>Codirector de tesis</t>
        </is>
      </c>
      <c r="I21" s="18" t="inlineStr">
        <is>
          <t>U020</t>
        </is>
      </c>
      <c r="J21" s="18" t="inlineStr">
        <is>
          <t>I.U. DEL AGUA Y DE LAS CIENCIAS AMBIENTALES (10.05)</t>
        </is>
      </c>
      <c r="K21" s="18" t="n">
        <v>0.5</v>
      </c>
      <c r="L21" s="18" t="inlineStr">
        <is>
          <t>10.05</t>
        </is>
      </c>
      <c r="M21" s="18" t="n">
        <v>2023</v>
      </c>
      <c r="N21" s="18" t="inlineStr"/>
      <c r="O21" s="18" t="inlineStr"/>
      <c r="P21" s="18" t="inlineStr"/>
      <c r="Q21" s="18" t="inlineStr"/>
      <c r="R21" s="18" t="n">
        <v>100</v>
      </c>
      <c r="S21" s="62" t="n">
        <v>0.5</v>
      </c>
      <c r="T21" s="63" t="n">
        <v>0</v>
      </c>
      <c r="U21" s="63" t="n">
        <v>0</v>
      </c>
    </row>
    <row r="22">
      <c r="A22" s="18" t="inlineStr">
        <is>
          <t>U020</t>
        </is>
      </c>
      <c r="B22" s="18" t="inlineStr">
        <is>
          <t>I.U. DEL AGUA Y DE LAS CIENCIAS AMBIENTALES (10.05)</t>
        </is>
      </c>
      <c r="C22" s="18" t="inlineStr">
        <is>
          <t>DOCTORADO EN AGUA Y DESARROLLO SOSTENIBLE</t>
        </is>
      </c>
      <c r="D22" s="18" t="inlineStr">
        <is>
          <t>Happke , Andre Alexandre</t>
        </is>
      </c>
      <c r="E22" s="18" t="inlineStr">
        <is>
          <t>Água potável: conceito jurídico transnacional no paradigma da sustentabilidade</t>
        </is>
      </c>
      <c r="F22" s="18" t="inlineStr">
        <is>
          <t>31/05/2024</t>
        </is>
      </c>
      <c r="G22" s="18" t="inlineStr">
        <is>
          <t>'-</t>
        </is>
      </c>
      <c r="H22" s="18" t="inlineStr">
        <is>
          <t>Codirector de tesis</t>
        </is>
      </c>
      <c r="I22" s="18" t="inlineStr">
        <is>
          <t>U020</t>
        </is>
      </c>
      <c r="J22" s="18" t="inlineStr">
        <is>
          <t>I.U. DEL AGUA Y DE LAS CIENCIAS AMBIENTALES (10.05)</t>
        </is>
      </c>
      <c r="K22" s="18" t="n">
        <v>0.5</v>
      </c>
      <c r="L22" s="18" t="inlineStr">
        <is>
          <t>10.05</t>
        </is>
      </c>
      <c r="M22" s="18" t="n">
        <v>2023</v>
      </c>
      <c r="N22" s="18" t="inlineStr"/>
      <c r="O22" s="18" t="inlineStr"/>
      <c r="P22" s="18" t="inlineStr"/>
      <c r="Q22" s="18" t="inlineStr"/>
      <c r="R22" s="18" t="n">
        <v>100</v>
      </c>
      <c r="S22" s="62" t="n">
        <v>0.5</v>
      </c>
      <c r="T22" s="63" t="n">
        <v>0</v>
      </c>
      <c r="U22" s="63" t="n">
        <v>0</v>
      </c>
    </row>
    <row r="23">
      <c r="A23" s="18" t="inlineStr">
        <is>
          <t>U020</t>
        </is>
      </c>
      <c r="B23" s="18" t="inlineStr">
        <is>
          <t>I.U. DEL AGUA Y DE LAS CIENCIAS AMBIENTALES (10.05)</t>
        </is>
      </c>
      <c r="C23" s="18" t="inlineStr">
        <is>
          <t>DOCTORADO EN AGUA Y DESARROLLO SOSTENIBLE</t>
        </is>
      </c>
      <c r="D23" s="18" t="inlineStr">
        <is>
          <t>Peña Paz, Tania María</t>
        </is>
      </c>
      <c r="E23" s="18" t="inlineStr">
        <is>
          <t>Modelo conceptual hidrogeológico y análisis hidroquímico para la gestión de recursos</t>
        </is>
      </c>
      <c r="F23" s="18" t="inlineStr">
        <is>
          <t>13/02/2024</t>
        </is>
      </c>
      <c r="G23" s="18" t="inlineStr">
        <is>
          <t>'-</t>
        </is>
      </c>
      <c r="H23" s="18" t="inlineStr">
        <is>
          <t>Codirector de tesis</t>
        </is>
      </c>
      <c r="I23" s="18" t="inlineStr">
        <is>
          <t>U020</t>
        </is>
      </c>
      <c r="J23" s="18" t="inlineStr">
        <is>
          <t>I.U. DEL AGUA Y DE LAS CIENCIAS AMBIENTALES (10.05)</t>
        </is>
      </c>
      <c r="K23" s="18" t="n">
        <v>0.5</v>
      </c>
      <c r="L23" s="18" t="inlineStr">
        <is>
          <t>10.05</t>
        </is>
      </c>
      <c r="M23" s="18" t="n">
        <v>2023</v>
      </c>
      <c r="N23" s="18" t="inlineStr"/>
      <c r="O23" s="18" t="inlineStr"/>
      <c r="P23" s="18" t="inlineStr"/>
      <c r="Q23" s="18" t="inlineStr"/>
      <c r="R23" s="18" t="n">
        <v>100</v>
      </c>
      <c r="S23" s="62" t="n">
        <v>0.5</v>
      </c>
      <c r="T23" s="63" t="n">
        <v>0</v>
      </c>
      <c r="U23" s="63" t="n">
        <v>0</v>
      </c>
    </row>
    <row r="24">
      <c r="A24" s="18" t="inlineStr">
        <is>
          <t xml:space="preserve">B171 </t>
        </is>
      </c>
      <c r="B24" s="18" t="inlineStr">
        <is>
          <t xml:space="preserve">CIENCIAS DEL MAR Y BIOLOGÍA APLICADA </t>
        </is>
      </c>
      <c r="C24" s="18" t="inlineStr">
        <is>
          <t xml:space="preserve">DOCTORADO EN CIENCIAS DEL MAR Y BIOLOGÍA APLICADA </t>
        </is>
      </c>
      <c r="D24" s="18" t="inlineStr">
        <is>
          <t xml:space="preserve">Terradas Fernández, Marc </t>
        </is>
      </c>
      <c r="E24" s="18" t="inlineStr">
        <is>
          <t xml:space="preserve">"Aspectos ecológicos del fitobentos asociado a las plataformas de algas y mermétidos del SE ibérico" </t>
        </is>
      </c>
      <c r="F24" s="18" t="inlineStr">
        <is>
          <t xml:space="preserve">23/09/2020 </t>
        </is>
      </c>
      <c r="G24" s="18" t="inlineStr">
        <is>
          <t xml:space="preserve">21374844R </t>
        </is>
      </c>
      <c r="H24" s="18" t="inlineStr">
        <is>
          <t xml:space="preserve">Codirector de tesis </t>
        </is>
      </c>
      <c r="I24" s="18" t="inlineStr">
        <is>
          <t xml:space="preserve">B171 </t>
        </is>
      </c>
      <c r="J24" s="18" t="inlineStr">
        <is>
          <t xml:space="preserve">CIENCIAS DEL MAR Y BIOLOGÍA APLICADA </t>
        </is>
      </c>
      <c r="K24" s="18" t="n">
        <v>0.5</v>
      </c>
      <c r="L24" s="18" t="inlineStr">
        <is>
          <t>B171</t>
        </is>
      </c>
      <c r="M24" s="18" t="n">
        <v>2019</v>
      </c>
      <c r="N24" s="18" t="inlineStr">
        <is>
          <t>10.05</t>
        </is>
      </c>
      <c r="O24" s="18" t="inlineStr">
        <is>
          <t>10</t>
        </is>
      </c>
      <c r="P24" s="18" t="inlineStr"/>
      <c r="Q24" s="18" t="inlineStr"/>
      <c r="R24" s="18" t="n">
        <v>90</v>
      </c>
      <c r="S24" s="63" t="n">
        <v>0.45</v>
      </c>
      <c r="T24" s="62" t="n">
        <v>0.05</v>
      </c>
      <c r="U24" s="63" t="n">
        <v>0</v>
      </c>
    </row>
    <row r="25">
      <c r="A25" s="18" t="inlineStr">
        <is>
          <t xml:space="preserve">B185 </t>
        </is>
      </c>
      <c r="B25" s="18" t="inlineStr">
        <is>
          <t xml:space="preserve">INGENIERÍA CIVIL </t>
        </is>
      </c>
      <c r="C25" s="18" t="inlineStr">
        <is>
          <t xml:space="preserve">DOCTORADO EN INGENIERÍA DE MATERIALES, ESTRUCTURAS Y TERRENO: CONSTR. SOST. </t>
        </is>
      </c>
      <c r="D25" s="18" t="inlineStr">
        <is>
          <t xml:space="preserve">Yáñez Pacios, Roberto Tomás </t>
        </is>
      </c>
      <c r="E25" s="18" t="inlineStr">
        <is>
          <t xml:space="preserve">Génesis y evolución de las fortificaciones abaluartadas de Fuenterrabía (1496-1638) </t>
        </is>
      </c>
      <c r="F25" s="18" t="inlineStr">
        <is>
          <t xml:space="preserve">17/12/2019 </t>
        </is>
      </c>
      <c r="G25" s="18" t="inlineStr">
        <is>
          <t xml:space="preserve">18202656L </t>
        </is>
      </c>
      <c r="H25" s="18" t="inlineStr">
        <is>
          <t xml:space="preserve">Director de tesis </t>
        </is>
      </c>
      <c r="I25" s="18" t="inlineStr">
        <is>
          <t xml:space="preserve">B147 </t>
        </is>
      </c>
      <c r="J25" s="18" t="inlineStr">
        <is>
          <t xml:space="preserve">CONSTRUCCIONES ARQUITECTONICAS </t>
        </is>
      </c>
      <c r="K25" s="18" t="n">
        <v>1</v>
      </c>
      <c r="L25" s="18" t="inlineStr">
        <is>
          <t>B147</t>
        </is>
      </c>
      <c r="M25" s="18" t="n">
        <v>2019</v>
      </c>
      <c r="N25" s="18" t="inlineStr">
        <is>
          <t>10.05</t>
        </is>
      </c>
      <c r="O25" s="18" t="inlineStr">
        <is>
          <t>20</t>
        </is>
      </c>
      <c r="P25" s="18" t="inlineStr"/>
      <c r="Q25" s="18" t="inlineStr"/>
      <c r="R25" s="18" t="n">
        <v>80</v>
      </c>
      <c r="S25" s="63" t="n">
        <v>0.8</v>
      </c>
      <c r="T25" s="62" t="n">
        <v>0.2</v>
      </c>
      <c r="U25" s="63" t="n">
        <v>0</v>
      </c>
    </row>
    <row r="26">
      <c r="A26" s="18" t="inlineStr">
        <is>
          <t xml:space="preserve">U020 </t>
        </is>
      </c>
      <c r="B26" s="18" t="inlineStr">
        <is>
          <t xml:space="preserve">ADM. I.U. DEL AGUA Y DE LAS CIENCIAS AMBIENTALES </t>
        </is>
      </c>
      <c r="C26" s="18" t="inlineStr">
        <is>
          <t xml:space="preserve">DOCTORADO EN AGUA Y DESARROLLO SOSTENIBLE </t>
        </is>
      </c>
      <c r="D26" s="18" t="inlineStr">
        <is>
          <t xml:space="preserve">Céspedes López, María Francisca </t>
        </is>
      </c>
      <c r="E26" s="18" t="inlineStr">
        <is>
          <t xml:space="preserve">CALIFICACIÓN ENERGÉTICA Y PRECIO DE LA VIVIENDA. ANÁLISIS DE LOS PRECIOS DE VENTA EN LA PROVINCIA DE ALICANTE (ESPAÑA) </t>
        </is>
      </c>
      <c r="F26" s="18" t="inlineStr">
        <is>
          <t xml:space="preserve">10/07/2020 </t>
        </is>
      </c>
      <c r="G26" s="18" t="inlineStr">
        <is>
          <t xml:space="preserve">46336900L </t>
        </is>
      </c>
      <c r="H26" s="18" t="inlineStr">
        <is>
          <t xml:space="preserve">Codirector de tesis </t>
        </is>
      </c>
      <c r="I26" s="18" t="inlineStr">
        <is>
          <t xml:space="preserve">B184 </t>
        </is>
      </c>
      <c r="J26" s="18" t="inlineStr">
        <is>
          <t xml:space="preserve">EDIFICACIÓN Y URBANISMO </t>
        </is>
      </c>
      <c r="K26" s="18" t="n">
        <v>0.5</v>
      </c>
      <c r="L26" s="18" t="inlineStr">
        <is>
          <t>B184</t>
        </is>
      </c>
      <c r="M26" s="18" t="n">
        <v>2019</v>
      </c>
      <c r="N26" s="18" t="inlineStr">
        <is>
          <t>10.05</t>
        </is>
      </c>
      <c r="O26" s="18" t="inlineStr">
        <is>
          <t>20</t>
        </is>
      </c>
      <c r="P26" s="18" t="inlineStr">
        <is>
          <t>10.25</t>
        </is>
      </c>
      <c r="Q26" s="18" t="inlineStr">
        <is>
          <t>10</t>
        </is>
      </c>
      <c r="R26" s="18" t="n">
        <v>70</v>
      </c>
      <c r="S26" s="63" t="n">
        <v>0.35</v>
      </c>
      <c r="T26" s="62" t="n">
        <v>0.1</v>
      </c>
      <c r="U26" s="63" t="n">
        <v>0.05</v>
      </c>
    </row>
    <row r="27">
      <c r="A27" s="18" t="inlineStr">
        <is>
          <t xml:space="preserve">U020 </t>
        </is>
      </c>
      <c r="B27" s="18" t="inlineStr">
        <is>
          <t xml:space="preserve">ADM. I.U. DEL AGUA Y DE LAS CIENCIAS AMBIENTALES </t>
        </is>
      </c>
      <c r="C27" s="18" t="inlineStr">
        <is>
          <t xml:space="preserve">DOCTORADO EN AGUA Y DESARROLLO SOSTENIBLE </t>
        </is>
      </c>
      <c r="D27" s="18" t="inlineStr">
        <is>
          <t xml:space="preserve">López Baeza, Jesús </t>
        </is>
      </c>
      <c r="E27" s="18" t="inlineStr">
        <is>
          <t xml:space="preserve">Unveiling urban dynamics: An exploration of tools and methods using crowd-sourced data for the study of urban space </t>
        </is>
      </c>
      <c r="F27" s="18" t="inlineStr">
        <is>
          <t xml:space="preserve">17/02/2020 </t>
        </is>
      </c>
      <c r="G27" s="18" t="inlineStr">
        <is>
          <t xml:space="preserve">46336900L </t>
        </is>
      </c>
      <c r="H27" s="18" t="inlineStr">
        <is>
          <t xml:space="preserve">Director de tesis </t>
        </is>
      </c>
      <c r="I27" s="18" t="inlineStr">
        <is>
          <t xml:space="preserve">B184 </t>
        </is>
      </c>
      <c r="J27" s="18" t="inlineStr">
        <is>
          <t xml:space="preserve">EDIFICACIÓN Y URBANISMO </t>
        </is>
      </c>
      <c r="K27" s="18" t="n">
        <v>1</v>
      </c>
      <c r="L27" s="18" t="inlineStr">
        <is>
          <t>B184</t>
        </is>
      </c>
      <c r="M27" s="18" t="n">
        <v>2019</v>
      </c>
      <c r="N27" s="18" t="inlineStr">
        <is>
          <t>10.05</t>
        </is>
      </c>
      <c r="O27" s="18" t="inlineStr">
        <is>
          <t>20</t>
        </is>
      </c>
      <c r="P27" s="18" t="inlineStr">
        <is>
          <t>10.25</t>
        </is>
      </c>
      <c r="Q27" s="18" t="inlineStr">
        <is>
          <t>10</t>
        </is>
      </c>
      <c r="R27" s="18" t="n">
        <v>70</v>
      </c>
      <c r="S27" s="63" t="n">
        <v>0.7</v>
      </c>
      <c r="T27" s="62" t="n">
        <v>0.2</v>
      </c>
      <c r="U27" s="63" t="n">
        <v>0.1</v>
      </c>
    </row>
    <row r="28">
      <c r="A28" s="18" t="inlineStr">
        <is>
          <t xml:space="preserve">U040 </t>
        </is>
      </c>
      <c r="B28" s="18" t="inlineStr">
        <is>
          <t xml:space="preserve">ADM. I.U. DE INGENIERÍA DE LOS PROCESOS QUÍMICOS </t>
        </is>
      </c>
      <c r="C28" s="18" t="inlineStr">
        <is>
          <t xml:space="preserve">DOCTORADO EN INGENIERÍA QUÍMICA </t>
        </is>
      </c>
      <c r="D28" s="18" t="inlineStr">
        <is>
          <t xml:space="preserve">Horodytska , Oksana </t>
        </is>
      </c>
      <c r="E28" s="18" t="inlineStr">
        <is>
          <t xml:space="preserve">PLASTICS RECYCLING: NEW CHALLENGES IN THE AGE OF THE CIRCULAR ECONOMY </t>
        </is>
      </c>
      <c r="F28" s="18" t="inlineStr">
        <is>
          <t xml:space="preserve">15/09/2020 </t>
        </is>
      </c>
      <c r="G28" s="18" t="inlineStr">
        <is>
          <t xml:space="preserve">73768475T </t>
        </is>
      </c>
      <c r="H28" s="18" t="inlineStr">
        <is>
          <t xml:space="preserve">Director de tesis </t>
        </is>
      </c>
      <c r="I28" s="18" t="inlineStr">
        <is>
          <t xml:space="preserve">B151 </t>
        </is>
      </c>
      <c r="J28" s="18" t="inlineStr">
        <is>
          <t xml:space="preserve">INGENIERÍA QUÍMICA </t>
        </is>
      </c>
      <c r="K28" s="18" t="n">
        <v>1</v>
      </c>
      <c r="L28" s="18" t="inlineStr">
        <is>
          <t>B151</t>
        </is>
      </c>
      <c r="M28" s="18" t="n">
        <v>2019</v>
      </c>
      <c r="N28" s="18" t="inlineStr">
        <is>
          <t>10.05</t>
        </is>
      </c>
      <c r="O28" s="18" t="inlineStr">
        <is>
          <t>10</t>
        </is>
      </c>
      <c r="P28" s="18" t="inlineStr">
        <is>
          <t>10.09</t>
        </is>
      </c>
      <c r="Q28" s="18" t="inlineStr">
        <is>
          <t>55</t>
        </is>
      </c>
      <c r="R28" s="18" t="n">
        <v>35</v>
      </c>
      <c r="S28" s="63" t="n">
        <v>0.35</v>
      </c>
      <c r="T28" s="62" t="n">
        <v>0.1</v>
      </c>
      <c r="U28" s="63" t="n">
        <v>0.55</v>
      </c>
    </row>
    <row r="29">
      <c r="A29" s="18" t="inlineStr">
        <is>
          <t xml:space="preserve">U020 </t>
        </is>
      </c>
      <c r="B29" s="18" t="inlineStr">
        <is>
          <t xml:space="preserve">ADM. I.U. DEL AGUA Y DE LAS CIENCIAS AMBIENTALES </t>
        </is>
      </c>
      <c r="C29" s="18" t="inlineStr">
        <is>
          <t xml:space="preserve">DOCTORADO EN AGUA Y DESARROLLO SOSTENIBLE </t>
        </is>
      </c>
      <c r="D29" s="18" t="inlineStr">
        <is>
          <t xml:space="preserve">Pérez de la Cruz, Francisco Javier </t>
        </is>
      </c>
      <c r="E29" s="18" t="inlineStr">
        <is>
          <t xml:space="preserve">DEFINICIÓN Y CARACTERIZACIÓN DE UNA METODOLOGÍA PARA EL ESTUDIO DE SISTEMAS HIDRÁULICOS ANTIGUOS. APLICACIÓN AL ABASTECIMIENTO DE AGUA A CARTAGENA POR "THE CARTHAGENA MINING &amp; WATER COMPANY" </t>
        </is>
      </c>
      <c r="F29" s="18" t="inlineStr">
        <is>
          <t xml:space="preserve">17/12/2020 </t>
        </is>
      </c>
      <c r="G29" s="18" t="inlineStr">
        <is>
          <t xml:space="preserve">21388652D </t>
        </is>
      </c>
      <c r="H29" s="18" t="inlineStr">
        <is>
          <t xml:space="preserve">Codirector de tesis </t>
        </is>
      </c>
      <c r="I29" s="18" t="inlineStr">
        <is>
          <t xml:space="preserve">B185 </t>
        </is>
      </c>
      <c r="J29" s="18" t="inlineStr">
        <is>
          <t xml:space="preserve">INGENIERÍA CIVIL </t>
        </is>
      </c>
      <c r="K29" s="18" t="n">
        <v>0.5</v>
      </c>
      <c r="L29" s="18" t="inlineStr">
        <is>
          <t>B185</t>
        </is>
      </c>
      <c r="M29" s="18" t="n">
        <v>2019</v>
      </c>
      <c r="N29" s="18" t="inlineStr">
        <is>
          <t>10.05</t>
        </is>
      </c>
      <c r="O29" s="18" t="n">
        <v>80</v>
      </c>
      <c r="P29" s="18" t="inlineStr"/>
      <c r="Q29" s="18" t="n">
        <v>0</v>
      </c>
      <c r="R29" s="18" t="n">
        <v>20</v>
      </c>
      <c r="S29" s="63" t="n">
        <v>0.1</v>
      </c>
      <c r="T29" s="62" t="n">
        <v>0.4</v>
      </c>
      <c r="U29" s="63" t="n">
        <v>0</v>
      </c>
    </row>
    <row r="30">
      <c r="A30" s="18" t="inlineStr">
        <is>
          <t xml:space="preserve">U020 </t>
        </is>
      </c>
      <c r="B30" s="18" t="inlineStr">
        <is>
          <t xml:space="preserve">ADM. I.U. DEL AGUA Y DE LAS CIENCIAS AMBIENTALES </t>
        </is>
      </c>
      <c r="C30" s="18" t="inlineStr">
        <is>
          <t xml:space="preserve">DOCTORADO EN AGUA Y DESARROLLO SOSTENIBLE </t>
        </is>
      </c>
      <c r="D30" s="18" t="inlineStr">
        <is>
          <t xml:space="preserve">Pérez de la Cruz, Francisco Javier </t>
        </is>
      </c>
      <c r="E30" s="18" t="inlineStr">
        <is>
          <t xml:space="preserve">DEFINICIÓN Y CARACTERIZACIÓN DE UNA METODOLOGÍA PARA EL ESTUDIO DE SISTEMAS HIDRÁULICOS ANTIGUOS. APLICACIÓN AL ABASTECIMIENTO DE AGUA A CARTAGENA POR "THE CARTHAGENA MINING &amp; WATER COMPANY" </t>
        </is>
      </c>
      <c r="F30" s="18" t="inlineStr">
        <is>
          <t xml:space="preserve">17/12/2020 </t>
        </is>
      </c>
      <c r="G30" s="18" t="inlineStr">
        <is>
          <t xml:space="preserve">74342287P </t>
        </is>
      </c>
      <c r="H30" s="18" t="inlineStr">
        <is>
          <t xml:space="preserve">Codirector de tesis </t>
        </is>
      </c>
      <c r="I30" s="18" t="inlineStr">
        <is>
          <t>B138</t>
        </is>
      </c>
      <c r="J30" s="18" t="inlineStr">
        <is>
          <t xml:space="preserve">ANALISIS ECONOMICO APLICADO </t>
        </is>
      </c>
      <c r="K30" s="18" t="n">
        <v>0.5</v>
      </c>
      <c r="L30" s="18" t="inlineStr">
        <is>
          <t>B138</t>
        </is>
      </c>
      <c r="M30" s="18" t="n">
        <v>2019</v>
      </c>
      <c r="N30" s="18" t="inlineStr">
        <is>
          <t>10.05</t>
        </is>
      </c>
      <c r="O30" s="18" t="n">
        <v>90</v>
      </c>
      <c r="P30" s="18" t="inlineStr"/>
      <c r="Q30" s="18" t="n">
        <v>0</v>
      </c>
      <c r="R30" s="18" t="n">
        <v>10</v>
      </c>
      <c r="S30" s="63" t="n">
        <v>0.05</v>
      </c>
      <c r="T30" s="62" t="n">
        <v>0.45</v>
      </c>
      <c r="U30" s="63" t="n">
        <v>0</v>
      </c>
    </row>
    <row r="31">
      <c r="A31" s="18" t="inlineStr">
        <is>
          <t xml:space="preserve">U036 </t>
        </is>
      </c>
      <c r="B31" s="18" t="inlineStr">
        <is>
          <t xml:space="preserve">ADM. FACULTAD DE CIENCIAS ECONÓMICAS </t>
        </is>
      </c>
      <c r="C31" s="18" t="inlineStr">
        <is>
          <t xml:space="preserve">DOCTORADO EN EMPRESA, ECONOMÍA Y SOCIEDAD </t>
        </is>
      </c>
      <c r="D31" s="18" t="inlineStr">
        <is>
          <t xml:space="preserve">Climent Gil, Emilio </t>
        </is>
      </c>
      <c r="E31" s="18" t="inlineStr">
        <is>
          <t xml:space="preserve">Abordando la complejidad. Vulnerabilidad y riesgo en la gestión de impactos sociales de las intervenciones sobre el medio </t>
        </is>
      </c>
      <c r="F31" s="18" t="inlineStr">
        <is>
          <t xml:space="preserve">24/11/2020 </t>
        </is>
      </c>
      <c r="G31" s="18" t="inlineStr">
        <is>
          <t xml:space="preserve">21439172K </t>
        </is>
      </c>
      <c r="H31" s="18" t="inlineStr">
        <is>
          <t xml:space="preserve">Codirector de tesis </t>
        </is>
      </c>
      <c r="I31" s="18" t="inlineStr">
        <is>
          <t xml:space="preserve">B179 </t>
        </is>
      </c>
      <c r="J31" s="18" t="inlineStr">
        <is>
          <t xml:space="preserve">SOCIOLOGÍA I </t>
        </is>
      </c>
      <c r="K31" s="18" t="n">
        <v>0.5</v>
      </c>
      <c r="L31" s="18" t="inlineStr">
        <is>
          <t>B179</t>
        </is>
      </c>
      <c r="M31" s="18" t="n">
        <v>2019</v>
      </c>
      <c r="N31" s="18" t="inlineStr">
        <is>
          <t>10.05</t>
        </is>
      </c>
      <c r="O31" s="18" t="n">
        <v>50</v>
      </c>
      <c r="P31" s="18" t="inlineStr">
        <is>
          <t>10.17</t>
        </is>
      </c>
      <c r="Q31" s="18" t="n">
        <v>10</v>
      </c>
      <c r="R31" s="18" t="n">
        <v>40</v>
      </c>
      <c r="S31" s="63" t="n">
        <v>0.2</v>
      </c>
      <c r="T31" s="62" t="n">
        <v>0.25</v>
      </c>
      <c r="U31" s="63" t="n">
        <v>0.05</v>
      </c>
    </row>
    <row r="32">
      <c r="A32" s="18" t="inlineStr">
        <is>
          <t xml:space="preserve">B171 </t>
        </is>
      </c>
      <c r="B32" s="18" t="inlineStr">
        <is>
          <t xml:space="preserve">CIENCIAS DEL MAR Y BIOLOGÍA APLICADA </t>
        </is>
      </c>
      <c r="C32" s="18" t="inlineStr">
        <is>
          <t xml:space="preserve">DOCTORADO EN CIENCIAS DEL MAR Y BIOLOGÍA APLICADA </t>
        </is>
      </c>
      <c r="D32" s="18" t="inlineStr">
        <is>
          <t xml:space="preserve">Sola Maciá, Iván </t>
        </is>
      </c>
      <c r="E32" s="18" t="inlineStr">
        <is>
          <t xml:space="preserve">ASPECTOS AMBIENTALES DE LA DESALINIZACIÓN DE AGUA DE MAR : REGULACIÓN Y GESTIÓN DE LOS VERTIDOS </t>
        </is>
      </c>
      <c r="F32" s="18" t="inlineStr">
        <is>
          <t xml:space="preserve">02/09/2021 </t>
        </is>
      </c>
      <c r="G32" s="18" t="inlineStr">
        <is>
          <t xml:space="preserve">48568823E </t>
        </is>
      </c>
      <c r="H32" s="18" t="inlineStr">
        <is>
          <t xml:space="preserve">Codirector de tesis </t>
        </is>
      </c>
      <c r="I32" s="18" t="inlineStr">
        <is>
          <t xml:space="preserve">B171 </t>
        </is>
      </c>
      <c r="J32" s="18" t="inlineStr">
        <is>
          <t xml:space="preserve">CIENCIAS DEL MAR Y BIOLOGÍA APLICADA </t>
        </is>
      </c>
      <c r="K32" s="18" t="n">
        <v>0.3333333333333333</v>
      </c>
      <c r="L32" s="18" t="inlineStr">
        <is>
          <t>B171</t>
        </is>
      </c>
      <c r="M32" s="18" t="n">
        <v>2020</v>
      </c>
      <c r="N32" s="18" t="inlineStr">
        <is>
          <t>10.05</t>
        </is>
      </c>
      <c r="O32" s="18" t="n">
        <v>10</v>
      </c>
      <c r="P32" s="18" t="inlineStr">
        <is>
          <t>10.16</t>
        </is>
      </c>
      <c r="Q32" s="18" t="n">
        <v>10</v>
      </c>
      <c r="R32" s="18" t="n">
        <v>80</v>
      </c>
      <c r="S32" s="63" t="n">
        <v>0.2666666666666667</v>
      </c>
      <c r="T32" s="62" t="n">
        <v>0.03333333333333333</v>
      </c>
      <c r="U32" s="63" t="n">
        <v>0.03333333333333333</v>
      </c>
    </row>
    <row r="33">
      <c r="A33" s="18" t="inlineStr">
        <is>
          <t xml:space="preserve">B171 </t>
        </is>
      </c>
      <c r="B33" s="18" t="inlineStr">
        <is>
          <t xml:space="preserve">CIENCIAS DEL MAR Y BIOLOGÍA APLICADA </t>
        </is>
      </c>
      <c r="C33" s="18" t="inlineStr">
        <is>
          <t xml:space="preserve">DOCTORADO EN CIENCIAS DEL MAR Y BIOLOGÍA APLICADA </t>
        </is>
      </c>
      <c r="D33" s="18" t="inlineStr">
        <is>
          <t xml:space="preserve">González Andrés, Cristina </t>
        </is>
      </c>
      <c r="E33" s="18" t="inlineStr">
        <is>
          <t xml:space="preserve">¿The role of marine offshore protected areas in protecting large pelagics. Practical case: Cocos Island National Park¿. </t>
        </is>
      </c>
      <c r="F33" s="18" t="inlineStr">
        <is>
          <t xml:space="preserve">26/02/2021 </t>
        </is>
      </c>
      <c r="G33" s="18" t="inlineStr">
        <is>
          <t xml:space="preserve">48568823E </t>
        </is>
      </c>
      <c r="H33" s="18" t="inlineStr">
        <is>
          <t xml:space="preserve">Codirector de tesis </t>
        </is>
      </c>
      <c r="I33" s="18" t="inlineStr">
        <is>
          <t xml:space="preserve">B171 </t>
        </is>
      </c>
      <c r="J33" s="18" t="inlineStr">
        <is>
          <t xml:space="preserve">CIENCIAS DEL MAR Y BIOLOGÍA APLICADA </t>
        </is>
      </c>
      <c r="K33" s="18" t="n">
        <v>0.5</v>
      </c>
      <c r="L33" s="18" t="inlineStr">
        <is>
          <t>B171</t>
        </is>
      </c>
      <c r="M33" s="18" t="n">
        <v>2020</v>
      </c>
      <c r="N33" s="18" t="inlineStr">
        <is>
          <t>10.05</t>
        </is>
      </c>
      <c r="O33" s="18" t="n">
        <v>10</v>
      </c>
      <c r="P33" s="18" t="inlineStr">
        <is>
          <t>10.16</t>
        </is>
      </c>
      <c r="Q33" s="18" t="n">
        <v>10</v>
      </c>
      <c r="R33" s="18" t="n">
        <v>80</v>
      </c>
      <c r="S33" s="63" t="n">
        <v>0.4</v>
      </c>
      <c r="T33" s="62" t="n">
        <v>0.05</v>
      </c>
      <c r="U33" s="63" t="n">
        <v>0.05</v>
      </c>
    </row>
    <row r="34">
      <c r="A34" s="18" t="inlineStr">
        <is>
          <t xml:space="preserve">B185 </t>
        </is>
      </c>
      <c r="B34" s="18" t="inlineStr">
        <is>
          <t xml:space="preserve">INGENIERÍA CIVIL </t>
        </is>
      </c>
      <c r="C34" s="18" t="inlineStr">
        <is>
          <t xml:space="preserve">DOCTORADO EN INGENIERÍA DE MATERIALES, ESTRUCTURAS Y TERRENO: CONSTR. SOST. </t>
        </is>
      </c>
      <c r="D34" s="18" t="inlineStr">
        <is>
          <t xml:space="preserve">Abad Ortiz, Rubén </t>
        </is>
      </c>
      <c r="E34" s="18" t="inlineStr">
        <is>
          <t xml:space="preserve">Las ciudades ante los nuevos usos no planificados del espacio público: análisis del fenómeno "running" a través de datos geolocalizados de redes sociales del deporte </t>
        </is>
      </c>
      <c r="F34" s="18" t="inlineStr">
        <is>
          <t xml:space="preserve">26/07/2021 </t>
        </is>
      </c>
      <c r="G34" s="18" t="inlineStr">
        <is>
          <t xml:space="preserve">21497219Q </t>
        </is>
      </c>
      <c r="H34" s="18" t="inlineStr">
        <is>
          <t xml:space="preserve">Director de tesis </t>
        </is>
      </c>
      <c r="I34" s="18" t="inlineStr">
        <is>
          <t xml:space="preserve">B184 </t>
        </is>
      </c>
      <c r="J34" s="18" t="inlineStr">
        <is>
          <t xml:space="preserve">EDIFICACIÓN Y URBANISMO </t>
        </is>
      </c>
      <c r="K34" s="18" t="n">
        <v>1</v>
      </c>
      <c r="L34" s="18" t="inlineStr">
        <is>
          <t>B184</t>
        </is>
      </c>
      <c r="M34" s="18" t="n">
        <v>2020</v>
      </c>
      <c r="N34" s="18" t="inlineStr">
        <is>
          <t>10.05</t>
        </is>
      </c>
      <c r="O34" s="18" t="n">
        <v>20</v>
      </c>
      <c r="P34" s="18" t="inlineStr"/>
      <c r="Q34" s="18" t="n">
        <v>0</v>
      </c>
      <c r="R34" s="18" t="n">
        <v>80</v>
      </c>
      <c r="S34" s="63" t="n">
        <v>0.8</v>
      </c>
      <c r="T34" s="62" t="n">
        <v>0.2</v>
      </c>
      <c r="U34" s="63" t="n">
        <v>0</v>
      </c>
    </row>
    <row r="35">
      <c r="A35" s="18" t="inlineStr">
        <is>
          <t xml:space="preserve">U020 </t>
        </is>
      </c>
      <c r="B35" s="18" t="inlineStr">
        <is>
          <t xml:space="preserve">ADM. I.U. DEL AGUA Y DE LAS CIENCIAS AMBIENTALES </t>
        </is>
      </c>
      <c r="C35" s="18" t="inlineStr">
        <is>
          <t xml:space="preserve">DOCTORADO EN AGUA Y DESARROLLO SOSTENIBLE </t>
        </is>
      </c>
      <c r="D35" s="18" t="inlineStr">
        <is>
          <t xml:space="preserve">MORA CABRERA, KAREN VIVIANA </t>
        </is>
      </c>
      <c r="E35" s="18" t="inlineStr">
        <is>
          <t xml:space="preserve">Tratamiento de aguas residuales mediante UASB + eMBR para eliminación de productos farmacéuticos en aguas residuales urbanas </t>
        </is>
      </c>
      <c r="F35" s="18" t="inlineStr">
        <is>
          <t xml:space="preserve">15/09/2021 </t>
        </is>
      </c>
      <c r="G35" s="18" t="inlineStr">
        <is>
          <t xml:space="preserve">21388652D </t>
        </is>
      </c>
      <c r="H35" s="18" t="inlineStr">
        <is>
          <t xml:space="preserve">Codirector de tesis </t>
        </is>
      </c>
      <c r="I35" s="18" t="inlineStr">
        <is>
          <t xml:space="preserve">B185 </t>
        </is>
      </c>
      <c r="J35" s="18" t="inlineStr">
        <is>
          <t xml:space="preserve">INGENIERÍA CIVIL </t>
        </is>
      </c>
      <c r="K35" s="18" t="n">
        <v>0.5</v>
      </c>
      <c r="L35" s="18" t="inlineStr">
        <is>
          <t>B185</t>
        </is>
      </c>
      <c r="M35" s="18" t="n">
        <v>2020</v>
      </c>
      <c r="N35" s="18" t="inlineStr">
        <is>
          <t>10.05</t>
        </is>
      </c>
      <c r="O35" s="18" t="n">
        <v>80</v>
      </c>
      <c r="P35" s="18" t="inlineStr"/>
      <c r="Q35" s="18" t="n">
        <v>0</v>
      </c>
      <c r="R35" s="18" t="n">
        <v>20</v>
      </c>
      <c r="S35" s="63" t="n">
        <v>0.1</v>
      </c>
      <c r="T35" s="62" t="n">
        <v>0.4</v>
      </c>
      <c r="U35" s="63" t="n">
        <v>0</v>
      </c>
    </row>
    <row r="36">
      <c r="A36" s="18" t="inlineStr">
        <is>
          <t xml:space="preserve">U020 </t>
        </is>
      </c>
      <c r="B36" s="18" t="inlineStr">
        <is>
          <t xml:space="preserve">ADM. I.U. DEL AGUA Y DE LAS CIENCIAS AMBIENTALES </t>
        </is>
      </c>
      <c r="C36" s="18" t="inlineStr">
        <is>
          <t xml:space="preserve">DOCTORADO EN AGUA Y DESARROLLO SOSTENIBLE </t>
        </is>
      </c>
      <c r="D36" s="18" t="inlineStr">
        <is>
          <t xml:space="preserve">Aznar Crespo, Pablo </t>
        </is>
      </c>
      <c r="E36" s="18" t="inlineStr">
        <is>
          <t xml:space="preserve">Procesos generativos de vulnerabilidad social ante riesgos ambientales: retos y oportunidades para una nueva gobernanza </t>
        </is>
      </c>
      <c r="F36" s="18" t="inlineStr">
        <is>
          <t xml:space="preserve">10/09/2021 </t>
        </is>
      </c>
      <c r="G36" s="18" t="inlineStr">
        <is>
          <t xml:space="preserve">21439172K </t>
        </is>
      </c>
      <c r="H36" s="18" t="inlineStr">
        <is>
          <t xml:space="preserve">Codirector de tesis </t>
        </is>
      </c>
      <c r="I36" s="18" t="inlineStr">
        <is>
          <t xml:space="preserve">B179 </t>
        </is>
      </c>
      <c r="J36" s="18" t="inlineStr">
        <is>
          <t xml:space="preserve">SOCIOLOGÍA I </t>
        </is>
      </c>
      <c r="K36" s="18" t="n">
        <v>0.5</v>
      </c>
      <c r="L36" s="18" t="inlineStr">
        <is>
          <t>B179</t>
        </is>
      </c>
      <c r="M36" s="18" t="n">
        <v>2020</v>
      </c>
      <c r="N36" s="18" t="inlineStr">
        <is>
          <t>10.05</t>
        </is>
      </c>
      <c r="O36" s="18" t="n">
        <v>50</v>
      </c>
      <c r="P36" s="18" t="inlineStr">
        <is>
          <t>10.17</t>
        </is>
      </c>
      <c r="Q36" s="18" t="n">
        <v>10</v>
      </c>
      <c r="R36" s="18" t="n">
        <v>40</v>
      </c>
      <c r="S36" s="63" t="n">
        <v>0.2</v>
      </c>
      <c r="T36" s="62" t="n">
        <v>0.25</v>
      </c>
      <c r="U36" s="63" t="n">
        <v>0.05</v>
      </c>
    </row>
    <row r="37">
      <c r="A37" s="18" t="inlineStr">
        <is>
          <t xml:space="preserve">U020 </t>
        </is>
      </c>
      <c r="B37" s="18" t="inlineStr">
        <is>
          <t xml:space="preserve">ADM. I.U. DEL AGUA Y DE LAS CIENCIAS AMBIENTALES </t>
        </is>
      </c>
      <c r="C37" s="18" t="inlineStr">
        <is>
          <t xml:space="preserve">DOCTORADO EN AGUA Y DESARROLLO SOSTENIBLE </t>
        </is>
      </c>
      <c r="D37" s="18" t="inlineStr">
        <is>
          <t xml:space="preserve">Aznar Crespo, Pablo </t>
        </is>
      </c>
      <c r="E37" s="18" t="inlineStr">
        <is>
          <t xml:space="preserve">Procesos generativos de vulnerabilidad social ante riesgos ambientales: retos y oportunidades para una nueva gobernanza </t>
        </is>
      </c>
      <c r="F37" s="18" t="inlineStr">
        <is>
          <t xml:space="preserve">10/09/2021 </t>
        </is>
      </c>
      <c r="G37" s="18" t="inlineStr">
        <is>
          <t xml:space="preserve">74342287P </t>
        </is>
      </c>
      <c r="H37" s="18" t="inlineStr">
        <is>
          <t xml:space="preserve">Codirector de tesis </t>
        </is>
      </c>
      <c r="I37" s="18" t="inlineStr">
        <is>
          <t>B138</t>
        </is>
      </c>
      <c r="J37" s="18" t="inlineStr">
        <is>
          <t xml:space="preserve">ANALISIS ECONOMICO APLICADO </t>
        </is>
      </c>
      <c r="K37" s="18" t="n">
        <v>0.5</v>
      </c>
      <c r="L37" s="18" t="inlineStr">
        <is>
          <t>B138</t>
        </is>
      </c>
      <c r="M37" s="18" t="n">
        <v>2020</v>
      </c>
      <c r="N37" s="18" t="inlineStr">
        <is>
          <t>10.05</t>
        </is>
      </c>
      <c r="O37" s="18" t="n">
        <v>90</v>
      </c>
      <c r="P37" s="18" t="inlineStr"/>
      <c r="Q37" s="18" t="n">
        <v>0</v>
      </c>
      <c r="R37" s="18" t="n">
        <v>10</v>
      </c>
      <c r="S37" s="63" t="n">
        <v>0.05</v>
      </c>
      <c r="T37" s="62" t="n">
        <v>0.45</v>
      </c>
      <c r="U37" s="63" t="n">
        <v>0</v>
      </c>
    </row>
    <row r="38">
      <c r="A38" s="18" t="inlineStr">
        <is>
          <t xml:space="preserve">U020 </t>
        </is>
      </c>
      <c r="B38" s="18" t="inlineStr">
        <is>
          <t xml:space="preserve">ADM. I.U. DEL AGUA Y DE LAS CIENCIAS AMBIENTALES </t>
        </is>
      </c>
      <c r="C38" s="18" t="inlineStr">
        <is>
          <t xml:space="preserve">DOCTORADO EN AGUA Y DESARROLLO SOSTENIBLE </t>
        </is>
      </c>
      <c r="D38" s="18" t="inlineStr">
        <is>
          <t xml:space="preserve">Jódar Abellán, Antonio </t>
        </is>
      </c>
      <c r="E38" s="18" t="inlineStr">
        <is>
          <t xml:space="preserve">Hydrological impacts of global change. Adaptation alternatives in complex water systems with water resources scarcity and severe natural risks (southeast of Spain) </t>
        </is>
      </c>
      <c r="F38" s="18" t="inlineStr">
        <is>
          <t xml:space="preserve">09/07/2021 </t>
        </is>
      </c>
      <c r="G38" s="18" t="inlineStr">
        <is>
          <t xml:space="preserve">74002594W </t>
        </is>
      </c>
      <c r="H38" s="18" t="inlineStr">
        <is>
          <t xml:space="preserve">Codirector de tesis </t>
        </is>
      </c>
      <c r="I38" s="18" t="inlineStr">
        <is>
          <t xml:space="preserve">B185 </t>
        </is>
      </c>
      <c r="J38" s="18" t="inlineStr">
        <is>
          <t xml:space="preserve">INGENIERÍA CIVIL </t>
        </is>
      </c>
      <c r="K38" s="18" t="n">
        <v>0.3333333333333333</v>
      </c>
      <c r="L38" s="18" t="inlineStr">
        <is>
          <t>B185</t>
        </is>
      </c>
      <c r="M38" s="18" t="n">
        <v>2020</v>
      </c>
      <c r="N38" s="18" t="inlineStr">
        <is>
          <t>10.05</t>
        </is>
      </c>
      <c r="O38" s="18" t="n">
        <v>10</v>
      </c>
      <c r="P38" s="18" t="inlineStr"/>
      <c r="Q38" s="18" t="n">
        <v>0</v>
      </c>
      <c r="R38" s="18" t="n">
        <v>90</v>
      </c>
      <c r="S38" s="63" t="n">
        <v>0.3</v>
      </c>
      <c r="T38" s="62" t="n">
        <v>0.03333333333333333</v>
      </c>
      <c r="U38" s="63" t="n">
        <v>0</v>
      </c>
    </row>
    <row r="39">
      <c r="A39" s="18" t="inlineStr">
        <is>
          <t xml:space="preserve">U020 </t>
        </is>
      </c>
      <c r="B39" s="18" t="inlineStr">
        <is>
          <t xml:space="preserve">ADM. I.U. DEL AGUA Y DE LAS CIENCIAS AMBIENTALES </t>
        </is>
      </c>
      <c r="C39" s="18" t="inlineStr">
        <is>
          <t xml:space="preserve">DOCTORADO EN AGUA Y DESARROLLO SOSTENIBLE </t>
        </is>
      </c>
      <c r="D39" s="18" t="inlineStr">
        <is>
          <t xml:space="preserve">Ribeiro Freyesleben, Luiz Eduardo </t>
        </is>
      </c>
      <c r="E39" s="18" t="inlineStr">
        <is>
          <t xml:space="preserve">O RENASCIMENTO DO ULTRANACIONALISMO COMO AMEAÇA À CONSTRUÇÃO DE UMA GOVERNANÇA GLOBAL AMBIENTAL </t>
        </is>
      </c>
      <c r="F39" s="18" t="inlineStr">
        <is>
          <t xml:space="preserve">13/05/2021 </t>
        </is>
      </c>
      <c r="G39" s="18" t="inlineStr">
        <is>
          <t xml:space="preserve">21502998E </t>
        </is>
      </c>
      <c r="H39" s="18" t="inlineStr">
        <is>
          <t xml:space="preserve">Codirector de tesis </t>
        </is>
      </c>
      <c r="I39" s="18" t="inlineStr">
        <is>
          <t xml:space="preserve">B113 </t>
        </is>
      </c>
      <c r="J39" s="18" t="inlineStr">
        <is>
          <t xml:space="preserve">ESTUDIOS JURIDICOS DEL ESTADO </t>
        </is>
      </c>
      <c r="K39" s="18" t="n">
        <v>0.5</v>
      </c>
      <c r="L39" s="18" t="inlineStr">
        <is>
          <t>B113</t>
        </is>
      </c>
      <c r="M39" s="18" t="n">
        <v>2020</v>
      </c>
      <c r="N39" s="18" t="inlineStr">
        <is>
          <t>10.05</t>
        </is>
      </c>
      <c r="O39" s="18" t="n">
        <v>60</v>
      </c>
      <c r="P39" s="18" t="inlineStr"/>
      <c r="Q39" s="18" t="n">
        <v>0</v>
      </c>
      <c r="R39" s="18" t="n">
        <v>40</v>
      </c>
      <c r="S39" s="63" t="n">
        <v>0.2</v>
      </c>
      <c r="T39" s="62" t="n">
        <v>0.3</v>
      </c>
      <c r="U39" s="63" t="n">
        <v>0</v>
      </c>
    </row>
    <row r="40">
      <c r="A40" s="18" t="inlineStr">
        <is>
          <t xml:space="preserve">U020 </t>
        </is>
      </c>
      <c r="B40" s="18" t="inlineStr">
        <is>
          <t xml:space="preserve">ADM. I.U. DEL AGUA Y DE LAS CIENCIAS AMBIENTALES </t>
        </is>
      </c>
      <c r="C40" s="18" t="inlineStr">
        <is>
          <t xml:space="preserve">DOCTORADO EN AGUA Y DESARROLLO SOSTENIBLE </t>
        </is>
      </c>
      <c r="D40" s="18" t="inlineStr">
        <is>
          <t xml:space="preserve">Cansi , Francine </t>
        </is>
      </c>
      <c r="E40" s="18" t="inlineStr">
        <is>
          <t xml:space="preserve">ÁGUA, ECONOMIA CIRCULAR E SUSTENTABILIDADE: ELEMENTOS TEÓRICOS PARA UM ORDENAMENTO JURÍDICO TRANSNACIONAL </t>
        </is>
      </c>
      <c r="F40" s="18" t="inlineStr">
        <is>
          <t xml:space="preserve">02/09/2021 </t>
        </is>
      </c>
      <c r="G40" s="18" t="inlineStr">
        <is>
          <t xml:space="preserve">74342287P </t>
        </is>
      </c>
      <c r="H40" s="18" t="inlineStr">
        <is>
          <t xml:space="preserve">Codirector de tesis </t>
        </is>
      </c>
      <c r="I40" s="18" t="inlineStr">
        <is>
          <t>B138</t>
        </is>
      </c>
      <c r="J40" s="18" t="inlineStr">
        <is>
          <t xml:space="preserve">ANALISIS ECONOMICO APLICADO </t>
        </is>
      </c>
      <c r="K40" s="18" t="n">
        <v>0.5</v>
      </c>
      <c r="L40" s="18" t="inlineStr">
        <is>
          <t>B138</t>
        </is>
      </c>
      <c r="M40" s="18" t="n">
        <v>2020</v>
      </c>
      <c r="N40" s="18" t="inlineStr">
        <is>
          <t>10.05</t>
        </is>
      </c>
      <c r="O40" s="18" t="n">
        <v>90</v>
      </c>
      <c r="P40" s="18" t="inlineStr"/>
      <c r="Q40" s="18" t="n">
        <v>0</v>
      </c>
      <c r="R40" s="18" t="n">
        <v>10</v>
      </c>
      <c r="S40" s="63" t="n">
        <v>0.05</v>
      </c>
      <c r="T40" s="62" t="n">
        <v>0.45</v>
      </c>
      <c r="U40" s="63" t="n">
        <v>0</v>
      </c>
    </row>
    <row r="41">
      <c r="A41" s="18" t="inlineStr">
        <is>
          <t xml:space="preserve">U020 </t>
        </is>
      </c>
      <c r="B41" s="18" t="inlineStr">
        <is>
          <t xml:space="preserve">ADM. I.U. DEL AGUA Y DE LAS CIENCIAS AMBIENTALES </t>
        </is>
      </c>
      <c r="C41" s="18" t="inlineStr">
        <is>
          <t xml:space="preserve">DOCTORADO EN AGUA Y DESARROLLO SOSTENIBLE </t>
        </is>
      </c>
      <c r="D41" s="18" t="inlineStr">
        <is>
          <t xml:space="preserve">Maas dos Anjos, Rafael </t>
        </is>
      </c>
      <c r="E41" s="18" t="inlineStr">
        <is>
          <t xml:space="preserve">ECONOMIA CIRCULAR NA PÓS-MODERNIDADE: GESTÃO SUSTENTÁVEL E RESPONSÁVEL DOS RESÍDUOS SÓLIDOS PÓS-CONSUMO EM TEMPOS DE OBSOLESCÊNCIA PLANEJADA </t>
        </is>
      </c>
      <c r="F41" s="18" t="inlineStr">
        <is>
          <t xml:space="preserve">14/05/2021 </t>
        </is>
      </c>
      <c r="G41" s="18" t="inlineStr">
        <is>
          <t xml:space="preserve">21502998E </t>
        </is>
      </c>
      <c r="H41" s="18" t="inlineStr">
        <is>
          <t xml:space="preserve">Codirector de tesis </t>
        </is>
      </c>
      <c r="I41" s="18" t="inlineStr">
        <is>
          <t xml:space="preserve">B113 </t>
        </is>
      </c>
      <c r="J41" s="18" t="inlineStr">
        <is>
          <t xml:space="preserve">ESTUDIOS JURIDICOS DEL ESTADO </t>
        </is>
      </c>
      <c r="K41" s="18" t="n">
        <v>0.5</v>
      </c>
      <c r="L41" s="18" t="inlineStr">
        <is>
          <t>B113</t>
        </is>
      </c>
      <c r="M41" s="18" t="n">
        <v>2020</v>
      </c>
      <c r="N41" s="18" t="inlineStr">
        <is>
          <t>10.05</t>
        </is>
      </c>
      <c r="O41" s="18" t="n">
        <v>60</v>
      </c>
      <c r="P41" s="18" t="inlineStr"/>
      <c r="Q41" s="18" t="n">
        <v>0</v>
      </c>
      <c r="R41" s="18" t="n">
        <v>40</v>
      </c>
      <c r="S41" s="63" t="n">
        <v>0.2</v>
      </c>
      <c r="T41" s="62" t="n">
        <v>0.3</v>
      </c>
      <c r="U41" s="63" t="n">
        <v>0</v>
      </c>
    </row>
    <row r="42">
      <c r="A42" s="18" t="inlineStr">
        <is>
          <t xml:space="preserve">U022 </t>
        </is>
      </c>
      <c r="B42" s="18" t="inlineStr">
        <is>
          <t xml:space="preserve">ADM. FACULTAD DE CIENCIAS </t>
        </is>
      </c>
      <c r="C42" s="18" t="inlineStr">
        <is>
          <t xml:space="preserve">DOCTORADO EN CIENCIAS EXPERIMENTALES Y BIOSANITARIAS </t>
        </is>
      </c>
      <c r="D42" s="18" t="inlineStr">
        <is>
          <t xml:space="preserve">Lledó García, David </t>
        </is>
      </c>
      <c r="E42" s="18" t="inlineStr">
        <is>
          <t xml:space="preserve">APPLICATIONS OF IONIC LIQUIDS IN CATALYSIS AND METAL EXTRACTION </t>
        </is>
      </c>
      <c r="F42" s="18" t="inlineStr">
        <is>
          <t xml:space="preserve">19/02/2021 </t>
        </is>
      </c>
      <c r="G42" s="18" t="inlineStr">
        <is>
          <t xml:space="preserve">48348315S </t>
        </is>
      </c>
      <c r="H42" s="18" t="inlineStr">
        <is>
          <t xml:space="preserve">Codirector de tesis </t>
        </is>
      </c>
      <c r="I42" s="18" t="inlineStr">
        <is>
          <t xml:space="preserve">B169 </t>
        </is>
      </c>
      <c r="J42" s="18" t="inlineStr">
        <is>
          <t xml:space="preserve">QUÍMICA ANALÍTICA, NUTRICIÓN Y BROMATOLOGÍA </t>
        </is>
      </c>
      <c r="K42" s="18" t="n">
        <v>0.5</v>
      </c>
      <c r="L42" s="18" t="inlineStr">
        <is>
          <t>B169</t>
        </is>
      </c>
      <c r="M42" s="18" t="n">
        <v>2020</v>
      </c>
      <c r="N42" s="18" t="inlineStr">
        <is>
          <t>10.05</t>
        </is>
      </c>
      <c r="O42" s="18" t="n">
        <v>10</v>
      </c>
      <c r="P42" s="18" t="inlineStr"/>
      <c r="Q42" s="18" t="n">
        <v>0</v>
      </c>
      <c r="R42" s="18" t="n">
        <v>90</v>
      </c>
      <c r="S42" s="63" t="n">
        <v>0.45</v>
      </c>
      <c r="T42" s="62" t="n">
        <v>0.05</v>
      </c>
      <c r="U42" s="63" t="n">
        <v>0</v>
      </c>
    </row>
    <row r="43">
      <c r="A43" s="18" t="inlineStr">
        <is>
          <t xml:space="preserve">U025 </t>
        </is>
      </c>
      <c r="B43" s="18" t="inlineStr">
        <is>
          <t xml:space="preserve">ADM. FACULTAD DE DERECHO </t>
        </is>
      </c>
      <c r="C43" s="18" t="inlineStr">
        <is>
          <t xml:space="preserve">DOCTORADO EN DERECHO </t>
        </is>
      </c>
      <c r="D43" s="18" t="inlineStr">
        <is>
          <t xml:space="preserve">García Ortiz, Adrián </t>
        </is>
      </c>
      <c r="E43" s="18" t="inlineStr">
        <is>
          <t xml:space="preserve">Orden público y Unión Europea. Una contribución a la construcción constitucional europea </t>
        </is>
      </c>
      <c r="F43" s="18" t="inlineStr">
        <is>
          <t xml:space="preserve">30/09/2021 </t>
        </is>
      </c>
      <c r="G43" s="18" t="inlineStr">
        <is>
          <t xml:space="preserve">21401019W </t>
        </is>
      </c>
      <c r="H43" s="18" t="inlineStr">
        <is>
          <t xml:space="preserve">Director de tesis </t>
        </is>
      </c>
      <c r="I43" s="18" t="inlineStr">
        <is>
          <t xml:space="preserve">B113 </t>
        </is>
      </c>
      <c r="J43" s="18" t="inlineStr">
        <is>
          <t xml:space="preserve">ESTUDIOS JURIDICOS DEL ESTADO </t>
        </is>
      </c>
      <c r="K43" s="18" t="n">
        <v>1</v>
      </c>
      <c r="L43" s="18" t="inlineStr">
        <is>
          <t>B113</t>
        </is>
      </c>
      <c r="M43" s="18" t="n">
        <v>2020</v>
      </c>
      <c r="N43" s="18" t="inlineStr">
        <is>
          <t>10.05</t>
        </is>
      </c>
      <c r="O43" s="18" t="n">
        <v>30</v>
      </c>
      <c r="P43" s="18" t="inlineStr"/>
      <c r="Q43" s="18" t="n">
        <v>0</v>
      </c>
      <c r="R43" s="18" t="n">
        <v>70</v>
      </c>
      <c r="S43" s="63" t="n">
        <v>0.7</v>
      </c>
      <c r="T43" s="62" t="n">
        <v>0.3</v>
      </c>
      <c r="U43" s="63" t="n">
        <v>0</v>
      </c>
    </row>
    <row r="44">
      <c r="A44" s="18" t="inlineStr">
        <is>
          <t xml:space="preserve">U062 </t>
        </is>
      </c>
      <c r="B44" s="18" t="inlineStr">
        <is>
          <t xml:space="preserve">ADM. I.U. DE INVESTIGACIÓN INFORMÁTICA </t>
        </is>
      </c>
      <c r="C44" s="18" t="inlineStr">
        <is>
          <t xml:space="preserve">DOCTORADO EN INFORMÁTICA </t>
        </is>
      </c>
      <c r="D44" s="18" t="inlineStr">
        <is>
          <t xml:space="preserve">Mora Lizán, Francisco José </t>
        </is>
      </c>
      <c r="E44" s="18" t="inlineStr">
        <is>
          <t xml:space="preserve">Avances en modelado de sistemas multiagente. Propuesta de arquitectura híbrida multinivel </t>
        </is>
      </c>
      <c r="F44" s="18" t="inlineStr">
        <is>
          <t xml:space="preserve">26/01/2021 </t>
        </is>
      </c>
      <c r="G44" s="18" t="inlineStr">
        <is>
          <t xml:space="preserve">48624316Q </t>
        </is>
      </c>
      <c r="H44" s="18" t="inlineStr">
        <is>
          <t xml:space="preserve">Codirector de tesis </t>
        </is>
      </c>
      <c r="I44" s="18" t="inlineStr">
        <is>
          <t xml:space="preserve">B147 </t>
        </is>
      </c>
      <c r="J44" s="18" t="inlineStr">
        <is>
          <t xml:space="preserve">CONSTRUCCIONES ARQUITECTONICAS </t>
        </is>
      </c>
      <c r="K44" s="18" t="n">
        <v>0.5</v>
      </c>
      <c r="L44" s="18" t="inlineStr">
        <is>
          <t>B147</t>
        </is>
      </c>
      <c r="M44" s="18" t="n">
        <v>2020</v>
      </c>
      <c r="N44" s="18" t="inlineStr">
        <is>
          <t>10.05</t>
        </is>
      </c>
      <c r="O44" s="18" t="n">
        <v>20</v>
      </c>
      <c r="P44" s="18" t="inlineStr"/>
      <c r="Q44" s="18" t="n">
        <v>0</v>
      </c>
      <c r="R44" s="18" t="n">
        <v>80</v>
      </c>
      <c r="S44" s="63" t="n">
        <v>0.4</v>
      </c>
      <c r="T44" s="62" t="n">
        <v>0.1</v>
      </c>
      <c r="U44" s="63" t="n">
        <v>0</v>
      </c>
    </row>
    <row r="45">
      <c r="A45" s="18" t="inlineStr">
        <is>
          <t xml:space="preserve">B171 </t>
        </is>
      </c>
      <c r="B45" s="18" t="inlineStr">
        <is>
          <t xml:space="preserve">CIENCIAS DEL MAR Y BIOLOGÍA APLICADA </t>
        </is>
      </c>
      <c r="C45" s="18" t="inlineStr">
        <is>
          <t xml:space="preserve">DOCTORADO EN CIENCIAS DEL MAR Y BIOLOGÍA APLICADA </t>
        </is>
      </c>
      <c r="D45" s="18" t="inlineStr">
        <is>
          <t xml:space="preserve">Nataniel , Anildo Naftal </t>
        </is>
      </c>
      <c r="E45" s="18" t="inlineStr">
        <is>
          <t xml:space="preserve">A Socio-Ecological and Economic Approach to Tropical tuna Fisheries in the Mozambique Channel </t>
        </is>
      </c>
      <c r="F45" s="18" t="inlineStr">
        <is>
          <t xml:space="preserve">27/09/2021 </t>
        </is>
      </c>
      <c r="G45" s="18" t="inlineStr">
        <is>
          <t xml:space="preserve">48568823E </t>
        </is>
      </c>
      <c r="H45" s="18" t="inlineStr">
        <is>
          <t xml:space="preserve">Codirector de tesis </t>
        </is>
      </c>
      <c r="I45" s="18" t="inlineStr">
        <is>
          <t xml:space="preserve">B171 </t>
        </is>
      </c>
      <c r="J45" s="18" t="inlineStr">
        <is>
          <t xml:space="preserve">CIENCIAS DEL MAR Y BIOLOGÍA APLICADA </t>
        </is>
      </c>
      <c r="K45" s="18" t="n">
        <v>0.5</v>
      </c>
      <c r="L45" s="18" t="inlineStr">
        <is>
          <t>B171</t>
        </is>
      </c>
      <c r="M45" s="18" t="n">
        <v>2020</v>
      </c>
      <c r="N45" s="18" t="inlineStr">
        <is>
          <t>10.05</t>
        </is>
      </c>
      <c r="O45" s="18" t="n">
        <v>10</v>
      </c>
      <c r="P45" s="18" t="inlineStr">
        <is>
          <t>10.16</t>
        </is>
      </c>
      <c r="Q45" s="18" t="n">
        <v>10</v>
      </c>
      <c r="R45" s="18" t="n">
        <v>80</v>
      </c>
      <c r="S45" s="63" t="n">
        <v>0.4</v>
      </c>
      <c r="T45" s="62" t="n">
        <v>0.05</v>
      </c>
      <c r="U45" s="63" t="n">
        <v>0.05</v>
      </c>
    </row>
    <row r="46">
      <c r="A46" s="18" t="inlineStr">
        <is>
          <t xml:space="preserve">B171 </t>
        </is>
      </c>
      <c r="B46" s="18" t="inlineStr">
        <is>
          <t xml:space="preserve">CIENCIAS DEL MAR Y BIOLOGÍA APLICADA </t>
        </is>
      </c>
      <c r="C46" s="18" t="inlineStr">
        <is>
          <t xml:space="preserve">DOCTORADO EN CIENCIAS DEL MAR Y BIOLOGÍA APLICADA </t>
        </is>
      </c>
      <c r="D46" s="18" t="inlineStr">
        <is>
          <t xml:space="preserve">Izquierdo Muñoz, Andres </t>
        </is>
      </c>
      <c r="E46" s="18" t="inlineStr">
        <is>
          <t xml:space="preserve">Contribución al conocimiento de la fauna exótica en el Mar Mediterráneo, con especial atención al Sudeste Ibérico </t>
        </is>
      </c>
      <c r="F46" s="18" t="inlineStr">
        <is>
          <t xml:space="preserve">25/03/2022 </t>
        </is>
      </c>
      <c r="G46" s="18" t="inlineStr">
        <is>
          <t xml:space="preserve">21374844R </t>
        </is>
      </c>
      <c r="H46" s="18" t="inlineStr">
        <is>
          <t xml:space="preserve">Director de tesis </t>
        </is>
      </c>
      <c r="I46" s="18" t="inlineStr">
        <is>
          <t xml:space="preserve">B171 </t>
        </is>
      </c>
      <c r="J46" s="18" t="inlineStr">
        <is>
          <t xml:space="preserve">CIENCIAS DEL MAR Y BIOLOGÍA APLICADA </t>
        </is>
      </c>
      <c r="K46" s="18" t="n">
        <v>1</v>
      </c>
      <c r="L46" s="18" t="inlineStr">
        <is>
          <t>B171</t>
        </is>
      </c>
      <c r="M46" s="18" t="n">
        <v>2021</v>
      </c>
      <c r="N46" s="18" t="inlineStr">
        <is>
          <t>10.05</t>
        </is>
      </c>
      <c r="O46" s="18" t="n">
        <v>10</v>
      </c>
      <c r="P46" s="18" t="inlineStr"/>
      <c r="Q46" s="18" t="n">
        <v>0</v>
      </c>
      <c r="R46" s="18" t="n">
        <v>90</v>
      </c>
      <c r="S46" s="63" t="n">
        <v>0.9</v>
      </c>
      <c r="T46" s="62" t="n">
        <v>0.1</v>
      </c>
      <c r="U46" s="63" t="n">
        <v>0</v>
      </c>
    </row>
    <row r="47">
      <c r="A47" s="18" t="inlineStr">
        <is>
          <t xml:space="preserve">B171 </t>
        </is>
      </c>
      <c r="B47" s="18" t="inlineStr">
        <is>
          <t xml:space="preserve">CIENCIAS DEL MAR Y BIOLOGÍA APLICADA </t>
        </is>
      </c>
      <c r="C47" s="18" t="inlineStr">
        <is>
          <t xml:space="preserve">DOCTORADO EN CIENCIAS DEL MAR Y BIOLOGÍA APLICADA </t>
        </is>
      </c>
      <c r="D47" s="18" t="inlineStr">
        <is>
          <t xml:space="preserve">Muñoz Muñoz, Pamela Tamara </t>
        </is>
      </c>
      <c r="E47" s="18" t="inlineStr">
        <is>
          <t xml:space="preserve">Respuestas Fisiológicas y metabólicas de macroalgas expuestas a estrés osmótico por hipersalinidad: mecanismos de tolerancia y herramientas de biomonitoreo </t>
        </is>
      </c>
      <c r="F47" s="18" t="inlineStr">
        <is>
          <t xml:space="preserve">26/11/2021 </t>
        </is>
      </c>
      <c r="G47" s="18" t="inlineStr">
        <is>
          <t xml:space="preserve">48568823E </t>
        </is>
      </c>
      <c r="H47" s="18" t="inlineStr">
        <is>
          <t xml:space="preserve">Codirector de tesis </t>
        </is>
      </c>
      <c r="I47" s="18" t="inlineStr">
        <is>
          <t xml:space="preserve">B171 </t>
        </is>
      </c>
      <c r="J47" s="18" t="inlineStr">
        <is>
          <t xml:space="preserve">CIENCIAS DEL MAR Y BIOLOGÍA APLICADA </t>
        </is>
      </c>
      <c r="K47" s="18" t="n">
        <v>0.5</v>
      </c>
      <c r="L47" s="18" t="inlineStr">
        <is>
          <t>B171</t>
        </is>
      </c>
      <c r="M47" s="18" t="n">
        <v>2021</v>
      </c>
      <c r="N47" s="18" t="inlineStr">
        <is>
          <t>10.05</t>
        </is>
      </c>
      <c r="O47" s="18" t="n">
        <v>10</v>
      </c>
      <c r="P47" s="18" t="inlineStr">
        <is>
          <t>10.16</t>
        </is>
      </c>
      <c r="Q47" s="18" t="n">
        <v>10</v>
      </c>
      <c r="R47" s="18" t="n">
        <v>80</v>
      </c>
      <c r="S47" s="63" t="n">
        <v>0.4</v>
      </c>
      <c r="T47" s="62" t="n">
        <v>0.05</v>
      </c>
      <c r="U47" s="63" t="n">
        <v>0.05</v>
      </c>
    </row>
    <row r="48">
      <c r="A48" s="18" t="inlineStr">
        <is>
          <t xml:space="preserve">U020 </t>
        </is>
      </c>
      <c r="B48" s="18" t="inlineStr">
        <is>
          <t xml:space="preserve">ADM. I.U. DEL AGUA Y DE LAS CIENCIAS AMBIENTALES </t>
        </is>
      </c>
      <c r="C48" s="18" t="inlineStr">
        <is>
          <t xml:space="preserve">DOCTORADO EN AGUA Y DESARROLLO SOSTENIBLE </t>
        </is>
      </c>
      <c r="D48" s="18" t="inlineStr">
        <is>
          <t xml:space="preserve">López Davó, Joaquín Antonio </t>
        </is>
      </c>
      <c r="E48" s="18" t="inlineStr">
        <is>
          <t xml:space="preserve">La evolución del concepto de confort: el confort ambiental en edificios docentes y administrativos </t>
        </is>
      </c>
      <c r="F48" s="18" t="inlineStr">
        <is>
          <t xml:space="preserve">25/03/2022 </t>
        </is>
      </c>
      <c r="G48" s="18" t="inlineStr">
        <is>
          <t xml:space="preserve">46336900L </t>
        </is>
      </c>
      <c r="H48" s="18" t="inlineStr">
        <is>
          <t xml:space="preserve">Codirector de tesis </t>
        </is>
      </c>
      <c r="I48" s="18" t="inlineStr">
        <is>
          <t xml:space="preserve">B184 </t>
        </is>
      </c>
      <c r="J48" s="18" t="inlineStr">
        <is>
          <t xml:space="preserve">EDIFICACIÓN Y URBANISMO </t>
        </is>
      </c>
      <c r="K48" s="18" t="n">
        <v>0.5</v>
      </c>
      <c r="L48" s="18" t="inlineStr">
        <is>
          <t>B184</t>
        </is>
      </c>
      <c r="M48" s="18" t="n">
        <v>2021</v>
      </c>
      <c r="N48" s="18" t="inlineStr">
        <is>
          <t>10.05</t>
        </is>
      </c>
      <c r="O48" s="18" t="n">
        <v>20</v>
      </c>
      <c r="P48" s="18" t="inlineStr">
        <is>
          <t>10.25</t>
        </is>
      </c>
      <c r="Q48" s="18" t="n">
        <v>10</v>
      </c>
      <c r="R48" s="18" t="n">
        <v>70</v>
      </c>
      <c r="S48" s="63" t="n">
        <v>0.35</v>
      </c>
      <c r="T48" s="62" t="n">
        <v>0.1</v>
      </c>
      <c r="U48" s="63" t="n">
        <v>0.05</v>
      </c>
    </row>
    <row r="49">
      <c r="A49" s="18" t="inlineStr">
        <is>
          <t xml:space="preserve">U020 </t>
        </is>
      </c>
      <c r="B49" s="18" t="inlineStr">
        <is>
          <t xml:space="preserve">ADM. I.U. DEL AGUA Y DE LAS CIENCIAS AMBIENTALES </t>
        </is>
      </c>
      <c r="C49" s="18" t="inlineStr">
        <is>
          <t xml:space="preserve">DOCTORADO EN AGUA Y DESARROLLO SOSTENIBLE </t>
        </is>
      </c>
      <c r="D49" s="18" t="inlineStr">
        <is>
          <t xml:space="preserve">Aldeguer Esquerdo, Alejandro </t>
        </is>
      </c>
      <c r="E49" s="18" t="inlineStr">
        <is>
          <t xml:space="preserve">Tratamientos combinados mediante carbón activado y ozono para reducir la presencia de atrazina, simazina, carbamazepina y diclofenaco en medio acuoso. </t>
        </is>
      </c>
      <c r="F49" s="18" t="inlineStr">
        <is>
          <t xml:space="preserve">27/05/2022 </t>
        </is>
      </c>
      <c r="G49" s="18" t="inlineStr">
        <is>
          <t xml:space="preserve">48316901L </t>
        </is>
      </c>
      <c r="H49" s="18" t="inlineStr">
        <is>
          <t xml:space="preserve">Codirector de tesis </t>
        </is>
      </c>
      <c r="I49" s="18" t="inlineStr">
        <is>
          <t xml:space="preserve">B187 </t>
        </is>
      </c>
      <c r="J49" s="18" t="inlineStr">
        <is>
          <t xml:space="preserve">EXPRESION GRAFICA, COMPOSICIÓN Y PROYECTOS </t>
        </is>
      </c>
      <c r="K49" s="18" t="n">
        <v>0.5</v>
      </c>
      <c r="L49" s="18" t="inlineStr">
        <is>
          <t>B187</t>
        </is>
      </c>
      <c r="M49" s="18" t="n">
        <v>2021</v>
      </c>
      <c r="N49" s="18" t="inlineStr">
        <is>
          <t>10.05</t>
        </is>
      </c>
      <c r="O49" s="18" t="n">
        <v>50</v>
      </c>
      <c r="P49" s="18" t="inlineStr"/>
      <c r="Q49" s="18" t="n">
        <v>0</v>
      </c>
      <c r="R49" s="18" t="n">
        <v>50</v>
      </c>
      <c r="S49" s="63" t="n">
        <v>0.25</v>
      </c>
      <c r="T49" s="62" t="n">
        <v>0.25</v>
      </c>
      <c r="U49" s="63" t="n">
        <v>0</v>
      </c>
    </row>
    <row r="50">
      <c r="A50" s="18" t="inlineStr">
        <is>
          <t xml:space="preserve">U020 </t>
        </is>
      </c>
      <c r="B50" s="18" t="inlineStr">
        <is>
          <t xml:space="preserve">ADM. I.U. DEL AGUA Y DE LAS CIENCIAS AMBIENTALES </t>
        </is>
      </c>
      <c r="C50" s="18" t="inlineStr">
        <is>
          <t xml:space="preserve">DOCTORADO EN AGUA Y DESARROLLO SOSTENIBLE </t>
        </is>
      </c>
      <c r="D50" s="18" t="inlineStr">
        <is>
          <t xml:space="preserve">Aldeguer Esquerdo, Alejandro </t>
        </is>
      </c>
      <c r="E50" s="18" t="inlineStr">
        <is>
          <t xml:space="preserve">Tratamientos combinados mediante carbón activado y ozono para reducir la presencia de atrazina, simazina, carbamazepina y diclofenaco en medio acuoso. </t>
        </is>
      </c>
      <c r="F50" s="18" t="inlineStr">
        <is>
          <t xml:space="preserve">27/05/2022 </t>
        </is>
      </c>
      <c r="G50" s="18" t="inlineStr">
        <is>
          <t xml:space="preserve">21407034Z </t>
        </is>
      </c>
      <c r="H50" s="18" t="inlineStr">
        <is>
          <t xml:space="preserve">Codirector de tesis </t>
        </is>
      </c>
      <c r="I50" s="18" t="inlineStr">
        <is>
          <t xml:space="preserve">B151 </t>
        </is>
      </c>
      <c r="J50" s="18" t="inlineStr">
        <is>
          <t xml:space="preserve">INGENIERÍA QUÍMICA </t>
        </is>
      </c>
      <c r="K50" s="18" t="n">
        <v>0.5</v>
      </c>
      <c r="L50" s="18" t="inlineStr">
        <is>
          <t>B151</t>
        </is>
      </c>
      <c r="M50" s="18" t="n">
        <v>2021</v>
      </c>
      <c r="N50" s="18" t="inlineStr">
        <is>
          <t>10.05</t>
        </is>
      </c>
      <c r="O50" s="18" t="n">
        <v>45</v>
      </c>
      <c r="P50" s="18" t="inlineStr">
        <is>
          <t>10.09</t>
        </is>
      </c>
      <c r="Q50" s="18" t="n">
        <v>45</v>
      </c>
      <c r="R50" s="18" t="n">
        <v>10</v>
      </c>
      <c r="S50" s="63" t="n">
        <v>0.05</v>
      </c>
      <c r="T50" s="62" t="n">
        <v>0.225</v>
      </c>
      <c r="U50" s="63" t="n">
        <v>0.225</v>
      </c>
    </row>
    <row r="51">
      <c r="A51" s="18" t="inlineStr">
        <is>
          <t xml:space="preserve">U020 </t>
        </is>
      </c>
      <c r="B51" s="18" t="inlineStr">
        <is>
          <t xml:space="preserve">ADM. I.U. DEL AGUA Y DE LAS CIENCIAS AMBIENTALES </t>
        </is>
      </c>
      <c r="C51" s="18" t="inlineStr">
        <is>
          <t xml:space="preserve">DOCTORADO EN AGUA Y DESARROLLO SOSTENIBLE </t>
        </is>
      </c>
      <c r="D51" s="18" t="inlineStr">
        <is>
          <t xml:space="preserve">Pisano Motta Gemignani, Viviane </t>
        </is>
      </c>
      <c r="E51" s="18" t="inlineStr">
        <is>
          <t xml:space="preserve">MAPAS CAUSAIS COLABORATIVOS COMO FERRAMENTA DA AVALIAÇÃO DE IMPACTO SOCIAL EM TERRITÓRIOS DE MINERAÇÃO: contribuições para a gestão dos impactos sociais </t>
        </is>
      </c>
      <c r="F51" s="18" t="inlineStr">
        <is>
          <t xml:space="preserve">06/09/2022 </t>
        </is>
      </c>
      <c r="G51" s="18" t="inlineStr">
        <is>
          <t xml:space="preserve">21439172K </t>
        </is>
      </c>
      <c r="H51" s="18" t="inlineStr">
        <is>
          <t xml:space="preserve">Codirector de tesis </t>
        </is>
      </c>
      <c r="I51" s="18" t="inlineStr">
        <is>
          <t xml:space="preserve">B179 </t>
        </is>
      </c>
      <c r="J51" s="18" t="inlineStr">
        <is>
          <t xml:space="preserve">SOCIOLOGÍA I </t>
        </is>
      </c>
      <c r="K51" s="18" t="n">
        <v>0.5</v>
      </c>
      <c r="L51" s="18" t="inlineStr">
        <is>
          <t>B179</t>
        </is>
      </c>
      <c r="M51" s="18" t="n">
        <v>2021</v>
      </c>
      <c r="N51" s="18" t="inlineStr">
        <is>
          <t>10.05</t>
        </is>
      </c>
      <c r="O51" s="18" t="n">
        <v>50</v>
      </c>
      <c r="P51" s="18" t="inlineStr">
        <is>
          <t>10.17</t>
        </is>
      </c>
      <c r="Q51" s="18" t="n">
        <v>10</v>
      </c>
      <c r="R51" s="18" t="n">
        <v>40</v>
      </c>
      <c r="S51" s="63" t="n">
        <v>0.2</v>
      </c>
      <c r="T51" s="62" t="n">
        <v>0.25</v>
      </c>
      <c r="U51" s="63" t="n">
        <v>0.05</v>
      </c>
    </row>
    <row r="52">
      <c r="A52" s="18" t="inlineStr">
        <is>
          <t xml:space="preserve">U020 </t>
        </is>
      </c>
      <c r="B52" s="18" t="inlineStr">
        <is>
          <t xml:space="preserve">ADM. I.U. DEL AGUA Y DE LAS CIENCIAS AMBIENTALES </t>
        </is>
      </c>
      <c r="C52" s="18" t="inlineStr">
        <is>
          <t xml:space="preserve">DOCTORADO EN AGUA Y DESARROLLO SOSTENIBLE </t>
        </is>
      </c>
      <c r="D52" s="18" t="inlineStr">
        <is>
          <t xml:space="preserve">Aldaghma , Saleh </t>
        </is>
      </c>
      <c r="E52" s="18" t="inlineStr">
        <is>
          <t xml:space="preserve">"The prospects of water sustainability in Gaza, Palestine in light of politics and technical challenges" </t>
        </is>
      </c>
      <c r="F52" s="18" t="inlineStr">
        <is>
          <t xml:space="preserve">09/02/2022 </t>
        </is>
      </c>
      <c r="G52" s="18" t="inlineStr">
        <is>
          <t xml:space="preserve">48568823E </t>
        </is>
      </c>
      <c r="H52" s="18" t="inlineStr">
        <is>
          <t xml:space="preserve">Director de tesis </t>
        </is>
      </c>
      <c r="I52" s="18" t="inlineStr">
        <is>
          <t xml:space="preserve">B171 </t>
        </is>
      </c>
      <c r="J52" s="18" t="inlineStr">
        <is>
          <t xml:space="preserve">CIENCIAS DEL MAR Y BIOLOGÍA APLICADA </t>
        </is>
      </c>
      <c r="K52" s="18" t="n">
        <v>1</v>
      </c>
      <c r="L52" s="18" t="inlineStr">
        <is>
          <t>B171</t>
        </is>
      </c>
      <c r="M52" s="18" t="n">
        <v>2021</v>
      </c>
      <c r="N52" s="18" t="inlineStr">
        <is>
          <t>10.05</t>
        </is>
      </c>
      <c r="O52" s="18" t="n">
        <v>10</v>
      </c>
      <c r="P52" s="18" t="inlineStr">
        <is>
          <t>10.16</t>
        </is>
      </c>
      <c r="Q52" s="18" t="n">
        <v>10</v>
      </c>
      <c r="R52" s="18" t="n">
        <v>80</v>
      </c>
      <c r="S52" s="63" t="n">
        <v>0.8</v>
      </c>
      <c r="T52" s="62" t="n">
        <v>0.1</v>
      </c>
      <c r="U52" s="63" t="n">
        <v>0.1</v>
      </c>
    </row>
    <row r="53">
      <c r="A53" s="18" t="inlineStr">
        <is>
          <t xml:space="preserve">U025 </t>
        </is>
      </c>
      <c r="B53" s="18" t="inlineStr">
        <is>
          <t xml:space="preserve">ADM. FACULTAD DE DERECHO </t>
        </is>
      </c>
      <c r="C53" s="18" t="inlineStr">
        <is>
          <t xml:space="preserve">DOCTORADO EN DERECHO </t>
        </is>
      </c>
      <c r="D53" s="18" t="inlineStr">
        <is>
          <t xml:space="preserve">Villalba Clemente, Francisco Gabriel </t>
        </is>
      </c>
      <c r="E53" s="18" t="inlineStr">
        <is>
          <t xml:space="preserve">El modelo constitucional de organización y financiación territorial en la República Federal de Alemania: Aportaciones al modelo español </t>
        </is>
      </c>
      <c r="F53" s="18" t="inlineStr">
        <is>
          <t xml:space="preserve">17/06/2022 </t>
        </is>
      </c>
      <c r="G53" s="18" t="inlineStr">
        <is>
          <t xml:space="preserve">21401019W </t>
        </is>
      </c>
      <c r="H53" s="18" t="inlineStr">
        <is>
          <t xml:space="preserve">Codirector de tesis </t>
        </is>
      </c>
      <c r="I53" s="18" t="inlineStr">
        <is>
          <t xml:space="preserve">B113 </t>
        </is>
      </c>
      <c r="J53" s="18" t="inlineStr">
        <is>
          <t xml:space="preserve">ESTUDIOS JURIDICOS DEL ESTADO </t>
        </is>
      </c>
      <c r="K53" s="18" t="n">
        <v>0.5</v>
      </c>
      <c r="L53" s="18" t="inlineStr">
        <is>
          <t>B113</t>
        </is>
      </c>
      <c r="M53" s="18" t="n">
        <v>2021</v>
      </c>
      <c r="N53" s="18" t="inlineStr">
        <is>
          <t>10.05</t>
        </is>
      </c>
      <c r="O53" s="18" t="n">
        <v>30</v>
      </c>
      <c r="P53" s="18" t="inlineStr"/>
      <c r="Q53" s="18" t="n">
        <v>0</v>
      </c>
      <c r="R53" s="18" t="n">
        <v>70</v>
      </c>
      <c r="S53" s="63" t="n">
        <v>0.35</v>
      </c>
      <c r="T53" s="62" t="n">
        <v>0.15</v>
      </c>
      <c r="U53" s="63" t="n">
        <v>0</v>
      </c>
    </row>
    <row r="54">
      <c r="A54" s="18" t="inlineStr">
        <is>
          <t xml:space="preserve">U025 </t>
        </is>
      </c>
      <c r="B54" s="18" t="inlineStr">
        <is>
          <t xml:space="preserve">ADM. FACULTAD DE DERECHO </t>
        </is>
      </c>
      <c r="C54" s="18" t="inlineStr">
        <is>
          <t xml:space="preserve">DOCTORADO EN DERECHO </t>
        </is>
      </c>
      <c r="D54" s="18" t="inlineStr">
        <is>
          <t xml:space="preserve">Cordero Cervantes, Felipe Bernardo </t>
        </is>
      </c>
      <c r="E54" s="18" t="inlineStr">
        <is>
          <t xml:space="preserve">La nueva perspectiva de la acción de amparo en Bolivia. Referencias al recurso de amparo español </t>
        </is>
      </c>
      <c r="F54" s="18" t="inlineStr">
        <is>
          <t xml:space="preserve">04/02/2022 </t>
        </is>
      </c>
      <c r="G54" s="18" t="inlineStr">
        <is>
          <t xml:space="preserve">21401019W </t>
        </is>
      </c>
      <c r="H54" s="18" t="inlineStr">
        <is>
          <t xml:space="preserve">Director de tesis </t>
        </is>
      </c>
      <c r="I54" s="18" t="inlineStr">
        <is>
          <t xml:space="preserve">B113 </t>
        </is>
      </c>
      <c r="J54" s="18" t="inlineStr">
        <is>
          <t xml:space="preserve">ESTUDIOS JURIDICOS DEL ESTADO </t>
        </is>
      </c>
      <c r="K54" s="18" t="n">
        <v>1</v>
      </c>
      <c r="L54" s="18" t="inlineStr">
        <is>
          <t>B113</t>
        </is>
      </c>
      <c r="M54" s="18" t="n">
        <v>2021</v>
      </c>
      <c r="N54" s="18" t="inlineStr">
        <is>
          <t>10.05</t>
        </is>
      </c>
      <c r="O54" s="18" t="n">
        <v>30</v>
      </c>
      <c r="P54" s="18" t="inlineStr"/>
      <c r="Q54" s="18" t="n">
        <v>0</v>
      </c>
      <c r="R54" s="18" t="n">
        <v>70</v>
      </c>
      <c r="S54" s="63" t="n">
        <v>0.7</v>
      </c>
      <c r="T54" s="62" t="n">
        <v>0.3</v>
      </c>
      <c r="U54" s="63" t="n">
        <v>0</v>
      </c>
    </row>
    <row r="55">
      <c r="A55" s="18" t="inlineStr">
        <is>
          <t xml:space="preserve">U036 </t>
        </is>
      </c>
      <c r="B55" s="18" t="inlineStr">
        <is>
          <t xml:space="preserve">ADM. FACULTAD DE CIENCIAS ECONÓMICAS </t>
        </is>
      </c>
      <c r="C55" s="18" t="inlineStr">
        <is>
          <t xml:space="preserve">DOCTORADO EN EMPRESA, ECONOMÍA Y SOCIEDAD </t>
        </is>
      </c>
      <c r="D55" s="18" t="inlineStr">
        <is>
          <t xml:space="preserve">Punset Bannel, Carolina Clara </t>
        </is>
      </c>
      <c r="E55" s="18" t="inlineStr">
        <is>
          <t xml:space="preserve">LA TRANSICIÓN ENERGÉTICA HACIA UN MODELO DESCARBONIZADO DESDE LA PERSPECTIVA DE LOS LOBBIES EN LA UNIÓN EUROPEA </t>
        </is>
      </c>
      <c r="F55" s="18" t="inlineStr">
        <is>
          <t xml:space="preserve">08/04/2022 </t>
        </is>
      </c>
      <c r="G55" s="18" t="inlineStr">
        <is>
          <t xml:space="preserve">21439172K </t>
        </is>
      </c>
      <c r="H55" s="18" t="inlineStr">
        <is>
          <t xml:space="preserve">Codirector de tesis </t>
        </is>
      </c>
      <c r="I55" s="18" t="inlineStr">
        <is>
          <t xml:space="preserve">B179 </t>
        </is>
      </c>
      <c r="J55" s="18" t="inlineStr">
        <is>
          <t xml:space="preserve">SOCIOLOGÍA I </t>
        </is>
      </c>
      <c r="K55" s="18" t="n">
        <v>0.5</v>
      </c>
      <c r="L55" s="18" t="inlineStr">
        <is>
          <t>B179</t>
        </is>
      </c>
      <c r="M55" s="18" t="n">
        <v>2021</v>
      </c>
      <c r="N55" s="18" t="inlineStr">
        <is>
          <t>10.05</t>
        </is>
      </c>
      <c r="O55" s="18" t="n">
        <v>50</v>
      </c>
      <c r="P55" s="18" t="inlineStr">
        <is>
          <t>10.17</t>
        </is>
      </c>
      <c r="Q55" s="18" t="n">
        <v>10</v>
      </c>
      <c r="R55" s="18" t="n">
        <v>40</v>
      </c>
      <c r="S55" s="63" t="n">
        <v>0.2</v>
      </c>
      <c r="T55" s="62" t="n">
        <v>0.25</v>
      </c>
      <c r="U55" s="63" t="n">
        <v>0.05</v>
      </c>
    </row>
    <row r="56">
      <c r="A56" s="18" t="inlineStr">
        <is>
          <t xml:space="preserve">U040 </t>
        </is>
      </c>
      <c r="B56" s="18" t="inlineStr">
        <is>
          <t xml:space="preserve">I.U. DE INGENIERÍA DE LOS PROCESOS QUÍMICOS (10.09) </t>
        </is>
      </c>
      <c r="C56" s="18" t="inlineStr">
        <is>
          <t xml:space="preserve">DOCTORADO EN INGENIERÍA QUÍMICA </t>
        </is>
      </c>
      <c r="D56" s="18" t="inlineStr">
        <is>
          <t xml:space="preserve">Cabanes Gil, Andrea </t>
        </is>
      </c>
      <c r="E56" s="18" t="inlineStr">
        <is>
          <t xml:space="preserve">Upcycling of post-consumer plastic waste: identification and mitigation of vocs in post-consumer polyolefins </t>
        </is>
      </c>
      <c r="F56" s="18" t="inlineStr">
        <is>
          <t xml:space="preserve">19/09/2022 </t>
        </is>
      </c>
      <c r="G56" s="18" t="inlineStr">
        <is>
          <t xml:space="preserve">73768475T </t>
        </is>
      </c>
      <c r="H56" s="18" t="inlineStr">
        <is>
          <t xml:space="preserve">Director de tesis </t>
        </is>
      </c>
      <c r="I56" s="18" t="inlineStr">
        <is>
          <t xml:space="preserve">B151 </t>
        </is>
      </c>
      <c r="J56" s="18" t="inlineStr">
        <is>
          <t xml:space="preserve">INGENIERÍA QUÍMICA </t>
        </is>
      </c>
      <c r="K56" s="18" t="n">
        <v>1</v>
      </c>
      <c r="L56" s="18" t="inlineStr">
        <is>
          <t>B151</t>
        </is>
      </c>
      <c r="M56" s="18" t="n">
        <v>2021</v>
      </c>
      <c r="N56" s="18" t="inlineStr">
        <is>
          <t>10.05</t>
        </is>
      </c>
      <c r="O56" s="18" t="n">
        <v>10</v>
      </c>
      <c r="P56" s="18" t="inlineStr">
        <is>
          <t>10.09</t>
        </is>
      </c>
      <c r="Q56" s="18" t="n">
        <v>55</v>
      </c>
      <c r="R56" s="18" t="n">
        <v>35</v>
      </c>
      <c r="S56" s="63" t="n">
        <v>0.35</v>
      </c>
      <c r="T56" s="62" t="n">
        <v>0.1</v>
      </c>
      <c r="U56" s="63" t="n">
        <v>0.55</v>
      </c>
    </row>
    <row r="57">
      <c r="A57" s="18" t="inlineStr">
        <is>
          <t xml:space="preserve">U020 </t>
        </is>
      </c>
      <c r="B57" s="18" t="inlineStr">
        <is>
          <t xml:space="preserve">I.U. DEL AGUA Y DE LAS CIENCIAS AMBIENTALES (10.05) </t>
        </is>
      </c>
      <c r="C57" s="18" t="inlineStr">
        <is>
          <t xml:space="preserve">DOCTORADO EN AGUA Y DESARROLLO SOSTENIBLE </t>
        </is>
      </c>
      <c r="D57" s="18" t="inlineStr">
        <is>
          <t xml:space="preserve">Brasil Soldati Bortolon , Manoelle </t>
        </is>
      </c>
      <c r="E57" s="18" t="inlineStr">
        <is>
          <t xml:space="preserve">Nova abordagem jurídica para as águas subterrâneas e aquíferos no ordenamento jurídico brasileiro: uma proposta qualificada. </t>
        </is>
      </c>
      <c r="F57" s="18" t="inlineStr">
        <is>
          <t xml:space="preserve">22/09/2022 </t>
        </is>
      </c>
      <c r="G57" s="18" t="inlineStr">
        <is>
          <t xml:space="preserve">21502998E </t>
        </is>
      </c>
      <c r="H57" s="18" t="inlineStr">
        <is>
          <t xml:space="preserve">Codirector de tesis </t>
        </is>
      </c>
      <c r="I57" s="18" t="inlineStr">
        <is>
          <t xml:space="preserve">B113 </t>
        </is>
      </c>
      <c r="J57" s="18" t="inlineStr">
        <is>
          <t xml:space="preserve">ESTUDIOS JURIDICOS DEL ESTADO </t>
        </is>
      </c>
      <c r="K57" s="18" t="n">
        <v>0.5</v>
      </c>
      <c r="L57" s="18" t="inlineStr">
        <is>
          <t>B113</t>
        </is>
      </c>
      <c r="M57" s="18" t="n">
        <v>2021</v>
      </c>
      <c r="N57" s="18" t="inlineStr">
        <is>
          <t>10.05</t>
        </is>
      </c>
      <c r="O57" s="18" t="n">
        <v>60</v>
      </c>
      <c r="P57" s="18" t="inlineStr"/>
      <c r="Q57" s="18" t="n">
        <v>0</v>
      </c>
      <c r="R57" s="18" t="n">
        <v>40</v>
      </c>
      <c r="S57" s="63" t="n">
        <v>0.2</v>
      </c>
      <c r="T57" s="62" t="n">
        <v>0.3</v>
      </c>
      <c r="U57" s="63" t="n">
        <v>0</v>
      </c>
    </row>
    <row r="58">
      <c r="A58" s="18" t="inlineStr">
        <is>
          <t xml:space="preserve">B151 </t>
        </is>
      </c>
      <c r="B58" s="18" t="inlineStr">
        <is>
          <t xml:space="preserve">INGENIERÍA QUÍMICA </t>
        </is>
      </c>
      <c r="C58" s="18" t="inlineStr">
        <is>
          <t xml:space="preserve">DOCTORADO EN INGENIERÍA QUÍMICA </t>
        </is>
      </c>
      <c r="D58" s="18" t="inlineStr">
        <is>
          <t xml:space="preserve">Gandon Ros, Gerard </t>
        </is>
      </c>
      <c r="E58" s="18" t="inlineStr">
        <is>
          <t xml:space="preserve">Mejora de la viabilidad industrial de procesos que mitigan la contaminación originada al valorizar residuos de aparatos eléctricos y electrónicos: simbiosis con los pilares del desarrollo sostenible </t>
        </is>
      </c>
      <c r="F58" s="18" t="inlineStr">
        <is>
          <t xml:space="preserve">23/09/2022 </t>
        </is>
      </c>
      <c r="G58" s="18" t="inlineStr">
        <is>
          <t xml:space="preserve">48317347M </t>
        </is>
      </c>
      <c r="H58" s="18" t="inlineStr">
        <is>
          <t xml:space="preserve">Codirector de tesis </t>
        </is>
      </c>
      <c r="I58" s="18" t="inlineStr">
        <is>
          <t xml:space="preserve">B151 </t>
        </is>
      </c>
      <c r="J58" s="18" t="inlineStr">
        <is>
          <t xml:space="preserve">INGENIERÍA QUÍMICA </t>
        </is>
      </c>
      <c r="K58" s="18" t="n">
        <v>0.5</v>
      </c>
      <c r="L58" s="18" t="inlineStr">
        <is>
          <t>B151</t>
        </is>
      </c>
      <c r="M58" s="18" t="n">
        <v>2021</v>
      </c>
      <c r="N58" s="18" t="inlineStr">
        <is>
          <t>10.05</t>
        </is>
      </c>
      <c r="O58" s="18" t="n">
        <v>10</v>
      </c>
      <c r="P58" s="18" t="inlineStr">
        <is>
          <t>10.09</t>
        </is>
      </c>
      <c r="Q58" s="18" t="n">
        <v>65</v>
      </c>
      <c r="R58" s="18" t="n">
        <v>25</v>
      </c>
      <c r="S58" s="63" t="n">
        <v>0.125</v>
      </c>
      <c r="T58" s="62" t="n">
        <v>0.05</v>
      </c>
      <c r="U58" s="63" t="n">
        <v>0.325</v>
      </c>
    </row>
    <row r="59">
      <c r="A59" s="18" t="inlineStr">
        <is>
          <t xml:space="preserve">B151 </t>
        </is>
      </c>
      <c r="B59" s="18" t="inlineStr">
        <is>
          <t xml:space="preserve">INGENIERÍA QUÍMICA </t>
        </is>
      </c>
      <c r="C59" s="18" t="inlineStr">
        <is>
          <t xml:space="preserve">DOCTORADO EN INGENIERÍA QUÍMICA </t>
        </is>
      </c>
      <c r="D59" s="18" t="inlineStr">
        <is>
          <t>Díaz Basantes, Milene Fernanda</t>
        </is>
      </c>
      <c r="E59" s="18" t="inlineStr">
        <is>
          <t xml:space="preserve">MICROPLÁSTICOS EN ALIMENTOS </t>
        </is>
      </c>
      <c r="F59" s="18" t="inlineStr">
        <is>
          <t xml:space="preserve">18/11/2022 </t>
        </is>
      </c>
      <c r="G59" s="18" t="inlineStr">
        <is>
          <t xml:space="preserve">73768475T </t>
        </is>
      </c>
      <c r="H59" s="18" t="inlineStr">
        <is>
          <t xml:space="preserve">Codirector de tesis </t>
        </is>
      </c>
      <c r="I59" s="18" t="inlineStr">
        <is>
          <t xml:space="preserve">B151 </t>
        </is>
      </c>
      <c r="J59" s="18" t="inlineStr">
        <is>
          <t xml:space="preserve">INGENIERÍA QUÍMICA </t>
        </is>
      </c>
      <c r="K59" s="18" t="n">
        <v>0.5</v>
      </c>
      <c r="L59" s="18" t="inlineStr">
        <is>
          <t>B151</t>
        </is>
      </c>
      <c r="M59" s="18" t="n">
        <v>2022</v>
      </c>
      <c r="N59" s="18" t="inlineStr">
        <is>
          <t>10.05</t>
        </is>
      </c>
      <c r="O59" s="18" t="n">
        <v>10</v>
      </c>
      <c r="P59" s="18" t="inlineStr">
        <is>
          <t>10.09</t>
        </is>
      </c>
      <c r="Q59" s="18" t="n">
        <v>55</v>
      </c>
      <c r="R59" s="18" t="n">
        <v>35</v>
      </c>
      <c r="S59" s="63" t="n">
        <v>0.175</v>
      </c>
      <c r="T59" s="62" t="n">
        <v>0.05</v>
      </c>
      <c r="U59" s="63" t="n">
        <v>0.275</v>
      </c>
    </row>
    <row r="60">
      <c r="A60" s="18" t="inlineStr">
        <is>
          <t xml:space="preserve">B151 </t>
        </is>
      </c>
      <c r="B60" s="18" t="inlineStr">
        <is>
          <t xml:space="preserve">INGENIERÍA QUÍMICA </t>
        </is>
      </c>
      <c r="C60" s="18" t="inlineStr">
        <is>
          <t xml:space="preserve">DOCTORADO EN INGENIERÍA QUÍMICA </t>
        </is>
      </c>
      <c r="D60" s="18" t="inlineStr">
        <is>
          <t>Gomis Blasco, Alejandro</t>
        </is>
      </c>
      <c r="E60" s="18" t="inlineStr">
        <is>
          <t xml:space="preserve">Equilibrio de fases en sistemas agua+alcohol de cadena.corta+electrolito. Determinación experimental, consistencia termodinámica y modelización </t>
        </is>
      </c>
      <c r="F60" s="18" t="inlineStr">
        <is>
          <t xml:space="preserve">14/09/2022 </t>
        </is>
      </c>
      <c r="G60" s="18" t="inlineStr">
        <is>
          <t xml:space="preserve">21399719J </t>
        </is>
      </c>
      <c r="H60" s="18" t="inlineStr">
        <is>
          <t xml:space="preserve">Codirector de tesis </t>
        </is>
      </c>
      <c r="I60" s="18" t="inlineStr">
        <is>
          <t xml:space="preserve">B151 </t>
        </is>
      </c>
      <c r="J60" s="18" t="inlineStr">
        <is>
          <t xml:space="preserve">INGENIERÍA QUÍMICA </t>
        </is>
      </c>
      <c r="K60" s="18" t="n">
        <v>0.5</v>
      </c>
      <c r="L60" s="18" t="inlineStr">
        <is>
          <t>B151</t>
        </is>
      </c>
      <c r="M60" s="18" t="n">
        <v>2022</v>
      </c>
      <c r="N60" s="18" t="inlineStr">
        <is>
          <t>10.05</t>
        </is>
      </c>
      <c r="O60" s="18" t="n">
        <v>10</v>
      </c>
      <c r="P60" s="18" t="inlineStr">
        <is>
          <t>10.09</t>
        </is>
      </c>
      <c r="Q60" s="18" t="n">
        <v>65</v>
      </c>
      <c r="R60" s="18" t="n">
        <v>25</v>
      </c>
      <c r="S60" s="63" t="n">
        <v>0.125</v>
      </c>
      <c r="T60" s="62" t="n">
        <v>0.05</v>
      </c>
      <c r="U60" s="63" t="n">
        <v>0.325</v>
      </c>
    </row>
    <row r="61">
      <c r="A61" s="18" t="inlineStr">
        <is>
          <t xml:space="preserve">U020 </t>
        </is>
      </c>
      <c r="B61" s="18" t="inlineStr">
        <is>
          <t xml:space="preserve">I.U. DEL AGUA Y DE LAS CIENCIAS AMBIENTALES (10.05) </t>
        </is>
      </c>
      <c r="C61" s="18" t="inlineStr">
        <is>
          <t xml:space="preserve">DOCTORADO EN AGUA Y DESARROLLO SOSTENIBLE </t>
        </is>
      </c>
      <c r="D61" s="18" t="inlineStr">
        <is>
          <t>Palacios Cabrera, Teresa Alejandra</t>
        </is>
      </c>
      <c r="E61" s="18" t="inlineStr">
        <is>
          <t xml:space="preserve">El abandono de las zonas agrícolas tradicionales y su impacto en la respuesta hidrológica de una cuenca mediterránea bajo condiciones climáticas semiáridas. Caso de estudio de la cuenca vertiente al embalse del río Guadalest, sur este de España. </t>
        </is>
      </c>
      <c r="F61" s="18" t="inlineStr">
        <is>
          <t xml:space="preserve">24/11/2022 </t>
        </is>
      </c>
      <c r="G61" s="18" t="inlineStr">
        <is>
          <t xml:space="preserve">74002594W </t>
        </is>
      </c>
      <c r="H61" s="18" t="inlineStr">
        <is>
          <t xml:space="preserve">Codirector de tesis </t>
        </is>
      </c>
      <c r="I61" s="18" t="inlineStr">
        <is>
          <t xml:space="preserve">B185 </t>
        </is>
      </c>
      <c r="J61" s="18" t="inlineStr">
        <is>
          <t xml:space="preserve">INGENIERÍA CIVIL </t>
        </is>
      </c>
      <c r="K61" s="18" t="n">
        <v>0.5</v>
      </c>
      <c r="L61" s="18" t="inlineStr">
        <is>
          <t>B185</t>
        </is>
      </c>
      <c r="M61" s="18" t="n">
        <v>2022</v>
      </c>
      <c r="N61" s="18" t="inlineStr">
        <is>
          <t>10.05</t>
        </is>
      </c>
      <c r="O61" s="18" t="n">
        <v>10</v>
      </c>
      <c r="P61" s="18" t="inlineStr"/>
      <c r="Q61" s="18" t="n">
        <v>0</v>
      </c>
      <c r="R61" s="18" t="n">
        <v>90</v>
      </c>
      <c r="S61" s="63" t="n">
        <v>0.45</v>
      </c>
      <c r="T61" s="62" t="n">
        <v>0.05</v>
      </c>
      <c r="U61" s="63" t="n">
        <v>0</v>
      </c>
    </row>
    <row r="62">
      <c r="A62" s="18" t="inlineStr">
        <is>
          <t xml:space="preserve">U020 </t>
        </is>
      </c>
      <c r="B62" s="18" t="inlineStr">
        <is>
          <t xml:space="preserve">I.U. DEL AGUA Y DE LAS CIENCIAS AMBIENTALES (10.05) </t>
        </is>
      </c>
      <c r="C62" s="18" t="inlineStr">
        <is>
          <t xml:space="preserve">DOCTORADO EN AGUA Y DESARROLLO SOSTENIBLE </t>
        </is>
      </c>
      <c r="D62" s="18" t="inlineStr">
        <is>
          <t>García López, Marcos</t>
        </is>
      </c>
      <c r="E62" s="18" t="inlineStr">
        <is>
          <t xml:space="preserve">The potential of water reuse in Spain: photovoltaic self-consumption and water pricing </t>
        </is>
      </c>
      <c r="F62" s="18" t="inlineStr">
        <is>
          <t xml:space="preserve">16/06/2023 </t>
        </is>
      </c>
      <c r="G62" s="18" t="inlineStr">
        <is>
          <t xml:space="preserve">21683813B </t>
        </is>
      </c>
      <c r="H62" s="18" t="inlineStr">
        <is>
          <t xml:space="preserve">Codirector de tesis </t>
        </is>
      </c>
      <c r="I62" s="18" t="inlineStr">
        <is>
          <t>B138</t>
        </is>
      </c>
      <c r="J62" s="18" t="inlineStr">
        <is>
          <t xml:space="preserve">ANALISIS ECONOMICO APLICADO </t>
        </is>
      </c>
      <c r="K62" s="18" t="n">
        <v>0.5</v>
      </c>
      <c r="L62" s="18" t="inlineStr">
        <is>
          <t>B138</t>
        </is>
      </c>
      <c r="M62" s="18" t="n">
        <v>2022</v>
      </c>
      <c r="N62" s="18" t="inlineStr">
        <is>
          <t>10.05</t>
        </is>
      </c>
      <c r="O62" s="18" t="n">
        <v>20</v>
      </c>
      <c r="P62" s="18" t="inlineStr"/>
      <c r="Q62" s="18" t="n">
        <v>0</v>
      </c>
      <c r="R62" s="18" t="n">
        <v>80</v>
      </c>
      <c r="S62" s="63" t="n">
        <v>0.4</v>
      </c>
      <c r="T62" s="62" t="n">
        <v>0.1</v>
      </c>
      <c r="U62" s="63" t="n">
        <v>0</v>
      </c>
    </row>
    <row r="63">
      <c r="A63" s="18" t="inlineStr">
        <is>
          <t xml:space="preserve">U020 </t>
        </is>
      </c>
      <c r="B63" s="18" t="inlineStr">
        <is>
          <t xml:space="preserve">I.U. DEL AGUA Y DE LAS CIENCIAS AMBIENTALES (10.05) </t>
        </is>
      </c>
      <c r="C63" s="18" t="inlineStr">
        <is>
          <t xml:space="preserve">DOCTORADO EN AGUA Y DESARROLLO SOSTENIBLE </t>
        </is>
      </c>
      <c r="D63" s="18" t="inlineStr">
        <is>
          <t>García López, Marcos</t>
        </is>
      </c>
      <c r="E63" s="18" t="inlineStr">
        <is>
          <t xml:space="preserve">The potential of water reuse in Spain: photovoltaic self-consumption and water pricing </t>
        </is>
      </c>
      <c r="F63" s="18" t="inlineStr">
        <is>
          <t xml:space="preserve">16/06/2023 </t>
        </is>
      </c>
      <c r="G63" s="18" t="inlineStr">
        <is>
          <t xml:space="preserve">74342287P </t>
        </is>
      </c>
      <c r="H63" s="18" t="inlineStr">
        <is>
          <t xml:space="preserve">Codirector de tesis </t>
        </is>
      </c>
      <c r="I63" s="18" t="inlineStr">
        <is>
          <t>B138</t>
        </is>
      </c>
      <c r="J63" s="18" t="inlineStr">
        <is>
          <t xml:space="preserve">ANALISIS ECONOMICO APLICADO </t>
        </is>
      </c>
      <c r="K63" s="18" t="n">
        <v>0.5</v>
      </c>
      <c r="L63" s="18" t="inlineStr">
        <is>
          <t>B138</t>
        </is>
      </c>
      <c r="M63" s="18" t="n">
        <v>2022</v>
      </c>
      <c r="N63" s="18" t="inlineStr">
        <is>
          <t>10.05</t>
        </is>
      </c>
      <c r="O63" s="18" t="n">
        <v>90</v>
      </c>
      <c r="P63" s="18" t="inlineStr"/>
      <c r="Q63" s="18" t="n">
        <v>0</v>
      </c>
      <c r="R63" s="18" t="n">
        <v>10</v>
      </c>
      <c r="S63" s="63" t="n">
        <v>0.05</v>
      </c>
      <c r="T63" s="62" t="n">
        <v>0.45</v>
      </c>
      <c r="U63" s="63" t="n">
        <v>0</v>
      </c>
    </row>
    <row r="64">
      <c r="A64" s="18" t="inlineStr">
        <is>
          <t xml:space="preserve">U020 </t>
        </is>
      </c>
      <c r="B64" s="18" t="inlineStr">
        <is>
          <t xml:space="preserve">I.U. DEL AGUA Y DE LAS CIENCIAS AMBIENTALES (10.05) </t>
        </is>
      </c>
      <c r="C64" s="18" t="inlineStr">
        <is>
          <t xml:space="preserve">DOCTORADO EN AGUA Y DESARROLLO SOSTENIBLE </t>
        </is>
      </c>
      <c r="D64" s="18" t="inlineStr">
        <is>
          <t>Martínez Moya, Sergio</t>
        </is>
      </c>
      <c r="E64" s="18" t="inlineStr">
        <is>
          <t xml:space="preserve">TRATAMIENTO DE AGUA POR ELECTROMAGNETISMO: INFLUENCIA EN LA PRECIPITACIÓN DE CARBONATO CÁLCICO Y EFECTOS EN OTRAS APLICACIONES </t>
        </is>
      </c>
      <c r="F64" s="18" t="inlineStr">
        <is>
          <t xml:space="preserve">03/04/2023 </t>
        </is>
      </c>
      <c r="G64" s="18" t="inlineStr">
        <is>
          <t xml:space="preserve">21496269D </t>
        </is>
      </c>
      <c r="H64" s="18" t="inlineStr">
        <is>
          <t xml:space="preserve">Codirector de tesis </t>
        </is>
      </c>
      <c r="I64" s="18" t="inlineStr">
        <is>
          <t xml:space="preserve">B151 </t>
        </is>
      </c>
      <c r="J64" s="18" t="inlineStr">
        <is>
          <t xml:space="preserve">INGENIERÍA QUÍMICA </t>
        </is>
      </c>
      <c r="K64" s="18" t="n">
        <v>0.5</v>
      </c>
      <c r="L64" s="18" t="inlineStr">
        <is>
          <t>B151</t>
        </is>
      </c>
      <c r="M64" s="18" t="n">
        <v>2022</v>
      </c>
      <c r="N64" s="18" t="inlineStr">
        <is>
          <t>10.05</t>
        </is>
      </c>
      <c r="O64" s="18" t="n">
        <v>10</v>
      </c>
      <c r="P64" s="18" t="inlineStr">
        <is>
          <t>10.09</t>
        </is>
      </c>
      <c r="Q64" s="18" t="n">
        <v>65</v>
      </c>
      <c r="R64" s="18" t="n">
        <v>25</v>
      </c>
      <c r="S64" s="63" t="n">
        <v>0.125</v>
      </c>
      <c r="T64" s="62" t="n">
        <v>0.05</v>
      </c>
      <c r="U64" s="63" t="n">
        <v>0.325</v>
      </c>
    </row>
    <row r="65">
      <c r="A65" s="18" t="inlineStr">
        <is>
          <t xml:space="preserve">U020 </t>
        </is>
      </c>
      <c r="B65" s="18" t="inlineStr">
        <is>
          <t xml:space="preserve">I.U. DEL AGUA Y DE LAS CIENCIAS AMBIENTALES (10.05) </t>
        </is>
      </c>
      <c r="C65" s="18" t="inlineStr">
        <is>
          <t xml:space="preserve">DOCTORADO EN AGUA Y DESARROLLO SOSTENIBLE </t>
        </is>
      </c>
      <c r="D65" s="18" t="inlineStr">
        <is>
          <t>Redondo Orts, Jose Alberto</t>
        </is>
      </c>
      <c r="E65" s="18" t="inlineStr">
        <is>
          <t xml:space="preserve">SEQUÍA Y ESCASEZ EN LA DEMARCACIÓN HIDROGRÁFICA DEL SEGURA, IMPACTOS </t>
        </is>
      </c>
      <c r="F65" s="18" t="inlineStr">
        <is>
          <t xml:space="preserve">06/07/2023 </t>
        </is>
      </c>
      <c r="G65" s="18" t="inlineStr">
        <is>
          <t xml:space="preserve">74342287P </t>
        </is>
      </c>
      <c r="H65" s="18" t="inlineStr">
        <is>
          <t xml:space="preserve">Codirector de tesis </t>
        </is>
      </c>
      <c r="I65" s="18" t="inlineStr">
        <is>
          <t>B138</t>
        </is>
      </c>
      <c r="J65" s="18" t="inlineStr">
        <is>
          <t xml:space="preserve">ANALISIS ECONOMICO APLICADO </t>
        </is>
      </c>
      <c r="K65" s="18" t="n">
        <v>0.5</v>
      </c>
      <c r="L65" s="18" t="inlineStr">
        <is>
          <t>B138</t>
        </is>
      </c>
      <c r="M65" s="18" t="n">
        <v>2022</v>
      </c>
      <c r="N65" s="18" t="inlineStr">
        <is>
          <t>10.05</t>
        </is>
      </c>
      <c r="O65" s="18" t="n">
        <v>90</v>
      </c>
      <c r="P65" s="18" t="inlineStr"/>
      <c r="Q65" s="18" t="n">
        <v>0</v>
      </c>
      <c r="R65" s="18" t="n">
        <v>10</v>
      </c>
      <c r="S65" s="63" t="n">
        <v>0.05</v>
      </c>
      <c r="T65" s="62" t="n">
        <v>0.45</v>
      </c>
      <c r="U65" s="63" t="n">
        <v>0</v>
      </c>
    </row>
    <row r="66">
      <c r="A66" s="18" t="inlineStr">
        <is>
          <t xml:space="preserve">U020 </t>
        </is>
      </c>
      <c r="B66" s="18" t="inlineStr">
        <is>
          <t xml:space="preserve">I.U. DEL AGUA Y DE LAS CIENCIAS AMBIENTALES (10.05) </t>
        </is>
      </c>
      <c r="C66" s="18" t="inlineStr">
        <is>
          <t xml:space="preserve">DOCTORADO EN AGUA Y DESARROLLO SOSTENIBLE </t>
        </is>
      </c>
      <c r="D66" s="18" t="inlineStr">
        <is>
          <t>Bernabeu Bautista, Álvaro</t>
        </is>
      </c>
      <c r="E66" s="18" t="inlineStr">
        <is>
          <t xml:space="preserve">PRESENCIA Y ACTIVIDAD URBANA EN LAS CIUDADES DE LA COMUNIDAD </t>
        </is>
      </c>
      <c r="F66" s="18" t="inlineStr">
        <is>
          <t xml:space="preserve">12/09/2023 </t>
        </is>
      </c>
      <c r="G66" s="18" t="inlineStr">
        <is>
          <t xml:space="preserve">46336900L </t>
        </is>
      </c>
      <c r="H66" s="18" t="inlineStr">
        <is>
          <t xml:space="preserve">Codirector de tesis </t>
        </is>
      </c>
      <c r="I66" s="18" t="inlineStr">
        <is>
          <t xml:space="preserve">B184 </t>
        </is>
      </c>
      <c r="J66" s="18" t="inlineStr">
        <is>
          <t xml:space="preserve">EDIFICACIÓN Y URBANISMO </t>
        </is>
      </c>
      <c r="K66" s="18" t="n">
        <v>0.5</v>
      </c>
      <c r="L66" s="18" t="inlineStr">
        <is>
          <t>B184</t>
        </is>
      </c>
      <c r="M66" s="18" t="n">
        <v>2022</v>
      </c>
      <c r="N66" s="18" t="inlineStr">
        <is>
          <t>10.05</t>
        </is>
      </c>
      <c r="O66" s="18" t="n">
        <v>20</v>
      </c>
      <c r="P66" s="18" t="inlineStr">
        <is>
          <t>10.25</t>
        </is>
      </c>
      <c r="Q66" s="18" t="n">
        <v>10</v>
      </c>
      <c r="R66" s="18" t="n">
        <v>70</v>
      </c>
      <c r="S66" s="63" t="n">
        <v>0.35</v>
      </c>
      <c r="T66" s="62" t="n">
        <v>0.1</v>
      </c>
      <c r="U66" s="63" t="n">
        <v>0.05</v>
      </c>
    </row>
    <row r="67">
      <c r="A67" s="18" t="inlineStr">
        <is>
          <t xml:space="preserve">U020 </t>
        </is>
      </c>
      <c r="B67" s="18" t="inlineStr">
        <is>
          <t xml:space="preserve">I.U. DEL AGUA Y DE LAS CIENCIAS AMBIENTALES (10.05) </t>
        </is>
      </c>
      <c r="C67" s="18" t="inlineStr">
        <is>
          <t xml:space="preserve">DOCTORADO EN AGUA Y DESARROLLO SOSTENIBLE </t>
        </is>
      </c>
      <c r="D67" s="18" t="inlineStr">
        <is>
          <t>borges moreira lourenço, bruna</t>
        </is>
      </c>
      <c r="E67" s="18" t="inlineStr">
        <is>
          <t xml:space="preserve">EL DERECHO DEPORTIVO TRANSNACIONAL COMO MECANISMO PARA REDUCIR LA DESIGUALDAD DE GÉNERO EN EL DEPORTE. </t>
        </is>
      </c>
      <c r="F67" s="18" t="inlineStr">
        <is>
          <t xml:space="preserve">13/09/2023 </t>
        </is>
      </c>
      <c r="G67" s="18" t="inlineStr">
        <is>
          <t xml:space="preserve">21502998E </t>
        </is>
      </c>
      <c r="H67" s="18" t="inlineStr">
        <is>
          <t xml:space="preserve">Codirector de tesis </t>
        </is>
      </c>
      <c r="I67" s="18" t="inlineStr">
        <is>
          <t xml:space="preserve">B113 </t>
        </is>
      </c>
      <c r="J67" s="18" t="inlineStr">
        <is>
          <t xml:space="preserve">ESTUDIOS JURIDICOS DEL ESTADO </t>
        </is>
      </c>
      <c r="K67" s="18" t="n">
        <v>0.5</v>
      </c>
      <c r="L67" s="18" t="inlineStr">
        <is>
          <t>B113</t>
        </is>
      </c>
      <c r="M67" s="18" t="n">
        <v>2022</v>
      </c>
      <c r="N67" s="18" t="inlineStr">
        <is>
          <t>10.05</t>
        </is>
      </c>
      <c r="O67" s="18" t="n">
        <v>60</v>
      </c>
      <c r="P67" s="18" t="inlineStr"/>
      <c r="Q67" s="18" t="n">
        <v>0</v>
      </c>
      <c r="R67" s="18" t="n">
        <v>40</v>
      </c>
      <c r="S67" s="63" t="n">
        <v>0.2</v>
      </c>
      <c r="T67" s="62" t="n">
        <v>0.3</v>
      </c>
      <c r="U67" s="63" t="n">
        <v>0</v>
      </c>
    </row>
    <row r="68">
      <c r="A68" s="18" t="inlineStr">
        <is>
          <t xml:space="preserve">U020 </t>
        </is>
      </c>
      <c r="B68" s="18" t="inlineStr">
        <is>
          <t xml:space="preserve">I.U. DEL AGUA Y DE LAS CIENCIAS AMBIENTALES (10.05) </t>
        </is>
      </c>
      <c r="C68" s="18" t="inlineStr">
        <is>
          <t xml:space="preserve">DOCTORADO EN AGUA Y DESARROLLO SOSTENIBLE </t>
        </is>
      </c>
      <c r="D68" s="18" t="inlineStr">
        <is>
          <t>Pizolati , Marcelo</t>
        </is>
      </c>
      <c r="E68" s="18" t="inlineStr">
        <is>
          <t xml:space="preserve">PARA UMA TEORIA DA DECISÃO JUDICIAL DE URGÊNCIA EM MATÉRIA AMBIENTAL: EM </t>
        </is>
      </c>
      <c r="F68" s="18" t="inlineStr">
        <is>
          <t xml:space="preserve">30/05/2023 </t>
        </is>
      </c>
      <c r="G68" s="18" t="inlineStr">
        <is>
          <t xml:space="preserve">21502998E </t>
        </is>
      </c>
      <c r="H68" s="18" t="inlineStr">
        <is>
          <t xml:space="preserve">Codirector de tesis </t>
        </is>
      </c>
      <c r="I68" s="18" t="inlineStr">
        <is>
          <t xml:space="preserve">B113 </t>
        </is>
      </c>
      <c r="J68" s="18" t="inlineStr">
        <is>
          <t xml:space="preserve">ESTUDIOS JURIDICOS DEL ESTADO </t>
        </is>
      </c>
      <c r="K68" s="18" t="n">
        <v>0.5</v>
      </c>
      <c r="L68" s="18" t="inlineStr">
        <is>
          <t>B113</t>
        </is>
      </c>
      <c r="M68" s="18" t="n">
        <v>2022</v>
      </c>
      <c r="N68" s="18" t="inlineStr">
        <is>
          <t>10.05</t>
        </is>
      </c>
      <c r="O68" s="18" t="n">
        <v>60</v>
      </c>
      <c r="P68" s="18" t="inlineStr"/>
      <c r="Q68" s="18" t="n">
        <v>0</v>
      </c>
      <c r="R68" s="18" t="n">
        <v>40</v>
      </c>
      <c r="S68" s="63" t="n">
        <v>0.2</v>
      </c>
      <c r="T68" s="62" t="n">
        <v>0.3</v>
      </c>
      <c r="U68" s="63" t="n">
        <v>0</v>
      </c>
    </row>
    <row r="69">
      <c r="A69" s="18" t="inlineStr">
        <is>
          <t xml:space="preserve">U020 </t>
        </is>
      </c>
      <c r="B69" s="18" t="inlineStr">
        <is>
          <t xml:space="preserve">I.U. DEL AGUA Y DE LAS CIENCIAS AMBIENTALES (10.05) </t>
        </is>
      </c>
      <c r="C69" s="18" t="inlineStr">
        <is>
          <t xml:space="preserve">DOCTORADO EN AGUA Y DESARROLLO SOSTENIBLE </t>
        </is>
      </c>
      <c r="D69" s="18" t="inlineStr">
        <is>
          <t>Vega Cervera, Valeiry</t>
        </is>
      </c>
      <c r="E69" s="18" t="inlineStr">
        <is>
          <t xml:space="preserve">Optimización de la Gobernanza del Recurso Hídrico en Panamá </t>
        </is>
      </c>
      <c r="F69" s="18" t="inlineStr">
        <is>
          <t xml:space="preserve">25/04/2023 </t>
        </is>
      </c>
      <c r="G69" s="18" t="inlineStr">
        <is>
          <t xml:space="preserve">74342287P </t>
        </is>
      </c>
      <c r="H69" s="18" t="inlineStr">
        <is>
          <t xml:space="preserve">Codirector de tesis </t>
        </is>
      </c>
      <c r="I69" s="18" t="inlineStr">
        <is>
          <t>B138</t>
        </is>
      </c>
      <c r="J69" s="18" t="inlineStr">
        <is>
          <t xml:space="preserve">ANALISIS ECONOMICO APLICADO </t>
        </is>
      </c>
      <c r="K69" s="18" t="n">
        <v>0.5</v>
      </c>
      <c r="L69" s="18" t="inlineStr">
        <is>
          <t>B138</t>
        </is>
      </c>
      <c r="M69" s="18" t="n">
        <v>2022</v>
      </c>
      <c r="N69" s="18" t="inlineStr">
        <is>
          <t>10.05</t>
        </is>
      </c>
      <c r="O69" s="18" t="n">
        <v>90</v>
      </c>
      <c r="P69" s="18" t="inlineStr"/>
      <c r="Q69" s="18" t="n">
        <v>0</v>
      </c>
      <c r="R69" s="18" t="n">
        <v>10</v>
      </c>
      <c r="S69" s="63" t="n">
        <v>0.05</v>
      </c>
      <c r="T69" s="62" t="n">
        <v>0.45</v>
      </c>
      <c r="U69" s="63" t="n">
        <v>0</v>
      </c>
    </row>
    <row r="70">
      <c r="A70" s="18" t="inlineStr">
        <is>
          <t xml:space="preserve">U022 </t>
        </is>
      </c>
      <c r="B70" s="18" t="inlineStr">
        <is>
          <t xml:space="preserve">ADM. FACULTAD DE CIENCIAS </t>
        </is>
      </c>
      <c r="C70" s="18" t="inlineStr">
        <is>
          <t xml:space="preserve">DOCTORADO EN CIENCIAS EXPERIMENTALES Y BIOSANITARIAS </t>
        </is>
      </c>
      <c r="D70" s="18" t="inlineStr">
        <is>
          <t>Torregrosa Carretero, Daniel</t>
        </is>
      </c>
      <c r="E70" s="18" t="inlineStr">
        <is>
          <t xml:space="preserve">SINGLE PARTICLE INDUCTIVELY COUPLED PLASMA MASS SPECTROMETRY AS ANALYTICAL TOOL FOR NANOMATERIALS AND BIOMOLECULES DETERMINATION: FUNDAMENTAL STUDIES </t>
        </is>
      </c>
      <c r="F70" s="18" t="inlineStr">
        <is>
          <t xml:space="preserve">10/03/2023 </t>
        </is>
      </c>
      <c r="G70" s="18" t="inlineStr">
        <is>
          <t xml:space="preserve">48348315S </t>
        </is>
      </c>
      <c r="H70" s="18" t="inlineStr">
        <is>
          <t xml:space="preserve">Codirector de tesis </t>
        </is>
      </c>
      <c r="I70" s="18" t="inlineStr">
        <is>
          <t xml:space="preserve">B169 </t>
        </is>
      </c>
      <c r="J70" s="18" t="inlineStr">
        <is>
          <t xml:space="preserve">QUÍMICA ANALÍTICA, NUTRICIÓN Y BROMATOLOGÍA </t>
        </is>
      </c>
      <c r="K70" s="18" t="n">
        <v>0.5</v>
      </c>
      <c r="L70" s="18" t="inlineStr">
        <is>
          <t>B169</t>
        </is>
      </c>
      <c r="M70" s="18" t="n">
        <v>2022</v>
      </c>
      <c r="N70" s="18" t="inlineStr">
        <is>
          <t>10.05</t>
        </is>
      </c>
      <c r="O70" s="18" t="n">
        <v>10</v>
      </c>
      <c r="P70" s="18" t="inlineStr"/>
      <c r="Q70" s="18" t="n">
        <v>0</v>
      </c>
      <c r="R70" s="18" t="n">
        <v>90</v>
      </c>
      <c r="S70" s="63" t="n">
        <v>0.45</v>
      </c>
      <c r="T70" s="62" t="n">
        <v>0.05</v>
      </c>
      <c r="U70" s="63" t="n">
        <v>0</v>
      </c>
    </row>
    <row r="71">
      <c r="A71" s="18" t="inlineStr">
        <is>
          <t xml:space="preserve">ZZ </t>
        </is>
      </c>
      <c r="B71" s="18" t="inlineStr">
        <is>
          <t xml:space="preserve">SIN ASIGNAR </t>
        </is>
      </c>
      <c r="C71" s="18" t="inlineStr">
        <is>
          <t xml:space="preserve">DOCTORADO EN AGUA Y DESARROLLO SOSTENIBLE </t>
        </is>
      </c>
      <c r="D71" s="18" t="inlineStr">
        <is>
          <t>Waltrick Rates, Alexandre</t>
        </is>
      </c>
      <c r="E71" s="18" t="inlineStr">
        <is>
          <t xml:space="preserve">O DIREITO À FELICIDADE COMO GARANTE DA EFETIVIDADE DAS POLÍTICAS PÚBLICAS </t>
        </is>
      </c>
      <c r="F71" s="18" t="inlineStr">
        <is>
          <t xml:space="preserve">18/09/2023 </t>
        </is>
      </c>
      <c r="G71" s="18" t="inlineStr">
        <is>
          <t xml:space="preserve">21683813B </t>
        </is>
      </c>
      <c r="H71" s="18" t="inlineStr">
        <is>
          <t xml:space="preserve">Codirector de tesis </t>
        </is>
      </c>
      <c r="I71" s="18" t="inlineStr">
        <is>
          <t>B138</t>
        </is>
      </c>
      <c r="J71" s="18" t="inlineStr">
        <is>
          <t xml:space="preserve">ANALISIS ECONOMICO APLICADO </t>
        </is>
      </c>
      <c r="K71" s="18" t="n">
        <v>0.33</v>
      </c>
      <c r="L71" s="18" t="inlineStr">
        <is>
          <t>B138</t>
        </is>
      </c>
      <c r="M71" s="18" t="n">
        <v>2022</v>
      </c>
      <c r="N71" s="18" t="inlineStr">
        <is>
          <t>10.05</t>
        </is>
      </c>
      <c r="O71" s="18" t="n">
        <v>20</v>
      </c>
      <c r="P71" s="18" t="inlineStr"/>
      <c r="Q71" s="18" t="n">
        <v>0</v>
      </c>
      <c r="R71" s="18" t="n">
        <v>80</v>
      </c>
      <c r="S71" s="63" t="n">
        <v>0.264</v>
      </c>
      <c r="T71" s="62" t="n">
        <v>0.066</v>
      </c>
      <c r="U71" s="63" t="n">
        <v>0</v>
      </c>
    </row>
    <row r="72">
      <c r="A72" s="18" t="inlineStr">
        <is>
          <t xml:space="preserve">ZZ </t>
        </is>
      </c>
      <c r="B72" s="18" t="inlineStr">
        <is>
          <t xml:space="preserve">SIN ASIGNAR </t>
        </is>
      </c>
      <c r="C72" s="18" t="inlineStr">
        <is>
          <t xml:space="preserve">DOCTORADO EN AGUA Y DESARROLLO SOSTENIBLE </t>
        </is>
      </c>
      <c r="D72" s="18" t="inlineStr">
        <is>
          <t>Waltrick Rates, Alexandre</t>
        </is>
      </c>
      <c r="E72" s="18" t="inlineStr">
        <is>
          <t xml:space="preserve">O DIREITO À FELICIDADE COMO GARANTE DA EFETIVIDADE DAS POLÍTICAS PÚBLICAS </t>
        </is>
      </c>
      <c r="F72" s="18" t="inlineStr">
        <is>
          <t xml:space="preserve">18/09/2023 </t>
        </is>
      </c>
      <c r="G72" s="18" t="inlineStr">
        <is>
          <t xml:space="preserve">74342287P </t>
        </is>
      </c>
      <c r="H72" s="18" t="inlineStr">
        <is>
          <t xml:space="preserve">Codirector de tesis </t>
        </is>
      </c>
      <c r="I72" s="18" t="inlineStr">
        <is>
          <t>B138</t>
        </is>
      </c>
      <c r="J72" s="18" t="inlineStr">
        <is>
          <t xml:space="preserve">ANALISIS ECONOMICO APLICADO </t>
        </is>
      </c>
      <c r="K72" s="18" t="n">
        <v>0.33</v>
      </c>
      <c r="L72" s="18" t="inlineStr">
        <is>
          <t>B138</t>
        </is>
      </c>
      <c r="M72" s="18" t="n">
        <v>2022</v>
      </c>
      <c r="N72" s="18" t="inlineStr">
        <is>
          <t>10.05</t>
        </is>
      </c>
      <c r="O72" s="18" t="n">
        <v>90</v>
      </c>
      <c r="P72" s="18" t="inlineStr"/>
      <c r="Q72" s="18" t="n">
        <v>0</v>
      </c>
      <c r="R72" s="18" t="n">
        <v>10</v>
      </c>
      <c r="S72" s="63" t="n">
        <v>0.033</v>
      </c>
      <c r="T72" s="62" t="n">
        <v>0.297</v>
      </c>
      <c r="U72" s="63" t="n">
        <v>0</v>
      </c>
    </row>
    <row r="73">
      <c r="A73" s="18" t="inlineStr">
        <is>
          <t>B151</t>
        </is>
      </c>
      <c r="B73" s="18" t="inlineStr">
        <is>
          <t>INGENIERÍA QUÍMICA</t>
        </is>
      </c>
      <c r="C73" s="18" t="inlineStr">
        <is>
          <t>DOCTORADO EN INGENIERÍA QUÍMICA</t>
        </is>
      </c>
      <c r="D73" s="18" t="inlineStr">
        <is>
          <t>Flores Oña, Diego Roberto</t>
        </is>
      </c>
      <c r="E73" s="18" t="inlineStr">
        <is>
          <t>Síntesis y Aplicación de Nanopartículas de Carbono obtenidas mediante Carbonización</t>
        </is>
      </c>
      <c r="F73" s="18" t="inlineStr">
        <is>
          <t>20/03/2024</t>
        </is>
      </c>
      <c r="G73" s="18" t="inlineStr">
        <is>
          <t>73768475T</t>
        </is>
      </c>
      <c r="H73" s="18" t="inlineStr">
        <is>
          <t>Director de tesis</t>
        </is>
      </c>
      <c r="I73" s="18" t="inlineStr">
        <is>
          <t>B151</t>
        </is>
      </c>
      <c r="J73" s="18" t="inlineStr">
        <is>
          <t>INGENIERÍA QUÍMICA</t>
        </is>
      </c>
      <c r="K73" s="18" t="n">
        <v>1</v>
      </c>
      <c r="L73" s="18" t="inlineStr">
        <is>
          <t>B151</t>
        </is>
      </c>
      <c r="M73" s="18" t="n">
        <v>2023</v>
      </c>
      <c r="N73" s="18" t="inlineStr">
        <is>
          <t>10.05</t>
        </is>
      </c>
      <c r="O73" s="18" t="inlineStr">
        <is>
          <t>10</t>
        </is>
      </c>
      <c r="P73" s="18" t="inlineStr">
        <is>
          <t>10.09</t>
        </is>
      </c>
      <c r="Q73" s="18" t="inlineStr">
        <is>
          <t>55</t>
        </is>
      </c>
      <c r="R73" s="18" t="n">
        <v>35</v>
      </c>
      <c r="S73" s="63" t="n">
        <v>0.35</v>
      </c>
      <c r="T73" s="62" t="n">
        <v>0.1</v>
      </c>
      <c r="U73" s="63" t="n">
        <v>0.55</v>
      </c>
      <c r="V73" s="6" t="inlineStr">
        <is>
          <t>S</t>
        </is>
      </c>
    </row>
    <row r="74">
      <c r="A74" s="18" t="inlineStr">
        <is>
          <t>B151</t>
        </is>
      </c>
      <c r="B74" s="18" t="inlineStr">
        <is>
          <t>INGENIERÍA QUÍMICA</t>
        </is>
      </c>
      <c r="C74" s="18" t="inlineStr">
        <is>
          <t>DOCTORADO EN INGENIERÍA QUÍMICA</t>
        </is>
      </c>
      <c r="D74" s="18" t="inlineStr">
        <is>
          <t>Núñez Ramos, Samuel Santiago</t>
        </is>
      </c>
      <c r="E74" s="18" t="inlineStr">
        <is>
          <t>CONTAMINANTES PELIGROSOS EN PLÁSTICOS RECICLADOS Y TRATAMIENTOS PARA SU MITIGACIÓN</t>
        </is>
      </c>
      <c r="F74" s="18" t="inlineStr">
        <is>
          <t>21/03/2024</t>
        </is>
      </c>
      <c r="G74" s="18" t="inlineStr">
        <is>
          <t>21513988H</t>
        </is>
      </c>
      <c r="H74" s="18" t="inlineStr">
        <is>
          <t>Codirector de tesis</t>
        </is>
      </c>
      <c r="I74" s="18" t="inlineStr">
        <is>
          <t>B151</t>
        </is>
      </c>
      <c r="J74" s="18" t="inlineStr">
        <is>
          <t>INGENIERÍA QUÍMICA</t>
        </is>
      </c>
      <c r="K74" s="18" t="n">
        <v>0.5</v>
      </c>
      <c r="L74" s="18" t="inlineStr">
        <is>
          <t>B151</t>
        </is>
      </c>
      <c r="M74" s="18" t="n">
        <v>2023</v>
      </c>
      <c r="N74" s="18" t="inlineStr">
        <is>
          <t>10.05</t>
        </is>
      </c>
      <c r="O74" s="18" t="inlineStr">
        <is>
          <t>10</t>
        </is>
      </c>
      <c r="P74" s="18" t="inlineStr">
        <is>
          <t>10.09</t>
        </is>
      </c>
      <c r="Q74" s="18" t="inlineStr">
        <is>
          <t>65</t>
        </is>
      </c>
      <c r="R74" s="18" t="n">
        <v>25</v>
      </c>
      <c r="S74" s="63" t="n">
        <v>0.125</v>
      </c>
      <c r="T74" s="62" t="n">
        <v>0.05</v>
      </c>
      <c r="U74" s="63" t="n">
        <v>0.325</v>
      </c>
      <c r="V74" s="6" t="inlineStr">
        <is>
          <t>S</t>
        </is>
      </c>
    </row>
    <row r="75">
      <c r="A75" s="18" t="inlineStr">
        <is>
          <t>B151</t>
        </is>
      </c>
      <c r="B75" s="18" t="inlineStr">
        <is>
          <t>INGENIERÍA QUÍMICA</t>
        </is>
      </c>
      <c r="C75" s="18" t="inlineStr">
        <is>
          <t>DOCTORADO EN INGENIERÍA QUÍMICA</t>
        </is>
      </c>
      <c r="D75" s="18" t="inlineStr">
        <is>
          <t>Quiroga Colmenares, Eliana Marcela</t>
        </is>
      </c>
      <c r="E75" s="18" t="inlineStr">
        <is>
          <t>Catalytic production of high-value chemicals from biomass-derived products</t>
        </is>
      </c>
      <c r="F75" s="18" t="inlineStr">
        <is>
          <t>11/03/2024</t>
        </is>
      </c>
      <c r="G75" s="18" t="inlineStr">
        <is>
          <t>21513988H</t>
        </is>
      </c>
      <c r="H75" s="18" t="inlineStr">
        <is>
          <t>Codirector de tesis</t>
        </is>
      </c>
      <c r="I75" s="18" t="inlineStr">
        <is>
          <t>B151</t>
        </is>
      </c>
      <c r="J75" s="18" t="inlineStr">
        <is>
          <t>INGENIERÍA QUÍMICA</t>
        </is>
      </c>
      <c r="K75" s="18" t="n">
        <v>0.5</v>
      </c>
      <c r="L75" s="18" t="inlineStr">
        <is>
          <t>B151</t>
        </is>
      </c>
      <c r="M75" s="18" t="n">
        <v>2023</v>
      </c>
      <c r="N75" s="18" t="inlineStr">
        <is>
          <t>10.05</t>
        </is>
      </c>
      <c r="O75" s="18" t="inlineStr">
        <is>
          <t>10</t>
        </is>
      </c>
      <c r="P75" s="18" t="inlineStr">
        <is>
          <t>10.09</t>
        </is>
      </c>
      <c r="Q75" s="18" t="inlineStr">
        <is>
          <t>65</t>
        </is>
      </c>
      <c r="R75" s="18" t="n">
        <v>25</v>
      </c>
      <c r="S75" s="63" t="n">
        <v>0.125</v>
      </c>
      <c r="T75" s="62" t="n">
        <v>0.05</v>
      </c>
      <c r="U75" s="63" t="n">
        <v>0.325</v>
      </c>
      <c r="V75" s="6" t="inlineStr">
        <is>
          <t>S</t>
        </is>
      </c>
    </row>
    <row r="76">
      <c r="A76" s="18" t="inlineStr">
        <is>
          <t>B171</t>
        </is>
      </c>
      <c r="B76" s="18" t="inlineStr">
        <is>
          <t>CIENCIAS DEL MAR Y BIOLOGÍA APLICADA</t>
        </is>
      </c>
      <c r="C76" s="18" t="inlineStr">
        <is>
          <t>DOCTORADO EN CIENCIAS DEL MAR Y BIOLOGÍA APLICADA</t>
        </is>
      </c>
      <c r="D76" s="18" t="inlineStr">
        <is>
          <t>Blanco Murillo, Fabio</t>
        </is>
      </c>
      <c r="E76" s="18" t="inlineStr">
        <is>
          <t>Desalination discharge effects on seagrasses: unravelling mechanisms and novel biomonitoring tools</t>
        </is>
      </c>
      <c r="F76" s="18" t="inlineStr">
        <is>
          <t>19/01/2024</t>
        </is>
      </c>
      <c r="G76" s="18" t="inlineStr">
        <is>
          <t>48568823E</t>
        </is>
      </c>
      <c r="H76" s="18" t="inlineStr">
        <is>
          <t>Codirector de tesis</t>
        </is>
      </c>
      <c r="I76" s="18" t="inlineStr">
        <is>
          <t>B171</t>
        </is>
      </c>
      <c r="J76" s="18" t="inlineStr">
        <is>
          <t>CIENCIAS DEL MAR Y BIOLOGÍA APLICADA</t>
        </is>
      </c>
      <c r="K76" s="18" t="n">
        <v>0.5</v>
      </c>
      <c r="L76" s="18" t="inlineStr">
        <is>
          <t>B171</t>
        </is>
      </c>
      <c r="M76" s="18" t="n">
        <v>2023</v>
      </c>
      <c r="N76" s="18" t="inlineStr">
        <is>
          <t>10.05</t>
        </is>
      </c>
      <c r="O76" s="18" t="inlineStr">
        <is>
          <t>10</t>
        </is>
      </c>
      <c r="P76" s="18" t="inlineStr">
        <is>
          <t>10.16</t>
        </is>
      </c>
      <c r="Q76" s="18" t="inlineStr">
        <is>
          <t>10</t>
        </is>
      </c>
      <c r="R76" s="18" t="n">
        <v>80</v>
      </c>
      <c r="S76" s="63" t="n">
        <v>0.4</v>
      </c>
      <c r="T76" s="62" t="n">
        <v>0.05</v>
      </c>
      <c r="U76" s="63" t="n">
        <v>0.05</v>
      </c>
      <c r="V76" s="6" t="inlineStr">
        <is>
          <t>S</t>
        </is>
      </c>
    </row>
    <row r="77">
      <c r="A77" s="18" t="inlineStr">
        <is>
          <t>B185</t>
        </is>
      </c>
      <c r="B77" s="18" t="inlineStr">
        <is>
          <t>INGENIERÍA CIVIL</t>
        </is>
      </c>
      <c r="C77" s="18" t="inlineStr">
        <is>
          <t>DOCTORADO EN INGENIERÍA DE MATERIALES, ESTRUCTURAS Y TERRENO: CONSTR. SOST.</t>
        </is>
      </c>
      <c r="D77" s="18" t="inlineStr">
        <is>
          <t>Navarro Hernández, María Inés</t>
        </is>
      </c>
      <c r="E77" s="18" t="inlineStr">
        <is>
          <t>The Application of Differential Synthetic Aperture Radar Interferometry Dataset for
Validation, Characterization and Flood Risk Analysis in Land Subsidence-Affected Areas</t>
        </is>
      </c>
      <c r="F77" s="18" t="inlineStr">
        <is>
          <t>02/07/2024</t>
        </is>
      </c>
      <c r="G77" s="18" t="inlineStr">
        <is>
          <t>74002594W</t>
        </is>
      </c>
      <c r="H77" s="18" t="inlineStr">
        <is>
          <t>Codirector de tesis</t>
        </is>
      </c>
      <c r="I77" s="18" t="inlineStr">
        <is>
          <t>B185</t>
        </is>
      </c>
      <c r="J77" s="18" t="inlineStr">
        <is>
          <t>INGENIERÍA CIVIL</t>
        </is>
      </c>
      <c r="K77" s="18" t="n">
        <v>0.5</v>
      </c>
      <c r="L77" s="18" t="inlineStr">
        <is>
          <t>B185</t>
        </is>
      </c>
      <c r="M77" s="18" t="n">
        <v>2023</v>
      </c>
      <c r="N77" s="18" t="inlineStr">
        <is>
          <t>10.05</t>
        </is>
      </c>
      <c r="O77" s="18" t="inlineStr">
        <is>
          <t>10</t>
        </is>
      </c>
      <c r="P77" s="18" t="inlineStr"/>
      <c r="Q77" s="18" t="inlineStr"/>
      <c r="R77" s="18" t="n">
        <v>90</v>
      </c>
      <c r="S77" s="63" t="n">
        <v>0.45</v>
      </c>
      <c r="T77" s="62" t="n">
        <v>0.05</v>
      </c>
      <c r="U77" s="63" t="n">
        <v>0</v>
      </c>
      <c r="V77" s="6" t="inlineStr">
        <is>
          <t>S</t>
        </is>
      </c>
    </row>
    <row r="78">
      <c r="A78" s="18" t="inlineStr">
        <is>
          <t>U020</t>
        </is>
      </c>
      <c r="B78" s="18" t="inlineStr">
        <is>
          <t>I.U. DEL AGUA Y DE LAS CIENCIAS AMBIENTALES (10.05)</t>
        </is>
      </c>
      <c r="C78" s="18" t="inlineStr">
        <is>
          <t>DOCTORADO EN AGUA Y DESARROLLO SOSTENIBLE</t>
        </is>
      </c>
      <c r="D78" s="18" t="inlineStr">
        <is>
          <t>Castillo Vaca, Luis Alfonso</t>
        </is>
      </c>
      <c r="E78" s="18" t="inlineStr">
        <is>
          <t>Análisis histórico y económico del sistema de riego Cayambe - Pedro Moncayo, Ecuador</t>
        </is>
      </c>
      <c r="F78" s="18" t="inlineStr">
        <is>
          <t>11/07/2024</t>
        </is>
      </c>
      <c r="G78" s="18" t="inlineStr">
        <is>
          <t>74342287P</t>
        </is>
      </c>
      <c r="H78" s="18" t="inlineStr">
        <is>
          <t>Codirector de tesis</t>
        </is>
      </c>
      <c r="I78" s="18" t="inlineStr">
        <is>
          <t>B138</t>
        </is>
      </c>
      <c r="J78" s="18" t="inlineStr">
        <is>
          <t>ANALISIS ECONOMICO APLICADO</t>
        </is>
      </c>
      <c r="K78" s="18" t="n">
        <v>0.5</v>
      </c>
      <c r="L78" s="18" t="inlineStr">
        <is>
          <t>B138</t>
        </is>
      </c>
      <c r="M78" s="18" t="n">
        <v>2023</v>
      </c>
      <c r="N78" s="18" t="inlineStr">
        <is>
          <t>10.05</t>
        </is>
      </c>
      <c r="O78" s="18" t="inlineStr">
        <is>
          <t>90</t>
        </is>
      </c>
      <c r="P78" s="18" t="inlineStr"/>
      <c r="Q78" s="18" t="inlineStr"/>
      <c r="R78" s="18" t="n">
        <v>10</v>
      </c>
      <c r="S78" s="63" t="n">
        <v>0.05</v>
      </c>
      <c r="T78" s="62" t="n">
        <v>0.45</v>
      </c>
      <c r="U78" s="63" t="n">
        <v>0</v>
      </c>
      <c r="V78" s="6" t="inlineStr">
        <is>
          <t>S</t>
        </is>
      </c>
    </row>
    <row r="79">
      <c r="A79" s="18" t="inlineStr">
        <is>
          <t>U020</t>
        </is>
      </c>
      <c r="B79" s="18" t="inlineStr">
        <is>
          <t>I.U. DEL AGUA Y DE LAS CIENCIAS AMBIENTALES (10.05)</t>
        </is>
      </c>
      <c r="C79" s="18" t="inlineStr">
        <is>
          <t>DOCTORADO EN AGUA Y DESARROLLO SOSTENIBLE</t>
        </is>
      </c>
      <c r="D79" s="18" t="inlineStr">
        <is>
          <t>Castillo Vaca, Luis Alfonso</t>
        </is>
      </c>
      <c r="E79" s="18" t="inlineStr">
        <is>
          <t>Análisis histórico y económico del sistema de riego Cayambe - Pedro Moncayo, Ecuador</t>
        </is>
      </c>
      <c r="F79" s="18" t="inlineStr">
        <is>
          <t>11/07/2024</t>
        </is>
      </c>
      <c r="G79" s="18" t="inlineStr">
        <is>
          <t>53241660H</t>
        </is>
      </c>
      <c r="H79" s="18" t="inlineStr">
        <is>
          <t>Codirector de tesis</t>
        </is>
      </c>
      <c r="I79" s="18" t="inlineStr">
        <is>
          <t>B138</t>
        </is>
      </c>
      <c r="J79" s="18" t="inlineStr">
        <is>
          <t>ANALISIS ECONOMICO APLICADO</t>
        </is>
      </c>
      <c r="K79" s="18" t="n">
        <v>0.5</v>
      </c>
      <c r="L79" s="18" t="inlineStr">
        <is>
          <t>B138</t>
        </is>
      </c>
      <c r="M79" s="18" t="n">
        <v>2023</v>
      </c>
      <c r="N79" s="18" t="inlineStr">
        <is>
          <t>10.05</t>
        </is>
      </c>
      <c r="O79" s="18" t="inlineStr">
        <is>
          <t>20</t>
        </is>
      </c>
      <c r="P79" s="18" t="inlineStr"/>
      <c r="Q79" s="18" t="inlineStr"/>
      <c r="R79" s="18" t="n">
        <v>80</v>
      </c>
      <c r="S79" s="63" t="n">
        <v>0.4</v>
      </c>
      <c r="T79" s="62" t="n">
        <v>0.1</v>
      </c>
      <c r="U79" s="63" t="n">
        <v>0</v>
      </c>
      <c r="V79" s="6" t="inlineStr">
        <is>
          <t>S</t>
        </is>
      </c>
    </row>
    <row r="80">
      <c r="A80" s="18" t="inlineStr">
        <is>
          <t>U020</t>
        </is>
      </c>
      <c r="B80" s="18" t="inlineStr">
        <is>
          <t>I.U. DEL AGUA Y DE LAS CIENCIAS AMBIENTALES (10.05)</t>
        </is>
      </c>
      <c r="C80" s="18" t="inlineStr">
        <is>
          <t>DOCTORADO EN AGUA Y DESARROLLO SOSTENIBLE</t>
        </is>
      </c>
      <c r="D80" s="18" t="inlineStr">
        <is>
          <t>Millan Hernandez, Marisol</t>
        </is>
      </c>
      <c r="E80" s="18" t="inlineStr">
        <is>
          <t>El Nexo entre Agua, Cambio Climático y Paz en Colombia: Perspectivas para Políticas Públicas y Fiscalidad Ambiental</t>
        </is>
      </c>
      <c r="F80" s="18" t="inlineStr">
        <is>
          <t>12/07/2024</t>
        </is>
      </c>
      <c r="G80" s="18" t="inlineStr">
        <is>
          <t>74219671M</t>
        </is>
      </c>
      <c r="H80" s="18" t="inlineStr">
        <is>
          <t>Codirector de tesis</t>
        </is>
      </c>
      <c r="I80" s="18" t="inlineStr">
        <is>
          <t>B138</t>
        </is>
      </c>
      <c r="J80" s="18" t="inlineStr">
        <is>
          <t>ANALISIS ECONOMICO APLICADO</t>
        </is>
      </c>
      <c r="K80" s="18" t="n">
        <v>0.5</v>
      </c>
      <c r="L80" s="18" t="inlineStr">
        <is>
          <t>B138</t>
        </is>
      </c>
      <c r="M80" s="18" t="n">
        <v>2023</v>
      </c>
      <c r="N80" s="18" t="inlineStr">
        <is>
          <t>10.05</t>
        </is>
      </c>
      <c r="O80" s="18" t="inlineStr">
        <is>
          <t>10</t>
        </is>
      </c>
      <c r="P80" s="18" t="inlineStr">
        <is>
          <t>10.06</t>
        </is>
      </c>
      <c r="Q80" s="18" t="inlineStr">
        <is>
          <t>25</t>
        </is>
      </c>
      <c r="R80" s="18" t="n">
        <v>65</v>
      </c>
      <c r="S80" s="63" t="n">
        <v>0.325</v>
      </c>
      <c r="T80" s="62" t="n">
        <v>0.05</v>
      </c>
      <c r="U80" s="63" t="n">
        <v>0.125</v>
      </c>
      <c r="V80" s="6" t="inlineStr">
        <is>
          <t>S</t>
        </is>
      </c>
    </row>
    <row r="81">
      <c r="A81" s="18" t="inlineStr">
        <is>
          <t>U020</t>
        </is>
      </c>
      <c r="B81" s="18" t="inlineStr">
        <is>
          <t>I.U. DEL AGUA Y DE LAS CIENCIAS AMBIENTALES (10.05)</t>
        </is>
      </c>
      <c r="C81" s="18" t="inlineStr">
        <is>
          <t>DOCTORADO EN AGUA Y DESARROLLO SOSTENIBLE</t>
        </is>
      </c>
      <c r="D81" s="18" t="inlineStr">
        <is>
          <t>Millan Hernandez, Marisol</t>
        </is>
      </c>
      <c r="E81" s="18" t="inlineStr">
        <is>
          <t>El Nexo entre Agua, Cambio Climático y Paz en Colombia: Perspectivas para Políticas Públicas y Fiscalidad Ambiental</t>
        </is>
      </c>
      <c r="F81" s="18" t="inlineStr">
        <is>
          <t>12/07/2024</t>
        </is>
      </c>
      <c r="G81" s="18" t="inlineStr">
        <is>
          <t>74342287P</t>
        </is>
      </c>
      <c r="H81" s="18" t="inlineStr">
        <is>
          <t>Codirector de tesis</t>
        </is>
      </c>
      <c r="I81" s="18" t="inlineStr">
        <is>
          <t>B138</t>
        </is>
      </c>
      <c r="J81" s="18" t="inlineStr">
        <is>
          <t>ANALISIS ECONOMICO APLICADO</t>
        </is>
      </c>
      <c r="K81" s="18" t="n">
        <v>0.5</v>
      </c>
      <c r="L81" s="18" t="inlineStr">
        <is>
          <t>B138</t>
        </is>
      </c>
      <c r="M81" s="18" t="n">
        <v>2023</v>
      </c>
      <c r="N81" s="18" t="inlineStr">
        <is>
          <t>10.05</t>
        </is>
      </c>
      <c r="O81" s="18" t="inlineStr">
        <is>
          <t>90</t>
        </is>
      </c>
      <c r="P81" s="18" t="inlineStr"/>
      <c r="Q81" s="18" t="inlineStr"/>
      <c r="R81" s="18" t="n">
        <v>10</v>
      </c>
      <c r="S81" s="63" t="n">
        <v>0.05</v>
      </c>
      <c r="T81" s="62" t="n">
        <v>0.45</v>
      </c>
      <c r="U81" s="63" t="n">
        <v>0</v>
      </c>
      <c r="V81" s="6" t="inlineStr">
        <is>
          <t>S</t>
        </is>
      </c>
    </row>
    <row r="82">
      <c r="A82" s="18" t="inlineStr">
        <is>
          <t>U020</t>
        </is>
      </c>
      <c r="B82" s="18" t="inlineStr">
        <is>
          <t>I.U. DEL AGUA Y DE LAS CIENCIAS AMBIENTALES (10.05)</t>
        </is>
      </c>
      <c r="C82" s="18" t="inlineStr">
        <is>
          <t>DOCTORADO EN AGUA Y DESARROLLO SOSTENIBLE</t>
        </is>
      </c>
      <c r="D82" s="18" t="inlineStr">
        <is>
          <t>Jenichen Filho , Artur</t>
        </is>
      </c>
      <c r="E82" s="18" t="inlineStr">
        <is>
          <t>O EFETIVO ACESSO À ÁGUA POTÁVEL COMO DIREITO FUNDAMENTAL NO ORDENAMENTO JURÍDICO BRASILEIRO: DEMONSTRAÇÃO DESSA POSSIBILIDADE A PARTIR DE ANÁLISES DE NORMAS DE DIREITO BRASILEIRO E ESPANHOL</t>
        </is>
      </c>
      <c r="F82" s="18" t="inlineStr">
        <is>
          <t>23/02/2024</t>
        </is>
      </c>
      <c r="G82" s="18" t="inlineStr">
        <is>
          <t>21502998E</t>
        </is>
      </c>
      <c r="H82" s="18" t="inlineStr">
        <is>
          <t>Codirector de tesis</t>
        </is>
      </c>
      <c r="I82" s="18" t="inlineStr">
        <is>
          <t>B113</t>
        </is>
      </c>
      <c r="J82" s="18" t="inlineStr">
        <is>
          <t>ESTUDIOS JURIDICOS DEL ESTADO</t>
        </is>
      </c>
      <c r="K82" s="18" t="n">
        <v>0.5</v>
      </c>
      <c r="L82" s="18" t="inlineStr">
        <is>
          <t>B113</t>
        </is>
      </c>
      <c r="M82" s="18" t="n">
        <v>2023</v>
      </c>
      <c r="N82" s="18" t="inlineStr">
        <is>
          <t>10.05</t>
        </is>
      </c>
      <c r="O82" s="18" t="inlineStr">
        <is>
          <t>60</t>
        </is>
      </c>
      <c r="P82" s="18" t="inlineStr"/>
      <c r="Q82" s="18" t="inlineStr"/>
      <c r="R82" s="18" t="n">
        <v>40</v>
      </c>
      <c r="S82" s="63" t="n">
        <v>0.2</v>
      </c>
      <c r="T82" s="62" t="n">
        <v>0.3</v>
      </c>
      <c r="U82" s="63" t="n">
        <v>0</v>
      </c>
      <c r="V82" s="6" t="inlineStr">
        <is>
          <t>S</t>
        </is>
      </c>
    </row>
    <row r="83">
      <c r="A83" s="18" t="inlineStr">
        <is>
          <t>U020</t>
        </is>
      </c>
      <c r="B83" s="18" t="inlineStr">
        <is>
          <t>I.U. DEL AGUA Y DE LAS CIENCIAS AMBIENTALES (10.05)</t>
        </is>
      </c>
      <c r="C83" s="18" t="inlineStr">
        <is>
          <t>DOCTORADO EN AGUA Y DESARROLLO SOSTENIBLE</t>
        </is>
      </c>
      <c r="D83" s="18" t="inlineStr">
        <is>
          <t>Maldaner Corbetta, Janiara</t>
        </is>
      </c>
      <c r="E83" s="18" t="inlineStr">
        <is>
          <t>Princípio da solidariedade conjugado com a extrafiscalidade tributária para instituir política pública ambiental: a taxa ambiental como instrumento de proteção ao meio ambiente.</t>
        </is>
      </c>
      <c r="F83" s="18" t="inlineStr">
        <is>
          <t>18/12/2023</t>
        </is>
      </c>
      <c r="G83" s="18" t="inlineStr">
        <is>
          <t>74342287P</t>
        </is>
      </c>
      <c r="H83" s="18" t="inlineStr">
        <is>
          <t>Codirector de tesis</t>
        </is>
      </c>
      <c r="I83" s="18" t="inlineStr">
        <is>
          <t>B138</t>
        </is>
      </c>
      <c r="J83" s="18" t="inlineStr">
        <is>
          <t>ANALISIS ECONOMICO APLICADO</t>
        </is>
      </c>
      <c r="K83" s="18" t="n">
        <v>0.5</v>
      </c>
      <c r="L83" s="18" t="inlineStr">
        <is>
          <t>B138</t>
        </is>
      </c>
      <c r="M83" s="18" t="n">
        <v>2023</v>
      </c>
      <c r="N83" s="18" t="inlineStr">
        <is>
          <t>10.05</t>
        </is>
      </c>
      <c r="O83" s="18" t="inlineStr">
        <is>
          <t>90</t>
        </is>
      </c>
      <c r="P83" s="18" t="inlineStr"/>
      <c r="Q83" s="18" t="inlineStr"/>
      <c r="R83" s="18" t="n">
        <v>10</v>
      </c>
      <c r="S83" s="63" t="n">
        <v>0.05</v>
      </c>
      <c r="T83" s="62" t="n">
        <v>0.45</v>
      </c>
      <c r="U83" s="63" t="n">
        <v>0</v>
      </c>
      <c r="V83" s="6" t="inlineStr">
        <is>
          <t>S</t>
        </is>
      </c>
    </row>
    <row r="84">
      <c r="A84" s="18" t="inlineStr">
        <is>
          <t>U020</t>
        </is>
      </c>
      <c r="B84" s="18" t="inlineStr">
        <is>
          <t>I.U. DEL AGUA Y DE LAS CIENCIAS AMBIENTALES (10.05)</t>
        </is>
      </c>
      <c r="C84" s="18" t="inlineStr">
        <is>
          <t>DOCTORADO EN AGUA Y DESARROLLO SOSTENIBLE</t>
        </is>
      </c>
      <c r="D84" s="18" t="inlineStr">
        <is>
          <t>Happke , Andre Alexandre</t>
        </is>
      </c>
      <c r="E84" s="18" t="inlineStr">
        <is>
          <t>Água potável: conceito jurídico transnacional no paradigma da sustentabilidade</t>
        </is>
      </c>
      <c r="F84" s="18" t="inlineStr">
        <is>
          <t>31/05/2024</t>
        </is>
      </c>
      <c r="G84" s="18" t="inlineStr">
        <is>
          <t>74342287P</t>
        </is>
      </c>
      <c r="H84" s="18" t="inlineStr">
        <is>
          <t>Codirector de tesis</t>
        </is>
      </c>
      <c r="I84" s="18" t="inlineStr">
        <is>
          <t>B138</t>
        </is>
      </c>
      <c r="J84" s="18" t="inlineStr">
        <is>
          <t>ANALISIS ECONOMICO APLICADO</t>
        </is>
      </c>
      <c r="K84" s="18" t="n">
        <v>0.5</v>
      </c>
      <c r="L84" s="18" t="inlineStr">
        <is>
          <t>B138</t>
        </is>
      </c>
      <c r="M84" s="18" t="n">
        <v>2023</v>
      </c>
      <c r="N84" s="18" t="inlineStr">
        <is>
          <t>10.05</t>
        </is>
      </c>
      <c r="O84" s="18" t="inlineStr">
        <is>
          <t>90</t>
        </is>
      </c>
      <c r="P84" s="18" t="inlineStr"/>
      <c r="Q84" s="18" t="inlineStr"/>
      <c r="R84" s="18" t="n">
        <v>10</v>
      </c>
      <c r="S84" s="63" t="n">
        <v>0.05</v>
      </c>
      <c r="T84" s="62" t="n">
        <v>0.45</v>
      </c>
      <c r="U84" s="63" t="n">
        <v>0</v>
      </c>
      <c r="V84" s="6" t="inlineStr">
        <is>
          <t>S</t>
        </is>
      </c>
    </row>
    <row r="85">
      <c r="A85" s="18" t="inlineStr">
        <is>
          <t>U022</t>
        </is>
      </c>
      <c r="B85" s="18" t="inlineStr">
        <is>
          <t>ADM. FACULTAD DE CIENCIAS</t>
        </is>
      </c>
      <c r="C85" s="18" t="inlineStr">
        <is>
          <t>DOCTORADO EN CIENCIAS EXPERIMENTALES Y BIOSANITARIAS</t>
        </is>
      </c>
      <c r="D85" s="18" t="inlineStr">
        <is>
          <t>Ruiz , María Candela</t>
        </is>
      </c>
      <c r="E85" s="18" t="inlineStr">
        <is>
          <t>Comportamiento espacial y migratorio de aves rapaces (Accipitridae y Falconidae) en el Paleártico Occidental</t>
        </is>
      </c>
      <c r="F85" s="18" t="inlineStr">
        <is>
          <t>05/07/2024</t>
        </is>
      </c>
      <c r="G85" s="18" t="inlineStr">
        <is>
          <t>48561476N</t>
        </is>
      </c>
      <c r="H85" s="18" t="inlineStr">
        <is>
          <t>Codirector de tesis</t>
        </is>
      </c>
      <c r="I85" s="18" t="inlineStr">
        <is>
          <t>B185</t>
        </is>
      </c>
      <c r="J85" s="18" t="inlineStr">
        <is>
          <t>INGENIERÍA CIVIL</t>
        </is>
      </c>
      <c r="K85" s="18" t="n">
        <v>0.5</v>
      </c>
      <c r="L85" s="18" t="inlineStr">
        <is>
          <t>B185</t>
        </is>
      </c>
      <c r="M85" s="18" t="n">
        <v>2023</v>
      </c>
      <c r="N85" s="18" t="inlineStr">
        <is>
          <t>10.05</t>
        </is>
      </c>
      <c r="O85" s="18" t="inlineStr">
        <is>
          <t>20</t>
        </is>
      </c>
      <c r="P85" s="18" t="inlineStr"/>
      <c r="Q85" s="18" t="inlineStr"/>
      <c r="R85" s="18" t="n">
        <v>80</v>
      </c>
      <c r="S85" s="63" t="n">
        <v>0.4</v>
      </c>
      <c r="T85" s="62" t="n">
        <v>0.1</v>
      </c>
      <c r="U85" s="63" t="n">
        <v>0</v>
      </c>
      <c r="V85" s="6" t="inlineStr">
        <is>
          <t>S</t>
        </is>
      </c>
    </row>
    <row r="86">
      <c r="A86" s="18" t="inlineStr">
        <is>
          <t>U025</t>
        </is>
      </c>
      <c r="B86" s="18" t="inlineStr">
        <is>
          <t>ADM. FACULTAD DE DERECHO</t>
        </is>
      </c>
      <c r="C86" s="18" t="inlineStr">
        <is>
          <t>DOCTORADO EN DERECHO</t>
        </is>
      </c>
      <c r="D86" s="18" t="inlineStr">
        <is>
          <t>Yang , Yang</t>
        </is>
      </c>
      <c r="E86" s="18" t="inlineStr">
        <is>
          <t>Return to the continent legal system administrative trial organizations as the clue</t>
        </is>
      </c>
      <c r="F86" s="18" t="inlineStr">
        <is>
          <t>20/05/2024</t>
        </is>
      </c>
      <c r="G86" s="18" t="inlineStr">
        <is>
          <t>21435704A</t>
        </is>
      </c>
      <c r="H86" s="18" t="inlineStr">
        <is>
          <t>Director de tesis</t>
        </is>
      </c>
      <c r="I86" s="18" t="inlineStr">
        <is>
          <t>B104</t>
        </is>
      </c>
      <c r="J86" s="18" t="inlineStr">
        <is>
          <t>CIENCIAS HISTORICO-JURIDICAS</t>
        </is>
      </c>
      <c r="K86" s="18" t="n">
        <v>1</v>
      </c>
      <c r="L86" s="18" t="inlineStr">
        <is>
          <t>B104</t>
        </is>
      </c>
      <c r="M86" s="18" t="n">
        <v>2023</v>
      </c>
      <c r="N86" s="18" t="inlineStr">
        <is>
          <t>10.05</t>
        </is>
      </c>
      <c r="O86" s="18" t="inlineStr">
        <is>
          <t>50</t>
        </is>
      </c>
      <c r="P86" s="18" t="inlineStr"/>
      <c r="Q86" s="18" t="inlineStr"/>
      <c r="R86" s="18" t="n">
        <v>50</v>
      </c>
      <c r="S86" s="63" t="n">
        <v>0.5</v>
      </c>
      <c r="T86" s="62" t="n">
        <v>0.5</v>
      </c>
      <c r="U86" s="63" t="n">
        <v>0</v>
      </c>
      <c r="V86" s="6" t="inlineStr">
        <is>
          <t>S</t>
        </is>
      </c>
    </row>
    <row r="87">
      <c r="A87" s="18" t="inlineStr">
        <is>
          <t xml:space="preserve">U020 </t>
        </is>
      </c>
      <c r="B87" s="18" t="inlineStr">
        <is>
          <t xml:space="preserve">ADM. I.U. DEL AGUA Y DE LAS CIENCIAS AMBIENTALES </t>
        </is>
      </c>
      <c r="C87" s="18" t="inlineStr">
        <is>
          <t xml:space="preserve">DOCTORADO EN AGUA Y DESARROLLO SOSTENIBLE </t>
        </is>
      </c>
      <c r="D87" s="18" t="inlineStr">
        <is>
          <t xml:space="preserve">Bernal Romero del Hombre Bueno, María de los Ángeles </t>
        </is>
      </c>
      <c r="E87" s="18" t="inlineStr">
        <is>
          <t xml:space="preserve">Reducción de microcontaminantes mediante procesos biológicos, tratamiento con membranas y carbón activado </t>
        </is>
      </c>
      <c r="F87" s="18" t="inlineStr">
        <is>
          <t xml:space="preserve">27/05/2020 </t>
        </is>
      </c>
      <c r="G87" s="18" t="inlineStr">
        <is>
          <t xml:space="preserve">21455103J </t>
        </is>
      </c>
      <c r="H87" s="18" t="inlineStr">
        <is>
          <t xml:space="preserve">Codirector de tesis </t>
        </is>
      </c>
      <c r="I87" s="18" t="inlineStr">
        <is>
          <t xml:space="preserve">B151 </t>
        </is>
      </c>
      <c r="J87" s="18" t="inlineStr">
        <is>
          <t xml:space="preserve">INGENIERÍA QUÍMICA </t>
        </is>
      </c>
      <c r="K87" s="18" t="n">
        <v>0.5</v>
      </c>
      <c r="L87" s="18" t="inlineStr">
        <is>
          <t>B151</t>
        </is>
      </c>
      <c r="M87" s="18" t="n">
        <v>2019</v>
      </c>
      <c r="N87" s="18" t="inlineStr">
        <is>
          <t>10.09</t>
        </is>
      </c>
      <c r="O87" s="18" t="inlineStr">
        <is>
          <t>40</t>
        </is>
      </c>
      <c r="P87" s="18" t="inlineStr">
        <is>
          <t>10.05</t>
        </is>
      </c>
      <c r="Q87" s="18" t="inlineStr">
        <is>
          <t>20</t>
        </is>
      </c>
      <c r="R87" s="18" t="n">
        <v>40</v>
      </c>
      <c r="S87" s="63" t="n">
        <v>0.2</v>
      </c>
      <c r="T87" s="63" t="n">
        <v>0.2</v>
      </c>
      <c r="U87" s="62" t="n">
        <v>0.1</v>
      </c>
    </row>
    <row r="88">
      <c r="A88" s="18" t="inlineStr">
        <is>
          <t xml:space="preserve">U020 </t>
        </is>
      </c>
      <c r="B88" s="18" t="inlineStr">
        <is>
          <t xml:space="preserve">ADM. I.U. DEL AGUA Y DE LAS CIENCIAS AMBIENTALES </t>
        </is>
      </c>
      <c r="C88" s="18" t="inlineStr">
        <is>
          <t xml:space="preserve">DOCTORADO EN AGUA Y DESARROLLO SOSTENIBLE </t>
        </is>
      </c>
      <c r="D88" s="18" t="inlineStr">
        <is>
          <t xml:space="preserve">Bernal Romero del Hombre Bueno, María de los Ángeles </t>
        </is>
      </c>
      <c r="E88" s="18" t="inlineStr">
        <is>
          <t xml:space="preserve">Reducción de microcontaminantes mediante procesos biológicos, tratamiento con membranas y carbón activado </t>
        </is>
      </c>
      <c r="F88" s="18" t="inlineStr">
        <is>
          <t xml:space="preserve">27/05/2020 </t>
        </is>
      </c>
      <c r="G88" s="18" t="inlineStr">
        <is>
          <t xml:space="preserve">21943946Z </t>
        </is>
      </c>
      <c r="H88" s="18" t="inlineStr">
        <is>
          <t xml:space="preserve">Codirector de tesis </t>
        </is>
      </c>
      <c r="I88" s="18" t="inlineStr">
        <is>
          <t xml:space="preserve">B151 </t>
        </is>
      </c>
      <c r="J88" s="18" t="inlineStr">
        <is>
          <t xml:space="preserve">INGENIERÍA QUÍMICA </t>
        </is>
      </c>
      <c r="K88" s="18" t="n">
        <v>0.5</v>
      </c>
      <c r="L88" s="18" t="inlineStr">
        <is>
          <t>B151</t>
        </is>
      </c>
      <c r="M88" s="18" t="n">
        <v>2019</v>
      </c>
      <c r="N88" s="18" t="inlineStr">
        <is>
          <t>10.09</t>
        </is>
      </c>
      <c r="O88" s="18" t="inlineStr">
        <is>
          <t>10</t>
        </is>
      </c>
      <c r="P88" s="18" t="inlineStr">
        <is>
          <t>10.05</t>
        </is>
      </c>
      <c r="Q88" s="18" t="inlineStr">
        <is>
          <t>80</t>
        </is>
      </c>
      <c r="R88" s="18" t="n">
        <v>10</v>
      </c>
      <c r="S88" s="63" t="n">
        <v>0.05</v>
      </c>
      <c r="T88" s="63" t="n">
        <v>0.05</v>
      </c>
      <c r="U88" s="62" t="n">
        <v>0.4</v>
      </c>
    </row>
    <row r="89">
      <c r="A89" s="18" t="inlineStr">
        <is>
          <t xml:space="preserve">U036 </t>
        </is>
      </c>
      <c r="B89" s="18" t="inlineStr">
        <is>
          <t xml:space="preserve">ADM. FACULTAD DE CIENCIAS ECONÓMICAS </t>
        </is>
      </c>
      <c r="C89" s="18" t="inlineStr">
        <is>
          <t xml:space="preserve">DOCTORADO EN EMPRESA, ECONOMÍA Y SOCIEDAD </t>
        </is>
      </c>
      <c r="D89" s="18" t="inlineStr">
        <is>
          <t xml:space="preserve">Climent Gil, Emilio </t>
        </is>
      </c>
      <c r="E89" s="18" t="inlineStr">
        <is>
          <t xml:space="preserve">Abordando la complejidad. Vulnerabilidad y riesgo en la gestión de impactos sociales de las intervenciones sobre el medio </t>
        </is>
      </c>
      <c r="F89" s="18" t="inlineStr">
        <is>
          <t xml:space="preserve">24/11/2020 </t>
        </is>
      </c>
      <c r="G89" s="18" t="inlineStr">
        <is>
          <t xml:space="preserve">44766559A </t>
        </is>
      </c>
      <c r="H89" s="18" t="inlineStr">
        <is>
          <t xml:space="preserve">Codirector de tesis </t>
        </is>
      </c>
      <c r="I89" s="18" t="inlineStr">
        <is>
          <t xml:space="preserve">B179 </t>
        </is>
      </c>
      <c r="J89" s="18" t="inlineStr">
        <is>
          <t xml:space="preserve">SOCIOLOGÍA I </t>
        </is>
      </c>
      <c r="K89" s="18" t="n">
        <v>0.5</v>
      </c>
      <c r="L89" s="18" t="inlineStr">
        <is>
          <t>B179</t>
        </is>
      </c>
      <c r="M89" s="18" t="n">
        <v>2019</v>
      </c>
      <c r="N89" s="18" t="inlineStr">
        <is>
          <t>10.17</t>
        </is>
      </c>
      <c r="O89" s="18" t="n">
        <v>10</v>
      </c>
      <c r="P89" s="18" t="inlineStr">
        <is>
          <t>10.05</t>
        </is>
      </c>
      <c r="Q89" s="18" t="n">
        <v>50</v>
      </c>
      <c r="R89" s="18" t="n">
        <v>40</v>
      </c>
      <c r="S89" s="63" t="n">
        <v>0.2</v>
      </c>
      <c r="T89" s="63" t="n">
        <v>0.05</v>
      </c>
      <c r="U89" s="62" t="n">
        <v>0.25</v>
      </c>
    </row>
    <row r="90">
      <c r="A90" s="18" t="inlineStr">
        <is>
          <t xml:space="preserve">U020 </t>
        </is>
      </c>
      <c r="B90" s="18" t="inlineStr">
        <is>
          <t xml:space="preserve">ADM. I.U. DEL AGUA Y DE LAS CIENCIAS AMBIENTALES </t>
        </is>
      </c>
      <c r="C90" s="18" t="inlineStr">
        <is>
          <t xml:space="preserve">DOCTORADO EN AGUA Y DESARROLLO SOSTENIBLE </t>
        </is>
      </c>
      <c r="D90" s="18" t="inlineStr">
        <is>
          <t xml:space="preserve">MORA CABRERA, KAREN VIVIANA </t>
        </is>
      </c>
      <c r="E90" s="18" t="inlineStr">
        <is>
          <t xml:space="preserve">Tratamiento de aguas residuales mediante UASB + eMBR para eliminación de productos farmacéuticos en aguas residuales urbanas </t>
        </is>
      </c>
      <c r="F90" s="18" t="inlineStr">
        <is>
          <t xml:space="preserve">15/09/2021 </t>
        </is>
      </c>
      <c r="G90" s="18" t="inlineStr">
        <is>
          <t xml:space="preserve">21943946Z </t>
        </is>
      </c>
      <c r="H90" s="18" t="inlineStr">
        <is>
          <t xml:space="preserve">Codirector de tesis </t>
        </is>
      </c>
      <c r="I90" s="18" t="inlineStr">
        <is>
          <t xml:space="preserve">B151 </t>
        </is>
      </c>
      <c r="J90" s="18" t="inlineStr">
        <is>
          <t xml:space="preserve">INGENIERÍA QUÍMICA </t>
        </is>
      </c>
      <c r="K90" s="18" t="n">
        <v>0.5</v>
      </c>
      <c r="L90" s="18" t="inlineStr">
        <is>
          <t>B151</t>
        </is>
      </c>
      <c r="M90" s="18" t="n">
        <v>2020</v>
      </c>
      <c r="N90" s="18" t="inlineStr">
        <is>
          <t>10.09</t>
        </is>
      </c>
      <c r="O90" s="18" t="n">
        <v>10</v>
      </c>
      <c r="P90" s="18" t="inlineStr">
        <is>
          <t>10.05</t>
        </is>
      </c>
      <c r="Q90" s="18" t="n">
        <v>80</v>
      </c>
      <c r="R90" s="18" t="n">
        <v>10</v>
      </c>
      <c r="S90" s="63" t="n">
        <v>0.05</v>
      </c>
      <c r="T90" s="63" t="n">
        <v>0.05</v>
      </c>
      <c r="U90" s="62" t="n">
        <v>0.4</v>
      </c>
    </row>
    <row r="91">
      <c r="A91" s="18" t="inlineStr">
        <is>
          <t xml:space="preserve">U020 </t>
        </is>
      </c>
      <c r="B91" s="18" t="inlineStr">
        <is>
          <t xml:space="preserve">ADM. I.U. DEL AGUA Y DE LAS CIENCIAS AMBIENTALES </t>
        </is>
      </c>
      <c r="C91" s="18" t="inlineStr">
        <is>
          <t xml:space="preserve">DOCTORADO EN AGUA Y DESARROLLO SOSTENIBLE </t>
        </is>
      </c>
      <c r="D91" s="18" t="inlineStr">
        <is>
          <t xml:space="preserve">Jódar Abellán, Antonio </t>
        </is>
      </c>
      <c r="E91" s="18" t="inlineStr">
        <is>
          <t xml:space="preserve">Hydrological impacts of global change. Adaptation alternatives in complex water systems with water resources scarcity and severe natural risks (southeast of Spain) </t>
        </is>
      </c>
      <c r="F91" s="18" t="inlineStr">
        <is>
          <t xml:space="preserve">09/07/2021 </t>
        </is>
      </c>
      <c r="G91" s="18" t="inlineStr">
        <is>
          <t xml:space="preserve">21943946Z </t>
        </is>
      </c>
      <c r="H91" s="18" t="inlineStr">
        <is>
          <t xml:space="preserve">Codirector de tesis </t>
        </is>
      </c>
      <c r="I91" s="18" t="inlineStr">
        <is>
          <t xml:space="preserve">B151 </t>
        </is>
      </c>
      <c r="J91" s="18" t="inlineStr">
        <is>
          <t xml:space="preserve">INGENIERÍA QUÍMICA </t>
        </is>
      </c>
      <c r="K91" s="18" t="n">
        <v>0.3333333333333333</v>
      </c>
      <c r="L91" s="18" t="inlineStr">
        <is>
          <t>B151</t>
        </is>
      </c>
      <c r="M91" s="18" t="n">
        <v>2020</v>
      </c>
      <c r="N91" s="18" t="inlineStr">
        <is>
          <t>10.09</t>
        </is>
      </c>
      <c r="O91" s="18" t="n">
        <v>10</v>
      </c>
      <c r="P91" s="18" t="inlineStr">
        <is>
          <t>10.05</t>
        </is>
      </c>
      <c r="Q91" s="18" t="n">
        <v>80</v>
      </c>
      <c r="R91" s="18" t="n">
        <v>10</v>
      </c>
      <c r="S91" s="63" t="n">
        <v>0.03333333333333333</v>
      </c>
      <c r="T91" s="63" t="n">
        <v>0.03333333333333333</v>
      </c>
      <c r="U91" s="62" t="n">
        <v>0.2666666666666667</v>
      </c>
    </row>
    <row r="92">
      <c r="A92" s="18" t="inlineStr">
        <is>
          <t xml:space="preserve">U036 </t>
        </is>
      </c>
      <c r="B92" s="18" t="inlineStr">
        <is>
          <t xml:space="preserve">ADM. FACULTAD DE CIENCIAS ECONÓMICAS </t>
        </is>
      </c>
      <c r="C92" s="18" t="inlineStr">
        <is>
          <t xml:space="preserve">DOCTORADO EN EMPRESA, ECONOMÍA Y SOCIEDAD </t>
        </is>
      </c>
      <c r="D92" s="18" t="inlineStr">
        <is>
          <t xml:space="preserve">Punset Bannel, Carolina Clara </t>
        </is>
      </c>
      <c r="E92" s="18" t="inlineStr">
        <is>
          <t xml:space="preserve">LA TRANSICIÓN ENERGÉTICA HACIA UN MODELO DESCARBONIZADO DESDE LA PERSPECTIVA DE LOS LOBBIES EN LA UNIÓN EUROPEA </t>
        </is>
      </c>
      <c r="F92" s="18" t="inlineStr">
        <is>
          <t xml:space="preserve">08/04/2022 </t>
        </is>
      </c>
      <c r="G92" s="18" t="inlineStr">
        <is>
          <t xml:space="preserve">44766559A </t>
        </is>
      </c>
      <c r="H92" s="18" t="inlineStr">
        <is>
          <t xml:space="preserve">Codirector de tesis </t>
        </is>
      </c>
      <c r="I92" s="18" t="inlineStr">
        <is>
          <t xml:space="preserve">B179 </t>
        </is>
      </c>
      <c r="J92" s="18" t="inlineStr">
        <is>
          <t xml:space="preserve">SOCIOLOGÍA I </t>
        </is>
      </c>
      <c r="K92" s="18" t="n">
        <v>0.5</v>
      </c>
      <c r="L92" s="18" t="inlineStr">
        <is>
          <t>B179</t>
        </is>
      </c>
      <c r="M92" s="18" t="n">
        <v>2021</v>
      </c>
      <c r="N92" s="18" t="inlineStr">
        <is>
          <t>10.17</t>
        </is>
      </c>
      <c r="O92" s="18" t="n">
        <v>10</v>
      </c>
      <c r="P92" s="18" t="inlineStr">
        <is>
          <t>10.05</t>
        </is>
      </c>
      <c r="Q92" s="18" t="n">
        <v>50</v>
      </c>
      <c r="R92" s="18" t="n">
        <v>40</v>
      </c>
      <c r="S92" s="63" t="n">
        <v>0.2</v>
      </c>
      <c r="T92" s="63" t="n">
        <v>0.05</v>
      </c>
      <c r="U92" s="62" t="n">
        <v>0.25</v>
      </c>
    </row>
    <row r="93">
      <c r="A93" s="18" t="inlineStr">
        <is>
          <t xml:space="preserve">U020 </t>
        </is>
      </c>
      <c r="B93" s="18" t="inlineStr">
        <is>
          <t xml:space="preserve">I.U. DEL AGUA Y DE LAS CIENCIAS AMBIENTALES (10.05) </t>
        </is>
      </c>
      <c r="C93" s="18" t="inlineStr">
        <is>
          <t xml:space="preserve">DOCTORADO EN AGUA Y DESARROLLO SOSTENIBLE </t>
        </is>
      </c>
      <c r="D93" s="18" t="inlineStr">
        <is>
          <t>Flor García, María</t>
        </is>
      </c>
      <c r="E93" s="18" t="inlineStr">
        <is>
          <t xml:space="preserve">IMPACTO ECONÓMICO, SOCIAL Y MEDIOAMBIENTAL DE LA LIBERALIZACIÓN DEL SECTOR DEL TAXI EN ESPAÑA </t>
        </is>
      </c>
      <c r="F93" s="18" t="inlineStr">
        <is>
          <t xml:space="preserve">21/02/2023 </t>
        </is>
      </c>
      <c r="G93" s="18" t="inlineStr">
        <is>
          <t xml:space="preserve">79108766J </t>
        </is>
      </c>
      <c r="H93" s="18" t="inlineStr">
        <is>
          <t xml:space="preserve">Director de tesis </t>
        </is>
      </c>
      <c r="I93" s="18" t="inlineStr">
        <is>
          <t xml:space="preserve">B185 </t>
        </is>
      </c>
      <c r="J93" s="18" t="inlineStr">
        <is>
          <t xml:space="preserve">INGENIERÍA CIVIL </t>
        </is>
      </c>
      <c r="K93" s="18" t="n">
        <v>1</v>
      </c>
      <c r="L93" s="18" t="inlineStr">
        <is>
          <t>B185</t>
        </is>
      </c>
      <c r="M93" s="18" t="n">
        <v>2022</v>
      </c>
      <c r="N93" s="18" t="inlineStr">
        <is>
          <t>10.17</t>
        </is>
      </c>
      <c r="O93" s="18" t="n">
        <v>20</v>
      </c>
      <c r="P93" s="18" t="inlineStr">
        <is>
          <t>10.05</t>
        </is>
      </c>
      <c r="Q93" s="18" t="n">
        <v>50</v>
      </c>
      <c r="R93" s="18" t="n">
        <v>30</v>
      </c>
      <c r="S93" s="63" t="n">
        <v>0.3</v>
      </c>
      <c r="T93" s="63" t="n">
        <v>0.2</v>
      </c>
      <c r="U93" s="62" t="n">
        <v>0.5</v>
      </c>
    </row>
    <row r="94">
      <c r="A94" s="18" t="inlineStr">
        <is>
          <t xml:space="preserve">U020 </t>
        </is>
      </c>
      <c r="B94" s="18" t="inlineStr">
        <is>
          <t xml:space="preserve">I.U. DEL AGUA Y DE LAS CIENCIAS AMBIENTALES (10.05) </t>
        </is>
      </c>
      <c r="C94" s="18" t="inlineStr">
        <is>
          <t xml:space="preserve">DOCTORADO EN AGUA Y DESARROLLO SOSTENIBLE </t>
        </is>
      </c>
      <c r="D94" s="18" t="inlineStr">
        <is>
          <t>Martínez Moya, Sergio</t>
        </is>
      </c>
      <c r="E94" s="18" t="inlineStr">
        <is>
          <t xml:space="preserve">TRATAMIENTO DE AGUA POR ELECTROMAGNETISMO: INFLUENCIA EN LA PRECIPITACIÓN DE CARBONATO CÁLCICO Y EFECTOS EN OTRAS APLICACIONES </t>
        </is>
      </c>
      <c r="F94" s="18" t="inlineStr">
        <is>
          <t xml:space="preserve">03/04/2023 </t>
        </is>
      </c>
      <c r="G94" s="18" t="inlineStr">
        <is>
          <t xml:space="preserve">21455103J </t>
        </is>
      </c>
      <c r="H94" s="18" t="inlineStr">
        <is>
          <t xml:space="preserve">Codirector de tesis </t>
        </is>
      </c>
      <c r="I94" s="18" t="inlineStr">
        <is>
          <t xml:space="preserve">B151 </t>
        </is>
      </c>
      <c r="J94" s="18" t="inlineStr">
        <is>
          <t xml:space="preserve">INGENIERÍA QUÍMICA </t>
        </is>
      </c>
      <c r="K94" s="18" t="n">
        <v>0.5</v>
      </c>
      <c r="L94" s="18" t="inlineStr">
        <is>
          <t>B151</t>
        </is>
      </c>
      <c r="M94" s="18" t="n">
        <v>2022</v>
      </c>
      <c r="N94" s="18" t="inlineStr">
        <is>
          <t>10.09</t>
        </is>
      </c>
      <c r="O94" s="18" t="n">
        <v>40</v>
      </c>
      <c r="P94" s="18" t="inlineStr">
        <is>
          <t>10.05</t>
        </is>
      </c>
      <c r="Q94" s="18" t="n">
        <v>20</v>
      </c>
      <c r="R94" s="18" t="n">
        <v>40</v>
      </c>
      <c r="S94" s="63" t="n">
        <v>0.2</v>
      </c>
      <c r="T94" s="63" t="n">
        <v>0.2</v>
      </c>
      <c r="U94" s="62" t="n">
        <v>0.1</v>
      </c>
    </row>
    <row r="95">
      <c r="A95" s="18" t="inlineStr">
        <is>
          <t xml:space="preserve">U020 </t>
        </is>
      </c>
      <c r="B95" s="18" t="inlineStr">
        <is>
          <t xml:space="preserve">I.U. DEL AGUA Y DE LAS CIENCIAS AMBIENTALES (10.05) </t>
        </is>
      </c>
      <c r="C95" s="18" t="inlineStr">
        <is>
          <t xml:space="preserve">DOCTORADO EN AGUA Y DESARROLLO SOSTENIBLE </t>
        </is>
      </c>
      <c r="D95" s="18" t="inlineStr">
        <is>
          <t>Redondo Orts, Jose Alberto</t>
        </is>
      </c>
      <c r="E95" s="18" t="inlineStr">
        <is>
          <t xml:space="preserve">SEQUÍA Y ESCASEZ EN LA DEMARCACIÓN HIDROGRÁFICA DEL SEGURA, IMPACTOS </t>
        </is>
      </c>
      <c r="F95" s="18" t="inlineStr">
        <is>
          <t xml:space="preserve">06/07/2023 </t>
        </is>
      </c>
      <c r="G95" s="18" t="inlineStr">
        <is>
          <t xml:space="preserve">27439255W </t>
        </is>
      </c>
      <c r="H95" s="18" t="inlineStr">
        <is>
          <t xml:space="preserve">Codirector de tesis </t>
        </is>
      </c>
      <c r="I95" s="18" t="inlineStr">
        <is>
          <t>B138</t>
        </is>
      </c>
      <c r="J95" s="18" t="inlineStr">
        <is>
          <t xml:space="preserve">ANALISIS ECONOMICO APLICADO </t>
        </is>
      </c>
      <c r="K95" s="18" t="n">
        <v>0.5</v>
      </c>
      <c r="L95" s="18" t="inlineStr">
        <is>
          <t>B138</t>
        </is>
      </c>
      <c r="M95" s="18" t="n">
        <v>2022</v>
      </c>
      <c r="N95" s="18" t="inlineStr">
        <is>
          <t>10.21</t>
        </is>
      </c>
      <c r="O95" s="18" t="n">
        <v>30</v>
      </c>
      <c r="P95" s="18" t="inlineStr">
        <is>
          <t>10.05</t>
        </is>
      </c>
      <c r="Q95" s="18" t="n">
        <v>20</v>
      </c>
      <c r="R95" s="18" t="n">
        <v>50</v>
      </c>
      <c r="S95" s="63" t="n">
        <v>0.25</v>
      </c>
      <c r="T95" s="63" t="n">
        <v>0.15</v>
      </c>
      <c r="U95" s="62" t="n">
        <v>0.1</v>
      </c>
    </row>
    <row r="96">
      <c r="A96" s="18" t="inlineStr">
        <is>
          <t xml:space="preserve">U020 </t>
        </is>
      </c>
      <c r="B96" s="18" t="inlineStr">
        <is>
          <t xml:space="preserve">I.U. DEL AGUA Y DE LAS CIENCIAS AMBIENTALES (10.05) </t>
        </is>
      </c>
      <c r="C96" s="18" t="inlineStr">
        <is>
          <t xml:space="preserve">DOCTORADO EN AGUA Y DESARROLLO SOSTENIBLE </t>
        </is>
      </c>
      <c r="D96" s="18" t="inlineStr">
        <is>
          <t>Vega Cervera, Valeiry</t>
        </is>
      </c>
      <c r="E96" s="18" t="inlineStr">
        <is>
          <t xml:space="preserve">Optimización de la Gobernanza del Recurso Hídrico en Panamá </t>
        </is>
      </c>
      <c r="F96" s="18" t="inlineStr">
        <is>
          <t xml:space="preserve">25/04/2023 </t>
        </is>
      </c>
      <c r="G96" s="18" t="inlineStr">
        <is>
          <t xml:space="preserve">27439255W </t>
        </is>
      </c>
      <c r="H96" s="18" t="inlineStr">
        <is>
          <t xml:space="preserve">Codirector de tesis </t>
        </is>
      </c>
      <c r="I96" s="18" t="inlineStr">
        <is>
          <t>B138</t>
        </is>
      </c>
      <c r="J96" s="18" t="inlineStr">
        <is>
          <t xml:space="preserve">ANALISIS ECONOMICO APLICADO </t>
        </is>
      </c>
      <c r="K96" s="18" t="n">
        <v>0.5</v>
      </c>
      <c r="L96" s="18" t="inlineStr">
        <is>
          <t>B138</t>
        </is>
      </c>
      <c r="M96" s="18" t="n">
        <v>2022</v>
      </c>
      <c r="N96" s="18" t="inlineStr">
        <is>
          <t>10.21</t>
        </is>
      </c>
      <c r="O96" s="18" t="n">
        <v>30</v>
      </c>
      <c r="P96" s="18" t="inlineStr">
        <is>
          <t>10.05</t>
        </is>
      </c>
      <c r="Q96" s="18" t="n">
        <v>20</v>
      </c>
      <c r="R96" s="18" t="n">
        <v>50</v>
      </c>
      <c r="S96" s="63" t="n">
        <v>0.25</v>
      </c>
      <c r="T96" s="63" t="n">
        <v>0.15</v>
      </c>
      <c r="U96" s="62" t="n">
        <v>0.1</v>
      </c>
    </row>
    <row r="97">
      <c r="A97" s="18" t="inlineStr">
        <is>
          <t>U020</t>
        </is>
      </c>
      <c r="B97" s="18" t="inlineStr">
        <is>
          <t>I.U. DEL AGUA Y DE LAS CIENCIAS AMBIENTALES (10.05)</t>
        </is>
      </c>
      <c r="C97" s="18" t="inlineStr">
        <is>
          <t>DOCTORADO EN AGUA Y DESARROLLO SOSTENIBLE</t>
        </is>
      </c>
      <c r="D97" s="18" t="inlineStr">
        <is>
          <t>Navarro Barrio, Rubén</t>
        </is>
      </c>
      <c r="E97" s="18" t="inlineStr">
        <is>
          <t>Evaluación de los consumos energéticos y costes asociados de las medidas de protección ambiental de las desaladoras de la Mancomunidad de los Canales del Taibilla</t>
        </is>
      </c>
      <c r="F97" s="18" t="inlineStr">
        <is>
          <t>28/11/2023</t>
        </is>
      </c>
      <c r="G97" s="18" t="inlineStr">
        <is>
          <t>21444613B</t>
        </is>
      </c>
      <c r="H97" s="18" t="inlineStr">
        <is>
          <t>Director de tesis</t>
        </is>
      </c>
      <c r="I97" s="18" t="inlineStr">
        <is>
          <t>B151</t>
        </is>
      </c>
      <c r="J97" s="18" t="inlineStr">
        <is>
          <t>INGENIERÍA QUÍMICA</t>
        </is>
      </c>
      <c r="K97" s="18" t="n">
        <v>1</v>
      </c>
      <c r="L97" s="18" t="inlineStr">
        <is>
          <t>B151</t>
        </is>
      </c>
      <c r="M97" s="18" t="n">
        <v>2023</v>
      </c>
      <c r="N97" s="18" t="inlineStr">
        <is>
          <t>10.09</t>
        </is>
      </c>
      <c r="O97" s="18" t="inlineStr">
        <is>
          <t>40</t>
        </is>
      </c>
      <c r="P97" s="18" t="inlineStr">
        <is>
          <t>10.05</t>
        </is>
      </c>
      <c r="Q97" s="18" t="inlineStr">
        <is>
          <t>20</t>
        </is>
      </c>
      <c r="R97" s="18" t="n">
        <v>40</v>
      </c>
      <c r="S97" s="63" t="n">
        <v>0.4</v>
      </c>
      <c r="T97" s="63" t="n">
        <v>0.4</v>
      </c>
      <c r="U97" s="62" t="n">
        <v>0.2</v>
      </c>
      <c r="V97" s="6" t="inlineStr">
        <is>
          <t>S</t>
        </is>
      </c>
    </row>
    <row r="98">
      <c r="A98" s="18" t="inlineStr">
        <is>
          <t>U020</t>
        </is>
      </c>
      <c r="B98" s="18" t="inlineStr">
        <is>
          <t>I.U. DEL AGUA Y DE LAS CIENCIAS AMBIENTALES (10.05)</t>
        </is>
      </c>
      <c r="C98" s="18" t="inlineStr">
        <is>
          <t>DOCTORADO EN AGUA Y DESARROLLO SOSTENIBLE</t>
        </is>
      </c>
      <c r="D98" s="18" t="inlineStr">
        <is>
          <t>Peña Paz, Tania María</t>
        </is>
      </c>
      <c r="E98" s="18" t="inlineStr">
        <is>
          <t>Modelo conceptual hidrogeológico y análisis hidroquímico para la gestión de recursos</t>
        </is>
      </c>
      <c r="F98" s="18" t="inlineStr">
        <is>
          <t>13/02/2024</t>
        </is>
      </c>
      <c r="G98" s="18" t="inlineStr">
        <is>
          <t>21455103J</t>
        </is>
      </c>
      <c r="H98" s="18" t="inlineStr">
        <is>
          <t>Codirector de tesis</t>
        </is>
      </c>
      <c r="I98" s="18" t="inlineStr">
        <is>
          <t>B151</t>
        </is>
      </c>
      <c r="J98" s="18" t="inlineStr">
        <is>
          <t>INGENIERÍA QUÍMICA</t>
        </is>
      </c>
      <c r="K98" s="18" t="n">
        <v>0.5</v>
      </c>
      <c r="L98" s="18" t="inlineStr">
        <is>
          <t>B151</t>
        </is>
      </c>
      <c r="M98" s="18" t="n">
        <v>2023</v>
      </c>
      <c r="N98" s="18" t="inlineStr">
        <is>
          <t>10.09</t>
        </is>
      </c>
      <c r="O98" s="18" t="inlineStr">
        <is>
          <t>40</t>
        </is>
      </c>
      <c r="P98" s="18" t="inlineStr">
        <is>
          <t>10.05</t>
        </is>
      </c>
      <c r="Q98" s="18" t="inlineStr">
        <is>
          <t>20</t>
        </is>
      </c>
      <c r="R98" s="18" t="n">
        <v>40</v>
      </c>
      <c r="S98" s="63" t="n">
        <v>0.2</v>
      </c>
      <c r="T98" s="63" t="n">
        <v>0.2</v>
      </c>
      <c r="U98" s="62" t="n">
        <v>0.1</v>
      </c>
      <c r="V98" s="6" t="inlineStr">
        <is>
          <t>S</t>
        </is>
      </c>
    </row>
    <row r="99">
      <c r="A99" s="18" t="inlineStr">
        <is>
          <t>U020</t>
        </is>
      </c>
      <c r="B99" s="18" t="inlineStr">
        <is>
          <t>Instituto Universitario Agua y Ciencias Ambientales (10.05)</t>
        </is>
      </c>
      <c r="C99" s="18" t="inlineStr">
        <is>
          <t>DOCTORADO EN AGUA Y DESARROLLO SOSTENIBLE</t>
        </is>
      </c>
      <c r="D99" s="18" t="inlineStr">
        <is>
          <t>Real Marquez, Montserrat</t>
        </is>
      </c>
      <c r="E99" s="18" t="inlineStr">
        <is>
          <t>RECONSIDERACIÓN CONCEPTUAL DEL DERECHO DE AGUAS. DE LA DISTINCIÓN
ENTRE AGUA Y RECURSO A LA ORDENACIÓN DE LOS USOS PASIVOS</t>
        </is>
      </c>
      <c r="F99" s="18" t="inlineStr">
        <is>
          <t>15/07/2025</t>
        </is>
      </c>
      <c r="G99" s="18" t="inlineStr">
        <is>
          <t>36477948V</t>
        </is>
      </c>
      <c r="H99" s="18" t="inlineStr">
        <is>
          <t>Director de tesis</t>
        </is>
      </c>
      <c r="I99" s="18" t="inlineStr">
        <is>
          <t>U020</t>
        </is>
      </c>
      <c r="J99" s="18" t="inlineStr">
        <is>
          <t>Instituto Universitario Agua y Ciencias Ambientales (10.05)</t>
        </is>
      </c>
      <c r="K99" s="18" t="n">
        <v>1</v>
      </c>
      <c r="L99" s="18" t="inlineStr">
        <is>
          <t>10.05</t>
        </is>
      </c>
      <c r="M99" s="18" t="n">
        <v>2024</v>
      </c>
      <c r="N99" s="18" t="inlineStr"/>
      <c r="O99" s="18" t="inlineStr"/>
      <c r="P99" s="18" t="inlineStr"/>
      <c r="Q99" s="18" t="inlineStr"/>
      <c r="R99" s="18" t="n">
        <v>100</v>
      </c>
      <c r="S99" s="62" t="n">
        <v>1</v>
      </c>
      <c r="T99" s="63" t="n">
        <v>0</v>
      </c>
      <c r="U99" s="63" t="n">
        <v>0</v>
      </c>
    </row>
    <row r="100">
      <c r="A100" s="18" t="inlineStr">
        <is>
          <t>U020</t>
        </is>
      </c>
      <c r="B100" s="18" t="inlineStr">
        <is>
          <t>Instituto Universitario Agua y Ciencias Ambientales (10.05)</t>
        </is>
      </c>
      <c r="C100" s="18" t="inlineStr">
        <is>
          <t>DOCTORADO EN AGUA Y DESARROLLO SOSTENIBLE</t>
        </is>
      </c>
      <c r="D100" s="18" t="inlineStr">
        <is>
          <t>Gana Urzúa, Blanca Elizabeth</t>
        </is>
      </c>
      <c r="E100" s="18" t="inlineStr">
        <is>
          <t>Estudio hidrogeológico e hidrogeoquímico de un acuífero costero detrítico de Chile Central y evaluación de su potencial uso en desalación</t>
        </is>
      </c>
      <c r="F100" s="18" t="inlineStr">
        <is>
          <t>14/04/2025</t>
        </is>
      </c>
      <c r="G100" s="18" t="inlineStr">
        <is>
          <t>'-</t>
        </is>
      </c>
      <c r="H100" s="18" t="inlineStr">
        <is>
          <t>Codirector de tesis</t>
        </is>
      </c>
      <c r="I100" s="18" t="inlineStr">
        <is>
          <t>U020</t>
        </is>
      </c>
      <c r="J100" s="18" t="inlineStr">
        <is>
          <t>Instituto Universitario Agua y Ciencias Ambientales (10.05)</t>
        </is>
      </c>
      <c r="K100" s="18" t="n">
        <v>0.5</v>
      </c>
      <c r="L100" s="18" t="inlineStr">
        <is>
          <t>10.05</t>
        </is>
      </c>
      <c r="M100" s="18" t="n">
        <v>2024</v>
      </c>
      <c r="N100" s="18" t="inlineStr"/>
      <c r="O100" s="18" t="inlineStr"/>
      <c r="P100" s="18" t="inlineStr"/>
      <c r="Q100" s="18" t="inlineStr"/>
      <c r="R100" s="18" t="n">
        <v>100</v>
      </c>
      <c r="S100" s="62" t="n">
        <v>0.5</v>
      </c>
      <c r="T100" s="63" t="n">
        <v>0</v>
      </c>
      <c r="U100" s="63" t="n">
        <v>0</v>
      </c>
    </row>
    <row r="101">
      <c r="A101" s="18" t="inlineStr">
        <is>
          <t>U020</t>
        </is>
      </c>
      <c r="B101" s="18" t="inlineStr">
        <is>
          <t>Instituto Universitario Agua y Ciencias Ambientales (10.05)</t>
        </is>
      </c>
      <c r="C101" s="18" t="inlineStr">
        <is>
          <t>DOCTORADO EN AGUA Y DESARROLLO SOSTENIBLE</t>
        </is>
      </c>
      <c r="D101" s="18" t="inlineStr">
        <is>
          <t>Busarello , Fernando Rodrigo</t>
        </is>
      </c>
      <c r="E101" s="18" t="inlineStr">
        <is>
          <t>A FORÇA JURÍDICA DAS DECLARAÇÕES TÉCNICO-POLÍTICAS PRODUZIDAS PELOS FÓRUNS MUNDIAIS DA ÁGUA SOB A PERSPECTIVA PÓS-POSITIVISTA</t>
        </is>
      </c>
      <c r="F101" s="18" t="inlineStr">
        <is>
          <t>20/03/2025</t>
        </is>
      </c>
      <c r="G101" s="18" t="inlineStr">
        <is>
          <t>'-</t>
        </is>
      </c>
      <c r="H101" s="18" t="inlineStr">
        <is>
          <t>Codirector de tesis</t>
        </is>
      </c>
      <c r="I101" s="18" t="inlineStr">
        <is>
          <t>U020</t>
        </is>
      </c>
      <c r="J101" s="18" t="inlineStr">
        <is>
          <t>Instituto Universitario Agua y Ciencias Ambientales (10.05)</t>
        </is>
      </c>
      <c r="K101" s="18" t="n">
        <v>0.5</v>
      </c>
      <c r="L101" s="18" t="inlineStr">
        <is>
          <t>10.05</t>
        </is>
      </c>
      <c r="M101" s="18" t="n">
        <v>2024</v>
      </c>
      <c r="N101" s="18" t="inlineStr"/>
      <c r="O101" s="18" t="inlineStr"/>
      <c r="P101" s="18" t="inlineStr"/>
      <c r="Q101" s="18" t="inlineStr"/>
      <c r="R101" s="18" t="n">
        <v>100</v>
      </c>
      <c r="S101" s="62" t="n">
        <v>0.5</v>
      </c>
      <c r="T101" s="63" t="n">
        <v>0</v>
      </c>
      <c r="U101" s="63" t="n">
        <v>0</v>
      </c>
    </row>
    <row r="102">
      <c r="A102" s="18" t="inlineStr">
        <is>
          <t>U020</t>
        </is>
      </c>
      <c r="B102" s="18" t="inlineStr">
        <is>
          <t>Instituto Universitario Agua y Ciencias Ambientales (10.05)</t>
        </is>
      </c>
      <c r="C102" s="18" t="inlineStr">
        <is>
          <t>DOCTORADO EN AGUA Y DESARROLLO SOSTENIBLE</t>
        </is>
      </c>
      <c r="D102" s="18" t="inlineStr">
        <is>
          <t>Córdova de Horta, Daniela</t>
        </is>
      </c>
      <c r="E102" s="18" t="inlineStr">
        <is>
          <t>Simulación dinámica de inundaciones compuestas. Caso de estudio: Malecón de la Habana, Cuba.</t>
        </is>
      </c>
      <c r="F102" s="18" t="inlineStr">
        <is>
          <t>26/09/2025</t>
        </is>
      </c>
      <c r="G102" s="18" t="inlineStr">
        <is>
          <t>'-</t>
        </is>
      </c>
      <c r="H102" s="18" t="inlineStr">
        <is>
          <t>Codirector de tesis</t>
        </is>
      </c>
      <c r="I102" s="18" t="inlineStr">
        <is>
          <t>U020</t>
        </is>
      </c>
      <c r="J102" s="18" t="inlineStr">
        <is>
          <t>Instituto Universitario Agua y Ciencias Ambientales (10.05)</t>
        </is>
      </c>
      <c r="K102" s="18" t="n">
        <v>0.3333333333333333</v>
      </c>
      <c r="L102" s="18" t="inlineStr">
        <is>
          <t>10.05</t>
        </is>
      </c>
      <c r="M102" s="18" t="n">
        <v>2024</v>
      </c>
      <c r="N102" s="18" t="inlineStr"/>
      <c r="O102" s="18" t="inlineStr"/>
      <c r="P102" s="18" t="inlineStr"/>
      <c r="Q102" s="18" t="inlineStr"/>
      <c r="R102" s="18" t="n">
        <v>100</v>
      </c>
      <c r="S102" s="62" t="n">
        <v>0.3333333333333333</v>
      </c>
      <c r="T102" s="63" t="n">
        <v>0</v>
      </c>
      <c r="U102" s="63" t="n">
        <v>0</v>
      </c>
    </row>
    <row r="103">
      <c r="A103" s="18" t="inlineStr">
        <is>
          <t>B151</t>
        </is>
      </c>
      <c r="B103" s="18" t="inlineStr">
        <is>
          <t>Ingeniería Química</t>
        </is>
      </c>
      <c r="C103" s="18" t="inlineStr">
        <is>
          <t>DOCTORADO EN INGENIERÍA QUÍMICA</t>
        </is>
      </c>
      <c r="D103" s="18" t="inlineStr">
        <is>
          <t>Tobarra Moroño, Daniel</t>
        </is>
      </c>
      <c r="E103" s="18" t="inlineStr">
        <is>
          <t>CONTRIBUCION Y EVOLUCION DE LAS FUENTES DE MATERIAL PARTICULADO (PM10) EN EL PUERTO DE ALICANTE DURANTE EL PERIDO 2017-2023</t>
        </is>
      </c>
      <c r="F103" s="18" t="inlineStr">
        <is>
          <t>15/07/2025</t>
        </is>
      </c>
      <c r="G103" s="18" t="inlineStr">
        <is>
          <t>21444613B</t>
        </is>
      </c>
      <c r="H103" s="18" t="inlineStr">
        <is>
          <t>Codirector de tesis</t>
        </is>
      </c>
      <c r="I103" s="18" t="inlineStr">
        <is>
          <t>B151</t>
        </is>
      </c>
      <c r="J103" s="18" t="inlineStr">
        <is>
          <t>Ingeniería Química</t>
        </is>
      </c>
      <c r="K103" s="18" t="n">
        <v>0.5</v>
      </c>
      <c r="L103" s="18" t="inlineStr">
        <is>
          <t>B151</t>
        </is>
      </c>
      <c r="M103" s="18" t="n">
        <v>2024</v>
      </c>
      <c r="N103" s="18" t="inlineStr">
        <is>
          <t>10.05</t>
        </is>
      </c>
      <c r="O103" s="18" t="inlineStr">
        <is>
          <t>20</t>
        </is>
      </c>
      <c r="P103" s="18" t="inlineStr">
        <is>
          <t>10.09</t>
        </is>
      </c>
      <c r="Q103" s="18" t="inlineStr">
        <is>
          <t>40</t>
        </is>
      </c>
      <c r="R103" s="18" t="n">
        <v>40</v>
      </c>
      <c r="S103" s="63" t="n">
        <v>0.2</v>
      </c>
      <c r="T103" s="64" t="n">
        <v>0.1</v>
      </c>
      <c r="U103" s="63" t="n">
        <v>0.2</v>
      </c>
    </row>
    <row r="104">
      <c r="A104" s="18" t="inlineStr">
        <is>
          <t>U020</t>
        </is>
      </c>
      <c r="B104" s="18" t="inlineStr">
        <is>
          <t>Instituto Universitario Agua y Ciencias Ambientales (10.05)</t>
        </is>
      </c>
      <c r="C104" s="18" t="inlineStr">
        <is>
          <t>DOCTORADO EN AGUA Y DESARROLLO SOSTENIBLE</t>
        </is>
      </c>
      <c r="D104" s="18" t="inlineStr">
        <is>
          <t>Mederos Corrales, Marlon</t>
        </is>
      </c>
      <c r="E104" s="18" t="inlineStr">
        <is>
          <t>PROPUESTA EXPERIMENTAL PARA LA ELIMINACIÓN DE NIQUEL EN AGUAS DE ESCORRENTÍA URBANA MEDIANTE ÁRIDOS</t>
        </is>
      </c>
      <c r="F104" s="18" t="inlineStr">
        <is>
          <t>26/09/2025</t>
        </is>
      </c>
      <c r="G104" s="18" t="inlineStr">
        <is>
          <t>74002594W</t>
        </is>
      </c>
      <c r="H104" s="18" t="inlineStr">
        <is>
          <t>Codirector de tesis</t>
        </is>
      </c>
      <c r="I104" s="18" t="inlineStr">
        <is>
          <t>B185</t>
        </is>
      </c>
      <c r="J104" s="18" t="inlineStr">
        <is>
          <t>Ingeniería Civil</t>
        </is>
      </c>
      <c r="K104" s="18" t="n">
        <v>0.5</v>
      </c>
      <c r="L104" s="18" t="inlineStr">
        <is>
          <t>B185</t>
        </is>
      </c>
      <c r="M104" s="18" t="n">
        <v>2024</v>
      </c>
      <c r="N104" s="18" t="inlineStr">
        <is>
          <t>10.05</t>
        </is>
      </c>
      <c r="O104" s="18" t="inlineStr">
        <is>
          <t>10</t>
        </is>
      </c>
      <c r="P104" s="18" t="inlineStr"/>
      <c r="Q104" s="18" t="inlineStr"/>
      <c r="R104" s="18" t="n">
        <v>90</v>
      </c>
      <c r="S104" s="63" t="n">
        <v>0.45</v>
      </c>
      <c r="T104" s="64" t="n">
        <v>0.05</v>
      </c>
      <c r="U104" s="63" t="n">
        <v>0</v>
      </c>
    </row>
    <row r="105">
      <c r="A105" s="18" t="inlineStr">
        <is>
          <t>U020</t>
        </is>
      </c>
      <c r="B105" s="18" t="inlineStr">
        <is>
          <t>Instituto Universitario Agua y Ciencias Ambientales (10.05)</t>
        </is>
      </c>
      <c r="C105" s="18" t="inlineStr">
        <is>
          <t>DOCTORADO EN AGUA Y DESARROLLO SOSTENIBLE</t>
        </is>
      </c>
      <c r="D105" s="18" t="inlineStr">
        <is>
          <t>Mederos Corrales, Marlon</t>
        </is>
      </c>
      <c r="E105" s="18" t="inlineStr">
        <is>
          <t>PROPUESTA EXPERIMENTAL PARA LA ELIMINACIÓN DE NIQUEL EN AGUAS DE ESCORRENTÍA URBANA MEDIANTE ÁRIDOS</t>
        </is>
      </c>
      <c r="F105" s="18" t="inlineStr">
        <is>
          <t>26/09/2025</t>
        </is>
      </c>
      <c r="G105" s="18" t="inlineStr">
        <is>
          <t>48561476N</t>
        </is>
      </c>
      <c r="H105" s="18" t="inlineStr">
        <is>
          <t>Codirector de tesis</t>
        </is>
      </c>
      <c r="I105" s="18" t="inlineStr">
        <is>
          <t>B185</t>
        </is>
      </c>
      <c r="J105" s="18" t="inlineStr">
        <is>
          <t>Ingeniería Civil</t>
        </is>
      </c>
      <c r="K105" s="18" t="n">
        <v>0.5</v>
      </c>
      <c r="L105" s="18" t="inlineStr">
        <is>
          <t>B185</t>
        </is>
      </c>
      <c r="M105" s="18" t="n">
        <v>2024</v>
      </c>
      <c r="N105" s="18" t="inlineStr">
        <is>
          <t>10.05</t>
        </is>
      </c>
      <c r="O105" s="18" t="inlineStr">
        <is>
          <t>20</t>
        </is>
      </c>
      <c r="P105" s="18" t="inlineStr"/>
      <c r="Q105" s="18" t="inlineStr"/>
      <c r="R105" s="18" t="n">
        <v>80</v>
      </c>
      <c r="S105" s="63" t="n">
        <v>0.4</v>
      </c>
      <c r="T105" s="64" t="n">
        <v>0.1</v>
      </c>
      <c r="U105" s="63" t="n">
        <v>0</v>
      </c>
    </row>
    <row r="106">
      <c r="A106" s="18" t="inlineStr">
        <is>
          <t>U020</t>
        </is>
      </c>
      <c r="B106" s="18" t="inlineStr">
        <is>
          <t>Instituto Universitario Agua y Ciencias Ambientales (10.05)</t>
        </is>
      </c>
      <c r="C106" s="18" t="inlineStr">
        <is>
          <t>DOCTORADO EN AGUA Y DESARROLLO SOSTENIBLE</t>
        </is>
      </c>
      <c r="D106" s="18" t="inlineStr">
        <is>
          <t>Rozas Torrente, Rosa</t>
        </is>
      </c>
      <c r="E106" s="18" t="inlineStr">
        <is>
          <t>METODOLOGÍA PARA LA GESTIÓN DE LA DIGITALIZACIÓN Y MONITOREO DEL CICLO URBANO DEL AGUA. CASO DE ESTUDIO DE IBI (ALICANTE, ESPAÑA)</t>
        </is>
      </c>
      <c r="F106" s="18" t="inlineStr">
        <is>
          <t>04/07/2025</t>
        </is>
      </c>
      <c r="G106" s="18" t="inlineStr">
        <is>
          <t>48315254M</t>
        </is>
      </c>
      <c r="H106" s="18" t="inlineStr">
        <is>
          <t>Codirector de tesis</t>
        </is>
      </c>
      <c r="I106" s="18" t="inlineStr">
        <is>
          <t>B185</t>
        </is>
      </c>
      <c r="J106" s="18" t="inlineStr">
        <is>
          <t>Ingeniería Civil</t>
        </is>
      </c>
      <c r="K106" s="18" t="n">
        <v>0.5</v>
      </c>
      <c r="L106" s="18" t="inlineStr">
        <is>
          <t>B185</t>
        </is>
      </c>
      <c r="M106" s="18" t="n">
        <v>2024</v>
      </c>
      <c r="N106" s="18" t="inlineStr">
        <is>
          <t>10.05</t>
        </is>
      </c>
      <c r="O106" s="18" t="inlineStr">
        <is>
          <t>20</t>
        </is>
      </c>
      <c r="P106" s="18" t="inlineStr"/>
      <c r="Q106" s="18" t="inlineStr"/>
      <c r="R106" s="18" t="n">
        <v>80</v>
      </c>
      <c r="S106" s="63" t="n">
        <v>0.4</v>
      </c>
      <c r="T106" s="64" t="n">
        <v>0.1</v>
      </c>
      <c r="U106" s="63" t="n">
        <v>0</v>
      </c>
    </row>
    <row r="107">
      <c r="A107" s="18" t="inlineStr">
        <is>
          <t>U020</t>
        </is>
      </c>
      <c r="B107" s="18" t="inlineStr">
        <is>
          <t>Instituto Universitario Agua y Ciencias Ambientales (10.05)</t>
        </is>
      </c>
      <c r="C107" s="18" t="inlineStr">
        <is>
          <t>DOCTORADO EN AGUA Y DESARROLLO SOSTENIBLE</t>
        </is>
      </c>
      <c r="D107" s="18" t="inlineStr">
        <is>
          <t>Chabour , Houssem Eddine</t>
        </is>
      </c>
      <c r="E107" s="18" t="inlineStr">
        <is>
          <t>Sizing photovoltaic installations for an off-grid pressurised irrigation network with no energy
storage</t>
        </is>
      </c>
      <c r="F107" s="18" t="inlineStr">
        <is>
          <t>16/07/2025</t>
        </is>
      </c>
      <c r="G107" s="18" t="inlineStr">
        <is>
          <t>47057425T</t>
        </is>
      </c>
      <c r="H107" s="18" t="inlineStr">
        <is>
          <t>Codirector de tesis</t>
        </is>
      </c>
      <c r="I107" s="18" t="inlineStr">
        <is>
          <t>B185</t>
        </is>
      </c>
      <c r="J107" s="18" t="inlineStr">
        <is>
          <t>Ingeniería Civil</t>
        </is>
      </c>
      <c r="K107" s="18" t="n">
        <v>0.5</v>
      </c>
      <c r="L107" s="18" t="inlineStr">
        <is>
          <t>B185</t>
        </is>
      </c>
      <c r="M107" s="18" t="n">
        <v>2024</v>
      </c>
      <c r="N107" s="18" t="inlineStr">
        <is>
          <t>10.05</t>
        </is>
      </c>
      <c r="O107" s="18" t="inlineStr">
        <is>
          <t>20</t>
        </is>
      </c>
      <c r="P107" s="18" t="inlineStr"/>
      <c r="Q107" s="18" t="inlineStr"/>
      <c r="R107" s="18" t="n">
        <v>80</v>
      </c>
      <c r="S107" s="63" t="n">
        <v>0.4</v>
      </c>
      <c r="T107" s="64" t="n">
        <v>0.1</v>
      </c>
      <c r="U107" s="63" t="n">
        <v>0</v>
      </c>
    </row>
    <row r="108">
      <c r="A108" s="18" t="inlineStr">
        <is>
          <t>U020</t>
        </is>
      </c>
      <c r="B108" s="18" t="inlineStr">
        <is>
          <t>Instituto Universitario Agua y Ciencias Ambientales (10.05)</t>
        </is>
      </c>
      <c r="C108" s="18" t="inlineStr">
        <is>
          <t>DOCTORADO EN AGUA Y DESARROLLO SOSTENIBLE</t>
        </is>
      </c>
      <c r="D108" s="18" t="inlineStr">
        <is>
          <t>Gana Urzúa, Blanca Elizabeth</t>
        </is>
      </c>
      <c r="E108" s="18" t="inlineStr">
        <is>
          <t>Estudio hidrogeológico e hidrogeoquímico de un acuífero costero detrítico de Chile Central y evaluación de su potencial uso en desalación</t>
        </is>
      </c>
      <c r="F108" s="18" t="inlineStr">
        <is>
          <t>14/04/2025</t>
        </is>
      </c>
      <c r="G108" s="18" t="inlineStr">
        <is>
          <t>21996111S</t>
        </is>
      </c>
      <c r="H108" s="18" t="inlineStr">
        <is>
          <t>Codirector de tesis</t>
        </is>
      </c>
      <c r="I108" s="18" t="inlineStr">
        <is>
          <t>B156</t>
        </is>
      </c>
      <c r="J108" s="18" t="inlineStr">
        <is>
          <t>Ciencias de la Tierra y del Medio Ambiente</t>
        </is>
      </c>
      <c r="K108" s="18" t="n">
        <v>0.5</v>
      </c>
      <c r="L108" s="18" t="inlineStr">
        <is>
          <t>B156</t>
        </is>
      </c>
      <c r="M108" s="18" t="n">
        <v>2024</v>
      </c>
      <c r="N108" s="18" t="inlineStr">
        <is>
          <t>10.05</t>
        </is>
      </c>
      <c r="O108" s="18" t="inlineStr">
        <is>
          <t>10</t>
        </is>
      </c>
      <c r="P108" s="18" t="inlineStr"/>
      <c r="Q108" s="18" t="inlineStr"/>
      <c r="R108" s="18" t="n">
        <v>90</v>
      </c>
      <c r="S108" s="63" t="n">
        <v>0.45</v>
      </c>
      <c r="T108" s="64" t="n">
        <v>0.05</v>
      </c>
      <c r="U108" s="63" t="n">
        <v>0</v>
      </c>
    </row>
    <row r="109">
      <c r="A109" s="18" t="inlineStr">
        <is>
          <t>U020</t>
        </is>
      </c>
      <c r="B109" s="18" t="inlineStr">
        <is>
          <t>Instituto Universitario Agua y Ciencias Ambientales (10.05)</t>
        </is>
      </c>
      <c r="C109" s="18" t="inlineStr">
        <is>
          <t>DOCTORADO EN AGUA Y DESARROLLO SOSTENIBLE</t>
        </is>
      </c>
      <c r="D109" s="18" t="inlineStr">
        <is>
          <t>Busarello , Fernando Rodrigo</t>
        </is>
      </c>
      <c r="E109" s="18" t="inlineStr">
        <is>
          <t>A FORÇA JURÍDICA DAS DECLARAÇÕES TÉCNICO-POLÍTICAS PRODUZIDAS PELOS FÓRUNS MUNDIAIS DA ÁGUA SOB A PERSPECTIVA PÓS-POSITIVISTA</t>
        </is>
      </c>
      <c r="F109" s="18" t="inlineStr">
        <is>
          <t>20/03/2025</t>
        </is>
      </c>
      <c r="G109" s="18" t="inlineStr">
        <is>
          <t>21435704A</t>
        </is>
      </c>
      <c r="H109" s="18" t="inlineStr">
        <is>
          <t>Codirector de tesis</t>
        </is>
      </c>
      <c r="I109" s="18" t="inlineStr">
        <is>
          <t>B104</t>
        </is>
      </c>
      <c r="J109" s="18" t="inlineStr">
        <is>
          <t>Ciencias Histórico-Jurídicas</t>
        </is>
      </c>
      <c r="K109" s="18" t="n">
        <v>0.5</v>
      </c>
      <c r="L109" s="18" t="inlineStr">
        <is>
          <t>B104</t>
        </is>
      </c>
      <c r="M109" s="18" t="n">
        <v>2024</v>
      </c>
      <c r="N109" s="18" t="inlineStr">
        <is>
          <t>10.05</t>
        </is>
      </c>
      <c r="O109" s="18" t="inlineStr">
        <is>
          <t>50</t>
        </is>
      </c>
      <c r="P109" s="18" t="inlineStr"/>
      <c r="Q109" s="18" t="inlineStr"/>
      <c r="R109" s="18" t="n">
        <v>50</v>
      </c>
      <c r="S109" s="63" t="n">
        <v>0.25</v>
      </c>
      <c r="T109" s="64" t="n">
        <v>0.25</v>
      </c>
      <c r="U109" s="63" t="n">
        <v>0</v>
      </c>
    </row>
    <row r="110">
      <c r="A110" s="18" t="inlineStr">
        <is>
          <t>U020</t>
        </is>
      </c>
      <c r="B110" s="18" t="inlineStr">
        <is>
          <t>Instituto Universitario Agua y Ciencias Ambientales (10.05)</t>
        </is>
      </c>
      <c r="C110" s="18" t="inlineStr">
        <is>
          <t>DOCTORADO EN AGUA Y DESARROLLO SOSTENIBLE</t>
        </is>
      </c>
      <c r="D110" s="18" t="inlineStr">
        <is>
          <t>Córdova de Horta, Daniela</t>
        </is>
      </c>
      <c r="E110" s="18" t="inlineStr">
        <is>
          <t>Simulación dinámica de inundaciones compuestas. Caso de estudio: Malecón de la Habana, Cuba.</t>
        </is>
      </c>
      <c r="F110" s="18" t="inlineStr">
        <is>
          <t>26/09/2025</t>
        </is>
      </c>
      <c r="G110" s="18" t="inlineStr">
        <is>
          <t>47057425T</t>
        </is>
      </c>
      <c r="H110" s="18" t="inlineStr">
        <is>
          <t>Codirector de tesis</t>
        </is>
      </c>
      <c r="I110" s="18" t="inlineStr">
        <is>
          <t>B185</t>
        </is>
      </c>
      <c r="J110" s="18" t="inlineStr">
        <is>
          <t>Ingeniería Civil</t>
        </is>
      </c>
      <c r="K110" s="18" t="n">
        <v>0.3333333333333333</v>
      </c>
      <c r="L110" s="18" t="inlineStr">
        <is>
          <t>B185</t>
        </is>
      </c>
      <c r="M110" s="18" t="n">
        <v>2024</v>
      </c>
      <c r="N110" s="18" t="inlineStr">
        <is>
          <t>10.05</t>
        </is>
      </c>
      <c r="O110" s="18" t="inlineStr">
        <is>
          <t>20</t>
        </is>
      </c>
      <c r="P110" s="18" t="inlineStr"/>
      <c r="Q110" s="18" t="inlineStr"/>
      <c r="R110" s="18" t="n">
        <v>80</v>
      </c>
      <c r="S110" s="63" t="n">
        <v>0.2666666666666667</v>
      </c>
      <c r="T110" s="64" t="n">
        <v>0.06666666666666667</v>
      </c>
      <c r="U110" s="63" t="n">
        <v>0</v>
      </c>
    </row>
    <row r="111">
      <c r="A111" s="18" t="inlineStr">
        <is>
          <t>U022</t>
        </is>
      </c>
      <c r="B111" s="18" t="inlineStr">
        <is>
          <t>Administración Facultad de Ciencias</t>
        </is>
      </c>
      <c r="C111" s="18" t="inlineStr">
        <is>
          <t>DOCTORADO EN CIENCIAS EXPERIMENTALES Y BIOSANITARIAS</t>
        </is>
      </c>
      <c r="D111" s="18" t="inlineStr">
        <is>
          <t>Gil Oncina, Sara</t>
        </is>
      </c>
      <c r="E111" s="18" t="inlineStr">
        <is>
          <t>Factores ambientales condicionantes de la dinámica del radón: estudio de su potencial
geogénico en suelos</t>
        </is>
      </c>
      <c r="F111" s="18" t="inlineStr">
        <is>
          <t>09/01/2025</t>
        </is>
      </c>
      <c r="G111" s="18" t="inlineStr">
        <is>
          <t>48561476N</t>
        </is>
      </c>
      <c r="H111" s="18" t="inlineStr">
        <is>
          <t>Codirector de tesis</t>
        </is>
      </c>
      <c r="I111" s="18" t="inlineStr">
        <is>
          <t>B185</t>
        </is>
      </c>
      <c r="J111" s="18" t="inlineStr">
        <is>
          <t>Ingeniería Civil</t>
        </is>
      </c>
      <c r="K111" s="18" t="n">
        <v>0.5</v>
      </c>
      <c r="L111" s="18" t="inlineStr">
        <is>
          <t>B185</t>
        </is>
      </c>
      <c r="M111" s="18" t="n">
        <v>2024</v>
      </c>
      <c r="N111" s="18" t="inlineStr">
        <is>
          <t>10.05</t>
        </is>
      </c>
      <c r="O111" s="18" t="inlineStr">
        <is>
          <t>20</t>
        </is>
      </c>
      <c r="P111" s="18" t="inlineStr"/>
      <c r="Q111" s="18" t="inlineStr"/>
      <c r="R111" s="18" t="n">
        <v>80</v>
      </c>
      <c r="S111" s="63" t="n">
        <v>0.4</v>
      </c>
      <c r="T111" s="64" t="n">
        <v>0.1</v>
      </c>
      <c r="U111" s="63" t="n">
        <v>0</v>
      </c>
    </row>
    <row r="112">
      <c r="A112" s="18" t="inlineStr">
        <is>
          <t>U036</t>
        </is>
      </c>
      <c r="B112" s="18" t="inlineStr">
        <is>
          <t>Administración Facultad de Ciencias Económicas</t>
        </is>
      </c>
      <c r="C112" s="18" t="inlineStr">
        <is>
          <t>DOCTORADO EN EMPRESA, ECONOMÍA Y SOCIEDAD</t>
        </is>
      </c>
      <c r="D112" s="18" t="inlineStr">
        <is>
          <t>Mañas Navarro, José Javier</t>
        </is>
      </c>
      <c r="E112" s="18" t="inlineStr">
        <is>
          <t>Una mirada sistémica a los problemas socioambientales a través del análisis de red</t>
        </is>
      </c>
      <c r="F112" s="18" t="inlineStr">
        <is>
          <t>29/11/2024</t>
        </is>
      </c>
      <c r="G112" s="18" t="inlineStr">
        <is>
          <t>44766559A</t>
        </is>
      </c>
      <c r="H112" s="18" t="inlineStr">
        <is>
          <t>Codirector de tesis</t>
        </is>
      </c>
      <c r="I112" s="18" t="inlineStr">
        <is>
          <t>B179</t>
        </is>
      </c>
      <c r="J112" s="18" t="inlineStr">
        <is>
          <t>Sociología I</t>
        </is>
      </c>
      <c r="K112" s="18" t="n">
        <v>0.5</v>
      </c>
      <c r="L112" s="18" t="inlineStr">
        <is>
          <t>B179</t>
        </is>
      </c>
      <c r="M112" s="18" t="n">
        <v>2024</v>
      </c>
      <c r="N112" s="18" t="inlineStr">
        <is>
          <t>10.05</t>
        </is>
      </c>
      <c r="O112" s="18" t="inlineStr">
        <is>
          <t>50</t>
        </is>
      </c>
      <c r="P112" s="18" t="inlineStr">
        <is>
          <t>10.17</t>
        </is>
      </c>
      <c r="Q112" s="18" t="inlineStr">
        <is>
          <t>10</t>
        </is>
      </c>
      <c r="R112" s="18" t="n">
        <v>40</v>
      </c>
      <c r="S112" s="63" t="n">
        <v>0.2</v>
      </c>
      <c r="T112" s="64" t="n">
        <v>0.25</v>
      </c>
      <c r="U112" s="63" t="n">
        <v>0.05</v>
      </c>
    </row>
    <row r="113">
      <c r="A113" s="18" t="inlineStr">
        <is>
          <t>U036</t>
        </is>
      </c>
      <c r="B113" s="18" t="inlineStr">
        <is>
          <t>Administración Facultad de Ciencias Económicas</t>
        </is>
      </c>
      <c r="C113" s="18" t="inlineStr">
        <is>
          <t>DOCTORADO EN EMPRESA, ECONOMÍA Y SOCIEDAD</t>
        </is>
      </c>
      <c r="D113" s="18" t="inlineStr">
        <is>
          <t>Mañas Navarro, José Javier</t>
        </is>
      </c>
      <c r="E113" s="18" t="inlineStr">
        <is>
          <t>Una mirada sistémica a los problemas socioambientales a través del análisis de red</t>
        </is>
      </c>
      <c r="F113" s="18" t="inlineStr">
        <is>
          <t>29/11/2024</t>
        </is>
      </c>
      <c r="G113" s="18" t="inlineStr">
        <is>
          <t>21439172K</t>
        </is>
      </c>
      <c r="H113" s="18" t="inlineStr">
        <is>
          <t>Codirector de tesis</t>
        </is>
      </c>
      <c r="I113" s="18" t="inlineStr">
        <is>
          <t>B179</t>
        </is>
      </c>
      <c r="J113" s="18" t="inlineStr">
        <is>
          <t>Sociología I</t>
        </is>
      </c>
      <c r="K113" s="18" t="n">
        <v>0.5</v>
      </c>
      <c r="L113" s="18" t="inlineStr">
        <is>
          <t>B179</t>
        </is>
      </c>
      <c r="M113" s="18" t="n">
        <v>2024</v>
      </c>
      <c r="N113" s="18" t="inlineStr">
        <is>
          <t>10.05</t>
        </is>
      </c>
      <c r="O113" s="18" t="inlineStr">
        <is>
          <t>60</t>
        </is>
      </c>
      <c r="P113" s="18" t="inlineStr"/>
      <c r="Q113" s="18" t="inlineStr"/>
      <c r="R113" s="18" t="n">
        <v>40</v>
      </c>
      <c r="S113" s="63" t="n">
        <v>0.2</v>
      </c>
      <c r="T113" s="64" t="n">
        <v>0.3</v>
      </c>
      <c r="U113" s="63" t="n">
        <v>0</v>
      </c>
    </row>
    <row r="114">
      <c r="A114" s="18" t="inlineStr">
        <is>
          <t>U036</t>
        </is>
      </c>
      <c r="B114" s="18" t="inlineStr">
        <is>
          <t>Administración Facultad de Ciencias Económicas</t>
        </is>
      </c>
      <c r="C114" s="18" t="inlineStr">
        <is>
          <t>DOCTORADO EN EMPRESA, ECONOMÍA Y SOCIEDAD</t>
        </is>
      </c>
      <c r="D114" s="18" t="inlineStr">
        <is>
          <t>MUÑOZ MARIBONA, ERIK</t>
        </is>
      </c>
      <c r="E114" s="18" t="inlineStr">
        <is>
          <t>Procedimiento para la planificación económica y financiera en las cooperativas de producción y servicios constructivos en Cuba</t>
        </is>
      </c>
      <c r="F114" s="18" t="inlineStr">
        <is>
          <t>23/07/2025</t>
        </is>
      </c>
      <c r="G114" s="18" t="inlineStr">
        <is>
          <t>52768616S</t>
        </is>
      </c>
      <c r="H114" s="18" t="inlineStr">
        <is>
          <t>Codirector de tesis</t>
        </is>
      </c>
      <c r="I114" s="18" t="inlineStr">
        <is>
          <t>B182</t>
        </is>
      </c>
      <c r="J114" s="18" t="inlineStr">
        <is>
          <t>Economía Financiera y Contabilidad</t>
        </is>
      </c>
      <c r="K114" s="18" t="n">
        <v>0.5</v>
      </c>
      <c r="L114" s="18" t="inlineStr">
        <is>
          <t>B182</t>
        </is>
      </c>
      <c r="M114" s="18" t="n">
        <v>2024</v>
      </c>
      <c r="N114" s="18" t="inlineStr">
        <is>
          <t>10.05</t>
        </is>
      </c>
      <c r="O114" s="18" t="inlineStr">
        <is>
          <t>20</t>
        </is>
      </c>
      <c r="P114" s="18" t="inlineStr"/>
      <c r="Q114" s="18" t="inlineStr"/>
      <c r="R114" s="18" t="n">
        <v>80</v>
      </c>
      <c r="S114" s="63" t="n">
        <v>0.4</v>
      </c>
      <c r="T114" s="64" t="n">
        <v>0.1</v>
      </c>
      <c r="U114" s="63" t="n">
        <v>0</v>
      </c>
    </row>
    <row r="115">
      <c r="A115" s="18" t="inlineStr">
        <is>
          <t>B151</t>
        </is>
      </c>
      <c r="B115" s="18" t="inlineStr">
        <is>
          <t>Ingeniería Química</t>
        </is>
      </c>
      <c r="C115" s="18" t="inlineStr">
        <is>
          <t>DOCTORADO EN INGENIERÍA QUÍMICA</t>
        </is>
      </c>
      <c r="D115" s="18" t="inlineStr">
        <is>
          <t>Berkane , Imene</t>
        </is>
      </c>
      <c r="E115" s="18" t="inlineStr">
        <is>
          <t>Technologies for plastic recycling</t>
        </is>
      </c>
      <c r="F115" s="18" t="inlineStr">
        <is>
          <t>23/01/2025</t>
        </is>
      </c>
      <c r="G115" s="18" t="inlineStr">
        <is>
          <t>73768475T</t>
        </is>
      </c>
      <c r="H115" s="18" t="inlineStr">
        <is>
          <t>Codirector de tesis</t>
        </is>
      </c>
      <c r="I115" s="18" t="inlineStr">
        <is>
          <t>B151</t>
        </is>
      </c>
      <c r="J115" s="18" t="inlineStr">
        <is>
          <t>Ingeniería Química</t>
        </is>
      </c>
      <c r="K115" s="18" t="n">
        <v>0.5</v>
      </c>
      <c r="L115" s="18" t="inlineStr">
        <is>
          <t>B151</t>
        </is>
      </c>
      <c r="M115" s="18" t="n">
        <v>2024</v>
      </c>
      <c r="N115" s="18" t="inlineStr">
        <is>
          <t>10.09</t>
        </is>
      </c>
      <c r="O115" s="18" t="inlineStr">
        <is>
          <t>55</t>
        </is>
      </c>
      <c r="P115" s="18" t="inlineStr">
        <is>
          <t>10.05</t>
        </is>
      </c>
      <c r="Q115" s="18" t="inlineStr">
        <is>
          <t>10</t>
        </is>
      </c>
      <c r="R115" s="18" t="n">
        <v>35</v>
      </c>
      <c r="S115" s="63" t="n">
        <v>0.175</v>
      </c>
      <c r="T115" s="63" t="n">
        <v>0.275</v>
      </c>
      <c r="U115" s="62" t="n">
        <v>0.05</v>
      </c>
    </row>
    <row r="116">
      <c r="A116" s="18" t="inlineStr">
        <is>
          <t>U020</t>
        </is>
      </c>
      <c r="B116" s="18" t="inlineStr">
        <is>
          <t>Instituto Universitario Agua y Ciencias Ambientales (10.05)</t>
        </is>
      </c>
      <c r="C116" s="18" t="inlineStr">
        <is>
          <t>DOCTORADO EN AGUA Y DESARROLLO SOSTENIBLE</t>
        </is>
      </c>
      <c r="D116" s="18" t="inlineStr">
        <is>
          <t>Córdova de Horta, Daniela</t>
        </is>
      </c>
      <c r="E116" s="18" t="inlineStr">
        <is>
          <t>Simulación dinámica de inundaciones compuestas. Caso de estudio: Malecón de la Habana, Cuba.</t>
        </is>
      </c>
      <c r="F116" s="18" t="inlineStr">
        <is>
          <t>26/09/2025</t>
        </is>
      </c>
      <c r="G116" s="18" t="inlineStr">
        <is>
          <t>73768475T</t>
        </is>
      </c>
      <c r="H116" s="18" t="inlineStr">
        <is>
          <t>Codirector de tesis</t>
        </is>
      </c>
      <c r="I116" s="18" t="inlineStr">
        <is>
          <t>B151</t>
        </is>
      </c>
      <c r="J116" s="18" t="inlineStr">
        <is>
          <t>Ingeniería Química</t>
        </is>
      </c>
      <c r="K116" s="18" t="n">
        <v>0.3333333333333333</v>
      </c>
      <c r="L116" s="18" t="inlineStr">
        <is>
          <t>B151</t>
        </is>
      </c>
      <c r="M116" s="18" t="n">
        <v>2024</v>
      </c>
      <c r="N116" s="18" t="inlineStr">
        <is>
          <t>10.09</t>
        </is>
      </c>
      <c r="O116" s="18" t="inlineStr">
        <is>
          <t>55</t>
        </is>
      </c>
      <c r="P116" s="18" t="inlineStr">
        <is>
          <t>10.05</t>
        </is>
      </c>
      <c r="Q116" s="18" t="inlineStr">
        <is>
          <t>10</t>
        </is>
      </c>
      <c r="R116" s="18" t="n">
        <v>35</v>
      </c>
      <c r="S116" s="63" t="n">
        <v>0.1166666666666667</v>
      </c>
      <c r="T116" s="63" t="n">
        <v>0.1833333333333333</v>
      </c>
      <c r="U116" s="62" t="n">
        <v>0.03333333333333333</v>
      </c>
    </row>
    <row r="117">
      <c r="A117" s="18" t="inlineStr">
        <is>
          <t>U040</t>
        </is>
      </c>
      <c r="B117" s="18" t="inlineStr">
        <is>
          <t>I.U de Ingeniería de los Procesos Químicos(10.09)</t>
        </is>
      </c>
      <c r="C117" s="18" t="inlineStr">
        <is>
          <t>DOCTORADO EN INGENIERÍA QUÍMICA</t>
        </is>
      </c>
      <c r="D117" s="18" t="inlineStr">
        <is>
          <t>GARCIA CORRECHER, RUBEN</t>
        </is>
      </c>
      <c r="E117" s="18" t="inlineStr">
        <is>
          <t>Carbon-Encapsulated Iron Nanoparticles from Biomass: Synthesis and Applications</t>
        </is>
      </c>
      <c r="F117" s="18" t="inlineStr">
        <is>
          <t>28/02/2025</t>
        </is>
      </c>
      <c r="G117" s="18" t="inlineStr">
        <is>
          <t>73768475T</t>
        </is>
      </c>
      <c r="H117" s="18" t="inlineStr">
        <is>
          <t>Codirector de tesis</t>
        </is>
      </c>
      <c r="I117" s="18" t="inlineStr">
        <is>
          <t>B151</t>
        </is>
      </c>
      <c r="J117" s="18" t="inlineStr">
        <is>
          <t>Ingeniería Química</t>
        </is>
      </c>
      <c r="K117" s="18" t="n">
        <v>0.5</v>
      </c>
      <c r="L117" s="18" t="inlineStr">
        <is>
          <t>B151</t>
        </is>
      </c>
      <c r="M117" s="18" t="n">
        <v>2024</v>
      </c>
      <c r="N117" s="18" t="inlineStr">
        <is>
          <t>10.09</t>
        </is>
      </c>
      <c r="O117" s="18" t="inlineStr">
        <is>
          <t>55</t>
        </is>
      </c>
      <c r="P117" s="18" t="inlineStr">
        <is>
          <t>10.05</t>
        </is>
      </c>
      <c r="Q117" s="18" t="inlineStr">
        <is>
          <t>10</t>
        </is>
      </c>
      <c r="R117" s="18" t="n">
        <v>35</v>
      </c>
      <c r="S117" s="63" t="n">
        <v>0.175</v>
      </c>
      <c r="T117" s="63" t="n">
        <v>0.275</v>
      </c>
      <c r="U117" s="62" t="n">
        <v>0.05</v>
      </c>
    </row>
    <row r="118" ht="15" customHeight="1" s="33">
      <c r="A118" s="20" t="n"/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1" t="n"/>
      <c r="N118" s="20" t="n"/>
      <c r="O118" s="21" t="n"/>
      <c r="P118" s="20" t="n"/>
      <c r="Q118" s="21" t="n"/>
      <c r="R118" s="20" t="n"/>
      <c r="S118" s="61">
        <f>SUM(S2:S23,S99:S102,T24:T86,T103:T114,U87:U98,U115:U117)</f>
        <v/>
      </c>
      <c r="T118" s="65" t="n"/>
      <c r="U118" s="65" t="n"/>
    </row>
  </sheetData>
  <autoFilter ref="A1:U120"/>
  <mergeCells count="1">
    <mergeCell ref="S118:U118"/>
  </mergeCells>
  <printOptions horizontalCentered="1"/>
  <pageMargins left="0.1968503937007874" right="0.1968503937007874" top="0.3937007874015748" bottom="0.3937007874015748" header="0.7874015748031497" footer="0"/>
  <pageSetup orientation="landscape" paperSize="9" scale="92" fitToHeight="22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98"/>
  <sheetViews>
    <sheetView topLeftCell="A15" zoomScaleNormal="100" workbookViewId="0">
      <selection activeCell="R47" sqref="R47"/>
    </sheetView>
  </sheetViews>
  <sheetFormatPr baseColWidth="10" defaultColWidth="11.42578125" defaultRowHeight="12.75"/>
  <cols>
    <col width="10.85546875" bestFit="1" customWidth="1" style="11" min="1" max="1"/>
    <col width="44" bestFit="1" customWidth="1" style="11" min="2" max="2"/>
    <col width="17" bestFit="1" customWidth="1" style="11" min="3" max="3"/>
    <col width="3.28515625" bestFit="1" customWidth="1" style="11" min="4" max="9"/>
    <col width="13.140625" bestFit="1" customWidth="1" style="11" min="10" max="10"/>
    <col width="5.28515625" bestFit="1" customWidth="1" style="11" min="11" max="11"/>
    <col width="5.7109375" bestFit="1" customWidth="1" style="11" min="12" max="12"/>
    <col width="5.7109375" bestFit="1" customWidth="1" style="12" min="13" max="14"/>
    <col width="5.7109375" bestFit="1" customWidth="1" style="11" min="15" max="15"/>
    <col width="5.7109375" bestFit="1" customWidth="1" style="12" min="16" max="16"/>
    <col width="5.7109375" bestFit="1" customWidth="1" style="11" min="17" max="17"/>
    <col width="6.5703125" bestFit="1" customWidth="1" style="11" min="18" max="18"/>
    <col width="5.7109375" bestFit="1" customWidth="1" style="11" min="19" max="19"/>
    <col width="11.42578125" customWidth="1" style="11" min="20" max="16384"/>
  </cols>
  <sheetData>
    <row r="1" ht="65.09999999999999" customFormat="1" customHeight="1" s="10">
      <c r="A1" s="13" t="inlineStr">
        <is>
          <t>NIF</t>
        </is>
      </c>
      <c r="B1" s="13" t="inlineStr">
        <is>
          <t>NOMBRE_COMPLETO</t>
        </is>
      </c>
      <c r="C1" s="13" t="inlineStr">
        <is>
          <t>TIPO_SEXENIO</t>
        </is>
      </c>
      <c r="D1" s="14" t="inlineStr">
        <is>
          <t>2020</t>
        </is>
      </c>
      <c r="E1" s="14" t="inlineStr">
        <is>
          <t>2021</t>
        </is>
      </c>
      <c r="F1" s="14" t="inlineStr">
        <is>
          <t>2022</t>
        </is>
      </c>
      <c r="G1" s="14" t="inlineStr">
        <is>
          <t>2023</t>
        </is>
      </c>
      <c r="H1" s="14" t="inlineStr">
        <is>
          <t>2024</t>
        </is>
      </c>
      <c r="I1" s="14" t="inlineStr">
        <is>
          <t>2025</t>
        </is>
      </c>
      <c r="J1" s="13" t="inlineStr">
        <is>
          <t>Total general</t>
        </is>
      </c>
      <c r="K1" s="15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</row>
    <row r="2" ht="15" customHeight="1" s="33">
      <c r="A2" s="16" t="inlineStr">
        <is>
          <t>15423534X</t>
        </is>
      </c>
      <c r="B2" s="16" t="inlineStr">
        <is>
          <t>Beltrán Castellanos, José Miguel</t>
        </is>
      </c>
      <c r="C2" s="16" t="inlineStr">
        <is>
          <t>FUNCIONARIO</t>
        </is>
      </c>
      <c r="D2" s="16" t="n"/>
      <c r="E2" s="16" t="n"/>
      <c r="F2" s="16" t="n"/>
      <c r="G2" s="16" t="n">
        <v>1</v>
      </c>
      <c r="H2" s="16" t="n"/>
      <c r="I2" s="16" t="n"/>
      <c r="J2" s="16" t="n">
        <v>1</v>
      </c>
      <c r="K2" s="16" t="inlineStr">
        <is>
          <t>B113</t>
        </is>
      </c>
      <c r="L2" s="17" t="inlineStr">
        <is>
          <t>10.05</t>
        </is>
      </c>
      <c r="M2" s="17" t="inlineStr">
        <is>
          <t>10</t>
        </is>
      </c>
      <c r="N2" s="17" t="inlineStr"/>
      <c r="O2" s="17" t="inlineStr"/>
      <c r="P2" s="17" t="n">
        <v>90</v>
      </c>
      <c r="Q2" s="17" t="n">
        <v>0.1</v>
      </c>
      <c r="R2" s="17" t="n">
        <v>0</v>
      </c>
      <c r="S2" s="17" t="n">
        <v>0.9</v>
      </c>
    </row>
    <row r="3" ht="15" customHeight="1" s="33">
      <c r="A3" s="16" t="inlineStr">
        <is>
          <t>21374844R</t>
        </is>
      </c>
      <c r="B3" s="16" t="inlineStr">
        <is>
          <t>Ramos Espla, Alfonso Ángel</t>
        </is>
      </c>
      <c r="C3" s="16" t="inlineStr">
        <is>
          <t>Emérito</t>
        </is>
      </c>
      <c r="D3" s="16" t="n"/>
      <c r="E3" s="16" t="n"/>
      <c r="F3" s="16" t="n"/>
      <c r="G3" s="16" t="n"/>
      <c r="H3" s="16" t="n"/>
      <c r="I3" s="16" t="n">
        <v>1</v>
      </c>
      <c r="J3" s="16" t="n">
        <v>1</v>
      </c>
      <c r="K3" s="16" t="inlineStr">
        <is>
          <t>B171</t>
        </is>
      </c>
      <c r="L3" s="17" t="inlineStr">
        <is>
          <t>10.05</t>
        </is>
      </c>
      <c r="M3" s="17" t="inlineStr">
        <is>
          <t>10</t>
        </is>
      </c>
      <c r="N3" s="17" t="inlineStr"/>
      <c r="O3" s="17" t="inlineStr"/>
      <c r="P3" s="17" t="n">
        <v>90</v>
      </c>
      <c r="Q3" s="17" t="n">
        <v>0.1</v>
      </c>
      <c r="R3" s="17" t="n">
        <v>0</v>
      </c>
      <c r="S3" s="17" t="n">
        <v>0.9</v>
      </c>
    </row>
    <row r="4" ht="15" customHeight="1" s="33">
      <c r="A4" s="16" t="inlineStr">
        <is>
          <t>21401019W</t>
        </is>
      </c>
      <c r="B4" s="16" t="inlineStr">
        <is>
          <t>Chofre Sirvent, José Francisco</t>
        </is>
      </c>
      <c r="C4" s="16" t="inlineStr">
        <is>
          <t>Vivos</t>
        </is>
      </c>
      <c r="D4" s="16" t="n"/>
      <c r="E4" s="16" t="n"/>
      <c r="F4" s="16" t="n"/>
      <c r="G4" s="16" t="n"/>
      <c r="H4" s="16" t="n"/>
      <c r="I4" s="16" t="n">
        <v>1</v>
      </c>
      <c r="J4" s="16" t="n">
        <v>1</v>
      </c>
      <c r="K4" s="16" t="inlineStr">
        <is>
          <t>B113</t>
        </is>
      </c>
      <c r="L4" s="17" t="inlineStr">
        <is>
          <t>10.05</t>
        </is>
      </c>
      <c r="M4" s="17" t="inlineStr">
        <is>
          <t>30</t>
        </is>
      </c>
      <c r="N4" s="17" t="inlineStr"/>
      <c r="O4" s="17" t="inlineStr"/>
      <c r="P4" s="17" t="n">
        <v>70</v>
      </c>
      <c r="Q4" s="17" t="n">
        <v>0.3</v>
      </c>
      <c r="R4" s="17" t="n">
        <v>0</v>
      </c>
      <c r="S4" s="17" t="n">
        <v>0.7</v>
      </c>
    </row>
    <row r="5" ht="15" customHeight="1" s="33">
      <c r="A5" s="16" t="inlineStr">
        <is>
          <t>21435704A</t>
        </is>
      </c>
      <c r="B5" s="16" t="inlineStr">
        <is>
          <t>Martínez Almira, María Magdalena</t>
        </is>
      </c>
      <c r="C5" s="16" t="inlineStr">
        <is>
          <t>FUNCIONARIO</t>
        </is>
      </c>
      <c r="D5" s="16" t="n"/>
      <c r="E5" s="16" t="n"/>
      <c r="F5" s="16" t="n"/>
      <c r="G5" s="16" t="n"/>
      <c r="H5" s="16" t="n">
        <v>1</v>
      </c>
      <c r="I5" s="16" t="n"/>
      <c r="J5" s="16" t="n">
        <v>1</v>
      </c>
      <c r="K5" s="16" t="inlineStr">
        <is>
          <t>B104</t>
        </is>
      </c>
      <c r="L5" s="17" t="inlineStr">
        <is>
          <t>10.05</t>
        </is>
      </c>
      <c r="M5" s="17" t="inlineStr">
        <is>
          <t>50</t>
        </is>
      </c>
      <c r="N5" s="17" t="inlineStr"/>
      <c r="O5" s="17" t="inlineStr"/>
      <c r="P5" s="17" t="n">
        <v>50</v>
      </c>
      <c r="Q5" s="17" t="n">
        <v>0.5</v>
      </c>
      <c r="R5" s="17" t="n">
        <v>0</v>
      </c>
      <c r="S5" s="17" t="n">
        <v>0.5</v>
      </c>
    </row>
    <row r="6" ht="15" customHeight="1" s="33">
      <c r="A6" s="16" t="inlineStr">
        <is>
          <t>21439172K</t>
        </is>
      </c>
      <c r="B6" s="16" t="inlineStr">
        <is>
          <t>Aledo Tur, Antonio Jose</t>
        </is>
      </c>
      <c r="C6" s="16" t="inlineStr">
        <is>
          <t>FUNCIONARIO</t>
        </is>
      </c>
      <c r="D6" s="16" t="n"/>
      <c r="E6" s="16" t="n">
        <v>1</v>
      </c>
      <c r="F6" s="16" t="n"/>
      <c r="G6" s="16" t="n"/>
      <c r="H6" s="16" t="n"/>
      <c r="I6" s="16" t="n"/>
      <c r="J6" s="16" t="n">
        <v>1</v>
      </c>
      <c r="K6" s="16" t="inlineStr">
        <is>
          <t>B179</t>
        </is>
      </c>
      <c r="L6" s="17" t="inlineStr">
        <is>
          <t>10.05</t>
        </is>
      </c>
      <c r="M6" s="17" t="inlineStr">
        <is>
          <t>60</t>
        </is>
      </c>
      <c r="N6" s="17" t="inlineStr"/>
      <c r="O6" s="17" t="inlineStr"/>
      <c r="P6" s="17" t="n">
        <v>40</v>
      </c>
      <c r="Q6" s="17" t="n">
        <v>0.6</v>
      </c>
      <c r="R6" s="17" t="n">
        <v>0</v>
      </c>
      <c r="S6" s="17" t="n">
        <v>0.4</v>
      </c>
    </row>
    <row r="7" ht="15" customHeight="1" s="33">
      <c r="A7" s="16" t="inlineStr">
        <is>
          <t>21444613B</t>
        </is>
      </c>
      <c r="B7" s="16" t="inlineStr">
        <is>
          <t>Carratalá Giménez, Adoración Asunción</t>
        </is>
      </c>
      <c r="C7" s="16" t="inlineStr">
        <is>
          <t>FUNCIONARIO</t>
        </is>
      </c>
      <c r="D7" s="16" t="n">
        <v>1</v>
      </c>
      <c r="E7" s="16" t="n"/>
      <c r="F7" s="16" t="n"/>
      <c r="G7" s="16" t="n"/>
      <c r="H7" s="16" t="n"/>
      <c r="I7" s="16" t="n"/>
      <c r="J7" s="16" t="n">
        <v>1</v>
      </c>
      <c r="K7" s="16" t="inlineStr">
        <is>
          <t>B151</t>
        </is>
      </c>
      <c r="L7" s="17" t="inlineStr">
        <is>
          <t>10.05</t>
        </is>
      </c>
      <c r="M7" s="17" t="inlineStr">
        <is>
          <t>20</t>
        </is>
      </c>
      <c r="N7" s="17" t="inlineStr">
        <is>
          <t>10.09</t>
        </is>
      </c>
      <c r="O7" s="17" t="inlineStr">
        <is>
          <t>40</t>
        </is>
      </c>
      <c r="P7" s="17" t="n">
        <v>40</v>
      </c>
      <c r="Q7" s="17" t="n">
        <v>0.2</v>
      </c>
      <c r="R7" s="17" t="n">
        <v>0.4</v>
      </c>
      <c r="S7" s="17" t="n">
        <v>0.4</v>
      </c>
    </row>
    <row r="8" ht="15" customHeight="1" s="33">
      <c r="A8" s="16" t="inlineStr">
        <is>
          <t>21455103J</t>
        </is>
      </c>
      <c r="B8" s="16" t="inlineStr">
        <is>
          <t>Boluda Botella, Nuria</t>
        </is>
      </c>
      <c r="C8" s="16" t="inlineStr">
        <is>
          <t>FUNCIONARIO</t>
        </is>
      </c>
      <c r="D8" s="16" t="n"/>
      <c r="E8" s="16" t="n"/>
      <c r="F8" s="16" t="n">
        <v>1</v>
      </c>
      <c r="G8" s="16" t="n"/>
      <c r="H8" s="16" t="n"/>
      <c r="I8" s="16" t="n"/>
      <c r="J8" s="16" t="n">
        <v>1</v>
      </c>
      <c r="K8" s="16" t="inlineStr">
        <is>
          <t>B151</t>
        </is>
      </c>
      <c r="L8" s="17" t="inlineStr">
        <is>
          <t>10.05</t>
        </is>
      </c>
      <c r="M8" s="17" t="inlineStr">
        <is>
          <t>20</t>
        </is>
      </c>
      <c r="N8" s="17" t="inlineStr">
        <is>
          <t>10.09</t>
        </is>
      </c>
      <c r="O8" s="17" t="inlineStr">
        <is>
          <t>40</t>
        </is>
      </c>
      <c r="P8" s="17" t="n">
        <v>40</v>
      </c>
      <c r="Q8" s="17" t="n">
        <v>0.2</v>
      </c>
      <c r="R8" s="17" t="n">
        <v>0.4</v>
      </c>
      <c r="S8" s="17" t="n">
        <v>0.4</v>
      </c>
    </row>
    <row r="9" ht="15" customHeight="1" s="33">
      <c r="A9" s="16" t="inlineStr">
        <is>
          <t>21474957H</t>
        </is>
      </c>
      <c r="B9" s="16" t="inlineStr">
        <is>
          <t>Asensi Steegmann, Juan Carlos</t>
        </is>
      </c>
      <c r="C9" s="16" t="inlineStr">
        <is>
          <t>FUNCIONARIO</t>
        </is>
      </c>
      <c r="D9" s="16" t="n"/>
      <c r="E9" s="16" t="n"/>
      <c r="F9" s="16" t="n"/>
      <c r="G9" s="16" t="n">
        <v>1</v>
      </c>
      <c r="H9" s="16" t="n"/>
      <c r="I9" s="16" t="n"/>
      <c r="J9" s="16" t="n">
        <v>1</v>
      </c>
      <c r="K9" s="16" t="inlineStr">
        <is>
          <t>B151</t>
        </is>
      </c>
      <c r="L9" s="17" t="inlineStr">
        <is>
          <t>10.05</t>
        </is>
      </c>
      <c r="M9" s="17" t="inlineStr">
        <is>
          <t>10</t>
        </is>
      </c>
      <c r="N9" s="17" t="inlineStr">
        <is>
          <t>10.09</t>
        </is>
      </c>
      <c r="O9" s="17" t="inlineStr">
        <is>
          <t>40</t>
        </is>
      </c>
      <c r="P9" s="17" t="n">
        <v>50</v>
      </c>
      <c r="Q9" s="17" t="n">
        <v>0.1</v>
      </c>
      <c r="R9" s="17" t="n">
        <v>0.4</v>
      </c>
      <c r="S9" s="17" t="n">
        <v>0.5</v>
      </c>
    </row>
    <row r="10" ht="15" customHeight="1" s="33">
      <c r="A10" s="16" t="inlineStr">
        <is>
          <t>21497219Q</t>
        </is>
      </c>
      <c r="B10" s="16" t="inlineStr">
        <is>
          <t>Pérez del Hoyo, Raquel</t>
        </is>
      </c>
      <c r="C10" s="16" t="inlineStr">
        <is>
          <t>FUNCIONARIO</t>
        </is>
      </c>
      <c r="D10" s="16" t="n"/>
      <c r="E10" s="16" t="n">
        <v>1</v>
      </c>
      <c r="F10" s="16" t="n"/>
      <c r="G10" s="16" t="n">
        <v>1</v>
      </c>
      <c r="H10" s="16" t="n"/>
      <c r="I10" s="16" t="n"/>
      <c r="J10" s="16" t="n">
        <v>2</v>
      </c>
      <c r="K10" s="16" t="inlineStr">
        <is>
          <t>B184</t>
        </is>
      </c>
      <c r="L10" s="17" t="inlineStr">
        <is>
          <t>10.05</t>
        </is>
      </c>
      <c r="M10" s="17" t="inlineStr">
        <is>
          <t>20</t>
        </is>
      </c>
      <c r="N10" s="17" t="inlineStr"/>
      <c r="O10" s="17" t="inlineStr"/>
      <c r="P10" s="17" t="n">
        <v>80</v>
      </c>
      <c r="Q10" s="17" t="n">
        <v>0.4</v>
      </c>
      <c r="R10" s="17" t="n">
        <v>0</v>
      </c>
      <c r="S10" s="17" t="n">
        <v>1.6</v>
      </c>
    </row>
    <row r="11" ht="15" customHeight="1" s="33">
      <c r="A11" s="16" t="inlineStr">
        <is>
          <t>21502998E</t>
        </is>
      </c>
      <c r="B11" s="16" t="inlineStr">
        <is>
          <t>Molina Giménez, Andrés</t>
        </is>
      </c>
      <c r="C11" s="16" t="inlineStr">
        <is>
          <t>FUNCIONARIO</t>
        </is>
      </c>
      <c r="D11" s="16" t="n"/>
      <c r="E11" s="16" t="n"/>
      <c r="F11" s="16" t="n"/>
      <c r="G11" s="16" t="n">
        <v>1</v>
      </c>
      <c r="H11" s="16" t="n"/>
      <c r="I11" s="16" t="n"/>
      <c r="J11" s="16" t="n">
        <v>1</v>
      </c>
      <c r="K11" s="16" t="inlineStr">
        <is>
          <t>B113</t>
        </is>
      </c>
      <c r="L11" s="17" t="inlineStr">
        <is>
          <t>10.05</t>
        </is>
      </c>
      <c r="M11" s="17" t="inlineStr">
        <is>
          <t>60</t>
        </is>
      </c>
      <c r="N11" s="17" t="inlineStr"/>
      <c r="O11" s="17" t="inlineStr"/>
      <c r="P11" s="17" t="n">
        <v>40</v>
      </c>
      <c r="Q11" s="17" t="n">
        <v>0.6</v>
      </c>
      <c r="R11" s="17" t="n">
        <v>0</v>
      </c>
      <c r="S11" s="17" t="n">
        <v>0.4</v>
      </c>
    </row>
    <row r="12" ht="15" customHeight="1" s="33">
      <c r="A12" s="16" t="inlineStr">
        <is>
          <t>21683813B</t>
        </is>
      </c>
      <c r="B12" s="16" t="inlineStr">
        <is>
          <t>Montaño Sanz, Francisco De Borja</t>
        </is>
      </c>
      <c r="C12" s="16" t="inlineStr">
        <is>
          <t>FUNCIONARIO</t>
        </is>
      </c>
      <c r="D12" s="16" t="n"/>
      <c r="E12" s="16" t="n">
        <v>1</v>
      </c>
      <c r="F12" s="16" t="n"/>
      <c r="G12" s="16" t="n"/>
      <c r="H12" s="16" t="n"/>
      <c r="I12" s="16" t="n"/>
      <c r="J12" s="16" t="n">
        <v>1</v>
      </c>
      <c r="K12" s="16" t="inlineStr">
        <is>
          <t>B138</t>
        </is>
      </c>
      <c r="L12" s="17" t="inlineStr">
        <is>
          <t>10.05</t>
        </is>
      </c>
      <c r="M12" s="17" t="inlineStr">
        <is>
          <t>20</t>
        </is>
      </c>
      <c r="N12" s="17" t="inlineStr"/>
      <c r="O12" s="17" t="inlineStr"/>
      <c r="P12" s="17" t="n">
        <v>80</v>
      </c>
      <c r="Q12" s="17" t="n">
        <v>0.2</v>
      </c>
      <c r="R12" s="17" t="n">
        <v>0</v>
      </c>
      <c r="S12" s="17" t="n">
        <v>0.8</v>
      </c>
    </row>
    <row r="13" ht="15" customHeight="1" s="33">
      <c r="A13" s="16" t="inlineStr">
        <is>
          <t>21996111S</t>
        </is>
      </c>
      <c r="B13" s="16" t="inlineStr">
        <is>
          <t>Andreu Rodes, José Miguel</t>
        </is>
      </c>
      <c r="C13" s="16" t="inlineStr">
        <is>
          <t>FUNCIONARIO</t>
        </is>
      </c>
      <c r="D13" s="16" t="n"/>
      <c r="E13" s="16" t="n"/>
      <c r="F13" s="16" t="n"/>
      <c r="G13" s="16" t="n">
        <v>1</v>
      </c>
      <c r="H13" s="16" t="n"/>
      <c r="I13" s="16" t="n"/>
      <c r="J13" s="16" t="n">
        <v>1</v>
      </c>
      <c r="K13" s="16" t="inlineStr">
        <is>
          <t>B156</t>
        </is>
      </c>
      <c r="L13" s="17" t="inlineStr">
        <is>
          <t>10.05</t>
        </is>
      </c>
      <c r="M13" s="17" t="inlineStr">
        <is>
          <t>10</t>
        </is>
      </c>
      <c r="N13" s="17" t="inlineStr"/>
      <c r="O13" s="17" t="inlineStr"/>
      <c r="P13" s="17" t="n">
        <v>90</v>
      </c>
      <c r="Q13" s="17" t="n">
        <v>0.1</v>
      </c>
      <c r="R13" s="17" t="n">
        <v>0</v>
      </c>
      <c r="S13" s="17" t="n">
        <v>0.9</v>
      </c>
    </row>
    <row r="14" ht="15" customHeight="1" s="33">
      <c r="A14" s="16" t="inlineStr">
        <is>
          <t>27439255W</t>
        </is>
      </c>
      <c r="B14" s="16" t="inlineStr">
        <is>
          <t>López Ortiz, María Inmaculada</t>
        </is>
      </c>
      <c r="C14" s="16" t="inlineStr">
        <is>
          <t>FUNCIONARIO</t>
        </is>
      </c>
      <c r="D14" s="16" t="n">
        <v>1</v>
      </c>
      <c r="E14" s="16" t="n"/>
      <c r="F14" s="16" t="n"/>
      <c r="G14" s="16" t="n"/>
      <c r="H14" s="16" t="n"/>
      <c r="I14" s="16" t="n"/>
      <c r="J14" s="16" t="n">
        <v>1</v>
      </c>
      <c r="K14" s="16" t="inlineStr">
        <is>
          <t>B138</t>
        </is>
      </c>
      <c r="L14" s="17" t="inlineStr">
        <is>
          <t>10.05</t>
        </is>
      </c>
      <c r="M14" s="17" t="inlineStr">
        <is>
          <t>20</t>
        </is>
      </c>
      <c r="N14" s="17" t="inlineStr">
        <is>
          <t>10.21</t>
        </is>
      </c>
      <c r="O14" s="17" t="inlineStr">
        <is>
          <t>30</t>
        </is>
      </c>
      <c r="P14" s="17" t="n">
        <v>50</v>
      </c>
      <c r="Q14" s="17" t="n">
        <v>0.2</v>
      </c>
      <c r="R14" s="17" t="n">
        <v>0.3</v>
      </c>
      <c r="S14" s="17" t="n">
        <v>0.5</v>
      </c>
    </row>
    <row r="15" ht="15" customHeight="1" s="33">
      <c r="A15" s="16" t="inlineStr">
        <is>
          <t>33490890S</t>
        </is>
      </c>
      <c r="B15" s="16" t="inlineStr">
        <is>
          <t>Almodovar Iñesta, Maria</t>
        </is>
      </c>
      <c r="C15" s="16" t="inlineStr">
        <is>
          <t>FUNCIONARIO</t>
        </is>
      </c>
      <c r="D15" s="16" t="n"/>
      <c r="E15" s="16" t="n"/>
      <c r="F15" s="16" t="n"/>
      <c r="G15" s="16" t="n">
        <v>1</v>
      </c>
      <c r="H15" s="16" t="n"/>
      <c r="I15" s="16" t="n"/>
      <c r="J15" s="16" t="n">
        <v>1</v>
      </c>
      <c r="K15" s="16" t="inlineStr">
        <is>
          <t>B113</t>
        </is>
      </c>
      <c r="L15" s="17" t="inlineStr">
        <is>
          <t>10.05</t>
        </is>
      </c>
      <c r="M15" s="17" t="inlineStr">
        <is>
          <t>10</t>
        </is>
      </c>
      <c r="N15" s="17" t="inlineStr"/>
      <c r="O15" s="17" t="inlineStr"/>
      <c r="P15" s="17" t="n">
        <v>90</v>
      </c>
      <c r="Q15" s="17" t="n">
        <v>0.1</v>
      </c>
      <c r="R15" s="17" t="n">
        <v>0</v>
      </c>
      <c r="S15" s="17" t="n">
        <v>0.9</v>
      </c>
    </row>
    <row r="16" ht="15" customHeight="1" s="33">
      <c r="A16" s="16" t="inlineStr">
        <is>
          <t>44766559A</t>
        </is>
      </c>
      <c r="B16" s="16" t="inlineStr">
        <is>
          <t>Ortiz Noguera, Guadalupe</t>
        </is>
      </c>
      <c r="C16" s="19" t="inlineStr">
        <is>
          <t>FUNCIONARIO</t>
        </is>
      </c>
      <c r="D16" s="16" t="n"/>
      <c r="E16" s="16" t="n">
        <v>2</v>
      </c>
      <c r="F16" s="16" t="n"/>
      <c r="G16" s="16" t="n"/>
      <c r="H16" s="16" t="n"/>
      <c r="I16" s="16" t="n"/>
      <c r="J16" s="16" t="n">
        <v>2</v>
      </c>
      <c r="K16" s="16" t="inlineStr">
        <is>
          <t>B179</t>
        </is>
      </c>
      <c r="L16" s="17" t="inlineStr">
        <is>
          <t>10.05</t>
        </is>
      </c>
      <c r="M16" s="17" t="inlineStr">
        <is>
          <t>50</t>
        </is>
      </c>
      <c r="N16" s="17" t="inlineStr">
        <is>
          <t>10.17</t>
        </is>
      </c>
      <c r="O16" s="17" t="inlineStr">
        <is>
          <t>10</t>
        </is>
      </c>
      <c r="P16" s="17" t="n">
        <v>40</v>
      </c>
      <c r="Q16" s="17" t="n">
        <v>1</v>
      </c>
      <c r="R16" s="17" t="n">
        <v>0.2</v>
      </c>
      <c r="S16" s="17" t="n">
        <v>0.8</v>
      </c>
    </row>
    <row r="17" ht="15" customHeight="1" s="33">
      <c r="A17" s="16" t="inlineStr">
        <is>
          <t>45928284K</t>
        </is>
      </c>
      <c r="B17" s="16" t="inlineStr">
        <is>
          <t>Aznar Crespo, Pablo</t>
        </is>
      </c>
      <c r="C17" s="16" t="inlineStr">
        <is>
          <t>NO FUNCIONARIO</t>
        </is>
      </c>
      <c r="D17" s="16" t="n"/>
      <c r="E17" s="16" t="n"/>
      <c r="F17" s="16" t="n"/>
      <c r="G17" s="16" t="n"/>
      <c r="H17" s="16" t="n">
        <v>1</v>
      </c>
      <c r="I17" s="16" t="n"/>
      <c r="J17" s="16" t="n">
        <v>1</v>
      </c>
      <c r="K17" s="16" t="inlineStr">
        <is>
          <t>B179</t>
        </is>
      </c>
      <c r="L17" s="17" t="inlineStr">
        <is>
          <t>10.05</t>
        </is>
      </c>
      <c r="M17" s="17" t="inlineStr">
        <is>
          <t>30</t>
        </is>
      </c>
      <c r="N17" s="17" t="inlineStr"/>
      <c r="O17" s="17" t="inlineStr"/>
      <c r="P17" s="17" t="n">
        <v>70</v>
      </c>
      <c r="Q17" s="17" t="n">
        <v>0.3</v>
      </c>
      <c r="R17" s="17" t="n">
        <v>0</v>
      </c>
      <c r="S17" s="17" t="n">
        <v>0.7</v>
      </c>
    </row>
    <row r="18" ht="15" customHeight="1" s="33">
      <c r="A18" s="16" t="inlineStr">
        <is>
          <t>47057425T</t>
        </is>
      </c>
      <c r="B18" s="16" t="inlineStr">
        <is>
          <t>Pardo Picazo, Miguel Ángel</t>
        </is>
      </c>
      <c r="C18" s="16" t="inlineStr">
        <is>
          <t>FUNCIONARIO</t>
        </is>
      </c>
      <c r="D18" s="16" t="n"/>
      <c r="E18" s="16" t="n">
        <v>1</v>
      </c>
      <c r="F18" s="16" t="n"/>
      <c r="G18" s="16" t="n"/>
      <c r="H18" s="16" t="n"/>
      <c r="I18" s="16" t="n">
        <v>1</v>
      </c>
      <c r="J18" s="16" t="n">
        <v>2</v>
      </c>
      <c r="K18" s="16" t="inlineStr">
        <is>
          <t>B185</t>
        </is>
      </c>
      <c r="L18" s="17" t="inlineStr">
        <is>
          <t>10.05</t>
        </is>
      </c>
      <c r="M18" s="17" t="inlineStr">
        <is>
          <t>20</t>
        </is>
      </c>
      <c r="N18" s="17" t="inlineStr"/>
      <c r="O18" s="17" t="inlineStr"/>
      <c r="P18" s="17" t="n">
        <v>80</v>
      </c>
      <c r="Q18" s="17" t="n">
        <v>0.4</v>
      </c>
      <c r="R18" s="17" t="n">
        <v>0</v>
      </c>
      <c r="S18" s="17" t="n">
        <v>1.6</v>
      </c>
    </row>
    <row r="19" ht="15" customHeight="1" s="33">
      <c r="A19" s="16" t="inlineStr">
        <is>
          <t>48315254M</t>
        </is>
      </c>
      <c r="B19" s="16" t="inlineStr">
        <is>
          <t>Moya Llamas, María José</t>
        </is>
      </c>
      <c r="C19" s="16" t="inlineStr">
        <is>
          <t>NO FUNCIONARIO</t>
        </is>
      </c>
      <c r="D19" s="16" t="n"/>
      <c r="E19" s="16" t="n"/>
      <c r="F19" s="16" t="n"/>
      <c r="G19" s="16" t="n"/>
      <c r="H19" s="16" t="n">
        <v>1</v>
      </c>
      <c r="I19" s="16" t="n"/>
      <c r="J19" s="16" t="n">
        <v>1</v>
      </c>
      <c r="K19" s="16" t="inlineStr">
        <is>
          <t>B185</t>
        </is>
      </c>
      <c r="L19" s="17" t="inlineStr">
        <is>
          <t>10.05</t>
        </is>
      </c>
      <c r="M19" s="17" t="inlineStr">
        <is>
          <t>20</t>
        </is>
      </c>
      <c r="N19" s="17" t="inlineStr"/>
      <c r="O19" s="17" t="inlineStr"/>
      <c r="P19" s="17" t="n">
        <v>80</v>
      </c>
      <c r="Q19" s="17" t="n">
        <v>0.2</v>
      </c>
      <c r="R19" s="17" t="n">
        <v>0</v>
      </c>
      <c r="S19" s="17" t="n">
        <v>0.8</v>
      </c>
    </row>
    <row r="20" ht="15" customHeight="1" s="33">
      <c r="A20" s="16" t="inlineStr">
        <is>
          <t>48316575S</t>
        </is>
      </c>
      <c r="B20" s="16" t="inlineStr">
        <is>
          <t>Fernández Torquemada, Yolanda</t>
        </is>
      </c>
      <c r="C20" s="16" t="inlineStr">
        <is>
          <t>FUNCIONARIO</t>
        </is>
      </c>
      <c r="D20" s="16" t="n"/>
      <c r="E20" s="16" t="n"/>
      <c r="F20" s="16" t="n"/>
      <c r="G20" s="16" t="n"/>
      <c r="H20" s="16" t="n"/>
      <c r="I20" s="16" t="n">
        <v>1</v>
      </c>
      <c r="J20" s="16" t="n">
        <v>1</v>
      </c>
      <c r="K20" s="16" t="inlineStr">
        <is>
          <t>B171</t>
        </is>
      </c>
      <c r="L20" s="17" t="inlineStr">
        <is>
          <t>10.05</t>
        </is>
      </c>
      <c r="M20" s="17" t="inlineStr">
        <is>
          <t>10</t>
        </is>
      </c>
      <c r="N20" s="17" t="inlineStr"/>
      <c r="O20" s="17" t="inlineStr"/>
      <c r="P20" s="17" t="n">
        <v>90</v>
      </c>
      <c r="Q20" s="17" t="n">
        <v>0.1</v>
      </c>
      <c r="R20" s="17" t="n">
        <v>0</v>
      </c>
      <c r="S20" s="17" t="n">
        <v>0.9</v>
      </c>
    </row>
    <row r="21" ht="15" customHeight="1" s="33">
      <c r="A21" s="16" t="inlineStr">
        <is>
          <t>48316901L</t>
        </is>
      </c>
      <c r="B21" s="16" t="inlineStr">
        <is>
          <t>Sentana Gadea, Irene</t>
        </is>
      </c>
      <c r="C21" s="16" t="inlineStr">
        <is>
          <t>Vivos</t>
        </is>
      </c>
      <c r="D21" s="16" t="n"/>
      <c r="E21" s="16" t="n"/>
      <c r="F21" s="16" t="n"/>
      <c r="G21" s="16" t="n"/>
      <c r="H21" s="16" t="n"/>
      <c r="I21" s="16" t="n">
        <v>1</v>
      </c>
      <c r="J21" s="16" t="n">
        <v>1</v>
      </c>
      <c r="K21" s="16" t="inlineStr">
        <is>
          <t>B187</t>
        </is>
      </c>
      <c r="L21" s="17" t="inlineStr">
        <is>
          <t>10.05</t>
        </is>
      </c>
      <c r="M21" s="17" t="inlineStr">
        <is>
          <t>50</t>
        </is>
      </c>
      <c r="N21" s="17" t="inlineStr"/>
      <c r="O21" s="17" t="inlineStr"/>
      <c r="P21" s="17" t="n">
        <v>50</v>
      </c>
      <c r="Q21" s="17" t="n">
        <v>0.5</v>
      </c>
      <c r="R21" s="17" t="n">
        <v>0</v>
      </c>
      <c r="S21" s="17" t="n">
        <v>0.5</v>
      </c>
    </row>
    <row r="22" ht="15" customHeight="1" s="33">
      <c r="A22" s="16" t="inlineStr">
        <is>
          <t>48348315S</t>
        </is>
      </c>
      <c r="B22" s="16" t="inlineStr">
        <is>
          <t>Grindlay Lledó, Guillermo</t>
        </is>
      </c>
      <c r="C22" s="16" t="inlineStr">
        <is>
          <t>FUNCIONARIO</t>
        </is>
      </c>
      <c r="D22" s="16" t="n">
        <v>2</v>
      </c>
      <c r="E22" s="16" t="n"/>
      <c r="F22" s="16" t="n">
        <v>1</v>
      </c>
      <c r="G22" s="16" t="n"/>
      <c r="H22" s="16" t="n"/>
      <c r="I22" s="16" t="n"/>
      <c r="J22" s="16" t="n">
        <v>3</v>
      </c>
      <c r="K22" s="16" t="inlineStr">
        <is>
          <t>B169</t>
        </is>
      </c>
      <c r="L22" s="17" t="inlineStr">
        <is>
          <t>10.05</t>
        </is>
      </c>
      <c r="M22" s="17" t="inlineStr">
        <is>
          <t>10</t>
        </is>
      </c>
      <c r="N22" s="17" t="inlineStr"/>
      <c r="O22" s="17" t="inlineStr"/>
      <c r="P22" s="17" t="n">
        <v>90</v>
      </c>
      <c r="Q22" s="17" t="n">
        <v>0.3</v>
      </c>
      <c r="R22" s="17" t="n">
        <v>0</v>
      </c>
      <c r="S22" s="17" t="n">
        <v>2.7</v>
      </c>
    </row>
    <row r="23" ht="15" customHeight="1" s="33">
      <c r="A23" s="16" t="inlineStr">
        <is>
          <t>48356166T</t>
        </is>
      </c>
      <c r="B23" s="16" t="inlineStr">
        <is>
          <t>Ortuño García, Nuria</t>
        </is>
      </c>
      <c r="C23" s="16" t="inlineStr">
        <is>
          <t>FUNCIONARIO</t>
        </is>
      </c>
      <c r="D23" s="16" t="n"/>
      <c r="E23" s="16" t="n"/>
      <c r="F23" s="16" t="n"/>
      <c r="G23" s="16" t="n"/>
      <c r="H23" s="16" t="n">
        <v>2</v>
      </c>
      <c r="I23" s="16" t="n"/>
      <c r="J23" s="16" t="n">
        <v>2</v>
      </c>
      <c r="K23" s="16" t="inlineStr">
        <is>
          <t>B151</t>
        </is>
      </c>
      <c r="L23" s="17" t="inlineStr">
        <is>
          <t>10.05</t>
        </is>
      </c>
      <c r="M23" s="17" t="inlineStr">
        <is>
          <t>10</t>
        </is>
      </c>
      <c r="N23" s="17" t="inlineStr">
        <is>
          <t>10.09</t>
        </is>
      </c>
      <c r="O23" s="17" t="inlineStr">
        <is>
          <t>65</t>
        </is>
      </c>
      <c r="P23" s="17" t="n">
        <v>25</v>
      </c>
      <c r="Q23" s="17" t="n">
        <v>0.2</v>
      </c>
      <c r="R23" s="17" t="n">
        <v>1.3</v>
      </c>
      <c r="S23" s="17" t="n">
        <v>0.5</v>
      </c>
    </row>
    <row r="24" ht="15" customHeight="1" s="33">
      <c r="A24" s="16" t="inlineStr">
        <is>
          <t>48555813F</t>
        </is>
      </c>
      <c r="B24" s="16" t="inlineStr">
        <is>
          <t>Rodríguez Hernández, María del Carmen</t>
        </is>
      </c>
      <c r="C24" s="16" t="inlineStr">
        <is>
          <t>NO FUNCIONARIO</t>
        </is>
      </c>
      <c r="D24" s="16" t="n"/>
      <c r="E24" s="16" t="n"/>
      <c r="F24" s="16" t="n">
        <v>1</v>
      </c>
      <c r="G24" s="16" t="n"/>
      <c r="H24" s="16" t="n"/>
      <c r="I24" s="16" t="n"/>
      <c r="J24" s="16" t="n">
        <v>1</v>
      </c>
      <c r="K24" s="16" t="inlineStr">
        <is>
          <t>B156</t>
        </is>
      </c>
      <c r="L24" s="17" t="inlineStr">
        <is>
          <t>10.05</t>
        </is>
      </c>
      <c r="M24" s="17" t="inlineStr">
        <is>
          <t>50</t>
        </is>
      </c>
      <c r="N24" s="17" t="inlineStr"/>
      <c r="O24" s="17" t="inlineStr"/>
      <c r="P24" s="17" t="n">
        <v>50</v>
      </c>
      <c r="Q24" s="17" t="n">
        <v>0.5</v>
      </c>
      <c r="R24" s="17" t="n">
        <v>0</v>
      </c>
      <c r="S24" s="17" t="n">
        <v>0.5</v>
      </c>
    </row>
    <row r="25" ht="15" customHeight="1" s="33">
      <c r="A25" s="16" t="inlineStr">
        <is>
          <t>48561476N</t>
        </is>
      </c>
      <c r="B25" s="16" t="inlineStr">
        <is>
          <t>Pla Bru, María de la Concepción</t>
        </is>
      </c>
      <c r="C25" s="16" t="inlineStr">
        <is>
          <t>FUNCIONARIO</t>
        </is>
      </c>
      <c r="D25" s="16" t="n"/>
      <c r="E25" s="16" t="n"/>
      <c r="F25" s="16" t="n">
        <v>1</v>
      </c>
      <c r="G25" s="16" t="n"/>
      <c r="H25" s="16" t="n"/>
      <c r="I25" s="16" t="n">
        <v>1</v>
      </c>
      <c r="J25" s="16" t="n">
        <v>2</v>
      </c>
      <c r="K25" s="16" t="inlineStr">
        <is>
          <t>B185</t>
        </is>
      </c>
      <c r="L25" s="17" t="inlineStr">
        <is>
          <t>10.05</t>
        </is>
      </c>
      <c r="M25" s="17" t="inlineStr">
        <is>
          <t>20</t>
        </is>
      </c>
      <c r="N25" s="17" t="inlineStr"/>
      <c r="O25" s="17" t="inlineStr"/>
      <c r="P25" s="17" t="n">
        <v>80</v>
      </c>
      <c r="Q25" s="17" t="n">
        <v>0.4</v>
      </c>
      <c r="R25" s="17" t="n">
        <v>0</v>
      </c>
      <c r="S25" s="17" t="n">
        <v>1.6</v>
      </c>
    </row>
    <row r="26" ht="15" customHeight="1" s="33">
      <c r="A26" s="16" t="inlineStr">
        <is>
          <t>48624316Q</t>
        </is>
      </c>
      <c r="B26" s="16" t="inlineStr">
        <is>
          <t>Rizo Maestre, Carlos</t>
        </is>
      </c>
      <c r="C26" s="16" t="inlineStr">
        <is>
          <t>FUNCIONARIO</t>
        </is>
      </c>
      <c r="D26" s="16" t="n"/>
      <c r="E26" s="16" t="n"/>
      <c r="F26" s="16" t="n"/>
      <c r="G26" s="16" t="n">
        <v>1</v>
      </c>
      <c r="H26" s="16" t="n"/>
      <c r="I26" s="16" t="n"/>
      <c r="J26" s="16" t="n">
        <v>1</v>
      </c>
      <c r="K26" s="16" t="inlineStr">
        <is>
          <t>B147</t>
        </is>
      </c>
      <c r="L26" s="17" t="inlineStr">
        <is>
          <t>10.05</t>
        </is>
      </c>
      <c r="M26" s="17" t="inlineStr">
        <is>
          <t>20</t>
        </is>
      </c>
      <c r="N26" s="17" t="inlineStr"/>
      <c r="O26" s="17" t="inlineStr"/>
      <c r="P26" s="17" t="n">
        <v>80</v>
      </c>
      <c r="Q26" s="17" t="n">
        <v>0.2</v>
      </c>
      <c r="R26" s="17" t="n">
        <v>0</v>
      </c>
      <c r="S26" s="17" t="n">
        <v>0.8</v>
      </c>
    </row>
    <row r="27" ht="15" customHeight="1" s="33">
      <c r="A27" s="16" t="inlineStr">
        <is>
          <t>52768616S</t>
        </is>
      </c>
      <c r="B27" s="16" t="inlineStr">
        <is>
          <t>Sanabria García, Sonia</t>
        </is>
      </c>
      <c r="C27" s="16" t="inlineStr">
        <is>
          <t>FUNCIONARIO</t>
        </is>
      </c>
      <c r="D27" s="16" t="n"/>
      <c r="E27" s="16" t="n"/>
      <c r="F27" s="16" t="n"/>
      <c r="G27" s="16" t="n"/>
      <c r="H27" s="16" t="n"/>
      <c r="I27" s="16" t="n">
        <v>1</v>
      </c>
      <c r="J27" s="16" t="n">
        <v>1</v>
      </c>
      <c r="K27" s="16" t="inlineStr">
        <is>
          <t>B182</t>
        </is>
      </c>
      <c r="L27" s="17" t="inlineStr">
        <is>
          <t>10.05</t>
        </is>
      </c>
      <c r="M27" s="17" t="inlineStr">
        <is>
          <t>20</t>
        </is>
      </c>
      <c r="N27" s="17" t="inlineStr"/>
      <c r="O27" s="17" t="inlineStr"/>
      <c r="P27" s="17" t="n">
        <v>80</v>
      </c>
      <c r="Q27" s="17" t="n">
        <v>0.2</v>
      </c>
      <c r="R27" s="17" t="n">
        <v>0</v>
      </c>
      <c r="S27" s="17" t="n">
        <v>0.8</v>
      </c>
    </row>
    <row r="28" ht="15" customHeight="1" s="33">
      <c r="A28" s="16" t="inlineStr">
        <is>
          <t>53238057A</t>
        </is>
      </c>
      <c r="B28" s="16" t="inlineStr">
        <is>
          <t>López Llopis, Estefanía</t>
        </is>
      </c>
      <c r="C28" s="16" t="inlineStr">
        <is>
          <t>FUNCIONARIO</t>
        </is>
      </c>
      <c r="D28" s="16" t="n"/>
      <c r="E28" s="16" t="n"/>
      <c r="F28" s="16" t="n">
        <v>1</v>
      </c>
      <c r="G28" s="16" t="n">
        <v>1</v>
      </c>
      <c r="H28" s="16" t="n"/>
      <c r="I28" s="16" t="n"/>
      <c r="J28" s="16" t="n">
        <v>2</v>
      </c>
      <c r="K28" s="16" t="inlineStr">
        <is>
          <t>B138</t>
        </is>
      </c>
      <c r="L28" s="17" t="inlineStr">
        <is>
          <t>10.05</t>
        </is>
      </c>
      <c r="M28" s="17" t="inlineStr">
        <is>
          <t>25</t>
        </is>
      </c>
      <c r="N28" s="17" t="inlineStr">
        <is>
          <t>10.06</t>
        </is>
      </c>
      <c r="O28" s="17" t="inlineStr">
        <is>
          <t>50</t>
        </is>
      </c>
      <c r="P28" s="17" t="n">
        <v>25</v>
      </c>
      <c r="Q28" s="17" t="n">
        <v>0.5</v>
      </c>
      <c r="R28" s="17" t="n">
        <v>1</v>
      </c>
      <c r="S28" s="17" t="n">
        <v>0.5</v>
      </c>
    </row>
    <row r="29" ht="15" customHeight="1" s="33">
      <c r="A29" s="16" t="inlineStr">
        <is>
          <t>53241660H</t>
        </is>
      </c>
      <c r="B29" s="16" t="inlineStr">
        <is>
          <t>Fernández Aracil, Patricia</t>
        </is>
      </c>
      <c r="C29" s="16" t="inlineStr">
        <is>
          <t>NO FUNCIONARIO</t>
        </is>
      </c>
      <c r="D29" s="16" t="n"/>
      <c r="E29" s="16" t="n"/>
      <c r="F29" s="16" t="n"/>
      <c r="G29" s="16" t="n"/>
      <c r="H29" s="16" t="n">
        <v>1</v>
      </c>
      <c r="I29" s="16" t="n"/>
      <c r="J29" s="16" t="n">
        <v>1</v>
      </c>
      <c r="K29" s="16" t="inlineStr">
        <is>
          <t>B138</t>
        </is>
      </c>
      <c r="L29" s="17" t="inlineStr">
        <is>
          <t>10.05</t>
        </is>
      </c>
      <c r="M29" s="17" t="inlineStr">
        <is>
          <t>20</t>
        </is>
      </c>
      <c r="N29" s="17" t="inlineStr"/>
      <c r="O29" s="17" t="inlineStr"/>
      <c r="P29" s="17" t="n">
        <v>80</v>
      </c>
      <c r="Q29" s="17" t="n">
        <v>0.2</v>
      </c>
      <c r="R29" s="17" t="n">
        <v>0</v>
      </c>
      <c r="S29" s="17" t="n">
        <v>0.8</v>
      </c>
    </row>
    <row r="30" ht="15" customHeight="1" s="33">
      <c r="A30" s="16" t="inlineStr">
        <is>
          <t>56036143R</t>
        </is>
      </c>
      <c r="B30" s="16" t="inlineStr">
        <is>
          <t>Sáez Avaria, Claudio Alejandro</t>
        </is>
      </c>
      <c r="C30" s="16" t="inlineStr">
        <is>
          <t>FUNCIONARIO</t>
        </is>
      </c>
      <c r="D30" s="16" t="n"/>
      <c r="E30" s="16" t="n"/>
      <c r="F30" s="16" t="n"/>
      <c r="G30" s="16" t="n"/>
      <c r="H30" s="16" t="n"/>
      <c r="I30" s="16" t="n">
        <v>2</v>
      </c>
      <c r="J30" s="16" t="n">
        <v>2</v>
      </c>
      <c r="K30" s="16" t="inlineStr">
        <is>
          <t>B171</t>
        </is>
      </c>
      <c r="L30" s="17" t="inlineStr">
        <is>
          <t>10.05</t>
        </is>
      </c>
      <c r="M30" s="17" t="inlineStr">
        <is>
          <t>20</t>
        </is>
      </c>
      <c r="N30" s="17" t="inlineStr">
        <is>
          <t>10.16</t>
        </is>
      </c>
      <c r="O30" s="17" t="inlineStr">
        <is>
          <t>30</t>
        </is>
      </c>
      <c r="P30" s="17" t="n">
        <v>50</v>
      </c>
      <c r="Q30" s="17" t="n">
        <v>0.4</v>
      </c>
      <c r="R30" s="17" t="n">
        <v>0.6</v>
      </c>
      <c r="S30" s="17" t="n">
        <v>1</v>
      </c>
    </row>
    <row r="31" ht="15" customHeight="1" s="33">
      <c r="A31" s="16" t="inlineStr">
        <is>
          <t>74002594W</t>
        </is>
      </c>
      <c r="B31" s="16" t="inlineStr">
        <is>
          <t>Valdés Abellán, Javier</t>
        </is>
      </c>
      <c r="C31" s="16" t="inlineStr">
        <is>
          <t>FUNCIONARIO</t>
        </is>
      </c>
      <c r="D31" s="16" t="n">
        <v>1</v>
      </c>
      <c r="E31" s="16" t="n"/>
      <c r="F31" s="16" t="n">
        <v>1</v>
      </c>
      <c r="G31" s="16" t="n"/>
      <c r="H31" s="16" t="n"/>
      <c r="I31" s="16" t="n"/>
      <c r="J31" s="16" t="n">
        <v>2</v>
      </c>
      <c r="K31" s="16" t="inlineStr">
        <is>
          <t>B185</t>
        </is>
      </c>
      <c r="L31" s="17" t="inlineStr">
        <is>
          <t>10.05</t>
        </is>
      </c>
      <c r="M31" s="17" t="inlineStr">
        <is>
          <t>10</t>
        </is>
      </c>
      <c r="N31" s="17" t="inlineStr"/>
      <c r="O31" s="17" t="inlineStr"/>
      <c r="P31" s="17" t="n">
        <v>90</v>
      </c>
      <c r="Q31" s="17" t="n">
        <v>0.2</v>
      </c>
      <c r="R31" s="17" t="n">
        <v>0</v>
      </c>
      <c r="S31" s="17" t="n">
        <v>1.8</v>
      </c>
    </row>
    <row r="32" ht="15" customHeight="1" s="33">
      <c r="A32" s="16" t="inlineStr">
        <is>
          <t>74176967N</t>
        </is>
      </c>
      <c r="B32" s="16" t="inlineStr">
        <is>
          <t>Saura Gómez, Pascual</t>
        </is>
      </c>
      <c r="C32" s="16" t="inlineStr">
        <is>
          <t>FUNCIONARIO</t>
        </is>
      </c>
      <c r="D32" s="16" t="n"/>
      <c r="E32" s="16" t="n"/>
      <c r="F32" s="16" t="n"/>
      <c r="G32" s="16" t="n"/>
      <c r="H32" s="16" t="n">
        <v>1</v>
      </c>
      <c r="I32" s="16" t="n"/>
      <c r="J32" s="16" t="n">
        <v>1</v>
      </c>
      <c r="K32" s="16" t="inlineStr">
        <is>
          <t>B147</t>
        </is>
      </c>
      <c r="L32" s="17" t="inlineStr">
        <is>
          <t>10.05</t>
        </is>
      </c>
      <c r="M32" s="17" t="inlineStr">
        <is>
          <t>20</t>
        </is>
      </c>
      <c r="N32" s="17" t="inlineStr"/>
      <c r="O32" s="17" t="inlineStr"/>
      <c r="P32" s="17" t="n">
        <v>80</v>
      </c>
      <c r="Q32" s="17" t="n">
        <v>0.2</v>
      </c>
      <c r="R32" s="17" t="n">
        <v>0</v>
      </c>
      <c r="S32" s="17" t="n">
        <v>0.8</v>
      </c>
    </row>
    <row r="33" ht="15" customHeight="1" s="33">
      <c r="A33" s="16" t="inlineStr">
        <is>
          <t>79108766J</t>
        </is>
      </c>
      <c r="B33" s="16" t="inlineStr">
        <is>
          <t>Ortuño Padilla, Armando</t>
        </is>
      </c>
      <c r="C33" s="16" t="inlineStr">
        <is>
          <t>FUNCIONARIO</t>
        </is>
      </c>
      <c r="D33" s="16" t="n">
        <v>2</v>
      </c>
      <c r="E33" s="16" t="n"/>
      <c r="F33" s="16" t="n"/>
      <c r="G33" s="16" t="n"/>
      <c r="H33" s="16" t="n"/>
      <c r="I33" s="16" t="n"/>
      <c r="J33" s="16" t="n">
        <v>2</v>
      </c>
      <c r="K33" s="16" t="inlineStr">
        <is>
          <t>B185</t>
        </is>
      </c>
      <c r="L33" s="17" t="inlineStr">
        <is>
          <t>10.05</t>
        </is>
      </c>
      <c r="M33" s="17" t="inlineStr">
        <is>
          <t>50</t>
        </is>
      </c>
      <c r="N33" s="17" t="inlineStr">
        <is>
          <t>10.17</t>
        </is>
      </c>
      <c r="O33" s="17" t="inlineStr">
        <is>
          <t>20</t>
        </is>
      </c>
      <c r="P33" s="17" t="n">
        <v>30</v>
      </c>
      <c r="Q33" s="17" t="n">
        <v>1</v>
      </c>
      <c r="R33" s="17" t="n">
        <v>0.4</v>
      </c>
      <c r="S33" s="17" t="n">
        <v>0.6</v>
      </c>
    </row>
    <row r="34" ht="15" customHeight="1" s="33">
      <c r="A34" s="16" t="inlineStr">
        <is>
          <t>16284755L</t>
        </is>
      </c>
      <c r="B34" s="16" t="inlineStr">
        <is>
          <t>Sáez García, Miguel Ángel</t>
        </is>
      </c>
      <c r="C34" s="19" t="inlineStr">
        <is>
          <t>FUNCIONARIO</t>
        </is>
      </c>
      <c r="D34" s="16" t="n"/>
      <c r="E34" s="16" t="n"/>
      <c r="F34" s="16" t="n"/>
      <c r="G34" s="16" t="n"/>
      <c r="H34" s="16" t="n">
        <v>1</v>
      </c>
      <c r="I34" s="16" t="n"/>
      <c r="J34" s="16" t="n">
        <v>1</v>
      </c>
      <c r="K34" s="16" t="inlineStr">
        <is>
          <t>B138</t>
        </is>
      </c>
      <c r="L34" s="17" t="inlineStr">
        <is>
          <t>10.21</t>
        </is>
      </c>
      <c r="M34" s="17" t="inlineStr">
        <is>
          <t>20</t>
        </is>
      </c>
      <c r="N34" s="17" t="inlineStr">
        <is>
          <t>10.05</t>
        </is>
      </c>
      <c r="O34" s="17" t="inlineStr">
        <is>
          <t>10</t>
        </is>
      </c>
      <c r="P34" s="17" t="n">
        <v>70</v>
      </c>
      <c r="Q34" s="17" t="n">
        <v>0.2</v>
      </c>
      <c r="R34" s="17" t="n">
        <v>0.1</v>
      </c>
      <c r="S34" s="17" t="n">
        <v>0.7</v>
      </c>
    </row>
    <row r="35" ht="15" customHeight="1" s="33">
      <c r="A35" s="16" t="inlineStr">
        <is>
          <t>21399719J</t>
        </is>
      </c>
      <c r="B35" s="16" t="inlineStr">
        <is>
          <t>Gomis Yagües, Vicente R.</t>
        </is>
      </c>
      <c r="C35" s="19" t="inlineStr">
        <is>
          <t>FUNCIONARIO</t>
        </is>
      </c>
      <c r="D35" s="16" t="n"/>
      <c r="E35" s="16" t="n"/>
      <c r="F35" s="16" t="n">
        <v>1</v>
      </c>
      <c r="G35" s="16" t="n"/>
      <c r="H35" s="16" t="n"/>
      <c r="I35" s="16" t="n"/>
      <c r="J35" s="16" t="n">
        <v>1</v>
      </c>
      <c r="K35" s="16" t="inlineStr">
        <is>
          <t>B151</t>
        </is>
      </c>
      <c r="L35" s="17" t="inlineStr">
        <is>
          <t>10.09</t>
        </is>
      </c>
      <c r="M35" s="17" t="inlineStr">
        <is>
          <t>65</t>
        </is>
      </c>
      <c r="N35" s="17" t="inlineStr">
        <is>
          <t>10.05</t>
        </is>
      </c>
      <c r="O35" s="17" t="inlineStr">
        <is>
          <t>10</t>
        </is>
      </c>
      <c r="P35" s="17" t="n">
        <v>25</v>
      </c>
      <c r="Q35" s="17" t="n">
        <v>0.65</v>
      </c>
      <c r="R35" s="17" t="n">
        <v>0.1</v>
      </c>
      <c r="S35" s="17" t="n">
        <v>0.25</v>
      </c>
    </row>
    <row r="36" ht="15" customHeight="1" s="33">
      <c r="A36" s="16" t="inlineStr">
        <is>
          <t>21479315Y</t>
        </is>
      </c>
      <c r="B36" s="16" t="inlineStr">
        <is>
          <t>Sánchez Sánchez, Ángel</t>
        </is>
      </c>
      <c r="C36" s="19" t="inlineStr">
        <is>
          <t>FUNCIONARIO</t>
        </is>
      </c>
      <c r="D36" s="16" t="n"/>
      <c r="E36" s="16" t="n"/>
      <c r="F36" s="16" t="n"/>
      <c r="G36" s="16" t="n"/>
      <c r="H36" s="16" t="n"/>
      <c r="I36" s="16" t="n">
        <v>1</v>
      </c>
      <c r="J36" s="16" t="n">
        <v>1</v>
      </c>
      <c r="K36" s="16" t="inlineStr">
        <is>
          <t>B138</t>
        </is>
      </c>
      <c r="L36" s="17" t="inlineStr">
        <is>
          <t>10.06</t>
        </is>
      </c>
      <c r="M36" s="17" t="inlineStr">
        <is>
          <t>25</t>
        </is>
      </c>
      <c r="N36" s="17" t="inlineStr">
        <is>
          <t>10.05</t>
        </is>
      </c>
      <c r="O36" s="17" t="inlineStr">
        <is>
          <t>25</t>
        </is>
      </c>
      <c r="P36" s="17" t="n">
        <v>50</v>
      </c>
      <c r="Q36" s="17" t="n">
        <v>0.25</v>
      </c>
      <c r="R36" s="17" t="n">
        <v>0.25</v>
      </c>
      <c r="S36" s="17" t="n">
        <v>0.5</v>
      </c>
    </row>
    <row r="37" ht="15" customHeight="1" s="33">
      <c r="A37" s="16" t="inlineStr">
        <is>
          <t>21496269D</t>
        </is>
      </c>
      <c r="B37" s="16" t="inlineStr">
        <is>
          <t>Saquete Ferrándiz, María Dolores</t>
        </is>
      </c>
      <c r="C37" s="19" t="inlineStr">
        <is>
          <t>FUNCIONARIO</t>
        </is>
      </c>
      <c r="D37" s="16" t="n"/>
      <c r="E37" s="16" t="n">
        <v>1</v>
      </c>
      <c r="F37" s="16" t="n"/>
      <c r="G37" s="16" t="n"/>
      <c r="H37" s="16" t="n"/>
      <c r="I37" s="16" t="n"/>
      <c r="J37" s="16" t="n">
        <v>1</v>
      </c>
      <c r="K37" s="16" t="inlineStr">
        <is>
          <t>B151</t>
        </is>
      </c>
      <c r="L37" s="17" t="inlineStr">
        <is>
          <t>10.09</t>
        </is>
      </c>
      <c r="M37" s="17" t="inlineStr">
        <is>
          <t>65</t>
        </is>
      </c>
      <c r="N37" s="17" t="inlineStr">
        <is>
          <t>10.05</t>
        </is>
      </c>
      <c r="O37" s="17" t="inlineStr">
        <is>
          <t>10</t>
        </is>
      </c>
      <c r="P37" s="17" t="n">
        <v>25</v>
      </c>
      <c r="Q37" s="17" t="n">
        <v>0.65</v>
      </c>
      <c r="R37" s="17" t="n">
        <v>0.1</v>
      </c>
      <c r="S37" s="17" t="n">
        <v>0.25</v>
      </c>
    </row>
    <row r="38" ht="15" customHeight="1" s="33">
      <c r="A38" s="22" t="inlineStr">
        <is>
          <t>21513988H</t>
        </is>
      </c>
      <c r="B38" s="22" t="inlineStr">
        <is>
          <t>Molto Berenguer, Julia</t>
        </is>
      </c>
      <c r="C38" s="23" t="inlineStr">
        <is>
          <t>FUNCIONARIO</t>
        </is>
      </c>
      <c r="D38" s="22" t="n"/>
      <c r="E38" s="22" t="n"/>
      <c r="F38" s="22" t="n"/>
      <c r="G38" s="22" t="n">
        <v>1</v>
      </c>
      <c r="H38" s="22" t="n"/>
      <c r="I38" s="22" t="n"/>
      <c r="J38" s="22" t="n">
        <v>1</v>
      </c>
      <c r="K38" s="16" t="inlineStr">
        <is>
          <t>B151</t>
        </is>
      </c>
      <c r="L38" s="24" t="inlineStr">
        <is>
          <t>10.09</t>
        </is>
      </c>
      <c r="M38" s="24" t="inlineStr">
        <is>
          <t>65</t>
        </is>
      </c>
      <c r="N38" s="24" t="inlineStr">
        <is>
          <t>10.05</t>
        </is>
      </c>
      <c r="O38" s="24" t="inlineStr">
        <is>
          <t>10</t>
        </is>
      </c>
      <c r="P38" s="24" t="n">
        <v>25</v>
      </c>
      <c r="Q38" s="24" t="n">
        <v>0.65</v>
      </c>
      <c r="R38" s="24" t="n">
        <v>0.1</v>
      </c>
      <c r="S38" s="24" t="n">
        <v>0.25</v>
      </c>
    </row>
    <row r="39" ht="15" customHeight="1" s="33">
      <c r="A39" s="16" t="inlineStr">
        <is>
          <t>21994525Q</t>
        </is>
      </c>
      <c r="B39" s="16" t="inlineStr">
        <is>
          <t>Miranda Encarnación, José Antonio</t>
        </is>
      </c>
      <c r="C39" s="16" t="inlineStr">
        <is>
          <t>FUNCIONARIO</t>
        </is>
      </c>
      <c r="D39" s="16" t="n"/>
      <c r="E39" s="16" t="n"/>
      <c r="F39" s="16" t="n"/>
      <c r="G39" s="16" t="n"/>
      <c r="H39" s="16" t="n">
        <v>1</v>
      </c>
      <c r="I39" s="16" t="n"/>
      <c r="J39" s="16" t="n">
        <v>1</v>
      </c>
      <c r="K39" s="16" t="inlineStr">
        <is>
          <t>B138</t>
        </is>
      </c>
      <c r="L39" s="17" t="inlineStr">
        <is>
          <t>10.21</t>
        </is>
      </c>
      <c r="M39" s="17" t="inlineStr">
        <is>
          <t>30</t>
        </is>
      </c>
      <c r="N39" s="17" t="inlineStr">
        <is>
          <t>10.05</t>
        </is>
      </c>
      <c r="O39" s="17" t="inlineStr">
        <is>
          <t>20</t>
        </is>
      </c>
      <c r="P39" s="17" t="n">
        <v>50</v>
      </c>
      <c r="Q39" s="17" t="n">
        <v>0.3</v>
      </c>
      <c r="R39" s="17" t="n">
        <v>0.2</v>
      </c>
      <c r="S39" s="17" t="n">
        <v>0.5</v>
      </c>
    </row>
    <row r="40" ht="15" customHeight="1" s="33">
      <c r="A40" s="16" t="inlineStr">
        <is>
          <t>44554016A</t>
        </is>
      </c>
      <c r="B40" s="16" t="inlineStr">
        <is>
          <t>Garmendia López, Idoia</t>
        </is>
      </c>
      <c r="C40" s="16" t="inlineStr">
        <is>
          <t>NO FUNCIONARIO</t>
        </is>
      </c>
      <c r="D40" s="16" t="n">
        <v>1</v>
      </c>
      <c r="E40" s="16" t="n"/>
      <c r="F40" s="16" t="n"/>
      <c r="G40" s="16" t="n"/>
      <c r="H40" s="16" t="n"/>
      <c r="I40" s="16" t="n">
        <v>1</v>
      </c>
      <c r="J40" s="16" t="n">
        <v>2</v>
      </c>
      <c r="K40" s="16" t="inlineStr">
        <is>
          <t>B156</t>
        </is>
      </c>
      <c r="L40" s="17" t="inlineStr">
        <is>
          <t>10.16</t>
        </is>
      </c>
      <c r="M40" s="17" t="inlineStr">
        <is>
          <t>20</t>
        </is>
      </c>
      <c r="N40" s="17" t="inlineStr">
        <is>
          <t>10.05</t>
        </is>
      </c>
      <c r="O40" s="17" t="inlineStr">
        <is>
          <t>10</t>
        </is>
      </c>
      <c r="P40" s="17" t="n">
        <v>70</v>
      </c>
      <c r="Q40" s="17" t="n">
        <v>0.4</v>
      </c>
      <c r="R40" s="17" t="n">
        <v>0.2</v>
      </c>
      <c r="S40" s="17" t="n">
        <v>1.4</v>
      </c>
    </row>
    <row r="41" ht="15" customHeight="1" s="33">
      <c r="A41" s="16" t="inlineStr">
        <is>
          <t>46336900L</t>
        </is>
      </c>
      <c r="B41" s="16" t="inlineStr">
        <is>
          <t>Marti Ciriquian, Pablo</t>
        </is>
      </c>
      <c r="C41" s="16" t="inlineStr">
        <is>
          <t>FUNCIONARIO</t>
        </is>
      </c>
      <c r="D41" s="16" t="n">
        <v>1</v>
      </c>
      <c r="E41" s="16" t="n"/>
      <c r="F41" s="16" t="n"/>
      <c r="G41" s="16" t="n"/>
      <c r="H41" s="16" t="n"/>
      <c r="I41" s="16" t="n"/>
      <c r="J41" s="16" t="n">
        <v>1</v>
      </c>
      <c r="K41" s="16" t="inlineStr">
        <is>
          <t>B184</t>
        </is>
      </c>
      <c r="L41" s="17" t="inlineStr">
        <is>
          <t>10.25</t>
        </is>
      </c>
      <c r="M41" s="17" t="inlineStr">
        <is>
          <t>10</t>
        </is>
      </c>
      <c r="N41" s="17" t="inlineStr">
        <is>
          <t>10.05</t>
        </is>
      </c>
      <c r="O41" s="17" t="inlineStr">
        <is>
          <t>20</t>
        </is>
      </c>
      <c r="P41" s="17" t="n">
        <v>70</v>
      </c>
      <c r="Q41" s="17" t="n">
        <v>0.1</v>
      </c>
      <c r="R41" s="17" t="n">
        <v>0.2</v>
      </c>
      <c r="S41" s="17" t="n">
        <v>0.7</v>
      </c>
    </row>
    <row r="42" ht="15" customHeight="1" s="33">
      <c r="A42" s="16" t="inlineStr">
        <is>
          <t>48317347M</t>
        </is>
      </c>
      <c r="B42" s="16" t="inlineStr">
        <is>
          <t>Gómez-Rico Núñez de Arenas, María Francisca</t>
        </is>
      </c>
      <c r="C42" s="16" t="inlineStr">
        <is>
          <t>FUNCIONARIO</t>
        </is>
      </c>
      <c r="D42" s="16" t="n">
        <v>1</v>
      </c>
      <c r="E42" s="16" t="n"/>
      <c r="F42" s="16" t="n"/>
      <c r="G42" s="16" t="n"/>
      <c r="H42" s="16" t="n"/>
      <c r="I42" s="16" t="n"/>
      <c r="J42" s="16" t="n">
        <v>1</v>
      </c>
      <c r="K42" s="16" t="inlineStr">
        <is>
          <t>B151</t>
        </is>
      </c>
      <c r="L42" s="17" t="inlineStr">
        <is>
          <t>10.09</t>
        </is>
      </c>
      <c r="M42" s="17" t="inlineStr">
        <is>
          <t>65</t>
        </is>
      </c>
      <c r="N42" s="17" t="inlineStr">
        <is>
          <t>10.05</t>
        </is>
      </c>
      <c r="O42" s="17" t="inlineStr">
        <is>
          <t>10</t>
        </is>
      </c>
      <c r="P42" s="17" t="n">
        <v>25</v>
      </c>
      <c r="Q42" s="17" t="n">
        <v>0.65</v>
      </c>
      <c r="R42" s="17" t="n">
        <v>0.1</v>
      </c>
      <c r="S42" s="17" t="n">
        <v>0.25</v>
      </c>
    </row>
    <row r="43" ht="15" customHeight="1" s="33">
      <c r="A43" s="16" t="inlineStr">
        <is>
          <t>48568823E</t>
        </is>
      </c>
      <c r="B43" s="16" t="inlineStr">
        <is>
          <t>Sánchez Lizaso, José Luis</t>
        </is>
      </c>
      <c r="C43" s="16" t="inlineStr">
        <is>
          <t>FUNCIONARIO</t>
        </is>
      </c>
      <c r="D43" s="16" t="n"/>
      <c r="E43" s="16" t="n">
        <v>1</v>
      </c>
      <c r="F43" s="16" t="n"/>
      <c r="G43" s="16" t="n"/>
      <c r="H43" s="16" t="n"/>
      <c r="I43" s="16" t="n"/>
      <c r="J43" s="16" t="n">
        <v>1</v>
      </c>
      <c r="K43" s="16" t="inlineStr">
        <is>
          <t>B171</t>
        </is>
      </c>
      <c r="L43" s="17" t="inlineStr">
        <is>
          <t>10.16</t>
        </is>
      </c>
      <c r="M43" s="17" t="inlineStr">
        <is>
          <t>10</t>
        </is>
      </c>
      <c r="N43" s="17" t="inlineStr">
        <is>
          <t>10.05</t>
        </is>
      </c>
      <c r="O43" s="17" t="inlineStr">
        <is>
          <t>10</t>
        </is>
      </c>
      <c r="P43" s="17" t="n">
        <v>80</v>
      </c>
      <c r="Q43" s="17" t="n">
        <v>0.1</v>
      </c>
      <c r="R43" s="17" t="n">
        <v>0.1</v>
      </c>
      <c r="S43" s="17" t="n">
        <v>0.8</v>
      </c>
    </row>
    <row r="44" ht="15" customHeight="1" s="33">
      <c r="A44" s="16" t="inlineStr">
        <is>
          <t>73768475T</t>
        </is>
      </c>
      <c r="B44" s="16" t="inlineStr">
        <is>
          <t>Fullana Font, Andrés</t>
        </is>
      </c>
      <c r="C44" s="16" t="inlineStr">
        <is>
          <t>FUNCIONARIO</t>
        </is>
      </c>
      <c r="D44" s="16" t="n"/>
      <c r="E44" s="16" t="n"/>
      <c r="F44" s="16" t="n">
        <v>1</v>
      </c>
      <c r="G44" s="16" t="n"/>
      <c r="H44" s="16" t="n"/>
      <c r="I44" s="16" t="n"/>
      <c r="J44" s="16" t="n">
        <v>1</v>
      </c>
      <c r="K44" s="16" t="inlineStr">
        <is>
          <t>B151</t>
        </is>
      </c>
      <c r="L44" s="17" t="inlineStr">
        <is>
          <t>10.09</t>
        </is>
      </c>
      <c r="M44" s="17" t="inlineStr">
        <is>
          <t>55</t>
        </is>
      </c>
      <c r="N44" s="17" t="inlineStr">
        <is>
          <t>10.05</t>
        </is>
      </c>
      <c r="O44" s="17" t="inlineStr">
        <is>
          <t>10</t>
        </is>
      </c>
      <c r="P44" s="17" t="n">
        <v>35</v>
      </c>
      <c r="Q44" s="17" t="n">
        <v>0.55</v>
      </c>
      <c r="R44" s="17" t="n">
        <v>0.1</v>
      </c>
      <c r="S44" s="17" t="n">
        <v>0.35</v>
      </c>
    </row>
    <row r="45" ht="15" customHeight="1" s="33">
      <c r="A45" s="16" t="inlineStr">
        <is>
          <t>74219671M</t>
        </is>
      </c>
      <c r="B45" s="16" t="inlineStr">
        <is>
          <t>Gil Macia, Lorenzo</t>
        </is>
      </c>
      <c r="C45" s="16" t="inlineStr">
        <is>
          <t>FUNCIONARIO</t>
        </is>
      </c>
      <c r="D45" s="16" t="n"/>
      <c r="E45" s="16" t="n"/>
      <c r="F45" s="16" t="n">
        <v>2</v>
      </c>
      <c r="G45" s="16" t="n"/>
      <c r="H45" s="16" t="n">
        <v>1</v>
      </c>
      <c r="I45" s="16" t="n"/>
      <c r="J45" s="16" t="n">
        <v>3</v>
      </c>
      <c r="K45" s="16" t="inlineStr">
        <is>
          <t>B138</t>
        </is>
      </c>
      <c r="L45" s="17" t="inlineStr">
        <is>
          <t>10.06</t>
        </is>
      </c>
      <c r="M45" s="17" t="inlineStr">
        <is>
          <t>25</t>
        </is>
      </c>
      <c r="N45" s="17" t="inlineStr">
        <is>
          <t>10.05</t>
        </is>
      </c>
      <c r="O45" s="17" t="inlineStr">
        <is>
          <t>10</t>
        </is>
      </c>
      <c r="P45" s="17" t="n">
        <v>65</v>
      </c>
      <c r="Q45" s="17" t="n">
        <v>0.75</v>
      </c>
      <c r="R45" s="17" t="n">
        <v>0.3</v>
      </c>
      <c r="S45" s="17" t="n">
        <v>1.95</v>
      </c>
    </row>
    <row r="46" ht="15" customHeight="1" s="33">
      <c r="A46" s="30" t="n"/>
      <c r="B46" s="30" t="n"/>
      <c r="C46" s="31" t="n"/>
      <c r="D46" s="3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0" t="n"/>
      <c r="N46" s="30" t="n"/>
      <c r="O46" s="30" t="n"/>
      <c r="P46" s="30" t="n"/>
      <c r="Q46" s="30" t="n"/>
      <c r="R46" s="32">
        <f>SUM(R34:R45,Q2:Q33)</f>
        <v/>
      </c>
      <c r="S46" s="30" t="n"/>
    </row>
    <row r="51" ht="15" customHeight="1" s="33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2" t="n"/>
      <c r="N51" s="12" t="n"/>
      <c r="O51" s="11" t="n"/>
      <c r="P51" s="12" t="n"/>
      <c r="Q51" s="11" t="n"/>
      <c r="R51" s="11" t="n"/>
      <c r="S51" s="11" t="n"/>
      <c r="T51" s="11" t="n"/>
    </row>
    <row r="52" ht="15" customHeight="1" s="33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2" t="n"/>
      <c r="N52" s="12" t="n"/>
      <c r="O52" s="11" t="n"/>
      <c r="P52" s="12" t="n"/>
      <c r="Q52" s="11" t="n"/>
      <c r="R52" s="11" t="n"/>
      <c r="S52" s="11" t="n"/>
      <c r="T52" s="11" t="n"/>
    </row>
    <row r="53" ht="15" customHeight="1" s="3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2" t="n"/>
      <c r="N53" s="12" t="n"/>
      <c r="O53" s="11" t="n"/>
      <c r="P53" s="12" t="n"/>
      <c r="Q53" s="11" t="n"/>
      <c r="R53" s="11" t="n"/>
      <c r="S53" s="11" t="n"/>
      <c r="T53" s="11" t="n"/>
    </row>
    <row r="54" ht="15" customHeight="1" s="33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2" t="n"/>
      <c r="N54" s="12" t="n"/>
      <c r="O54" s="11" t="n"/>
      <c r="P54" s="12" t="n"/>
      <c r="Q54" s="11" t="n"/>
      <c r="R54" s="11" t="n"/>
      <c r="S54" s="11" t="n"/>
      <c r="T54" s="11" t="n"/>
    </row>
    <row r="55" ht="15" customHeight="1" s="33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2" t="n"/>
      <c r="N55" s="12" t="n"/>
      <c r="O55" s="11" t="n"/>
      <c r="P55" s="12" t="n"/>
      <c r="Q55" s="11" t="n"/>
      <c r="R55" s="11" t="n"/>
      <c r="S55" s="11" t="n"/>
      <c r="T55" s="11" t="n"/>
    </row>
    <row r="56" ht="15" customHeight="1" s="33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2" t="n"/>
      <c r="N56" s="12" t="n"/>
      <c r="O56" s="11" t="n"/>
      <c r="P56" s="12" t="n"/>
      <c r="Q56" s="11" t="n"/>
      <c r="R56" s="11" t="n"/>
      <c r="S56" s="11" t="n"/>
      <c r="T56" s="11" t="n"/>
    </row>
    <row r="57" ht="15" customHeight="1" s="33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2" t="n"/>
      <c r="N57" s="12" t="n"/>
      <c r="O57" s="11" t="n"/>
      <c r="P57" s="12" t="n"/>
      <c r="Q57" s="11" t="n"/>
      <c r="R57" s="11" t="n"/>
      <c r="S57" s="11" t="n"/>
      <c r="T57" s="11" t="n"/>
    </row>
    <row r="58" ht="15" customHeight="1" s="33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2" t="n"/>
      <c r="N58" s="12" t="n"/>
      <c r="O58" s="11" t="n"/>
      <c r="P58" s="12" t="n"/>
      <c r="Q58" s="11" t="n"/>
      <c r="R58" s="11" t="n"/>
      <c r="S58" s="11" t="n"/>
      <c r="T58" s="11" t="n"/>
    </row>
    <row r="59" ht="15" customHeight="1" s="33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2" t="n"/>
      <c r="N59" s="12" t="n"/>
      <c r="O59" s="11" t="n"/>
      <c r="P59" s="12" t="n"/>
      <c r="Q59" s="11" t="n"/>
      <c r="R59" s="11" t="n"/>
      <c r="S59" s="11" t="n"/>
      <c r="T59" s="11" t="n"/>
    </row>
    <row r="60" ht="15" customHeight="1" s="33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2" t="n"/>
      <c r="N60" s="12" t="n"/>
      <c r="O60" s="11" t="n"/>
      <c r="P60" s="12" t="n"/>
      <c r="Q60" s="11" t="n"/>
      <c r="R60" s="11" t="n"/>
      <c r="S60" s="11" t="n"/>
      <c r="T60" s="11" t="n"/>
    </row>
    <row r="61" ht="15" customHeight="1" s="33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2" t="n"/>
      <c r="N61" s="12" t="n"/>
      <c r="O61" s="11" t="n"/>
      <c r="P61" s="12" t="n"/>
      <c r="Q61" s="11" t="n"/>
      <c r="R61" s="11" t="n"/>
      <c r="S61" s="11" t="n"/>
      <c r="T61" s="11" t="n"/>
    </row>
    <row r="62" ht="15" customHeight="1" s="33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2" t="n"/>
      <c r="N62" s="12" t="n"/>
      <c r="O62" s="11" t="n"/>
      <c r="P62" s="12" t="n"/>
      <c r="Q62" s="11" t="n"/>
      <c r="R62" s="11" t="n"/>
      <c r="S62" s="11" t="n"/>
      <c r="T62" s="11" t="n"/>
    </row>
    <row r="63" ht="15" customHeight="1" s="33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2" t="n"/>
      <c r="N63" s="12" t="n"/>
      <c r="O63" s="11" t="n"/>
      <c r="P63" s="12" t="n"/>
      <c r="Q63" s="11" t="n"/>
      <c r="R63" s="11" t="n"/>
      <c r="S63" s="11" t="n"/>
      <c r="T63" s="11" t="n"/>
    </row>
    <row r="64" ht="15" customHeight="1" s="33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2" t="n"/>
      <c r="N64" s="12" t="n"/>
      <c r="O64" s="11" t="n"/>
      <c r="P64" s="12" t="n"/>
      <c r="Q64" s="11" t="n"/>
      <c r="R64" s="11" t="n"/>
      <c r="S64" s="11" t="n"/>
      <c r="T64" s="11" t="n"/>
    </row>
    <row r="65" ht="15" customHeight="1" s="33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2" t="n"/>
      <c r="N65" s="12" t="n"/>
      <c r="O65" s="11" t="n"/>
      <c r="P65" s="12" t="n"/>
      <c r="Q65" s="11" t="n"/>
      <c r="R65" s="11" t="n"/>
      <c r="S65" s="11" t="n"/>
      <c r="T65" s="11" t="n"/>
    </row>
    <row r="66" ht="15" customHeight="1" s="33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2" t="n"/>
      <c r="N66" s="12" t="n"/>
      <c r="O66" s="11" t="n"/>
      <c r="P66" s="12" t="n"/>
      <c r="Q66" s="11" t="n"/>
      <c r="R66" s="11" t="n"/>
      <c r="S66" s="11" t="n"/>
      <c r="T66" s="11" t="n"/>
    </row>
    <row r="67" ht="15" customHeight="1" s="33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2" t="n"/>
      <c r="N67" s="12" t="n"/>
      <c r="O67" s="11" t="n"/>
      <c r="P67" s="12" t="n"/>
      <c r="Q67" s="11" t="n"/>
      <c r="R67" s="11" t="n"/>
      <c r="S67" s="11" t="n"/>
      <c r="T67" s="11" t="n"/>
    </row>
    <row r="68" ht="15" customHeight="1" s="33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2" t="n"/>
      <c r="N68" s="12" t="n"/>
      <c r="O68" s="11" t="n"/>
      <c r="P68" s="12" t="n"/>
      <c r="Q68" s="11" t="n"/>
      <c r="R68" s="11" t="n"/>
      <c r="S68" s="11" t="n"/>
      <c r="T68" s="11" t="n"/>
    </row>
    <row r="69" ht="15" customHeight="1" s="33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2" t="n"/>
      <c r="N69" s="12" t="n"/>
      <c r="O69" s="11" t="n"/>
      <c r="P69" s="12" t="n"/>
      <c r="Q69" s="11" t="n"/>
      <c r="R69" s="11" t="n"/>
      <c r="S69" s="11" t="n"/>
      <c r="T69" s="11" t="n"/>
    </row>
    <row r="70" ht="15" customHeight="1" s="33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2" t="n"/>
      <c r="N70" s="12" t="n"/>
      <c r="O70" s="11" t="n"/>
      <c r="P70" s="12" t="n"/>
      <c r="Q70" s="11" t="n"/>
      <c r="R70" s="11" t="n"/>
      <c r="S70" s="11" t="n"/>
      <c r="T70" s="11" t="n"/>
    </row>
    <row r="71" ht="15" customHeight="1" s="33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2" t="n"/>
      <c r="N71" s="12" t="n"/>
      <c r="O71" s="11" t="n"/>
      <c r="P71" s="12" t="n"/>
      <c r="Q71" s="11" t="n"/>
      <c r="R71" s="11" t="n"/>
      <c r="S71" s="11" t="n"/>
      <c r="T71" s="11" t="n"/>
    </row>
    <row r="72" ht="15" customHeight="1" s="33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2" t="n"/>
      <c r="N72" s="12" t="n"/>
      <c r="O72" s="11" t="n"/>
      <c r="P72" s="12" t="n"/>
      <c r="Q72" s="11" t="n"/>
      <c r="R72" s="11" t="n"/>
      <c r="S72" s="11" t="n"/>
      <c r="T72" s="11" t="n"/>
    </row>
    <row r="73" ht="15" customHeight="1" s="33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2" t="n"/>
      <c r="N73" s="12" t="n"/>
      <c r="O73" s="11" t="n"/>
      <c r="P73" s="12" t="n"/>
      <c r="Q73" s="11" t="n"/>
      <c r="R73" s="11" t="n"/>
      <c r="S73" s="11" t="n"/>
      <c r="T73" s="11" t="n"/>
    </row>
    <row r="74" ht="15" customHeight="1" s="33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2" t="n"/>
      <c r="N74" s="12" t="n"/>
      <c r="O74" s="11" t="n"/>
      <c r="P74" s="12" t="n"/>
      <c r="Q74" s="11" t="n"/>
      <c r="R74" s="11" t="n"/>
      <c r="S74" s="11" t="n"/>
      <c r="T74" s="11" t="n"/>
    </row>
    <row r="75" ht="15" customHeight="1" s="33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2" t="n"/>
      <c r="N75" s="12" t="n"/>
      <c r="O75" s="11" t="n"/>
      <c r="P75" s="12" t="n"/>
      <c r="Q75" s="11" t="n"/>
      <c r="R75" s="11" t="n"/>
      <c r="S75" s="11" t="n"/>
      <c r="T75" s="11" t="n"/>
    </row>
    <row r="76" ht="15" customHeight="1" s="33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2" t="n"/>
      <c r="N76" s="12" t="n"/>
      <c r="O76" s="11" t="n"/>
      <c r="P76" s="12" t="n"/>
      <c r="Q76" s="11" t="n"/>
      <c r="R76" s="11" t="n"/>
      <c r="S76" s="11" t="n"/>
      <c r="T76" s="11" t="n"/>
    </row>
    <row r="77" ht="15" customHeight="1" s="33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2" t="n"/>
      <c r="N77" s="12" t="n"/>
      <c r="O77" s="11" t="n"/>
      <c r="P77" s="12" t="n"/>
      <c r="Q77" s="11" t="n"/>
      <c r="R77" s="11" t="n"/>
      <c r="S77" s="11" t="n"/>
      <c r="T77" s="11" t="n"/>
    </row>
    <row r="78" ht="15" customHeight="1" s="33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2" t="n"/>
      <c r="N78" s="12" t="n"/>
      <c r="O78" s="11" t="n"/>
      <c r="P78" s="12" t="n"/>
      <c r="Q78" s="11" t="n"/>
      <c r="R78" s="11" t="n"/>
      <c r="S78" s="11" t="n"/>
      <c r="T78" s="11" t="n"/>
    </row>
    <row r="79" ht="15" customHeight="1" s="33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2" t="n"/>
      <c r="N79" s="12" t="n"/>
      <c r="O79" s="11" t="n"/>
      <c r="P79" s="12" t="n"/>
      <c r="Q79" s="11" t="n"/>
      <c r="R79" s="11" t="n"/>
      <c r="S79" s="11" t="n"/>
      <c r="T79" s="11" t="n"/>
    </row>
    <row r="80" ht="15" customHeight="1" s="33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2" t="n"/>
      <c r="N80" s="12" t="n"/>
      <c r="O80" s="11" t="n"/>
      <c r="P80" s="12" t="n"/>
      <c r="Q80" s="11" t="n"/>
      <c r="R80" s="11" t="n"/>
      <c r="S80" s="11" t="n"/>
      <c r="T80" s="11" t="n"/>
    </row>
    <row r="81" ht="15" customHeight="1" s="33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2" t="n"/>
      <c r="N81" s="12" t="n"/>
      <c r="O81" s="11" t="n"/>
      <c r="P81" s="12" t="n"/>
      <c r="Q81" s="11" t="n"/>
      <c r="R81" s="11" t="n"/>
      <c r="S81" s="11" t="n"/>
      <c r="T81" s="11" t="n"/>
    </row>
    <row r="82" ht="15" customHeight="1" s="33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2" t="n"/>
      <c r="N82" s="12" t="n"/>
      <c r="O82" s="11" t="n"/>
      <c r="P82" s="12" t="n"/>
      <c r="Q82" s="11" t="n"/>
      <c r="R82" s="11" t="n"/>
      <c r="S82" s="11" t="n"/>
      <c r="T82" s="11" t="n"/>
    </row>
    <row r="83" ht="15" customHeight="1" s="33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2" t="n"/>
      <c r="N83" s="12" t="n"/>
      <c r="O83" s="11" t="n"/>
      <c r="P83" s="12" t="n"/>
      <c r="Q83" s="11" t="n"/>
      <c r="R83" s="11" t="n"/>
      <c r="S83" s="11" t="n"/>
      <c r="T83" s="11" t="n"/>
    </row>
    <row r="84" ht="15" customHeight="1" s="33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2" t="n"/>
      <c r="N84" s="12" t="n"/>
      <c r="O84" s="11" t="n"/>
      <c r="P84" s="12" t="n"/>
      <c r="Q84" s="11" t="n"/>
      <c r="R84" s="11" t="n"/>
      <c r="S84" s="11" t="n"/>
      <c r="T84" s="11" t="n"/>
    </row>
    <row r="85" ht="15" customHeight="1" s="33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2" t="n"/>
      <c r="N85" s="12" t="n"/>
      <c r="O85" s="11" t="n"/>
      <c r="P85" s="12" t="n"/>
      <c r="Q85" s="11" t="n"/>
      <c r="R85" s="11" t="n"/>
      <c r="S85" s="11" t="n"/>
      <c r="T85" s="11" t="n"/>
    </row>
    <row r="86" ht="15" customHeight="1" s="33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2" t="n"/>
      <c r="N86" s="12" t="n"/>
      <c r="O86" s="11" t="n"/>
      <c r="P86" s="12" t="n"/>
      <c r="Q86" s="11" t="n"/>
      <c r="R86" s="11" t="n"/>
      <c r="S86" s="11" t="n"/>
      <c r="T86" s="11" t="n"/>
    </row>
    <row r="87" ht="15" customHeight="1" s="33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2" t="n"/>
      <c r="N87" s="12" t="n"/>
      <c r="O87" s="11" t="n"/>
      <c r="P87" s="12" t="n"/>
      <c r="Q87" s="11" t="n"/>
      <c r="R87" s="11" t="n"/>
      <c r="S87" s="11" t="n"/>
      <c r="T87" s="11" t="n"/>
    </row>
    <row r="88" ht="15" customHeight="1" s="33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2" t="n"/>
      <c r="N88" s="12" t="n"/>
      <c r="O88" s="11" t="n"/>
      <c r="P88" s="12" t="n"/>
      <c r="Q88" s="11" t="n"/>
      <c r="R88" s="11" t="n"/>
      <c r="S88" s="11" t="n"/>
      <c r="T88" s="11" t="n"/>
    </row>
    <row r="89" ht="15" customHeight="1" s="33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2" t="n"/>
      <c r="N89" s="12" t="n"/>
      <c r="O89" s="11" t="n"/>
      <c r="P89" s="12" t="n"/>
      <c r="Q89" s="11" t="n"/>
      <c r="R89" s="11" t="n"/>
      <c r="S89" s="11" t="n"/>
      <c r="T89" s="11" t="n"/>
    </row>
    <row r="90" ht="15" customHeight="1" s="33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2" t="n"/>
      <c r="N90" s="12" t="n"/>
      <c r="O90" s="11" t="n"/>
      <c r="P90" s="12" t="n"/>
      <c r="Q90" s="11" t="n"/>
      <c r="R90" s="11" t="n"/>
      <c r="S90" s="11" t="n"/>
      <c r="T90" s="11" t="n"/>
    </row>
    <row r="91" ht="15" customHeight="1" s="33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2" t="n"/>
      <c r="N91" s="12" t="n"/>
      <c r="O91" s="11" t="n"/>
      <c r="P91" s="12" t="n"/>
      <c r="Q91" s="11" t="n"/>
      <c r="R91" s="11" t="n"/>
      <c r="S91" s="11" t="n"/>
      <c r="T91" s="11" t="n"/>
    </row>
    <row r="92" ht="15" customHeight="1" s="33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2" t="n"/>
      <c r="N92" s="12" t="n"/>
      <c r="O92" s="11" t="n"/>
      <c r="P92" s="12" t="n"/>
      <c r="Q92" s="11" t="n"/>
      <c r="R92" s="11" t="n"/>
      <c r="S92" s="11" t="n"/>
      <c r="T92" s="11" t="n"/>
    </row>
    <row r="93" ht="15" customHeight="1" s="33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2" t="n"/>
      <c r="N93" s="12" t="n"/>
      <c r="O93" s="11" t="n"/>
      <c r="P93" s="12" t="n"/>
      <c r="Q93" s="11" t="n"/>
      <c r="R93" s="11" t="n"/>
      <c r="S93" s="11" t="n"/>
      <c r="T93" s="11" t="n"/>
    </row>
    <row r="94" ht="15" customHeight="1" s="33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2" t="n"/>
      <c r="N94" s="12" t="n"/>
      <c r="O94" s="11" t="n"/>
      <c r="P94" s="12" t="n"/>
      <c r="Q94" s="11" t="n"/>
      <c r="R94" s="11" t="n"/>
      <c r="S94" s="11" t="n"/>
      <c r="T94" s="11" t="n"/>
    </row>
    <row r="95" ht="15" customHeight="1" s="33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2" t="n"/>
      <c r="N95" s="12" t="n"/>
      <c r="O95" s="11" t="n"/>
      <c r="P95" s="12" t="n"/>
      <c r="Q95" s="11" t="n"/>
      <c r="R95" s="11" t="n"/>
      <c r="S95" s="11" t="n"/>
      <c r="T95" s="11" t="n"/>
    </row>
    <row r="96" ht="15" customHeight="1" s="33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2" t="n"/>
      <c r="N96" s="12" t="n"/>
      <c r="O96" s="11" t="n"/>
      <c r="P96" s="12" t="n"/>
      <c r="Q96" s="11" t="n"/>
      <c r="R96" s="11" t="n"/>
      <c r="S96" s="11" t="n"/>
      <c r="T96" s="11" t="n"/>
    </row>
    <row r="97" ht="15" customHeight="1" s="33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2" t="n"/>
      <c r="N97" s="12" t="n"/>
      <c r="O97" s="11" t="n"/>
      <c r="P97" s="12" t="n"/>
      <c r="Q97" s="11" t="n"/>
      <c r="R97" s="11" t="n"/>
      <c r="S97" s="11" t="n"/>
      <c r="T97" s="11" t="n"/>
    </row>
    <row r="98" ht="15" customFormat="1" customHeight="1" s="30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2" t="n"/>
      <c r="N98" s="12" t="n"/>
      <c r="O98" s="11" t="n"/>
      <c r="P98" s="12" t="n"/>
      <c r="Q98" s="11" t="n"/>
      <c r="R98" s="11" t="n"/>
      <c r="S98" s="11" t="n"/>
      <c r="T98" s="11" t="n"/>
    </row>
  </sheetData>
  <pageMargins left="0.3937007874015748" right="0.3937007874015748" top="0.3937007874015748" bottom="0.3937007874015748" header="0.3149606299212598" footer="0.3149606299212598"/>
  <pageSetup orientation="landscape" paperSize="9" scale="92" fitToHeight="2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topLeftCell="A37" workbookViewId="0">
      <selection activeCell="B47" sqref="B47"/>
    </sheetView>
  </sheetViews>
  <sheetFormatPr baseColWidth="10" defaultColWidth="12.7109375" defaultRowHeight="15"/>
  <cols>
    <col width="16.28515625" customWidth="1" style="33" min="1" max="1"/>
    <col width="68.28515625" customWidth="1" style="33" min="2" max="2"/>
    <col width="14.85546875" customWidth="1" style="66" min="3" max="3"/>
  </cols>
  <sheetData>
    <row r="1">
      <c r="A1" t="inlineStr">
        <is>
          <t>Cód. org. aplic.</t>
        </is>
      </c>
      <c r="B1" t="inlineStr">
        <is>
          <t>Descripción justificante</t>
        </is>
      </c>
      <c r="C1" s="66" t="inlineStr">
        <is>
          <t>Imp.cob.aplic.</t>
        </is>
      </c>
    </row>
    <row r="2" ht="45" customHeight="1" s="33">
      <c r="A2" t="inlineStr">
        <is>
          <t>40.50.6C.00.88</t>
        </is>
      </c>
      <c r="B2" s="38" t="inlineStr">
        <is>
          <t>Estudio para la identificación de la problemática relativa al ensuciamiento de las membranas del MBR de la EDARI de Helados Alacant, bajo la dirección del Dr. Daniel Prats Rico.</t>
        </is>
      </c>
      <c r="C2" s="66" t="n">
        <v>4699.2</v>
      </c>
    </row>
    <row r="3" ht="30" customHeight="1" s="33">
      <c r="A3" t="inlineStr">
        <is>
          <t>40.50.6C.00.89</t>
        </is>
      </c>
      <c r="B3" s="38" t="inlineStr">
        <is>
          <t>Advanced Oxidation Process for Water COD Reduction. Client: Sohar Operation Serviced LLC REF. SOHAR1-21TPA</t>
        </is>
      </c>
      <c r="C3" s="66" t="n">
        <v>3520</v>
      </c>
    </row>
    <row r="4" ht="45" customHeight="1" s="33">
      <c r="A4" t="inlineStr">
        <is>
          <t>40.50.6C.00.91</t>
        </is>
      </c>
      <c r="B4" s="38" t="inlineStr">
        <is>
          <t>Primer pago correspondiente a la anualidad 2023 del contrato de investigación "SOSTENIBILIDAD, AGUA Y AGRICULTURA EN EL SIGLO XXI" SOS-AGUA-XXI dirigido por Joaquín Melgarejo Moreno y Daniel Prats Rico</t>
        </is>
      </c>
      <c r="C4" s="66" t="n">
        <v>9680</v>
      </c>
    </row>
    <row r="5" ht="60" customHeight="1" s="33">
      <c r="A5" t="inlineStr">
        <is>
          <t>40.50.6C.00.91</t>
        </is>
      </c>
      <c r="B5" s="38" t="inlineStr">
        <is>
          <t>Segundo pago correspondiente a la anualidad 2023 del contrato de investigación "SOSTENIBILIDAD, AGUA Y AGRICULTURA EN EL SIGLO XXI-SOS-AGUA-XXI" dirigido por Joaquín Melgarejo Moreno y Daniel Prats Rico. Ref. SACYR3-21Y</t>
        </is>
      </c>
      <c r="C5" s="66" t="n">
        <v>19360</v>
      </c>
    </row>
    <row r="6" ht="45" customHeight="1" s="33">
      <c r="A6" t="inlineStr">
        <is>
          <t>40.50.6C.00.91</t>
        </is>
      </c>
      <c r="B6" s="38" t="inlineStr">
        <is>
          <t>Tercer pago correspondiente a la anualidad 2023 del contrato de investigación "SOSTENIBILIDAD, AGUA Y AGRICULTURA EN EL SIGLO XXI" SOS-AGUA-XXI dirigido por Joaquín Melgarejo Moreno y Daniel Prats Rico</t>
        </is>
      </c>
      <c r="C6" s="66" t="n">
        <v>19360</v>
      </c>
    </row>
    <row r="7" ht="45" customHeight="1" s="33">
      <c r="A7" t="inlineStr">
        <is>
          <t>40.50.6C.00.92</t>
        </is>
      </c>
      <c r="B7" s="38" t="inlineStr">
        <is>
          <t>Pago correspondiente a la anualidad 2023 del contrato "SOSTENIBILIDAD, AGUA Y AGRICULTURA EN EL SIGLO XXI" SOS-AGUA-XXI dirigido por Joaquín Melgarejo Moreno y Daniel Prats Rico</t>
        </is>
      </c>
      <c r="C7" s="66" t="n">
        <v>17600</v>
      </c>
    </row>
    <row r="8" ht="45" customHeight="1" s="33">
      <c r="A8" t="inlineStr">
        <is>
          <t>40.50.6C.00.93</t>
        </is>
      </c>
      <c r="B8" s="38" t="inlineStr">
        <is>
          <t>Primer pago correspondiente a la anualidad 2023 "SOSTENIBILIDAD, AGUA Y AGRICULTURA EN EL SIGLO XXI" SOSAGUA-XXI dirigido por Joaquín Melgarejo Moreno y Patricia Fernández</t>
        </is>
      </c>
      <c r="C8" s="66" t="n">
        <v>2640</v>
      </c>
    </row>
    <row r="9" ht="45" customHeight="1" s="33">
      <c r="A9" t="inlineStr">
        <is>
          <t>40.50.6C.00.93</t>
        </is>
      </c>
      <c r="B9" s="38" t="inlineStr">
        <is>
          <t>Segundo pago correspondiente a la anualidad 2023 "SOSTENIBILIDAD, AGUA Y AGRICULTURA EN EL SIGLO XXI" SOSAGUA-XXI dirigido por Joaquín Melgarejo Moreno y Patricia Fernández Aracil</t>
        </is>
      </c>
      <c r="C9" s="66" t="n">
        <v>5280</v>
      </c>
    </row>
    <row r="10" ht="45" customHeight="1" s="33">
      <c r="A10" t="inlineStr">
        <is>
          <t>40.50.6C.00.93</t>
        </is>
      </c>
      <c r="B10" s="38" t="inlineStr">
        <is>
          <t>Tercer pago correspondiente a la anualidad 2023 "SOSTENIBILIDAD, AGUA Y AGRICULTURA EN EL SIGLO XXI" dirigido por Joaquín Melgarejo y Patricia Fernández Aracil</t>
        </is>
      </c>
      <c r="C10" s="66" t="n">
        <v>5280</v>
      </c>
    </row>
    <row r="11" ht="45" customHeight="1" s="33">
      <c r="A11" t="inlineStr">
        <is>
          <t>40.50.6C.00.94</t>
        </is>
      </c>
      <c r="B11" s="38" t="inlineStr">
        <is>
          <t>Segundo pago correspondiente a la anualidad 2023 del contrato de investigación "SOSTENIBILIDAD, AGUA Y AGRICULTURA EN EL SIGLO XXI" SOS-AGUA-XXI dirigido por Joaquín Melgarejo y Daniel Prats Rico</t>
        </is>
      </c>
      <c r="C11" s="66" t="n">
        <v>5280</v>
      </c>
    </row>
    <row r="12" ht="45" customHeight="1" s="33">
      <c r="A12" t="inlineStr">
        <is>
          <t>40.50.6C.00.94</t>
        </is>
      </c>
      <c r="B12" s="38" t="inlineStr">
        <is>
          <t>Primer pago correspondiente a la anualidad 2023 del contrato de investigación "SOSTENIBILIDAD, AGUA Y AGRICULTURA EN EL SIGLO XXI" SOS-AGUA-XXI dirigido por Joaquín Melgarejo y Daniel Prats Rico</t>
        </is>
      </c>
      <c r="C12" s="66" t="n">
        <v>2640</v>
      </c>
    </row>
    <row r="13" ht="45" customHeight="1" s="33">
      <c r="A13" t="inlineStr">
        <is>
          <t>40.50.6C.00.94</t>
        </is>
      </c>
      <c r="B13" s="38" t="inlineStr">
        <is>
          <t>Segundo pago correspondiente a la anualidad 2023 del contrato de investigación "SOSTENIBILIDAD, AGUA Y AGRICULTURA EN EL SIGLO XXI" SOS-AGUA-XXI dirigido por Joaquín Melgarejo y Daniel Prats Rico</t>
        </is>
      </c>
      <c r="C13" s="66" t="n">
        <v>-5280</v>
      </c>
    </row>
    <row r="14" ht="60" customHeight="1" s="33">
      <c r="A14" t="inlineStr">
        <is>
          <t>40.50.6C.00.94</t>
        </is>
      </c>
      <c r="B14" s="38" t="inlineStr">
        <is>
          <t>Tercer pago correspondiente a la anualidad 2023 del contrato de investigación "SOSTENIBILIDAD, AGUA Y AGRICULTURA EN EL SIGLO XXI" SOS-AGUA-XXI dirigido por Joaquín Melgarejo y Daniel Prats Rico, Ref. AQUA-ADVISE1-22Y</t>
        </is>
      </c>
      <c r="C14" s="66" t="n">
        <v>5280</v>
      </c>
    </row>
    <row r="15" ht="75" customHeight="1" s="33">
      <c r="A15" t="inlineStr">
        <is>
          <t>40.50.6C.00.94</t>
        </is>
      </c>
      <c r="B15" s="38" t="inlineStr">
        <is>
          <t xml:space="preserve">Segundo pago de la participación en la investigación de propuestas tecnológicas para la eliminación de contaminantes emergentes, correspondiente a la anualidad 2023 del contrato de investigación "SOSTENIBILIDAD, AGUA Y AGRICULTURA EN EL SIGLO XXI" SOS-AGUA-XXI dirigido por Joaquín Melgarejo y Daniel Prats Rico. </t>
        </is>
      </c>
      <c r="C15" s="66" t="n">
        <v>5280</v>
      </c>
    </row>
    <row r="16" ht="60" customHeight="1" s="33">
      <c r="A16" t="inlineStr">
        <is>
          <t>40.50.6C.00.95</t>
        </is>
      </c>
      <c r="B16" s="38" t="inlineStr">
        <is>
          <t>Segundo pago correspondiente a la anualidad 2023 del contrato de investigación "SOSTENIBILIDAD, AGUA Y AGRICULTURA EN EL SIGLO XXI" SOS-AGUA-XXI dirigido por Joaquín Melgarejo Moreno e Inmaculada López Ortiz, Ref. AEROMEDIA1-22Y</t>
        </is>
      </c>
      <c r="C16" s="66" t="n">
        <v>5280</v>
      </c>
    </row>
    <row r="17" ht="60" customHeight="1" s="33">
      <c r="A17" t="inlineStr">
        <is>
          <t>40.50.6C.00.95</t>
        </is>
      </c>
      <c r="B17" s="38" t="inlineStr">
        <is>
          <t>Tercer pago correspondiente a la anualidad 2023 del contrato de investigación "SOSTENIBILIDAD, AGUA Y AGRICULTURA EN EL SIGLO XXI" SOS-AGUA-XXI dirigido por Joaquín Melgarejo Moreno e Inmaculada López Ortiz</t>
        </is>
      </c>
      <c r="C17" s="66" t="n">
        <v>5280</v>
      </c>
    </row>
    <row r="18" ht="60" customHeight="1" s="33">
      <c r="A18" t="inlineStr">
        <is>
          <t>40.50.6C.00.95</t>
        </is>
      </c>
      <c r="B18" s="38" t="inlineStr">
        <is>
          <t>Primer pago correspondiente a la anualidad 2023 del contrato de investigación "SOSTENIBILIDAD, AGUA Y AGRICULTURA EN EL SIGLO XXI" SOS-AGUA-XXI dirigido por Joaquín Melgarejo Moreno e Inmaculada López Ortiz</t>
        </is>
      </c>
      <c r="C18" s="66" t="n">
        <v>2640</v>
      </c>
    </row>
    <row r="19" ht="45" customHeight="1" s="33">
      <c r="A19" t="inlineStr">
        <is>
          <t>40.50.6C.00.96</t>
        </is>
      </c>
      <c r="B19" s="38" t="inlineStr">
        <is>
          <t>Primer pago correspondiente a la anualidad 2023 del contrato de investigación "SOSTENIBILIDAD, AGUA Y AGRICULTURA EN EL SIGLO XXI" SOS-AGUA-XXI dirigido por Joaquín Melgarejo Moreno y Daniel Prats Rico.</t>
        </is>
      </c>
      <c r="C19" s="66" t="n">
        <v>8800</v>
      </c>
    </row>
    <row r="20" ht="45" customHeight="1" s="33">
      <c r="A20" t="inlineStr">
        <is>
          <t>40.50.6C.00.96</t>
        </is>
      </c>
      <c r="B20" s="38" t="inlineStr">
        <is>
          <t>Tercer pago correspondiente a la anualidad 2023 del contrato de investigación "SOSTENIBILIDAD, AGUA Y AGRICULTURA EN EL SIGLO XXI" SOS-AGUA-XXI dirigido por Joaquín Melgarejo Moreno y Daniel Prats Rico</t>
        </is>
      </c>
      <c r="C20" s="66" t="n">
        <v>17600</v>
      </c>
    </row>
    <row r="21" ht="45" customHeight="1" s="33">
      <c r="A21" t="inlineStr">
        <is>
          <t>40.50.6C.00.96</t>
        </is>
      </c>
      <c r="B21" s="38" t="inlineStr">
        <is>
          <t>Segundo pago correspondiente a la  anualidad 2023 del contrato de  investigación "SOSTENIBILIDAD, AGUA Y AGRICULTURA EN EL SIGLO XXI" SOS-AGUA-XXI dirigido por Joaquín Melgarejo Moreno y Daniel Prats Rico.</t>
        </is>
      </c>
      <c r="C21" s="66" t="n">
        <v>17600</v>
      </c>
    </row>
    <row r="22" ht="60" customHeight="1" s="33">
      <c r="A22" t="inlineStr">
        <is>
          <t>40.50.6C.01.06</t>
        </is>
      </c>
      <c r="B22" s="38" t="inlineStr">
        <is>
          <t>ESTUDIO SOBRE LAS REPERCUSIONES SOCIOECONÓMICAS Y AMBIENTALES DE LA CONTAMINACIÓN DERIVADA DE LOS NITRATOS Y PLAGUCIDAS PROCEDENTES DE LA AGRICULTURA EN EL SUR DE LA PROVINCIA DE ALICANTE. REF. PROAGUAS1-22T. PAGO ÚNICO.</t>
        </is>
      </c>
      <c r="C22" s="66" t="n">
        <v>13200</v>
      </c>
    </row>
    <row r="23" ht="45" customHeight="1" s="33">
      <c r="A23" t="inlineStr">
        <is>
          <t>40.50.6C.01.10</t>
        </is>
      </c>
      <c r="B23" s="38" t="inlineStr">
        <is>
          <t>ELABORACIÓN Y ENTREGA DE INFORMES JURÍDICOS SOBRE EL RÉGIMEN DE CAUDAL ECOLÓGICO Y SU REPERCUSÓN EN LAS CONCESIONES HIDROELÉCTRICAS. REF. (RERUM1-22TPA). SEGUNDA Y ÚLTIMA ENTREGA.</t>
        </is>
      </c>
      <c r="C23" s="66" t="n">
        <v>3080</v>
      </c>
    </row>
    <row r="24" ht="45" customHeight="1" s="33">
      <c r="A24" t="inlineStr">
        <is>
          <t>40.50.6C.01.10</t>
        </is>
      </c>
      <c r="B24" s="38" t="inlineStr">
        <is>
          <t>ELABORACIÓN Y ENTREGA DE INFORMES JURÍDICOS SOBRE EL RÉGIMEN DE CAUDAL ECOLÓGICO Y SU REPERCUSIÓN EN LAS CONCESIONES HIDROELÉCTRICAS. REF. (RERUM1-22TPA). PRIMERA ENTREGA.</t>
        </is>
      </c>
      <c r="C24" s="66" t="n">
        <v>7480</v>
      </c>
    </row>
    <row r="25" ht="30" customHeight="1" s="33">
      <c r="A25" t="inlineStr">
        <is>
          <t>40.50.6C.01.13</t>
        </is>
      </c>
      <c r="B25" s="38" t="inlineStr">
        <is>
          <t>PLAN DE INVERSIONES DE INFRAESTRUCTURAS DE TRANSPORTE EN LA PROVINCIA DE ALICANTE - HORIZONTE 2030</t>
        </is>
      </c>
      <c r="C25" s="66" t="n">
        <v>1848</v>
      </c>
    </row>
    <row r="26" ht="60" customHeight="1" s="33">
      <c r="A26" t="inlineStr">
        <is>
          <t>40.50.6C.01.14</t>
        </is>
      </c>
      <c r="B26" s="38" t="inlineStr">
        <is>
          <t>ELABORACIÓN DE INFORMES SOBRE ALEGACIONES TÉCNICAS AL INTERPONER RECURSO CONTENCIOSO ADMINISTRATIVO FRENTE AL REAL DECRETO 35/2023 DE 24 DE ENERO DEL CONSEJO DE MINISTROS. Ref. DIPUTACION3-23TPA</t>
        </is>
      </c>
      <c r="C26" s="66" t="n">
        <v>10516</v>
      </c>
    </row>
    <row r="27" ht="45" customHeight="1" s="33">
      <c r="A27" t="inlineStr">
        <is>
          <t>40.50.6C.01.15</t>
        </is>
      </c>
      <c r="B27" s="38" t="inlineStr">
        <is>
          <t>PREPARACIÓN Y DESARROLLO DEL V CONGRESO NACIONAL DEL AGUA SEGURIDAD HÍDRICA QUE SE CELEBRÓ EN COX (ALICANTE) LOS DÍAS 14 Y 15 DE SEPTIEMBRE DE 2023</t>
        </is>
      </c>
      <c r="C27" s="66" t="n">
        <v>7480</v>
      </c>
    </row>
    <row r="28" ht="150" customHeight="1" s="33">
      <c r="A28" t="inlineStr">
        <is>
          <t>40.50.6C.01.16</t>
        </is>
      </c>
      <c r="B28" s="38" t="inlineStr">
        <is>
          <t>PAGO CORRESPONDIENTE A LA REDACCIÓN DEL INFORME PERICIAL RELATIVO AL PROCEDIMIENTO ORDINARIO 1/000177/2022-G QUE VERSARÁ SOBRE EL SIGUIENTE PUNTO DE HECHO: "QUE LOS RECURSOS SUBTERRÁNEOS DISPONIBLES EN LAS REFERIDAS MASAS DE AGUA QUE SON COMPARTIDAS ENTRE LAS DEMARCACIONES HIDROGRÁFICAS DEL JÚCAR Y DEL SEGURA, SON COMUNES PARA EL CONJUNTO DE LA MASA, Y QUE LAS EXTRACCIONES, LOS APORTES Y LOS DESCENSOS DE LOS NIVELES PIEZOMÉTRICOS QUE SE PRODUCEN EN LOS ÁMBITOS TERRITORIALES DE CADA UNA DE LAS DEMARCACIONES AFECTAN AL CONJUNTO DE LA MASA DE AGUA O DEL ACUÍFERO COMPARTIDO"</t>
        </is>
      </c>
      <c r="C28" s="66" t="n">
        <v>1584</v>
      </c>
    </row>
    <row r="29" ht="30" customHeight="1" s="33">
      <c r="A29" t="inlineStr">
        <is>
          <t>40.50.6C.01.17</t>
        </is>
      </c>
      <c r="B29" s="38" t="inlineStr">
        <is>
          <t>ESTUDIO JURÍDICO DE RIESGOS Y OPORTUNIDADES REGULATORIAS. ENERGÍA FOTOVOLTAICA EN ZONAS DE LA COMARCA DEL VINALOPÓ.</t>
        </is>
      </c>
      <c r="C29" s="66" t="n">
        <v>4026</v>
      </c>
    </row>
    <row r="30" ht="60" customHeight="1" s="33">
      <c r="A30" t="inlineStr">
        <is>
          <t>40.50.6C.01.18</t>
        </is>
      </c>
      <c r="B30" s="38" t="inlineStr">
        <is>
          <t>ASESORAMIENTO Y ASISTENCIA CIENTÍFICO-TÉCNICA EN PROYECTOS SOBRE ASPECTOS SOCIOECONÓMICOS, INFRAESTRUCTURAS HIDRÁULICAS DE TRANSPORTE PARA LA PROVINCIA DE ALICANTE. REF. ASOCIACIONINSTITUTO2-23T</t>
        </is>
      </c>
      <c r="C30" s="66" t="n">
        <v>3520</v>
      </c>
    </row>
    <row r="31" ht="60" customHeight="1" s="33">
      <c r="A31" t="inlineStr">
        <is>
          <t>40.50.6C.01.19</t>
        </is>
      </c>
      <c r="B31" s="38" t="inlineStr">
        <is>
          <t>PAGO CORRESPONDIENTE AL ESTUDIO JURÍDICO SOBRE RESPONSABILIDADES ECONÓMICAS DERIVADAS DE LA EJECUCIÓN DEL CONVENIO DE COLABORACIÓN INTERADMINISTRATIVA PARA LA GESTIÓN DEL SERVICIO DEL CICLO INTEGRAL DEL AGUA. REF. GALASA1-23TPA</t>
        </is>
      </c>
      <c r="C31" s="66" t="n">
        <v>3080</v>
      </c>
    </row>
    <row r="32" ht="45" customHeight="1" s="33">
      <c r="A32" t="inlineStr">
        <is>
          <t>40.50.6C.01.21</t>
        </is>
      </c>
      <c r="B32" s="38" t="inlineStr">
        <is>
          <t xml:space="preserve">REALIZACIÓN DE ESTUDIOS E INFORMES EN EL PROYECTO DE INVESTIGACIÓN "DETERMINACIÓN DEL MARCO COMPETENCIAL EN MATERIA DE GESTIÓN DE AGUAS REGENERADAS EN CANARIAS". </t>
        </is>
      </c>
      <c r="C32" s="66" t="n">
        <v>7040</v>
      </c>
    </row>
    <row r="33" ht="60" customHeight="1" s="33">
      <c r="A33" t="inlineStr">
        <is>
          <t>40.50.6C.01.22</t>
        </is>
      </c>
      <c r="B33" s="38" t="inlineStr">
        <is>
          <t>SITUACIÓN ACTUAL DEL MODELO INDUSTRIAL EN LA PROVINCIA DE ALICANTE, RETROSPECTIVA DESDE EL AÑO 2000, PERSPECTIVAS A FUTURO Y RECOMENDACIONES DE MODELO DESEADO Y MEJORES PRÁCTICAS POTENCIALMENTE APLICABLES. REF.: INECA4-23TPA</t>
        </is>
      </c>
      <c r="C33" s="66" t="n">
        <v>3068.56</v>
      </c>
    </row>
    <row r="34" ht="75" customHeight="1" s="33">
      <c r="A34" t="inlineStr">
        <is>
          <t>40.50.6C.01.23</t>
        </is>
      </c>
      <c r="B34" s="38" t="inlineStr">
        <is>
          <t>ASISTENCIA PERICIAL PARA ANALIZAR LA VIABILIDAD DE LOS SERVICIOS OFERTADOS POR DIFERENTES EMPRESAS EN SUS RESPECTIVAS PLICAS DE CARA A LA CONCESIÓN DEL CONTRATO DEL SERVICO DE ABASTECIMIENTO DE AGUA Y ALCANTARILLADO EN SAN JAVIER (MURCIA) REF. HIDROGEA2-23T</t>
        </is>
      </c>
      <c r="C34" s="66" t="n">
        <v>26400</v>
      </c>
    </row>
    <row r="35" ht="45" customHeight="1" s="33">
      <c r="A35" t="inlineStr">
        <is>
          <t>40.50.6C.01.24</t>
        </is>
      </c>
      <c r="B35" s="38" t="inlineStr">
        <is>
          <t>INFORMES Y SEGUIMIENTO JURÍDICO DE LOS PROCESOS DE IMPUGNACIÓN DE LA PLANIFICACIÓN HIDROLÓGICA DEL TAJO CON MOTIVO DEL ESTABLECIMIENTO DE CAUDALES ECOLÓGICOS</t>
        </is>
      </c>
      <c r="C35" s="66" t="n">
        <v>6600</v>
      </c>
    </row>
    <row r="36" ht="30" customHeight="1" s="33">
      <c r="A36" t="inlineStr">
        <is>
          <t>40.50.6D.00.01</t>
        </is>
      </c>
      <c r="B36" s="38" t="inlineStr">
        <is>
          <t>CONSELLERIAAGRICULTURA3-23I (INVESTIGACIÓN PARA ELIMINACIÓN DE CONTAMINANTES EMERGENTES EN DEPURADORAS DE LA CV)</t>
        </is>
      </c>
      <c r="C36" s="66" t="n">
        <v>35200</v>
      </c>
    </row>
    <row r="37">
      <c r="A37" t="inlineStr">
        <is>
          <t>40.50.6G.00.01</t>
        </is>
      </c>
      <c r="B37" s="38" t="inlineStr">
        <is>
          <t>Liquid_02_JyC_IUACA-2023</t>
        </is>
      </c>
      <c r="C37" s="66" t="n">
        <v>5980</v>
      </c>
    </row>
    <row r="38">
      <c r="A38" t="inlineStr">
        <is>
          <t>40.50.6G.00.01</t>
        </is>
      </c>
      <c r="B38" s="38" t="inlineStr">
        <is>
          <t xml:space="preserve">Liquid_02_JyC_IUACA_2023 </t>
        </is>
      </c>
      <c r="C38" s="66" t="n">
        <v>6000</v>
      </c>
    </row>
    <row r="39" ht="90" customHeight="1" s="33">
      <c r="A39" t="inlineStr">
        <is>
          <t>40.50.6G.00.03</t>
        </is>
      </c>
      <c r="B39" s="38" t="inlineStr">
        <is>
          <t>ACTIVIDADES DE MECENAZGO CONSISTENTES EN LA COORDINACIÓN Y DESARROLLO EN LA REALIZACIÓN DEL V CONGRESO NACIONAL DEL AGUA 2023. SEGURIDAD HÍDRICA, LOS DÍAS 14 y 15 DE SEPTIEMBRE DE 2023 CELEBRADO EN COX (ALICANTE). SIENDO. RESPONSABLE DE LA EJECUCIÓN DE LAS ACTIVIDADES EL PROFESOR DR. JOAQUÍN MELGAREJO MORENO. REF. HIDRAQUA2-23X</t>
        </is>
      </c>
      <c r="C39" s="66" t="n">
        <v>10648</v>
      </c>
    </row>
    <row r="40" ht="45" customHeight="1" s="33">
      <c r="A40" t="inlineStr">
        <is>
          <t>40.50.6P.00.07</t>
        </is>
      </c>
      <c r="B40" s="38" t="inlineStr">
        <is>
          <t>DEVOLUCIÓN DE INGRESOS_MODELO 047_CIACO 2021 EN 2022_Nº de liquidación:46/2023/RAS/10205/1 047/_Número de justificante:047/1/002362793_Nº de referencia:047/1/002362793</t>
        </is>
      </c>
      <c r="C40" s="66" t="n">
        <v>-9517.959999999999</v>
      </c>
    </row>
    <row r="41">
      <c r="A41" t="inlineStr">
        <is>
          <t>40.50.6P.00.07</t>
        </is>
      </c>
      <c r="B41" s="38" t="inlineStr">
        <is>
          <t xml:space="preserve">CIAICO/2021/019/074/124/158/167/173/221/279/305/328/335/339/345/348 </t>
        </is>
      </c>
      <c r="C41" s="66" t="n">
        <v>29993</v>
      </c>
    </row>
    <row r="42">
      <c r="A42" t="inlineStr">
        <is>
          <t>40.50.6Q.00.01</t>
        </is>
      </c>
      <c r="B42" s="38" t="inlineStr">
        <is>
          <t>Ingreso recibido para la Cátedra del Agua 2022.</t>
        </is>
      </c>
      <c r="C42" s="66" t="n">
        <v>39490.17</v>
      </c>
    </row>
    <row r="43">
      <c r="A43" t="inlineStr">
        <is>
          <t>Total</t>
        </is>
      </c>
      <c r="B43" s="38" t="n"/>
      <c r="C43" s="67">
        <f>SUBTOTAL(109,Tabla2[Imp.cob.aplic.])</f>
        <v/>
      </c>
    </row>
    <row r="47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topLeftCell="A34" workbookViewId="0">
      <selection activeCell="B42" sqref="B42:C42"/>
    </sheetView>
  </sheetViews>
  <sheetFormatPr baseColWidth="10" defaultRowHeight="15"/>
  <cols>
    <col width="13.5703125" bestFit="1" customWidth="1" style="33" min="1" max="1"/>
    <col width="64.5703125" customWidth="1" style="33" min="2" max="2"/>
    <col width="14.28515625" bestFit="1" customWidth="1" style="66" min="3" max="3"/>
  </cols>
  <sheetData>
    <row r="1">
      <c r="A1" t="inlineStr">
        <is>
          <t>Org. aplic.</t>
        </is>
      </c>
      <c r="B1" t="inlineStr">
        <is>
          <t>Descripción justificante</t>
        </is>
      </c>
      <c r="C1" s="66" t="inlineStr">
        <is>
          <t>Imp. aplic.</t>
        </is>
      </c>
    </row>
    <row r="2">
      <c r="A2" t="inlineStr">
        <is>
          <t>40.50.6C.00.82</t>
        </is>
      </c>
      <c r="B2" s="38" t="inlineStr">
        <is>
          <t>Pago mínimo regalías 2023. Proyecto CALPECH(EBT)1-210</t>
        </is>
      </c>
      <c r="C2" s="66" t="n">
        <v>1800</v>
      </c>
    </row>
    <row r="3" ht="60" customHeight="1" s="33">
      <c r="A3" t="inlineStr">
        <is>
          <t>40.50.6C.00.91</t>
        </is>
      </c>
      <c r="B3" s="38" t="inlineStr">
        <is>
          <t>Primer pago correspondiente a la anualidad 2024 del contrato de investigación "SOSTENIBILIDAD, AGUA Y AGRICULTURA EN EL SIGLO XXI" SOS-AGUA-XXI dirigido por Joaquín Melgarejo Moreno y Daniel Prats Rico</t>
        </is>
      </c>
      <c r="C3" s="66" t="n">
        <v>4752</v>
      </c>
    </row>
    <row r="4" ht="60" customHeight="1" s="33">
      <c r="A4" t="inlineStr">
        <is>
          <t>40.50.6C.00.91</t>
        </is>
      </c>
      <c r="B4" s="38" t="inlineStr">
        <is>
          <t>Segundo pago correspondiente a la anualidad 2024 del contrato de investigación "SOSTENIBILIDAD, AGUA Y AGRICULTURA EN EL SIGLO XXI" SOS-AGUA-XXI dirigido por Joaquín Melgarejo Moreno y Daniel Prats Rico, y Ref. SACYR3-21Y</t>
        </is>
      </c>
      <c r="C4" s="66" t="n">
        <v>9504</v>
      </c>
    </row>
    <row r="5" ht="60" customHeight="1" s="33">
      <c r="A5" t="inlineStr">
        <is>
          <t>40.50.6C.00.91</t>
        </is>
      </c>
      <c r="B5" s="38" t="inlineStr">
        <is>
          <t xml:space="preserve">Tercer pago correspondiente a la anualidad 2024 del contrato de investigación "SOSTENIBILIDAD, AGUA Y AGRICULTURA EN EL SIGLO XXI" SOS-AGUA-XXI dirigido por Joaquín Melgarejo Moreno y Daniel Prats Rico. </t>
        </is>
      </c>
      <c r="C5" s="66" t="n">
        <v>9504</v>
      </c>
    </row>
    <row r="6" ht="45" customHeight="1" s="33">
      <c r="A6" t="inlineStr">
        <is>
          <t>40.50.6C.00.92</t>
        </is>
      </c>
      <c r="B6" s="38" t="inlineStr">
        <is>
          <t>Pago correspondiente a la anualidad 2024 del contrato "SOSTENIBILIDAD, AGUA Y AGRICULTURA EN EL SIGLO XXI" SOS-AGUA-XXI dirigido por Joaquín Melgarejo Moreno y Daniel Prats Rico</t>
        </is>
      </c>
      <c r="C6" s="66" t="n">
        <v>13200</v>
      </c>
    </row>
    <row r="7" ht="45" customHeight="1" s="33">
      <c r="A7" t="inlineStr">
        <is>
          <t>40.50.6C.00.93</t>
        </is>
      </c>
      <c r="B7" s="38" t="inlineStr">
        <is>
          <t>Primer pago correspondiente a la anualidad 2024 "SOSTENIBILIDAD, AGUA Y AGRICULTURA EN EL SIGLO XXI" SOSAGUA-XXI dirigido por Joaquín Melgarejo Moreno y Patricia Fernández Aracil</t>
        </is>
      </c>
      <c r="C7" s="66" t="n">
        <v>2640</v>
      </c>
    </row>
    <row r="8" ht="45" customHeight="1" s="33">
      <c r="A8" t="inlineStr">
        <is>
          <t>40.50.6C.00.93</t>
        </is>
      </c>
      <c r="B8" s="38" t="inlineStr">
        <is>
          <t>Segundo pago correspondiente a la anualidad 2024 "SOSTENIBILIDAD, AGUA Y AGRICULTURA EN EL SIGLO XXI" SOSAGUA-XXI dirigido por Joaquín Melgarejo Moreno y Patricia Fernández Aracil</t>
        </is>
      </c>
      <c r="C8" s="66" t="n">
        <v>5280</v>
      </c>
    </row>
    <row r="9" ht="45" customHeight="1" s="33">
      <c r="A9" t="inlineStr">
        <is>
          <t>40.50.6C.00.93</t>
        </is>
      </c>
      <c r="B9" s="38" t="inlineStr">
        <is>
          <t>Tercer pago correspondiente a la anualidad 2024 "SOSTENIBILIDAD, AGUA Y AGRICULTURA EN EL SIGLO XXI" SOSAGUA-XXI dirigido por Joaquín Melgarejo Moreno y Patricia Fernández Aracil</t>
        </is>
      </c>
      <c r="C9" s="66" t="n">
        <v>5280</v>
      </c>
    </row>
    <row r="10" ht="60" customHeight="1" s="33">
      <c r="A10" t="inlineStr">
        <is>
          <t>40.50.6C.00.94</t>
        </is>
      </c>
      <c r="B10" s="38" t="inlineStr">
        <is>
          <t>Primer pago correspondiente a la anualidad 2024 "SOSTENIBILIDAD, AGUA Y AGRICULTURA EN EL SIGLOXXI" SOSAGUA-XXI dirigido por Joaquín Melgarejo Moreno y Daniel Prats Rico, Ref. AQUA-ADVISE1-22Y</t>
        </is>
      </c>
      <c r="C10" s="66" t="n">
        <v>2640</v>
      </c>
    </row>
    <row r="11" ht="60" customHeight="1" s="33">
      <c r="A11" t="inlineStr">
        <is>
          <t>40.50.6C.00.94</t>
        </is>
      </c>
      <c r="B11" s="38" t="inlineStr">
        <is>
          <t>Segundo pago correspondiente a la anualidad 2024 "SOSTENIBILIDAD, AGUA Y AGRICULTURA EN EL SIGLOXXI" SOSAGUA-XXI dirigido por Joaquín Melgarejo Moreno y Daniel Prats Rico, Ref. AQUA-ADVISE1-22Y</t>
        </is>
      </c>
      <c r="C11" s="66" t="n">
        <v>5280</v>
      </c>
    </row>
    <row r="12" ht="45" customHeight="1" s="33">
      <c r="A12" t="inlineStr">
        <is>
          <t>40.50.6C.00.94</t>
        </is>
      </c>
      <c r="B12" s="38" t="inlineStr">
        <is>
          <t>Tercer pago correspondiente a la anualidad 2024 "SOSTENIBILIDAD, AGUA Y AGRICULTURA EN EL SIGLO XXI" SOSAGUA-XXI dirigido por Joaquín Melgarejo Moreno y Daniel Prats Rico</t>
        </is>
      </c>
      <c r="C12" s="66" t="n">
        <v>5280</v>
      </c>
    </row>
    <row r="13" ht="60" customHeight="1" s="33">
      <c r="A13" t="inlineStr">
        <is>
          <t>40.50.6C.00.95</t>
        </is>
      </c>
      <c r="B13" s="38" t="inlineStr">
        <is>
          <t>Primer pago correspondiente a la anualidad 2024 del contrato de investigación "SOSTENIBILIDAD, AGUA Y AGRICULTURA EN EL SIGLO XXI" SOS-AGUA-XXI dirigido por Joaquín Melgarejo Moreno e Inmaculada López Ortiz</t>
        </is>
      </c>
      <c r="C13" s="66" t="n">
        <v>2640</v>
      </c>
    </row>
    <row r="14" ht="60" customHeight="1" s="33">
      <c r="A14" t="inlineStr">
        <is>
          <t>40.50.6C.00.95</t>
        </is>
      </c>
      <c r="B14" s="38" t="inlineStr">
        <is>
          <t>Segundo pago (junio) correspondiente a la anualidad 2024 del contrato de investigación "SOSTENIBILIDAD, AGUA Y AGRICULTURA EN EL SIGLO XXI" SOS-AGUA-XXI dirigido por Joaquín Melgarejo Moreno e Inmaculada López Ortiz, Ref. AEROMEDIA1-22Y</t>
        </is>
      </c>
      <c r="C14" s="66" t="n">
        <v>5280</v>
      </c>
    </row>
    <row r="15" ht="60" customHeight="1" s="33">
      <c r="A15" t="inlineStr">
        <is>
          <t>40.50.6C.00.95</t>
        </is>
      </c>
      <c r="B15" s="38" t="inlineStr">
        <is>
          <t>Tercer pago correspondiente a la anualidad 2024 del contrato de investigación "SOSTENIBILIDAD, AGUA Y AGRICULTURA EN EL SIGLO XXI" SOS-AGUA XXI dirigido por Joaquín Melgarejo Moreno e Inmaculada López Ortiz</t>
        </is>
      </c>
      <c r="C15" s="66" t="n">
        <v>5280</v>
      </c>
    </row>
    <row r="16" ht="30" customHeight="1" s="33">
      <c r="A16" t="inlineStr">
        <is>
          <t>40.50.6C.01.03</t>
        </is>
      </c>
      <c r="B16" s="38" t="inlineStr">
        <is>
          <t>REDACCIÓN DE INFORME PERICIAL SOBRE LAS OBRAS DEL PROYECTO DE MEJORA DEL ABASTECIMIENTO A ASPE Y HONDÓN DE LAS NIEVES.</t>
        </is>
      </c>
      <c r="C16" s="66" t="n">
        <v>10560</v>
      </c>
    </row>
    <row r="17" ht="45" customHeight="1" s="33">
      <c r="A17" t="inlineStr">
        <is>
          <t>40.50.6C.01.20</t>
        </is>
      </c>
      <c r="B17" s="38" t="inlineStr">
        <is>
          <t>PROYECTO DE CREACIÓN DE BASES DE DATOS GEORREFERENCIADA Y ESTRUCTURA DE CONSULTA PARA LA MEJORA DE LA GESTIÓN DE LA COMUNIDAD DE REGANTES DE VILLAJOYOSA</t>
        </is>
      </c>
      <c r="C17" s="66" t="n">
        <v>9504</v>
      </c>
    </row>
    <row r="18" ht="90" customHeight="1" s="33">
      <c r="A18" t="inlineStr">
        <is>
          <t>40.50.6C.01.25</t>
        </is>
      </c>
      <c r="B18" s="38" t="inlineStr">
        <is>
          <t>ASESORAMIENTO Y ASISTENCIA CIENTÍFICO TÉCNICA PARA EL ESTUDIO "VALORACIÓN ECONÓMICA DE LAS ACTIVIDADES QUE EJERCEN PRESIONES SOBRE LAS MASAS DE AGUA SUBTERRÁNEAS. EFECTOS SOCIO-ECONÓMICOS DEL BUEN ESTADO EN LA DEMARCACIÓN HIDROGRÁFICA DEL SEGURA" Dirigido por las profesoras Patricia Fernández Aracil e Inmaculada López Ortiz</t>
        </is>
      </c>
      <c r="C18" s="66" t="n">
        <v>13200</v>
      </c>
    </row>
    <row r="19" ht="30" customHeight="1" s="33">
      <c r="A19" t="inlineStr">
        <is>
          <t>40.50.6C.01.26</t>
        </is>
      </c>
      <c r="B19" s="38" t="inlineStr">
        <is>
          <t>ESTUDIO DE LA OXIDACIÓN CON OZONO DE COMPUESTOS ORGÁNICOS DE Zn PARA SU ELIMINACIÓN MEDIANTE RESINAS DE INTERCAMBIO</t>
        </is>
      </c>
      <c r="C19" s="66" t="n">
        <v>1848</v>
      </c>
    </row>
    <row r="20" ht="60" customHeight="1" s="33">
      <c r="A20" t="inlineStr">
        <is>
          <t>40.50.6C.01.27</t>
        </is>
      </c>
      <c r="B20" s="38" t="inlineStr">
        <is>
          <t>INFORME TÉCNICO QUE PERMITA ANALIZAR LA VIABILIDAD DE UNA NUEVA DESALINIZADORA EN BENIDORM, Y OBRAS COMPLEMENTARIAS, PARA ABASTECER EL SISTEMA DE EXPLOTACIÓN DE LA MARINA BAJA DE ALICANTE</t>
        </is>
      </c>
      <c r="C20" s="66" t="n">
        <v>1760</v>
      </c>
    </row>
    <row r="21" ht="60" customHeight="1" s="33">
      <c r="A21" t="inlineStr">
        <is>
          <t>40.50.6C.01.28</t>
        </is>
      </c>
      <c r="B21" s="38" t="inlineStr">
        <is>
          <t>ELABORACIÓN DE INFORME SOBRE INTEGRACIÓN EN COMUNIDAD DE VERTIDOS y ELABORACIÓN DE MODELO DE PROPUESTA AL PLENO. REF. HIDRAQUA1-23T. Nº de horas: 90 HORAS, Precio: 25 Euros/H. Nº de pedido: 3201673031</t>
        </is>
      </c>
      <c r="C21" s="66" t="n">
        <v>1980</v>
      </c>
    </row>
    <row r="22" ht="45" customHeight="1" s="33">
      <c r="A22" t="inlineStr">
        <is>
          <t>40.50.6C.01.29</t>
        </is>
      </c>
      <c r="B22" s="38" t="inlineStr">
        <is>
          <t xml:space="preserve">ASESORAMIENTO Y ASISTENCIA CIENTÍFICO-TÉCNICA EN PROYECTOS SOBRE ASPECTOS SOCIOECONÓMICOS PARA LA PROVINCIA DE ALICANTE EN 2024. </t>
        </is>
      </c>
      <c r="C22" s="66" t="n">
        <v>3520</v>
      </c>
    </row>
    <row r="23" ht="90" customHeight="1" s="33">
      <c r="A23" t="inlineStr">
        <is>
          <t>40.50.6C.01.30</t>
        </is>
      </c>
      <c r="B23" s="38" t="inlineStr">
        <is>
          <t>ASISTENCIA PERICIAL ADICIONAL PARA ANALIZAR LA VIABILIDAD DE LOS SERVICIOS OFERTADOS POR DIFERENTES EMPRESAS EN SUS RESPECTIVAS PLICAS DE CARA A LA CONCESIÓN DEL CONTRATO DEL SERVICIO DE ABASTECIMIENTO DE AGUA Y ALCANTARILLADO EN SAN JAVIER (MURCIA) Ref. proyecto HIDROGEA1-24T Número de pedido 3201754374</t>
        </is>
      </c>
      <c r="C23" s="66" t="n">
        <v>13200</v>
      </c>
    </row>
    <row r="24" ht="60" customHeight="1" s="33">
      <c r="A24" t="inlineStr">
        <is>
          <t>40.50.6C.01.31</t>
        </is>
      </c>
      <c r="B24" s="38" t="inlineStr">
        <is>
          <t xml:space="preserve">ASESORAMIENTO Y ASISTENCIA CIENTÍFICO-TÉCNICA EN PROYECTOS SOBRE EL SECTOR AGRARIO EN LA PROVINCIA DE ALICANTE Y PROPUESTA DE INVERSIONES EN OBRAS HIDRÁULICAS ESTATALES Y AUTONÓMICAS CON HORIZONTE 2030. </t>
        </is>
      </c>
      <c r="C24" s="66" t="n">
        <v>15400</v>
      </c>
    </row>
    <row r="25" ht="60" customHeight="1" s="33">
      <c r="A25" t="inlineStr">
        <is>
          <t>40.50.6C.01.32</t>
        </is>
      </c>
      <c r="B25" s="38" t="inlineStr">
        <is>
          <t>ASESORAMIENTO Y ASISTENCIA CIENTÍFICO-TÉCNICA PARA EL ESTUDIO DE VERTEBRACIÓN FERROVIARIA DE LA PROVINCIA DE ALICANTE. Ref. proyecto ASOCIACIONINSTITUTO3-24T. Director: D. Armando Ortuño Padilla</t>
        </is>
      </c>
      <c r="C25" s="66" t="n">
        <v>10384</v>
      </c>
    </row>
    <row r="26" ht="60" customHeight="1" s="33">
      <c r="A26" t="inlineStr">
        <is>
          <t>40.50.6C.01.34</t>
        </is>
      </c>
      <c r="B26" s="38" t="inlineStr">
        <is>
          <t>CONTRIBUCIÓN AL ESTUDIO DEL AGOTAMIENTO DEL CARBÓN ACTIVO EN EL TRATAMIENTO CUATERNARIO DE AGUAS RESIDUALES. Primer pago del 50% del total. Ref. proyecto: UTE-DEPURAC1-24T. Llevado a cabo por el profesor Daniel Prats Rico.</t>
        </is>
      </c>
      <c r="C26" s="66" t="n">
        <v>6600</v>
      </c>
    </row>
    <row r="27" ht="45" customHeight="1" s="33">
      <c r="A27" t="inlineStr">
        <is>
          <t>40.50.6C.01.35</t>
        </is>
      </c>
      <c r="B27" s="38" t="inlineStr">
        <is>
          <t xml:space="preserve">ESTIMACIÓN DE LOS BENEFICIOS ECONÓMICOS Y AMBIENTALES DE LAS CONEXIONES FERROVIARIAS ACTUALES Y FUTURAS DEL PUERTO DE ALICANTE. </t>
        </is>
      </c>
      <c r="C27" s="66" t="n">
        <v>4136</v>
      </c>
    </row>
    <row r="28" ht="30" customHeight="1" s="33">
      <c r="A28" t="inlineStr">
        <is>
          <t>40.50.6D.00.01</t>
        </is>
      </c>
      <c r="B28" s="38" t="inlineStr">
        <is>
          <t>CONSELLERIAAGRICULTURA3-23I  Realización de estudios y trabajos especializados relativos a la investigación aplicada a recursos hídricos</t>
        </is>
      </c>
      <c r="C28" s="66" t="n">
        <v>35714</v>
      </c>
    </row>
    <row r="29" ht="45" customHeight="1" s="33">
      <c r="A29" t="inlineStr">
        <is>
          <t>40.50.6D.00.01</t>
        </is>
      </c>
      <c r="B29" s="38" t="inlineStr">
        <is>
          <t>INGRESO EN FORMALIZACIÓN CONSELLERIA AGRICULTURA PARA CORREGIR ERROR EN DISTRIBUCIÓN DEL INGRESO EN LA CUANTÍA POR ORGÁNICA (EL JI ORIGINAL JI-2023-1605)</t>
        </is>
      </c>
      <c r="C29" s="66" t="n">
        <v>805.4299999999999</v>
      </c>
    </row>
    <row r="30" ht="45" customHeight="1" s="33">
      <c r="A30" t="inlineStr">
        <is>
          <t>40.50.6D.00.02</t>
        </is>
      </c>
      <c r="B30" s="38" t="inlineStr">
        <is>
          <t>CONSELLERIAMEDIOAMBIENTE2-24I. Asesorar, informar y orientar para abordar la problemática de la falta de garantía en el suministro del agua en el ámbito territorial de la Comunitat Valenciana. linea S1579</t>
        </is>
      </c>
      <c r="C30" s="66" t="n">
        <v>26400</v>
      </c>
    </row>
    <row r="31" ht="30" customHeight="1" s="33">
      <c r="A31" t="inlineStr">
        <is>
          <t>40.50.6G.00.01</t>
        </is>
      </c>
      <c r="B31" s="38" t="inlineStr">
        <is>
          <t>Liq_JyC_2024__IUACA_24_01__Jornadas del programa de Doctorado en Agua y Desarrollo</t>
        </is>
      </c>
      <c r="C31" s="66" t="n">
        <v>7000</v>
      </c>
    </row>
    <row r="32" ht="30" customHeight="1" s="33">
      <c r="A32" t="inlineStr">
        <is>
          <t>40.50.6G.00.01</t>
        </is>
      </c>
      <c r="B32" s="38" t="inlineStr">
        <is>
          <t xml:space="preserve">Liq_JyC_2024__IUACA_24_02__Jornadas del programa de Doctorado en Agua y Desarrollo </t>
        </is>
      </c>
      <c r="C32" s="66" t="n">
        <v>1000</v>
      </c>
    </row>
    <row r="33" ht="30" customHeight="1" s="33">
      <c r="A33" t="inlineStr">
        <is>
          <t>40.50.6G.00.01</t>
        </is>
      </c>
      <c r="B33" s="38" t="inlineStr">
        <is>
          <t>Liq_JyC_2024__IUACA_24_03__Jornadas del programa de Doctorado en Agua y Desarrollo</t>
        </is>
      </c>
      <c r="C33" s="66" t="n">
        <v>8000</v>
      </c>
    </row>
    <row r="34" ht="45" customHeight="1" s="33">
      <c r="A34" t="inlineStr">
        <is>
          <t>40.50.6G.00.04</t>
        </is>
      </c>
      <c r="B34" s="38" t="inlineStr">
        <is>
          <t>VI CONGRESO NACIONAL DEL AGUA 2024 - AGUA, AGRICULTURA Y ALIMENTACIÓN. Ref. proyecto: HIDRAQUA1-24X. Número de pedido: 3201719842</t>
        </is>
      </c>
      <c r="C34" s="66" t="n">
        <v>10648</v>
      </c>
    </row>
    <row r="35">
      <c r="A35" t="inlineStr">
        <is>
          <t>40.50.6P.00.07</t>
        </is>
      </c>
      <c r="B35" s="38" t="inlineStr">
        <is>
          <t xml:space="preserve">CIAICO/2021/019/074/124/158/167/173/279/305/328/335/345/348/339 </t>
        </is>
      </c>
      <c r="C35" s="66" t="n">
        <v>29999</v>
      </c>
    </row>
    <row r="36" ht="45" customHeight="1" s="33">
      <c r="A36" t="inlineStr">
        <is>
          <t>40.50.6P.00.07</t>
        </is>
      </c>
      <c r="B36" s="38" t="inlineStr">
        <is>
          <t>DEVOLUCIÓN DE INGRESOS_MODELO 047_Nº DE LIQUIDACIÓN: 46/2024/RAS/10135/1_ Nº DE JUSTIFICANTE: 047/1/002493531/ Nº DE REFERENCIA: 047/1/002493531</t>
        </is>
      </c>
      <c r="C36" s="66" t="n">
        <v>-1170.54</v>
      </c>
    </row>
    <row r="37" ht="60" customHeight="1" s="33">
      <c r="A37" t="inlineStr">
        <is>
          <t>40.50.6P.00.08</t>
        </is>
      </c>
      <c r="B37" s="38" t="inlineStr">
        <is>
          <t xml:space="preserve">PID2021-122263OB-C22 -122320NA-I00 -122397NB-C22 --122500OB-I00 -122685OB-I00 -122988NB-I00 -123079OB-I00 -123091NB-C22 -123118NA-I00 -123124OB-I00 -123699NB-I00-123135OB-C21 -123453NB-I00 -123956OB-I00 </t>
        </is>
      </c>
      <c r="C37" s="66" t="n">
        <v>3360</v>
      </c>
    </row>
    <row r="38" ht="30" customHeight="1" s="33">
      <c r="A38" t="inlineStr">
        <is>
          <t>40.50.6Q.00.01</t>
        </is>
      </c>
      <c r="B38" s="38" t="inlineStr">
        <is>
          <t>INGRESO PERCIBIDO POR LA UA REFERENTE A LA CÁTEDRA DEL AGUA 2023.</t>
        </is>
      </c>
      <c r="C38" s="66" t="n">
        <v>39211.1</v>
      </c>
    </row>
    <row r="39">
      <c r="A39" t="inlineStr">
        <is>
          <t>Total</t>
        </is>
      </c>
      <c r="B39" s="38" t="n"/>
      <c r="C39" s="67">
        <f>SUBTOTAL(109,Tabla3[Imp.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topLeftCell="A4" workbookViewId="0">
      <selection activeCell="C31" sqref="C31"/>
    </sheetView>
  </sheetViews>
  <sheetFormatPr baseColWidth="10" defaultRowHeight="15"/>
  <cols>
    <col width="16.5703125" customWidth="1" style="33" min="1" max="1"/>
    <col width="60.28515625" customWidth="1" style="33" min="2" max="2"/>
    <col width="20.7109375" customWidth="1" style="33" min="3" max="3"/>
  </cols>
  <sheetData>
    <row r="1">
      <c r="A1" s="48" t="inlineStr">
        <is>
          <t>Org. aplic.</t>
        </is>
      </c>
      <c r="B1" s="49" t="inlineStr">
        <is>
          <t>Descripción justificante</t>
        </is>
      </c>
      <c r="C1" s="49" t="inlineStr">
        <is>
          <t>Imp. aplic.</t>
        </is>
      </c>
    </row>
    <row r="2">
      <c r="A2" s="50" t="inlineStr">
        <is>
          <t>40.50.6C.00.82</t>
        </is>
      </c>
      <c r="B2" s="51" t="inlineStr">
        <is>
          <t>Pago mínimo de regalías por transferencia de tecnología 2024  Ref. contrato de licencia: CALPECH(EBT)1-21O</t>
        </is>
      </c>
      <c r="C2" s="68" t="n">
        <v>1800</v>
      </c>
    </row>
    <row r="3">
      <c r="A3" s="53" t="inlineStr">
        <is>
          <t>40.50.6C.00.90</t>
        </is>
      </c>
      <c r="B3" s="54" t="inlineStr">
        <is>
          <t>CIP OXIDATION ANALYSIS - TECHNICAL FEASIBILITY STUDY TO REDUCE THE COD CONTENT FOR WASTEWATER STREAM - PILOT PLANT TESTS. SOS PO REF. 0759_270721_OTHERS. SECOND PAYMENT.</t>
        </is>
      </c>
      <c r="C3" s="69" t="n">
        <v>3520</v>
      </c>
    </row>
    <row r="4">
      <c r="A4" s="50" t="inlineStr">
        <is>
          <t>40.50.6C.01.28</t>
        </is>
      </c>
      <c r="B4" s="51" t="inlineStr">
        <is>
          <t>REDACCIÓN DE INFORMES JURÍDICOS SOBRE DERECHO AMBIENTAL Y DE AGUAS. Ref. proyecto: HIDRAQUA1-23T. Investigador responsable Andrés Molina Giménez. Número de pedido: 3201894571</t>
        </is>
      </c>
      <c r="C4" s="68" t="n">
        <v>2464</v>
      </c>
    </row>
    <row r="5">
      <c r="A5" s="53" t="inlineStr">
        <is>
          <t>40.50.6C.01.36</t>
        </is>
      </c>
      <c r="B5" s="54" t="inlineStr">
        <is>
          <t>EMPODERAR LA SALUD: TRANSFORMANDO LOS SERVICIOS DE ATENCIÓN MÉDICA HACIA UNA VISIÓN INTEGRAL, SOSTENIBLE Y CON UN ENFOQUE ESPECIAL EN CUIDADOS MATERNOINFANTILES. Primer pago del 70%. Ref. proyecto: AZIMUT1-25T Investigador responsable: Antonio José Aledo Tur</t>
        </is>
      </c>
      <c r="C5" s="69" t="n">
        <v>13109.1</v>
      </c>
    </row>
    <row r="6">
      <c r="A6" s="50" t="inlineStr">
        <is>
          <t>40.50.6C.01.37</t>
        </is>
      </c>
      <c r="B6" s="51" t="inlineStr">
        <is>
          <t>ELABORACIÓN DE MEMORIA/INFORME PARA LA DECLARACIÓN DEL JUZGADO DE RIEGOS DE CALLOSA DE SEGURA COMO BIEN DE INTERÉS CULTURAL INMATERIAL. Ref: JPAC1-25TPA</t>
        </is>
      </c>
      <c r="C6" s="68" t="n">
        <v>4400</v>
      </c>
    </row>
    <row r="7">
      <c r="A7" s="53" t="inlineStr">
        <is>
          <t>40.50.6C.01.38</t>
        </is>
      </c>
      <c r="B7" s="54" t="inlineStr">
        <is>
          <t xml:space="preserve">ESTUDIO RELATIVO A LA ELABORACIÓN DE UN PLAN DE FOMENTO DEL USO DEL AGUA REGENERADA EN LOS MUNICIPIOS CENTRALIZADOS EN LA EDAR ALACANTI NORTE. Ref. proyecto: AGRICULTORESVEGAVALENCIA1-25T. Investigador principal: MOLINA GIMÉNEZ, ANDRÉS Nº PEDIDO: 3 - PER Proyecto: AIGUA FINANCIADO POR LA SEGUNDA CONVOCATORIA DEL PERTE DE DIGITALIZACIÓN DEL AGUA ORDEN TED/919/2023 EN EL MARCO DEL PLAN DE RECUPERACIÓN, TRANSFORMACIÓN Y RESILIENCIA. ACTUACIÓN A085 - 100% IMPUTADO AL PROYECTO  </t>
        </is>
      </c>
      <c r="C7" s="69" t="n">
        <v>4312</v>
      </c>
    </row>
    <row r="8">
      <c r="A8" s="50" t="inlineStr">
        <is>
          <t>40.50.6C.01.39</t>
        </is>
      </c>
      <c r="B8" s="51" t="inlineStr">
        <is>
          <t xml:space="preserve">ESTUDIO DE LOS NIVELES DE MICROCONTAMINANTES EN AGUAS RESIDUALES DE LA PROVINCIA DE ALICANTE: DETECCIÓN Y EFICIENCIA DE ELIMINACIÓN EN EDAR . Ref. proyecto: PROAGUAS2-25I </t>
        </is>
      </c>
      <c r="C8" s="68" t="n">
        <v>13939.2</v>
      </c>
    </row>
    <row r="9">
      <c r="A9" s="53" t="inlineStr">
        <is>
          <t>40.50.6C.01.39</t>
        </is>
      </c>
      <c r="B9" s="54" t="inlineStr">
        <is>
          <t xml:space="preserve">ESTUDIO DE LOS NIVELES DE MICROCONTAMINANTES EN AGUAS RESIDUALES DE LA PROVINCIA DE ALICANTE: DETECCIÓN Y EFICIENCIA DE ELIMINACIÓN EN EDAR . Ref. proyecto: PROAGUAS2-25I </t>
        </is>
      </c>
      <c r="C9" s="69" t="n">
        <v>-13939.2</v>
      </c>
    </row>
    <row r="10">
      <c r="A10" s="50" t="inlineStr">
        <is>
          <t>40.50.6C.01.39</t>
        </is>
      </c>
      <c r="B10" s="51" t="inlineStr">
        <is>
          <t>ESTUDIO DE LOS NIVELES DE MICROCONTAMINANTES EN AGUAS RESIDUALES DE LA PROVINCIA DE ALICANTE: DETECCIÓN Y EFICIENCIA DE ELIMINACIÓN EN EDAR. Ref. proyecto: PROAGUAS2-25I Primer pago establecido en el convenio entre la Universidad de Alicante y Proaguas Costablanca S.A. de fecha 6/10/2025 modificado con fecha 5/11/2025</t>
        </is>
      </c>
      <c r="C10" s="68" t="n">
        <v>14080</v>
      </c>
    </row>
    <row r="11">
      <c r="A11" s="53" t="inlineStr">
        <is>
          <t>40.50.6C.01.40</t>
        </is>
      </c>
      <c r="B11" s="54" t="inlineStr">
        <is>
          <t xml:space="preserve">REDACCIÓN DE INFORMES JURÍDICOS SOBRE DERECHO AMBIENTAL Y DE AGUAS. Ref: HIDRAQUA2-25T Pedido Nº 3202029752 </t>
        </is>
      </c>
      <c r="C11" s="69" t="n">
        <v>3520</v>
      </c>
    </row>
    <row r="12">
      <c r="A12" s="50" t="inlineStr">
        <is>
          <t>40.50.6C.01.41</t>
        </is>
      </c>
      <c r="B12" s="51" t="inlineStr">
        <is>
          <t>INFORME PERICIAL PARA LA VALORACIÓN ECONÓMICA SEGÚN RECURSOS DISPONIBLES DE LA MASA VILLENA-BENEIXAMA Y MASA PEÑARRUBIA. Pedido 3202045119. Primer pago. Ref: AGUASALICANTE1-25T. Profesor: Armando Ortuño Padilla.</t>
        </is>
      </c>
      <c r="C12" s="68" t="n">
        <v>8800</v>
      </c>
    </row>
    <row r="13">
      <c r="A13" s="53" t="inlineStr">
        <is>
          <t>40.50.6C.01.43</t>
        </is>
      </c>
      <c r="B13" s="54" t="inlineStr">
        <is>
          <t>ASESORAMIENTO Y ASISTENCIA CIENTÍFICO-TÉCNICA EN PROYECTOS SOBRE ASPECTOS SOCIOECONÓMICOS PARA LA PROVINCIA DE ALICANTE EN 2025. Ref: INECA3-25TPA</t>
        </is>
      </c>
      <c r="C13" s="69" t="n">
        <v>3520</v>
      </c>
    </row>
    <row r="14">
      <c r="A14" s="50" t="inlineStr">
        <is>
          <t>40.50.6D.00.01</t>
        </is>
      </c>
      <c r="B14" s="51" t="inlineStr">
        <is>
          <t>Subvención para la realización en el ejercicio 2025 estudios y trabajos especializados en la investigación aplicada a recursos hídricos (línea Subvención S0795) Expediente: RN22/25. Núm factura: 6003106280</t>
        </is>
      </c>
      <c r="C14" s="68" t="n">
        <v>6000</v>
      </c>
    </row>
    <row r="15">
      <c r="A15" s="53" t="inlineStr">
        <is>
          <t>40.50.6D.00.01</t>
        </is>
      </c>
      <c r="B15" s="54" t="inlineStr">
        <is>
          <t>CONSELLERIAAGRICULTURA3-23I. Subvención para la realización en el ejercicio 2025 estudios y trabajos especializados en la investigación aplicada a recursos hídricos (línea Subvención S0795) Expediente: RN22/25. Núm factura: 6003891039</t>
        </is>
      </c>
      <c r="C15" s="69" t="n">
        <v>34000</v>
      </c>
    </row>
    <row r="16">
      <c r="A16" s="50" t="inlineStr">
        <is>
          <t>40.50.6D.00.02</t>
        </is>
      </c>
      <c r="B16" s="51" t="inlineStr">
        <is>
          <t>Subvención para la realización en el ejercicio 2025 de trabajos de asesoramiento técnico y socioeconómico sobre la problemática del agua, a la mesa del agua de la Comunitat Valenciana (línea Subvención S1579). Núm factura: 6003062169. Exp: RN20/25</t>
        </is>
      </c>
      <c r="C16" s="68" t="n">
        <v>4500</v>
      </c>
    </row>
    <row r="17">
      <c r="A17" s="53" t="inlineStr">
        <is>
          <t>40.50.6D.00.02</t>
        </is>
      </c>
      <c r="B17" s="54" t="inlineStr">
        <is>
          <t>CONSELLERIAAGRICULTURA2-25I (LS: S1579. Núm. fact: 6003890925)</t>
        </is>
      </c>
      <c r="C17" s="69" t="n">
        <v>25500</v>
      </c>
    </row>
    <row r="18">
      <c r="A18" s="50" t="inlineStr">
        <is>
          <t>40.50.6G.00.01</t>
        </is>
      </c>
      <c r="B18" s="51" t="inlineStr">
        <is>
          <t xml:space="preserve">Liq_JyC_2025__IUACA_25_01__Jornadas del programa de Doctorado en Agua y Desarrollo  </t>
        </is>
      </c>
      <c r="C18" s="68" t="n">
        <v>8000</v>
      </c>
    </row>
    <row r="19">
      <c r="A19" s="53" t="inlineStr">
        <is>
          <t>40.50.6G.00.01</t>
        </is>
      </c>
      <c r="B19" s="54" t="inlineStr">
        <is>
          <t>Liq_JyC_2025__IUACA_25_02__Jornadas del programa de Doctorado en Agua y Desarrollo</t>
        </is>
      </c>
      <c r="C19" s="69" t="n">
        <v>2000</v>
      </c>
    </row>
    <row r="20">
      <c r="A20" s="50" t="inlineStr">
        <is>
          <t>40.50.6G.00.06</t>
        </is>
      </c>
      <c r="B20" s="51" t="inlineStr">
        <is>
          <t>INGRESO PERCIBIDO POR LA UNIVERSIDAD DE ALICANTE EN VIRTUD DE CONVENIO DE COLABORACIÓN EN ACTIVIDADES DE INTERÉS GENERAL PARA LA COLABORACIÓN EN EL VII CONGRESO NACIONAL DEL AGUA 2025- PAISAJE, PATRIMONIO Y MEDIOAMBIENTE.</t>
        </is>
      </c>
      <c r="C20" s="68" t="n">
        <v>12100</v>
      </c>
    </row>
    <row r="21">
      <c r="A21" s="53" t="inlineStr">
        <is>
          <t>40.50.6H.00.02</t>
        </is>
      </c>
      <c r="B21" s="54" t="inlineStr">
        <is>
          <t>CIAPOT/2024/27. CIAPOT/2024/36 (APOTI/2025)</t>
        </is>
      </c>
      <c r="C21" s="69" t="n">
        <v>9000</v>
      </c>
    </row>
    <row r="22">
      <c r="A22" s="50" t="inlineStr">
        <is>
          <t>40.50.6P.00.07</t>
        </is>
      </c>
      <c r="B22" s="51" t="inlineStr">
        <is>
          <t>DEVOLUCIÓN DE INGRESOS_MODELO 047_  REFERENCIA: CIACO/2021/158/279/339/124/348/074/345/173</t>
        </is>
      </c>
      <c r="C22" s="68" t="n">
        <v>-456.49</v>
      </c>
    </row>
    <row r="23">
      <c r="A23" s="53" t="inlineStr">
        <is>
          <t>40.50.6P.00.09</t>
        </is>
      </c>
      <c r="B23" s="54" t="inlineStr">
        <is>
          <t xml:space="preserve">CIAORG/2024/003. CIAORG/2024/005.  CIAORG/2024/017. CIAORG/2024/035. CIAORG/2024/079. CIAORG/2024/085. CIAORG/2024/098. CIAORG/2024/123. CIAORG/2024/158. CIAORG/2024/187. CIAORG/2024/193         </t>
        </is>
      </c>
      <c r="C23" s="69" t="n">
        <v>8987.290000000001</v>
      </c>
    </row>
    <row r="24">
      <c r="A24" s="50" t="inlineStr">
        <is>
          <t>40.50.6Q.00.01</t>
        </is>
      </c>
      <c r="B24" s="51" t="inlineStr">
        <is>
          <t>INGRESO PERCIBIDO POR LA UNIVERSIDAD DE ALICANTE CORRESPONDIENTE A LA CÁTEDRA DE AGUA ANUALIDAD 2024.</t>
        </is>
      </c>
      <c r="C24" s="68" t="n">
        <v>37000</v>
      </c>
    </row>
    <row r="25">
      <c r="A25" s="53" t="inlineStr">
        <is>
          <t>40.50.6Q.00.01</t>
        </is>
      </c>
      <c r="B25" s="54" t="inlineStr">
        <is>
          <t>Ingreso por Cátedra del Agua (Año 2025)</t>
        </is>
      </c>
      <c r="C25" s="69" t="n">
        <v>35500</v>
      </c>
    </row>
    <row r="26" ht="15.75" customHeight="1" s="33" thickBot="1">
      <c r="A26" s="50" t="inlineStr">
        <is>
          <t>40.50.6Q.00.01</t>
        </is>
      </c>
      <c r="B26" s="51" t="inlineStr">
        <is>
          <t>Anulación de derecho anticipado por recepción de menor importe por Cátedra del Agua (Año 2025).</t>
        </is>
      </c>
      <c r="C26" s="68" t="n">
        <v>-111.69</v>
      </c>
    </row>
    <row r="27" ht="15.75" customHeight="1" s="33" thickTop="1">
      <c r="A27" s="56" t="inlineStr">
        <is>
          <t>Total</t>
        </is>
      </c>
      <c r="B27" s="57" t="n"/>
      <c r="C27" s="70" t="n">
        <v>241544.21</v>
      </c>
    </row>
    <row r="30">
      <c r="B30" s="40" t="inlineStr">
        <is>
          <t>Total ingresos investigación 2023-25</t>
        </is>
      </c>
      <c r="C30" s="71">
        <f>+Tabla3[[#Totals],[Imp. aplic.]]+Tabla2[[#Totals],[Imp.cob.aplic.]]+C27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topLeftCell="A23" workbookViewId="0">
      <selection activeCell="D39" sqref="D39"/>
    </sheetView>
  </sheetViews>
  <sheetFormatPr baseColWidth="10" defaultRowHeight="15"/>
  <cols>
    <col width="16.28515625" customWidth="1" style="33" min="1" max="1"/>
    <col width="69" customWidth="1" style="33" min="2" max="2"/>
    <col width="14.85546875" customWidth="1" style="33" min="3" max="3"/>
  </cols>
  <sheetData>
    <row r="1">
      <c r="A1" s="34" t="inlineStr">
        <is>
          <t>Cód. org. aplic.</t>
        </is>
      </c>
      <c r="B1" s="34" t="inlineStr">
        <is>
          <t>Descripción justificante</t>
        </is>
      </c>
      <c r="C1" s="34" t="inlineStr">
        <is>
          <t>Imp.cob.aplic.</t>
        </is>
      </c>
    </row>
    <row r="2" ht="39" customHeight="1" s="33">
      <c r="A2" s="25" t="inlineStr">
        <is>
          <t>40.50.2E.00.06</t>
        </is>
      </c>
      <c r="B2" s="36" t="inlineStr">
        <is>
          <t>INGRESO EN CONCEPTO DE CONVENIO ESPECÍFICO DE COLABORACIÓN ENTRE LA UA Y LA ASOCIACIÓN LATINOAMERICANA DE DESALACIÓN Y REUSO DE AGUA.</t>
        </is>
      </c>
      <c r="C2" s="72" t="n">
        <v>1961.92</v>
      </c>
    </row>
    <row r="3">
      <c r="A3" s="27" t="inlineStr">
        <is>
          <t>40.50.2T.00.07</t>
        </is>
      </c>
      <c r="B3" s="37" t="inlineStr">
        <is>
          <t xml:space="preserve">Sandra Martínez Solla. Especialista en Desalinización y Reutilización del Agua </t>
        </is>
      </c>
      <c r="C3" s="73" t="n">
        <v>2133.84</v>
      </c>
    </row>
    <row r="4" ht="26.25" customHeight="1" s="33">
      <c r="A4" s="25" t="inlineStr">
        <is>
          <t>40.50.2T.00.07</t>
        </is>
      </c>
      <c r="B4" s="36" t="inlineStr">
        <is>
          <t>Sergio Grau Cano. ESPECIALISTA EN DESALINIZACIÓN Y REUTILIZACIÓN DEL AGUA</t>
        </is>
      </c>
      <c r="C4" s="72" t="n">
        <v>2133.84</v>
      </c>
    </row>
    <row r="5">
      <c r="A5" s="27" t="inlineStr">
        <is>
          <t>40.50.2T.00.07</t>
        </is>
      </c>
      <c r="B5" s="37" t="inlineStr">
        <is>
          <t xml:space="preserve">Luca Sbardella. Especialista en Desalinización y Reutilización del Agua </t>
        </is>
      </c>
      <c r="C5" s="73" t="n">
        <v>2133.84</v>
      </c>
    </row>
    <row r="6" ht="26.25" customHeight="1" s="33">
      <c r="A6" s="25" t="inlineStr">
        <is>
          <t>40.50.2T.00.07</t>
        </is>
      </c>
      <c r="B6" s="36" t="inlineStr">
        <is>
          <t>María Dolores Durá Gimeno. ESPECIALISTA EN DESALINIZACIÓN Y REUTILIZACIÓN DEL AGUA</t>
        </is>
      </c>
      <c r="C6" s="72" t="n">
        <v>2133.84</v>
      </c>
    </row>
    <row r="7" ht="26.25" customHeight="1" s="33">
      <c r="A7" s="27" t="inlineStr">
        <is>
          <t>40.50.2T.00.07</t>
        </is>
      </c>
      <c r="B7" s="37" t="inlineStr">
        <is>
          <t>Patricia Zamora Bonachela. ESPECIALISTA EN DESALINIZACIÓN Y REUTILIZACIÓN DEL AGUA</t>
        </is>
      </c>
      <c r="C7" s="73" t="n">
        <v>2133.84</v>
      </c>
    </row>
    <row r="8" ht="26.25" customHeight="1" s="33">
      <c r="A8" s="25" t="inlineStr">
        <is>
          <t>40.50.2T.00.07</t>
        </is>
      </c>
      <c r="B8" s="36" t="inlineStr">
        <is>
          <t>Naiara Hernández Ibáñez. ESPECIALISTA EN DESALINIZACIÓN Y REUTILIZACIÓN DEL AGUA</t>
        </is>
      </c>
      <c r="C8" s="72" t="n">
        <v>2133.84</v>
      </c>
    </row>
    <row r="9" ht="26.25" customHeight="1" s="33">
      <c r="A9" s="27" t="inlineStr">
        <is>
          <t>40.50.2T.00.07</t>
        </is>
      </c>
      <c r="B9" s="37" t="inlineStr">
        <is>
          <t>Francisco Javier Rojas Moreno. ESPECIALISTA EN DESALINIZACIÓN Y REUTILIZACIÓN DEL AGUA</t>
        </is>
      </c>
      <c r="C9" s="73" t="n">
        <v>2136.97</v>
      </c>
    </row>
    <row r="10" ht="26.25" customHeight="1" s="33">
      <c r="A10" s="25" t="inlineStr">
        <is>
          <t>40.50.2T.00.07</t>
        </is>
      </c>
      <c r="B10" s="36" t="inlineStr">
        <is>
          <t>Marta Moro Crooke. ESPECIALISTA EN DESALINIZACIÓN Y REUTILIZACIÓN DEL AGUA</t>
        </is>
      </c>
      <c r="C10" s="72" t="n">
        <v>2136.97</v>
      </c>
    </row>
    <row r="11" ht="26.25" customHeight="1" s="33">
      <c r="A11" s="27" t="inlineStr">
        <is>
          <t>40.50.2T.00.07</t>
        </is>
      </c>
      <c r="B11" s="37" t="inlineStr">
        <is>
          <t>Carlos Antonio Baldivia Anguiano. ESPECIALISTA EN DESALINIZACIÓN Y REUTILIZACIÓN DEL AGUA</t>
        </is>
      </c>
      <c r="C11" s="73" t="n">
        <v>693</v>
      </c>
    </row>
    <row r="12" ht="26.25" customHeight="1" s="33">
      <c r="A12" s="25" t="inlineStr">
        <is>
          <t>40.50.2T.00.07</t>
        </is>
      </c>
      <c r="B12" s="36" t="inlineStr">
        <is>
          <t>José Antonio Carratalá Sansano. ESPECIALISTA EN DESALINIZACIÓN Y REUTILIZACIÓN DEL AGUA</t>
        </is>
      </c>
      <c r="C12" s="72" t="n">
        <v>2133.84</v>
      </c>
    </row>
    <row r="13" ht="26.25" customHeight="1" s="33">
      <c r="A13" s="27" t="inlineStr">
        <is>
          <t>40.50.2T.00.07</t>
        </is>
      </c>
      <c r="B13" s="37" t="inlineStr">
        <is>
          <t xml:space="preserve">LIQ-TitProp_9398-1 Curso_2023-24 AñoCont_2023 - ESPECIALISTA EN DESALINIZACIÓN Y REUTILIZACIÓN DEL AGUA </t>
        </is>
      </c>
      <c r="C13" s="73" t="n">
        <v>66045</v>
      </c>
    </row>
    <row r="14" ht="26.25" customHeight="1" s="33">
      <c r="A14" s="25" t="inlineStr">
        <is>
          <t>40.50.2T.00.07</t>
        </is>
      </c>
      <c r="B14" s="36" t="inlineStr">
        <is>
          <t>Pablo Martín Mira. ESPECIALISTA EN DESALINIZACIÓN Y REUTILIZACIÓN DEL AGUA</t>
        </is>
      </c>
      <c r="C14" s="72" t="n">
        <v>2133.84</v>
      </c>
    </row>
    <row r="15" ht="26.25" customHeight="1" s="33">
      <c r="A15" s="27" t="inlineStr">
        <is>
          <t>40.50.2T.00.07</t>
        </is>
      </c>
      <c r="B15" s="37" t="inlineStr">
        <is>
          <t>Jover Erreyes Pilozo. ESPECIALISTA EN DESALINIZACIÓN Y REUTILIZACIÓN DEL AGUA</t>
        </is>
      </c>
      <c r="C15" s="73" t="n">
        <v>2136.97</v>
      </c>
    </row>
    <row r="16" ht="26.25" customHeight="1" s="33">
      <c r="A16" s="25" t="inlineStr">
        <is>
          <t>40.50.2T.00.07</t>
        </is>
      </c>
      <c r="B16" s="36" t="inlineStr">
        <is>
          <t>Miriam Carolina Pérez Cova. ESPECIALISTA EN DESALINIZACIÓN Y REUTILIZACIÓN DEL AGUA</t>
        </is>
      </c>
      <c r="C16" s="72" t="n">
        <v>2136.97</v>
      </c>
    </row>
    <row r="17" ht="26.25" customHeight="1" s="33">
      <c r="A17" s="27" t="inlineStr">
        <is>
          <t>40.50.2T.00.07</t>
        </is>
      </c>
      <c r="B17" s="37" t="inlineStr">
        <is>
          <t>Manuel Ortiz Gómez ESPECIALISTA EN DESALINIZACIÓN Y REUTILIZACIÓN DEL AGUA</t>
        </is>
      </c>
      <c r="C17" s="73" t="n">
        <v>2133.84</v>
      </c>
    </row>
    <row r="18" ht="26.25" customHeight="1" s="33">
      <c r="A18" s="25" t="inlineStr">
        <is>
          <t>40.50.2T.00.07</t>
        </is>
      </c>
      <c r="B18" s="36" t="inlineStr">
        <is>
          <t>Manuel Pedro Gutiérrez Fernández. ESPECIALISTA EN DESALINIZACIÓN Y REUTILIZACIÓN DEL AGUA</t>
        </is>
      </c>
      <c r="C18" s="72" t="n">
        <v>2136.97</v>
      </c>
    </row>
    <row r="19" ht="26.25" customHeight="1" s="33">
      <c r="A19" s="27" t="inlineStr">
        <is>
          <t>40.50.2T.00.07</t>
        </is>
      </c>
      <c r="B19" s="37" t="inlineStr">
        <is>
          <t xml:space="preserve">Plan_9168 Curso_2022-23 Emitido_2022y2023 ___ ESPECIALISTA EN DESALINIZACIÓN Y REUTILIZACIÓN DEL AGUA </t>
        </is>
      </c>
      <c r="C19" s="73" t="n">
        <v>3239.25</v>
      </c>
    </row>
    <row r="20" ht="26.25" customHeight="1" s="33">
      <c r="A20" s="25" t="inlineStr">
        <is>
          <t>40.50.2T.00.07</t>
        </is>
      </c>
      <c r="B20" s="36" t="inlineStr">
        <is>
          <t xml:space="preserve">AD_LIQ-TitProp_9398-1 Curso_2023-24 AñoCont_2023 - ESPECIALISTA EN DESALINIZACIÓN Y REUTILIZACIÓN DEL AGUA </t>
        </is>
      </c>
      <c r="C20" s="72" t="n">
        <v>-17671.5</v>
      </c>
    </row>
    <row r="21" ht="26.25" customHeight="1" s="33">
      <c r="A21" s="27" t="inlineStr">
        <is>
          <t>40.50.2T.00.07</t>
        </is>
      </c>
      <c r="B21" s="37" t="inlineStr">
        <is>
          <t>Núria Zamorano López. ESPECIALISTA EN DESALINIZACIÓN Y REUTILIZACIÓN DEL AGUA</t>
        </is>
      </c>
      <c r="C21" s="73" t="n">
        <v>2136.97</v>
      </c>
    </row>
    <row r="22" ht="26.25" customHeight="1" s="33">
      <c r="A22" s="25" t="inlineStr">
        <is>
          <t>40.50.2T.00.07</t>
        </is>
      </c>
      <c r="B22" s="36" t="inlineStr">
        <is>
          <t xml:space="preserve">Plan_9168 Curso_2022-23 Emitido_2022y2023 ___ ESPECIALISTA EN DESALINIZACIÓN Y REUTILIZACIÓN DEL AGUA </t>
        </is>
      </c>
      <c r="C22" s="72" t="n">
        <v>24204.6</v>
      </c>
    </row>
    <row r="23" ht="26.25" customHeight="1" s="33">
      <c r="A23" s="27" t="inlineStr">
        <is>
          <t>40.50.2T.00.07</t>
        </is>
      </c>
      <c r="B23" s="37" t="inlineStr">
        <is>
          <t>Francisco Espinosa Cañas. ESPECIALISTA EN DESALINIZACIÓN Y REUTILIZACIÓN DEL AGUA</t>
        </is>
      </c>
      <c r="C23" s="73" t="n">
        <v>2133.84</v>
      </c>
    </row>
    <row r="24" ht="26.25" customHeight="1" s="33">
      <c r="A24" s="25" t="inlineStr">
        <is>
          <t>40.50.2T.00.07</t>
        </is>
      </c>
      <c r="B24" s="36" t="inlineStr">
        <is>
          <t>Carlos Antonio Baldivia Anguiano. ESPECIALISTA EN DESALINIZACIÓN Y REUTILIZACIÓN DEL AGUA</t>
        </is>
      </c>
      <c r="C24" s="72" t="n">
        <v>693</v>
      </c>
    </row>
    <row r="25" ht="26.25" customHeight="1" s="33">
      <c r="A25" s="27" t="inlineStr">
        <is>
          <t>40.50.2T.00.07</t>
        </is>
      </c>
      <c r="B25" s="37" t="inlineStr">
        <is>
          <t>María Dolores de la Rua Ruiz. ESPECIALISTA EN DESALINIZACIÓN Y REUTILIZACIÓN DEL AGUA</t>
        </is>
      </c>
      <c r="C25" s="73" t="n">
        <v>2136.97</v>
      </c>
    </row>
    <row r="26" ht="26.25" customHeight="1" s="33">
      <c r="A26" s="25" t="inlineStr">
        <is>
          <t>40.50.2T.00.07</t>
        </is>
      </c>
      <c r="B26" s="36" t="inlineStr">
        <is>
          <t>Carlos Antonio Baldivia Anguiano. ESPECIALISTA EN DESALINIZACIÓN Y REUTILIZACIÓN DEL AGUA</t>
        </is>
      </c>
      <c r="C26" s="72" t="n">
        <v>747.84</v>
      </c>
    </row>
    <row r="27" ht="39" customHeight="1" s="33">
      <c r="A27" s="27" t="inlineStr">
        <is>
          <t>40.50.2T.00.08</t>
        </is>
      </c>
      <c r="B27" s="37" t="inlineStr">
        <is>
          <t xml:space="preserve">LIQ-TitProp_9366-N Curso_2023-24_AñoCont_2023 - MÁSTER DE FORMACIÓN PERMANENTE EN TECNOLOGÍAS Y POLÍTICAS PÚBLICAS SOBRE LA </t>
        </is>
      </c>
      <c r="C27" s="73" t="n">
        <v>8568</v>
      </c>
    </row>
    <row r="28" ht="26.25" customHeight="1" s="33">
      <c r="A28" s="25" t="inlineStr">
        <is>
          <t>40.50.2T.00.08</t>
        </is>
      </c>
      <c r="B28" s="36" t="inlineStr">
        <is>
          <t xml:space="preserve">Plan_9317 Curso_2022-23 Emitido_2022-23 - MÁSTER EN TECNOLOGÍAS Y POLÍTICAS PÚBLICAS SOBRE LA GESTIÓN AMBIENTAL </t>
        </is>
      </c>
      <c r="C28" s="72" t="n">
        <v>14994</v>
      </c>
    </row>
    <row r="29" ht="39" customHeight="1" s="33">
      <c r="A29" s="42" t="inlineStr">
        <is>
          <t>40.50.2T.00.08</t>
        </is>
      </c>
      <c r="B29" s="44" t="inlineStr">
        <is>
          <t xml:space="preserve">ANULACION DE DERECHOS - LIQ-TitProp_9366-N Curso_2023-24_AñoCont_2023 - MÁSTER DE FORMACIÓN PERMANENTE EN TECNOLOGÍAS Y POLÍTICAS PÚBLICAS SOBRE LA </t>
        </is>
      </c>
      <c r="C29" s="74" t="n">
        <v>-3180.87</v>
      </c>
    </row>
    <row r="30">
      <c r="A30" s="45" t="inlineStr">
        <is>
          <t>Total</t>
        </is>
      </c>
      <c r="B30" s="46" t="n"/>
      <c r="C30" s="75">
        <f>SUBTOTAL(109,Tabla5[Imp.cob.aplic.])</f>
        <v/>
      </c>
    </row>
    <row r="31">
      <c r="C31" s="7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topLeftCell="A18" workbookViewId="0">
      <selection activeCell="B32" sqref="B32:C32"/>
    </sheetView>
  </sheetViews>
  <sheetFormatPr baseColWidth="10" defaultRowHeight="15"/>
  <cols>
    <col width="13.28515625" bestFit="1" customWidth="1" style="33" min="1" max="1"/>
    <col width="81.85546875" customWidth="1" style="33" min="2" max="2"/>
    <col width="21.7109375" customWidth="1" style="66" min="3" max="3"/>
  </cols>
  <sheetData>
    <row r="1">
      <c r="A1" t="inlineStr">
        <is>
          <t>Org. aplic.</t>
        </is>
      </c>
      <c r="B1" t="inlineStr">
        <is>
          <t>Descripción justificante</t>
        </is>
      </c>
      <c r="C1" s="66" t="inlineStr">
        <is>
          <t>Imp. aplic.</t>
        </is>
      </c>
    </row>
    <row r="2" ht="15" customHeight="1" s="33">
      <c r="A2" t="inlineStr">
        <is>
          <t>40.50.2T.00.07</t>
        </is>
      </c>
      <c r="B2" s="38" t="inlineStr">
        <is>
          <t>Marta Castrillo Arias. ESPECIALISTA EN DESALINIZACIÓN Y REUTILIZACIÓN DEL AGUA</t>
        </is>
      </c>
      <c r="C2" s="66" t="n">
        <v>2136.97</v>
      </c>
    </row>
    <row r="3" ht="15" customHeight="1" s="33">
      <c r="A3" t="inlineStr">
        <is>
          <t>40.50.2T.00.07</t>
        </is>
      </c>
      <c r="B3" s="38" t="inlineStr">
        <is>
          <t>María José Quero Pastor. ESPECIALISTA EN DESALINIZACIÓN Y REUTILIZACIÓN DEL AGUA</t>
        </is>
      </c>
      <c r="C3" s="66" t="n">
        <v>2136.97</v>
      </c>
    </row>
    <row r="4" ht="15" customHeight="1" s="33">
      <c r="A4" t="inlineStr">
        <is>
          <t>40.50.2T.00.07</t>
        </is>
      </c>
      <c r="B4" s="38" t="inlineStr">
        <is>
          <t>Fernando Gordillo López. ESPECIALISTA EN DESALINIZACIÓN Y REUTILIZACIÓN DEL AGUA</t>
        </is>
      </c>
      <c r="C4" s="66" t="n">
        <v>750.97</v>
      </c>
    </row>
    <row r="5" ht="15" customHeight="1" s="33">
      <c r="A5" t="inlineStr">
        <is>
          <t>40.50.2T.00.07</t>
        </is>
      </c>
      <c r="B5" s="38" t="inlineStr">
        <is>
          <t>Fernando Gordillo López. ESPECIALISTA EN DESALINIZACIÓN Y REUTILIZACIÓN DEL AGUA</t>
        </is>
      </c>
      <c r="C5" s="66" t="n">
        <v>693</v>
      </c>
    </row>
    <row r="6" ht="15" customHeight="1" s="33">
      <c r="A6" t="inlineStr">
        <is>
          <t>40.50.2T.00.07</t>
        </is>
      </c>
      <c r="B6" s="38" t="inlineStr">
        <is>
          <t>Ana Vicente Borreguero. ESPECIALISTA EN DESALINIZACIÓN Y REUTILIZACIÓN DEL AGUA</t>
        </is>
      </c>
      <c r="C6" s="66" t="n">
        <v>2136.97</v>
      </c>
    </row>
    <row r="7" ht="15" customHeight="1" s="33">
      <c r="A7" t="inlineStr">
        <is>
          <t>40.50.2T.00.07</t>
        </is>
      </c>
      <c r="B7" s="38" t="inlineStr">
        <is>
          <t>Sheila Caro Sacristán. ESPECIALISTA EN DESALINIZACIÓN Y REUTILIZACIÓN DEL AGUA</t>
        </is>
      </c>
      <c r="C7" s="66" t="n">
        <v>2136.97</v>
      </c>
    </row>
    <row r="8" ht="15" customHeight="1" s="33">
      <c r="A8" t="inlineStr">
        <is>
          <t>40.50.2T.00.07</t>
        </is>
      </c>
      <c r="B8" s="38" t="inlineStr">
        <is>
          <t>Fernando Gordillo López. ESPECIALISTA EN DESALINIZACIÓN Y REUTILIZACIÓN DEL AGUA</t>
        </is>
      </c>
      <c r="C8" s="66" t="n">
        <v>693</v>
      </c>
    </row>
    <row r="9" ht="30" customHeight="1" s="33">
      <c r="A9" t="inlineStr">
        <is>
          <t>40.50.2T.00.07</t>
        </is>
      </c>
      <c r="B9" s="38" t="inlineStr">
        <is>
          <t xml:space="preserve">LIQ-TitProp_9398-2 Curso_2023-24 AñoCont_2023 - ESPECIALISTA EN DESALINIZACIÓN Y REUTILIZACIÓN DEL AGUA </t>
        </is>
      </c>
      <c r="C9" s="66" t="n">
        <v>4123.35</v>
      </c>
    </row>
    <row r="10" ht="45" customHeight="1" s="33">
      <c r="A10" t="inlineStr">
        <is>
          <t>40.50.2T.00.07</t>
        </is>
      </c>
      <c r="B10" s="38" t="inlineStr">
        <is>
          <t xml:space="preserve">LIQ-TitProp_9398-3 Curso_2023-24 AñoCont_2023 - ESPECIALISTA EN DESALINIZACIÓN Y REUTILIZACIÓN DEL AGUA (hay cambio de orgánica porque pasa a gestionarlo directamente CONTINUA) </t>
        </is>
      </c>
      <c r="C10" s="66" t="n">
        <v>8316</v>
      </c>
    </row>
    <row r="11" ht="30" customHeight="1" s="33">
      <c r="A11" t="inlineStr">
        <is>
          <t>40.50.2T.00.08</t>
        </is>
      </c>
      <c r="B11" s="38" t="inlineStr">
        <is>
          <t xml:space="preserve">LIQ-TitProp_9366-1 Curso_2023-24 AñoCont_2023 - MÁSTER DE FORMACIÓN PERMANENTE EN TECNOLOGÍAS Y POLÍTICAS PÚBLICAS SOBRE LA </t>
        </is>
      </c>
      <c r="C11" s="66" t="n">
        <v>2184.84</v>
      </c>
    </row>
    <row r="12" ht="30" customHeight="1" s="33">
      <c r="A12" t="inlineStr">
        <is>
          <t>40.50.2T.00.08</t>
        </is>
      </c>
      <c r="B12" s="38" t="inlineStr">
        <is>
          <t xml:space="preserve">LIQ-TitProp_9366-2 Curso_2023-24 AñoCont_2023 - MÁSTER DE FORMACIÓN PERMANENTE EN TECNOLOGÍAS Y POLÍTICAS PÚBLICAS SOBRE LA </t>
        </is>
      </c>
      <c r="C12" s="66" t="n">
        <v>353.43</v>
      </c>
    </row>
    <row r="13" ht="30" customHeight="1" s="33">
      <c r="A13" t="inlineStr">
        <is>
          <t>40.50.2T.00.08</t>
        </is>
      </c>
      <c r="B13" s="38" t="inlineStr">
        <is>
          <t xml:space="preserve">LIQ-TitProp_9366-2 Curso_2023-24 AñoCont_2023 - MÁSTER DE FORMACIÓN PERMANENTE EN TECNOLOGÍAS Y POLÍTICAS PÚBLICAS SOBRE LA </t>
        </is>
      </c>
      <c r="C13" s="66" t="n">
        <v>2506.14</v>
      </c>
    </row>
    <row r="14" ht="30" customHeight="1" s="33">
      <c r="A14" t="inlineStr">
        <is>
          <t>40.50.2T.00.08</t>
        </is>
      </c>
      <c r="B14" s="38" t="inlineStr">
        <is>
          <t xml:space="preserve">LIQ-TitProp_9366-3 Curso_2023-24 AñoCont_2023 - MÁSTER DE FORMACIÓN PERMANENTE EN TECNOLOGÍAS Y POLÍTICAS PÚBLICAS SOBRE LA </t>
        </is>
      </c>
      <c r="C14" s="66" t="n">
        <v>6051.15</v>
      </c>
    </row>
    <row r="15" ht="30" customHeight="1" s="33">
      <c r="A15" t="inlineStr">
        <is>
          <t>40.50.2T.00.08</t>
        </is>
      </c>
      <c r="B15" s="38" t="inlineStr">
        <is>
          <t xml:space="preserve">LIQ-TitProp_9366-3 Curso_2023-24 AñoCont_2023 - MÁSTER DE FORMACIÓN PERMANENTE EN TECNOLOGÍAS Y POLÍTICAS PÚBLICAS SOBRE LA </t>
        </is>
      </c>
      <c r="C15" s="66" t="n">
        <v>1767.15</v>
      </c>
    </row>
    <row r="16" ht="30" customHeight="1" s="33">
      <c r="A16" t="inlineStr">
        <is>
          <t>40.50.2T.00.08</t>
        </is>
      </c>
      <c r="B16" s="38" t="inlineStr">
        <is>
          <t xml:space="preserve">LIQ-TitProp_9366-4 Curso_2023-24 AñoCont_2023 - MÁSTER DE FORMACIÓN PERMANENTE EN TECNOLOGÍAS Y POLÍTICAS PÚBLICAS SOBRE LA </t>
        </is>
      </c>
      <c r="C16" s="66" t="n">
        <v>353.43</v>
      </c>
    </row>
    <row r="17" ht="45" customHeight="1" s="33">
      <c r="A17" t="inlineStr">
        <is>
          <t>40.50.2T.00.08</t>
        </is>
      </c>
      <c r="B17" s="38" t="inlineStr">
        <is>
          <t xml:space="preserve">LIQ-EP_Plan_9366-N Curso_2024-25_AñoCont_2024 TipoRec_Emitido - MÁSTER DE FORMACIÓN PERMANENTE EN TECNOLOGÍAS Y POLÍTICAS PÚBLICAS SOBRE LA _ (Cierre-24) </t>
        </is>
      </c>
      <c r="C17" s="66" t="n">
        <v>1499.4</v>
      </c>
    </row>
    <row r="18" ht="45" customHeight="1" s="33">
      <c r="A18" t="inlineStr">
        <is>
          <t>10.91.2T.00.27</t>
        </is>
      </c>
      <c r="B18" s="38" t="inlineStr">
        <is>
          <t xml:space="preserve">LIQ-TitProp_9398-3 Curso_2023-24 AñoCont_2023 - ESPECIALISTA EN DESALINIZACIÓN Y REUTILIZACIÓN DEL AGUA (hay cambio de orgánica porque pasa a gestionarlo directamente CONTINUA) </t>
        </is>
      </c>
      <c r="C18" s="66" t="n">
        <v>3326.4</v>
      </c>
    </row>
    <row r="19" ht="30" customHeight="1" s="33">
      <c r="A19" t="inlineStr">
        <is>
          <t>10.91.2T.00.27</t>
        </is>
      </c>
      <c r="B19" s="38" t="inlineStr">
        <is>
          <t>JOAN SALVÁ MARTORELL, ESPECIALISTA EN DESALINIZACIÓN Y REUTILIZACIÓN DEL AGUA (9398), RECIBO Nº 2024739486124</t>
        </is>
      </c>
      <c r="C19" s="66" t="n">
        <v>2436.97</v>
      </c>
    </row>
    <row r="20" ht="30" customHeight="1" s="33">
      <c r="A20" t="inlineStr">
        <is>
          <t>10.91.2T.00.27</t>
        </is>
      </c>
      <c r="B20" s="38" t="inlineStr">
        <is>
          <t>JUAN CARLOS ROJAS CASTILLO, ESPECIALISTA EN DESALINIZACIÓN Y REUTILIZACIÓN DEL AGUA (9398), RECIBO 2024739155236</t>
        </is>
      </c>
      <c r="C20" s="66" t="n">
        <v>2436.97</v>
      </c>
    </row>
    <row r="21" ht="30" customHeight="1" s="33">
      <c r="A21" t="inlineStr">
        <is>
          <t>10.91.2T.00.27</t>
        </is>
      </c>
      <c r="B21" s="38" t="inlineStr">
        <is>
          <t>Eloi Cambras Casas, Especialista en Desanilización y Reutilización del Agua (plan 9398), recibo nº 2024744534381</t>
        </is>
      </c>
      <c r="C21" s="66" t="n">
        <v>2436.97</v>
      </c>
    </row>
    <row r="22" ht="30" customHeight="1" s="33">
      <c r="A22" t="inlineStr">
        <is>
          <t>10.91.2T.00.27</t>
        </is>
      </c>
      <c r="B22" s="38" t="inlineStr">
        <is>
          <t xml:space="preserve">LIQ-TitProp_9398-1 Curso_2024-25 AñoCont_2024 - ESPECIALISTA EN DESALINIZACIÓN Y REUTILIZACIÓN DEL AGUA </t>
        </is>
      </c>
      <c r="C22" s="66" t="n">
        <v>20640</v>
      </c>
    </row>
    <row r="23" ht="30" customHeight="1" s="33">
      <c r="A23" t="inlineStr">
        <is>
          <t>10.91.2T.00.27</t>
        </is>
      </c>
      <c r="B23" s="38" t="inlineStr">
        <is>
          <t>LIQ-TitProp_9398-2 Curso_2024-25 AñoCont_2024 - ESPECIALISTA EN DESALINIZACIÓN Y REUTILIZACIÓN DEL AGUA</t>
        </is>
      </c>
      <c r="C23" s="66" t="n">
        <v>24940.82</v>
      </c>
    </row>
    <row r="24" ht="45" customHeight="1" s="33">
      <c r="A24" t="inlineStr">
        <is>
          <t>10.91.2T.00.27</t>
        </is>
      </c>
      <c r="B24" s="38" t="inlineStr">
        <is>
          <t xml:space="preserve">Liq.PPub_311,00__ADRmsa_2024__EFP Enseñanzas Formación Permanente - Master, Especialista y Experto.  LIQ-TitProp_9398- Curso_2024-25 AñoCont_2024 - ESPECIALISTA EN DESALINIZACIÓN Y REUTILIZACIÓN DEL AGUA </t>
        </is>
      </c>
      <c r="C24" s="66" t="n">
        <v>13958.4</v>
      </c>
    </row>
    <row r="25" ht="45" customHeight="1" s="33">
      <c r="A25" t="inlineStr">
        <is>
          <t>10.91.2T.00.27</t>
        </is>
      </c>
      <c r="B25" s="38" t="inlineStr">
        <is>
          <t xml:space="preserve">AD_Liq.PPub_311,00__ADRmsa_2024__EFP Enseñanzas Formación Permanente - Master, Especialista y Experto.  LIQ-TitProp_9398- Curso_2024-25 AñoCont_2024 - ESPECIALISTA EN DESALINIZACIÓN Y REUTILIZACIÓN DEL AGUA </t>
        </is>
      </c>
      <c r="C25" s="66" t="n">
        <v>-13958.4</v>
      </c>
    </row>
    <row r="26" ht="30" customHeight="1" s="33">
      <c r="A26" t="inlineStr">
        <is>
          <t>10.91.2T.00.27</t>
        </is>
      </c>
      <c r="B26" s="38" t="inlineStr">
        <is>
          <t xml:space="preserve">LIQ-EP_Plan_9398-N Curso_2024-25_AñoCont_2024 TipoRec_Emitido - ESPECIALISTA EN DESALINIZACIÓN Y REUTILIZACIÓN DEL AGUA _ (Cierre-24) </t>
        </is>
      </c>
      <c r="C26" s="66" t="n">
        <v>7679.98</v>
      </c>
    </row>
    <row r="27" ht="30" customHeight="1" s="33">
      <c r="A27" t="inlineStr">
        <is>
          <t>10.91.2T.00.27</t>
        </is>
      </c>
      <c r="B27" s="38" t="inlineStr">
        <is>
          <t xml:space="preserve">LIQ-EP_Plan_9398-N Curso_2023-24_AñoCont_2024 TipoRec_Emitido - ESPECIALISTA EN DESALINIZACIÓN Y REUTILIZACIÓN DEL AGUA _ (Cierre-24) </t>
        </is>
      </c>
      <c r="C27" s="66" t="n">
        <v>10.4</v>
      </c>
    </row>
    <row r="28">
      <c r="A28" t="inlineStr">
        <is>
          <t>Total</t>
        </is>
      </c>
      <c r="C28" s="67">
        <f>SUBTOTAL(109,Tabla4[Imp.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B17" sqref="B17"/>
    </sheetView>
  </sheetViews>
  <sheetFormatPr baseColWidth="10" defaultRowHeight="15"/>
  <cols>
    <col width="16.7109375" customWidth="1" style="33" min="1" max="1"/>
    <col width="55.42578125" customWidth="1" style="33" min="2" max="2"/>
    <col width="18.5703125" customWidth="1" style="33" min="3" max="3"/>
  </cols>
  <sheetData>
    <row r="1">
      <c r="A1" s="48" t="inlineStr">
        <is>
          <t>Org. aplic.</t>
        </is>
      </c>
      <c r="B1" s="49" t="inlineStr">
        <is>
          <t>Descripción justificante</t>
        </is>
      </c>
      <c r="C1" s="77" t="inlineStr">
        <is>
          <t>Imp. aplic.</t>
        </is>
      </c>
    </row>
    <row r="2">
      <c r="A2" s="50" t="inlineStr">
        <is>
          <t>40.50.2T.00.07</t>
        </is>
      </c>
      <c r="B2" s="51" t="inlineStr">
        <is>
          <t>JAVIER CAÑAS JIMÉNEZ, ESPECIALISTA EN DESALINIZACIÓN Y REUTILIZACIÓN DEL AGUA (9398), RECIBO 2025001354946</t>
        </is>
      </c>
      <c r="C2" s="68" t="n">
        <v>2436.97</v>
      </c>
    </row>
    <row r="3">
      <c r="A3" s="53" t="inlineStr">
        <is>
          <t>40.50.2T.00.07</t>
        </is>
      </c>
      <c r="B3" s="54" t="inlineStr">
        <is>
          <t>MIGUEL ÁNGEL DOMÍNGUEZ DE LA CALLE, ESPECIALISTA EN DESALINIZACIÓN Y REUTILIZACIÓN DEL AGUA (9398), RECIBO 2025002544373</t>
        </is>
      </c>
      <c r="C3" s="69" t="n">
        <v>2436.11</v>
      </c>
    </row>
    <row r="4">
      <c r="A4" s="50" t="inlineStr">
        <is>
          <t>40.50.2T.00.07</t>
        </is>
      </c>
      <c r="B4" s="51" t="inlineStr">
        <is>
          <t>MIGUEL JOSÉ PIQUER VALLS ESPECIALISTA EN DESALINIZACIÓN Y REUTILIZACIÓN DEL AGUA (9398) RECIBO Nº 2025001555776</t>
        </is>
      </c>
      <c r="C4" s="68" t="n">
        <v>2436.97</v>
      </c>
    </row>
    <row r="5" ht="15.75" customHeight="1" s="33" thickBot="1">
      <c r="A5" s="53" t="inlineStr">
        <is>
          <t>40.50.2T.00.07</t>
        </is>
      </c>
      <c r="B5" s="54" t="inlineStr">
        <is>
          <t>ALEJANDRA LÓPEZ VALIENTE, ESPECIALISTA EN DESALINIZACIÓN Y REUTILIZACIÓN DEL AGUA (9398), RECIBO Nº 2025004532576</t>
        </is>
      </c>
      <c r="C5" s="69" t="n">
        <v>2436.11</v>
      </c>
    </row>
    <row r="6" ht="15.75" customHeight="1" s="33" thickTop="1">
      <c r="A6" s="56" t="inlineStr">
        <is>
          <t>Total</t>
        </is>
      </c>
      <c r="B6" s="57" t="n"/>
      <c r="C6" s="78" t="n">
        <v>9746.16</v>
      </c>
    </row>
    <row r="9">
      <c r="B9" s="40" t="inlineStr">
        <is>
          <t>Total ingresos formación 23-25</t>
        </is>
      </c>
      <c r="C9" s="71">
        <f>+Tabla4[[#Totals],[Imp. aplic.]]+Tabla5[[#Totals],[Imp.cob.aplic.]]+C6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dtsss@ua.es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2026-05-28T21:59:21Z</dcterms:modified>
  <cp:lastModifiedBy>mayte.pujalte</cp:lastModifiedBy>
  <cp:lastPrinted>2019-07-03T07:26:29Z</cp:lastPrinted>
</cp:coreProperties>
</file>