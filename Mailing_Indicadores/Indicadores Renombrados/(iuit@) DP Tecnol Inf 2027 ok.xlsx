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776" firstSheet="0" activeTab="4" autoFilterDateGrouping="1"/>
  </bookViews>
  <sheets>
    <sheet name="Tesis" sheetId="1" state="visible" r:id="rId1"/>
    <sheet name="Sexenios" sheetId="2" state="visible" r:id="rId2"/>
    <sheet name="Ingresos investigación 2023" sheetId="3" state="visible" r:id="rId3"/>
    <sheet name="Ingresos investigación 2024" sheetId="4" state="visible" r:id="rId4"/>
    <sheet name="Ingresos investigación 2025" sheetId="5" state="visible" r:id="rId5"/>
    <sheet name="Correo" sheetId="6" state="veryHidden" r:id="rId6"/>
  </sheets>
  <definedNames>
    <definedName name="_xlnm._FilterDatabase" localSheetId="0" hidden="1">'Tesis'!$A$1:$U$1</definedName>
    <definedName name="_xlnm.Print_Titles" localSheetId="0">'Tesis'!$1:$1,'Tesis'!$D:$D</definedName>
  </definedNames>
  <calcPr calcId="191029" fullCalcOnLoad="1"/>
</workbook>
</file>

<file path=xl/styles.xml><?xml version="1.0" encoding="utf-8"?>
<styleSheet xmlns="http://schemas.openxmlformats.org/spreadsheetml/2006/main">
  <numFmts count="4">
    <numFmt numFmtId="164" formatCode="0.0"/>
    <numFmt numFmtId="165" formatCode="#,##0.0"/>
    <numFmt numFmtId="166" formatCode="_-* #,##0.00_-;\-* #,##0.00_-;_-* &quot;-&quot;??_-;_-@_-"/>
    <numFmt numFmtId="167" formatCode="_-* #,##0.00\ _€_-;\-* #,##0.00\ _€_-;_-* &quot;-&quot;??\ _€_-;_-@_-"/>
  </numFmts>
  <fonts count="16">
    <font>
      <name val="Calibri"/>
      <family val="2"/>
      <color theme="1"/>
      <sz val="11"/>
      <scheme val="minor"/>
    </font>
    <font>
      <name val="Arial"/>
      <family val="2"/>
      <color theme="1"/>
      <sz val="8"/>
    </font>
    <font>
      <name val="Arial"/>
      <family val="2"/>
      <sz val="8"/>
    </font>
    <font>
      <name val="Arial"/>
      <family val="2"/>
      <b val="1"/>
      <sz val="8"/>
    </font>
    <font>
      <name val="Arial"/>
      <family val="2"/>
      <b val="1"/>
      <color indexed="8"/>
      <sz val="8"/>
    </font>
    <font>
      <name val="Arial"/>
      <family val="2"/>
      <color indexed="8"/>
      <sz val="10"/>
    </font>
    <font>
      <name val="Arial"/>
      <family val="2"/>
      <sz val="10"/>
    </font>
    <font>
      <name val="Arial"/>
      <family val="2"/>
      <b val="1"/>
      <color indexed="8"/>
      <sz val="10"/>
    </font>
    <font>
      <name val="Arial"/>
      <family val="2"/>
      <b val="1"/>
      <sz val="10"/>
    </font>
    <font>
      <name val="Arial"/>
      <family val="2"/>
      <color theme="1"/>
      <sz val="10"/>
    </font>
    <font>
      <name val="Arial"/>
      <family val="2"/>
      <color rgb="FF000000"/>
      <sz val="8"/>
    </font>
    <font>
      <name val="Calibri"/>
      <family val="2"/>
      <color theme="1"/>
      <sz val="11"/>
      <scheme val="minor"/>
    </font>
    <font>
      <name val="Arial"/>
      <family val="2"/>
      <b val="1"/>
      <color theme="0"/>
      <sz val="10"/>
    </font>
    <font>
      <name val="Arial"/>
      <family val="2"/>
      <b val="1"/>
      <color theme="1"/>
      <sz val="10"/>
    </font>
    <font>
      <name val="Calibri"/>
      <family val="2"/>
      <b val="1"/>
      <color theme="1"/>
      <sz val="11"/>
      <scheme val="minor"/>
    </font>
    <font>
      <name val="Calibri"/>
      <family val="2"/>
      <b val="1"/>
      <color theme="0"/>
      <sz val="11"/>
      <scheme val="minor"/>
    </font>
  </fonts>
  <fills count="14">
    <fill>
      <patternFill/>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
        <bgColor indexed="64"/>
      </patternFill>
    </fill>
    <fill>
      <patternFill patternType="solid">
        <fgColor rgb="FFFFFFFF"/>
        <bgColor indexed="64"/>
      </patternFill>
    </fill>
    <fill>
      <patternFill patternType="solid">
        <fgColor rgb="FFFFFF00"/>
        <bgColor indexed="64"/>
      </patternFill>
    </fill>
    <fill>
      <patternFill patternType="solid">
        <fgColor theme="9"/>
        <bgColor theme="9"/>
      </patternFill>
    </fill>
    <fill>
      <patternFill patternType="solid">
        <fgColor theme="9" tint="0.7999816888943144"/>
        <bgColor theme="9" tint="0.7999816888943144"/>
      </patternFill>
    </fill>
    <fill>
      <patternFill patternType="solid">
        <fgColor rgb="FFFFFF00"/>
        <bgColor theme="9" tint="0.7999816888943144"/>
      </patternFill>
    </fill>
    <fill>
      <patternFill patternType="solid">
        <fgColor theme="0" tint="-0.3499862666707358"/>
        <bgColor indexed="64"/>
      </patternFill>
    </fill>
    <fill>
      <patternFill patternType="solid">
        <fgColor theme="4"/>
        <bgColor theme="4"/>
      </patternFill>
    </fill>
    <fill>
      <patternFill patternType="solid">
        <fgColor theme="4" tint="0.7999816888943144"/>
        <bgColor theme="4" tint="0.799981688894314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top style="thin">
        <color theme="9" tint="0.3999755851924192"/>
      </top>
      <bottom style="thin">
        <color theme="9" tint="0.3999755851924192"/>
      </bottom>
      <diagonal/>
    </border>
    <border>
      <left/>
      <right/>
      <top/>
      <bottom style="thin">
        <color theme="9" tint="0.3999755851924192"/>
      </bottom>
      <diagonal/>
    </border>
    <border>
      <left/>
      <right/>
      <top style="thin">
        <color theme="9" tint="0.3999755851924192"/>
      </top>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style="thin">
        <color theme="4" tint="0.3999755851924192"/>
      </left>
      <right/>
      <top style="double">
        <color theme="4"/>
      </top>
      <bottom style="thin">
        <color theme="4" tint="0.3999755851924192"/>
      </bottom>
      <diagonal/>
    </border>
    <border>
      <left/>
      <right/>
      <top style="double">
        <color theme="4"/>
      </top>
      <bottom style="thin">
        <color theme="4" tint="0.3999755851924192"/>
      </bottom>
      <diagonal/>
    </border>
  </borders>
  <cellStyleXfs count="7">
    <xf numFmtId="0" fontId="11" fillId="0" borderId="0"/>
    <xf numFmtId="0" fontId="2" fillId="0" borderId="0"/>
    <xf numFmtId="0" fontId="5" fillId="0" borderId="0"/>
    <xf numFmtId="0" fontId="5" fillId="0" borderId="0"/>
    <xf numFmtId="0" fontId="6" fillId="0" borderId="0"/>
    <xf numFmtId="0" fontId="1" fillId="0" borderId="0"/>
    <xf numFmtId="167" fontId="11" fillId="0" borderId="0"/>
  </cellStyleXfs>
  <cellXfs count="94">
    <xf numFmtId="0" fontId="0" fillId="0" borderId="0" pivotButton="0" quotePrefix="0" xfId="0"/>
    <xf numFmtId="0" fontId="3" fillId="3" borderId="1" applyAlignment="1" pivotButton="0" quotePrefix="0" xfId="1">
      <alignment horizontal="center"/>
    </xf>
    <xf numFmtId="0" fontId="4" fillId="3" borderId="1" applyAlignment="1" pivotButton="0" quotePrefix="0" xfId="1">
      <alignment horizontal="center"/>
    </xf>
    <xf numFmtId="0" fontId="4" fillId="3" borderId="1" applyAlignment="1" pivotButton="0" quotePrefix="0" xfId="2">
      <alignment horizontal="center"/>
    </xf>
    <xf numFmtId="0" fontId="4" fillId="3" borderId="1" applyAlignment="1" pivotButton="0" quotePrefix="0" xfId="3">
      <alignment horizontal="center" wrapText="1"/>
    </xf>
    <xf numFmtId="0" fontId="4" fillId="3" borderId="1" applyAlignment="1" pivotButton="0" quotePrefix="0" xfId="3">
      <alignment horizontal="right" wrapText="1"/>
    </xf>
    <xf numFmtId="0" fontId="2" fillId="4" borderId="0" pivotButton="0" quotePrefix="0" xfId="1"/>
    <xf numFmtId="0" fontId="2" fillId="4" borderId="0" applyAlignment="1" pivotButton="0" quotePrefix="0" xfId="1">
      <alignment horizontal="right"/>
    </xf>
    <xf numFmtId="0" fontId="8" fillId="5" borderId="1" applyAlignment="1" pivotButton="0" quotePrefix="0" xfId="3">
      <alignment horizontal="center" textRotation="90" wrapText="1"/>
    </xf>
    <xf numFmtId="0" fontId="8" fillId="3" borderId="1" applyAlignment="1" pivotButton="0" quotePrefix="0" xfId="3">
      <alignment horizontal="center" textRotation="90" wrapText="1"/>
    </xf>
    <xf numFmtId="0" fontId="9" fillId="0" borderId="0" pivotButton="0" quotePrefix="0" xfId="5"/>
    <xf numFmtId="0" fontId="9" fillId="0" borderId="0" applyAlignment="1" pivotButton="0" quotePrefix="0" xfId="5">
      <alignment horizontal="right"/>
    </xf>
    <xf numFmtId="0" fontId="0" fillId="0" borderId="1" pivotButton="0" quotePrefix="0" xfId="0"/>
    <xf numFmtId="0" fontId="0" fillId="0" borderId="1" applyAlignment="1" pivotButton="0" quotePrefix="0" xfId="0">
      <alignment horizontal="center"/>
    </xf>
    <xf numFmtId="0" fontId="0" fillId="0" borderId="1" applyAlignment="1" pivotButton="0" quotePrefix="0" xfId="0">
      <alignment horizontal="left"/>
    </xf>
    <xf numFmtId="0" fontId="2" fillId="4" borderId="1" pivotButton="0" quotePrefix="0" xfId="1"/>
    <xf numFmtId="0" fontId="2" fillId="4" borderId="1" applyAlignment="1" pivotButton="0" quotePrefix="0" xfId="1">
      <alignment horizontal="right"/>
    </xf>
    <xf numFmtId="0" fontId="2" fillId="0" borderId="1" pivotButton="0" quotePrefix="0" xfId="1"/>
    <xf numFmtId="0" fontId="2" fillId="4" borderId="2" pivotButton="0" quotePrefix="0" xfId="1"/>
    <xf numFmtId="0" fontId="2" fillId="4" borderId="2" applyAlignment="1" pivotButton="0" quotePrefix="0" xfId="1">
      <alignment horizontal="right"/>
    </xf>
    <xf numFmtId="1" fontId="2" fillId="4" borderId="2" pivotButton="0" quotePrefix="0" xfId="1"/>
    <xf numFmtId="164" fontId="2" fillId="4" borderId="2" pivotButton="0" quotePrefix="0" xfId="1"/>
    <xf numFmtId="0" fontId="2" fillId="4" borderId="3" pivotButton="0" quotePrefix="0" xfId="1"/>
    <xf numFmtId="0" fontId="10" fillId="6" borderId="1" applyAlignment="1" pivotButton="0" quotePrefix="0" xfId="0">
      <alignment horizontal="left" vertical="center"/>
    </xf>
    <xf numFmtId="0" fontId="10" fillId="6" borderId="4" applyAlignment="1" pivotButton="0" quotePrefix="0" xfId="0">
      <alignment horizontal="left" vertical="center"/>
    </xf>
    <xf numFmtId="0" fontId="10" fillId="6" borderId="5" applyAlignment="1" pivotButton="0" quotePrefix="0" xfId="0">
      <alignment horizontal="left" vertical="center"/>
    </xf>
    <xf numFmtId="0" fontId="10" fillId="6" borderId="6" applyAlignment="1" pivotButton="0" quotePrefix="0" xfId="0">
      <alignment horizontal="left" vertical="center"/>
    </xf>
    <xf numFmtId="165" fontId="2" fillId="4" borderId="2" pivotButton="0" quotePrefix="0" xfId="1"/>
    <xf numFmtId="0" fontId="7" fillId="2" borderId="1" pivotButton="0" quotePrefix="0" xfId="0"/>
    <xf numFmtId="0" fontId="7" fillId="2" borderId="1" applyAlignment="1" pivotButton="0" quotePrefix="0" xfId="0">
      <alignment textRotation="90"/>
    </xf>
    <xf numFmtId="0" fontId="8" fillId="3" borderId="1" applyAlignment="1" pivotButton="0" quotePrefix="0" xfId="3">
      <alignment horizontal="center" wrapText="1"/>
    </xf>
    <xf numFmtId="0" fontId="6" fillId="0" borderId="1" pivotButton="0" quotePrefix="0" xfId="0"/>
    <xf numFmtId="0" fontId="2" fillId="0" borderId="1" pivotButton="0" quotePrefix="0" xfId="0"/>
    <xf numFmtId="0" fontId="2" fillId="2" borderId="0" pivotButton="0" quotePrefix="0" xfId="1"/>
    <xf numFmtId="0" fontId="2" fillId="2" borderId="0" applyAlignment="1" pivotButton="0" quotePrefix="0" xfId="1">
      <alignment horizontal="right"/>
    </xf>
    <xf numFmtId="0" fontId="0" fillId="7" borderId="0" applyAlignment="1" pivotButton="0" quotePrefix="0" xfId="0">
      <alignment wrapText="1"/>
    </xf>
    <xf numFmtId="166" fontId="6" fillId="9" borderId="7" pivotButton="0" quotePrefix="0" xfId="6"/>
    <xf numFmtId="166" fontId="6" fillId="0" borderId="7" pivotButton="0" quotePrefix="0" xfId="6"/>
    <xf numFmtId="0" fontId="9" fillId="9" borderId="7" pivotButton="0" quotePrefix="0" xfId="0"/>
    <xf numFmtId="0" fontId="9" fillId="0" borderId="7" pivotButton="0" quotePrefix="0" xfId="0"/>
    <xf numFmtId="166" fontId="0" fillId="0" borderId="0" pivotButton="0" quotePrefix="0" xfId="0"/>
    <xf numFmtId="0" fontId="6" fillId="0" borderId="1" applyAlignment="1" pivotButton="0" quotePrefix="0" xfId="0">
      <alignment horizontal="center"/>
    </xf>
    <xf numFmtId="0" fontId="0" fillId="11" borderId="0" pivotButton="0" quotePrefix="0" xfId="0"/>
    <xf numFmtId="0" fontId="0" fillId="11" borderId="0" applyAlignment="1" pivotButton="0" quotePrefix="0" xfId="0">
      <alignment horizontal="left"/>
    </xf>
    <xf numFmtId="164" fontId="3" fillId="2" borderId="0" pivotButton="0" quotePrefix="0" xfId="1"/>
    <xf numFmtId="0" fontId="14" fillId="11" borderId="0" pivotButton="0" quotePrefix="0" xfId="0"/>
    <xf numFmtId="166" fontId="6" fillId="10" borderId="7" pivotButton="0" quotePrefix="0" xfId="6"/>
    <xf numFmtId="0" fontId="12" fillId="8" borderId="8" pivotButton="0" quotePrefix="0" xfId="0"/>
    <xf numFmtId="0" fontId="9" fillId="0" borderId="9" pivotButton="0" quotePrefix="0" xfId="0"/>
    <xf numFmtId="166" fontId="6" fillId="0" borderId="9" pivotButton="0" quotePrefix="0" xfId="6"/>
    <xf numFmtId="166" fontId="6" fillId="0" borderId="9" pivotButton="0" quotePrefix="0" xfId="0"/>
    <xf numFmtId="0" fontId="0" fillId="9" borderId="7" pivotButton="0" quotePrefix="0" xfId="0"/>
    <xf numFmtId="166" fontId="0" fillId="9" borderId="7" pivotButton="0" quotePrefix="0" xfId="6"/>
    <xf numFmtId="0" fontId="0" fillId="0" borderId="7" pivotButton="0" quotePrefix="0" xfId="0"/>
    <xf numFmtId="166" fontId="0" fillId="0" borderId="7" pivotButton="0" quotePrefix="0" xfId="6"/>
    <xf numFmtId="0" fontId="15" fillId="8" borderId="8" pivotButton="0" quotePrefix="0" xfId="0"/>
    <xf numFmtId="166" fontId="15" fillId="8" borderId="8" pivotButton="0" quotePrefix="0" xfId="6"/>
    <xf numFmtId="0" fontId="0" fillId="0" borderId="9" pivotButton="0" quotePrefix="0" xfId="0"/>
    <xf numFmtId="166" fontId="0" fillId="0" borderId="9" pivotButton="0" quotePrefix="0" xfId="6"/>
    <xf numFmtId="0" fontId="0" fillId="0" borderId="9" pivotButton="0" quotePrefix="0" xfId="0"/>
    <xf numFmtId="166" fontId="11" fillId="0" borderId="9" pivotButton="0" quotePrefix="0" xfId="0"/>
    <xf numFmtId="0" fontId="14" fillId="0" borderId="1" pivotButton="0" quotePrefix="0" xfId="0"/>
    <xf numFmtId="167" fontId="14" fillId="0" borderId="1" pivotButton="0" quotePrefix="0" xfId="6"/>
    <xf numFmtId="2" fontId="2" fillId="4" borderId="1" pivotButton="0" quotePrefix="0" xfId="1"/>
    <xf numFmtId="2" fontId="2" fillId="0" borderId="1" pivotButton="0" quotePrefix="0" xfId="0"/>
    <xf numFmtId="0" fontId="12" fillId="12" borderId="10" pivotButton="0" quotePrefix="0" xfId="0"/>
    <xf numFmtId="0" fontId="12" fillId="12" borderId="11" pivotButton="0" quotePrefix="0" xfId="0"/>
    <xf numFmtId="0" fontId="9" fillId="13" borderId="10" pivotButton="0" quotePrefix="0" xfId="0"/>
    <xf numFmtId="0" fontId="9" fillId="13" borderId="11" pivotButton="0" quotePrefix="0" xfId="0"/>
    <xf numFmtId="167" fontId="9" fillId="13" borderId="11" pivotButton="0" quotePrefix="0" xfId="6"/>
    <xf numFmtId="0" fontId="9" fillId="0" borderId="10" pivotButton="0" quotePrefix="0" xfId="0"/>
    <xf numFmtId="0" fontId="9" fillId="0" borderId="11" pivotButton="0" quotePrefix="0" xfId="0"/>
    <xf numFmtId="167" fontId="9" fillId="0" borderId="11" pivotButton="0" quotePrefix="0" xfId="6"/>
    <xf numFmtId="0" fontId="13" fillId="0" borderId="12" pivotButton="0" quotePrefix="0" xfId="0"/>
    <xf numFmtId="0" fontId="13" fillId="0" borderId="13" pivotButton="0" quotePrefix="0" xfId="0"/>
    <xf numFmtId="167" fontId="13" fillId="0" borderId="13" pivotButton="0" quotePrefix="0" xfId="6"/>
    <xf numFmtId="165" fontId="2" fillId="4" borderId="2" pivotButton="0" quotePrefix="0" xfId="1"/>
    <xf numFmtId="164" fontId="2" fillId="4" borderId="2" pivotButton="0" quotePrefix="0" xfId="1"/>
    <xf numFmtId="164" fontId="3" fillId="2" borderId="0" pivotButton="0" quotePrefix="0" xfId="1"/>
    <xf numFmtId="166" fontId="6" fillId="0" borderId="7" pivotButton="0" quotePrefix="0" xfId="6"/>
    <xf numFmtId="166" fontId="6" fillId="9" borderId="7" pivotButton="0" quotePrefix="0" xfId="6"/>
    <xf numFmtId="166" fontId="6" fillId="10" borderId="7" pivotButton="0" quotePrefix="0" xfId="6"/>
    <xf numFmtId="166" fontId="6" fillId="0" borderId="9" pivotButton="0" quotePrefix="0" xfId="6"/>
    <xf numFmtId="166" fontId="6" fillId="0" borderId="9" pivotButton="0" quotePrefix="0" xfId="0"/>
    <xf numFmtId="166" fontId="0" fillId="0" borderId="0" pivotButton="0" quotePrefix="0" xfId="0"/>
    <xf numFmtId="166" fontId="15" fillId="8" borderId="8" pivotButton="0" quotePrefix="0" xfId="6"/>
    <xf numFmtId="166" fontId="0" fillId="9" borderId="7" pivotButton="0" quotePrefix="0" xfId="6"/>
    <xf numFmtId="166" fontId="0" fillId="0" borderId="7" pivotButton="0" quotePrefix="0" xfId="6"/>
    <xf numFmtId="166" fontId="0" fillId="0" borderId="9" pivotButton="0" quotePrefix="0" xfId="6"/>
    <xf numFmtId="166" fontId="11" fillId="0" borderId="9" pivotButton="0" quotePrefix="0" xfId="0"/>
    <xf numFmtId="167" fontId="9" fillId="13" borderId="11" pivotButton="0" quotePrefix="0" xfId="6"/>
    <xf numFmtId="167" fontId="9" fillId="0" borderId="11" pivotButton="0" quotePrefix="0" xfId="6"/>
    <xf numFmtId="167" fontId="13" fillId="0" borderId="13" pivotButton="0" quotePrefix="0" xfId="6"/>
    <xf numFmtId="167" fontId="14" fillId="0" borderId="1" pivotButton="0" quotePrefix="0" xfId="6"/>
  </cellXfs>
  <cellStyles count="7">
    <cellStyle name="Normal" xfId="0" builtinId="0"/>
    <cellStyle name="Normal_Ind.2010" xfId="1"/>
    <cellStyle name="Normal_Becas 14_9_2005" xfId="2"/>
    <cellStyle name="Normal_PDI por Centro" xfId="3"/>
    <cellStyle name="Normal 2" xfId="4"/>
    <cellStyle name="Normal 3" xfId="5"/>
    <cellStyle name="Millares" xfId="6" builtinId="3"/>
  </cellStyles>
  <dxfs count="19">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35" formatCode="_-* #,##0.00_-;\-* #,##0.00_-;_-* &quot;-&quot;??_-;_-@_-"/>
      <border>
        <left/>
        <right/>
        <top style="thin">
          <color theme="9" tint="0.3999755851924192"/>
        </top>
        <bottom style="thin">
          <color theme="9" tint="0.3999755851924192"/>
        </bottom>
        <vertical/>
        <horizontal/>
      </border>
    </dxf>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0" formatCode="General"/>
      <border>
        <left/>
        <right/>
        <top style="thin">
          <color theme="9" tint="0.3999755851924192"/>
        </top>
        <bottom style="thin">
          <color theme="9" tint="0.3999755851924192"/>
        </bottom>
        <vertical/>
        <horizontal/>
      </border>
    </dxf>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0" formatCode="General"/>
      <border>
        <left/>
        <right/>
        <top style="thin">
          <color theme="9" tint="0.3999755851924192"/>
        </top>
        <bottom style="thin">
          <color theme="9" tint="0.3999755851924192"/>
        </bottom>
        <vertical/>
        <horizontal/>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strike val="0"/>
        <outline val="0"/>
        <shadow val="0"/>
        <condense val="0"/>
        <color auto="1"/>
        <extend val="0"/>
        <sz val="10"/>
        <vertAlign val="baseline"/>
      </font>
      <border outline="0">
        <left/>
        <right/>
        <top/>
        <bottom/>
      </border>
    </dxf>
    <dxf>
      <font>
        <name val="Arial"/>
        <family val="2"/>
        <strike val="0"/>
        <outline val="0"/>
        <shadow val="0"/>
        <condense val="0"/>
        <color auto="1"/>
        <extend val="0"/>
        <sz val="10"/>
        <vertAlign val="baseline"/>
      </font>
      <numFmt numFmtId="35" formatCode="_-* #,##0.00_-;\-* #,##0.00_-;_-* &quot;-&quot;??_-;_-@_-"/>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border outline="0">
        <left/>
        <right/>
        <top/>
        <bottom/>
      </border>
    </dxf>
    <dxf>
      <font>
        <name val="Arial"/>
        <family val="2"/>
        <strike val="0"/>
        <outline val="0"/>
        <shadow val="0"/>
        <condense val="0"/>
        <color theme="1"/>
        <extend val="0"/>
        <sz val="10"/>
        <vertAlign val="baseline"/>
      </font>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border outline="0">
        <left/>
        <right/>
        <top/>
        <bottom/>
      </border>
    </dxf>
    <dxf>
      <font>
        <name val="Arial"/>
        <family val="2"/>
        <strike val="0"/>
        <outline val="0"/>
        <shadow val="0"/>
        <condense val="0"/>
        <color theme="1"/>
        <extend val="0"/>
        <sz val="10"/>
        <vertAlign val="baseline"/>
      </font>
      <border>
        <left/>
        <right/>
        <top style="thin">
          <color theme="9" tint="0.3999755851924192"/>
        </top>
        <bottom style="thin">
          <color theme="9" tint="0.3999755851924192"/>
        </bottom>
        <vertical/>
        <horizontal/>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ables/table1.xml><?xml version="1.0" encoding="utf-8"?>
<table xmlns="http://schemas.openxmlformats.org/spreadsheetml/2006/main" id="1" name="Tabla2" displayName="Tabla2" ref="A1:C60" headerRowCount="1" totalsRowCount="1" headerRowDxfId="18" headerRowBorderDxfId="17" tableBorderDxfId="16" totalsRowBorderDxfId="15">
  <autoFilter ref="A1:C59"/>
  <tableColumns count="3">
    <tableColumn id="1" name="Cód. org. aplic." totalsRowLabel="Total" dataDxfId="14" totalsRowDxfId="13"/>
    <tableColumn id="2" name="Descripción justificante" dataDxfId="12" totalsRowDxfId="11"/>
    <tableColumn id="3" name="Imp.cob.aplic." totalsRowFunction="sum" dataDxfId="10" totalsRowDxfId="9" dataCellStyle="Millares" totalsRowCellStyle="Millares"/>
  </tableColumns>
  <tableStyleInfo name="TableStyleLight14" showFirstColumn="0" showLastColumn="0" showRowStripes="1" showColumnStripes="0"/>
</table>
</file>

<file path=xl/tables/table2.xml><?xml version="1.0" encoding="utf-8"?>
<table xmlns="http://schemas.openxmlformats.org/spreadsheetml/2006/main" id="2" name="Tabla3" displayName="Tabla3" ref="A1:C58" headerRowCount="1" totalsRowCount="1" headerRowBorderDxfId="8" tableBorderDxfId="7" totalsRowBorderDxfId="6">
  <autoFilter ref="A1:C57"/>
  <tableColumns count="3">
    <tableColumn id="1" name="Org. aplic." totalsRowLabel="Total" dataDxfId="5" totalsRowDxfId="4"/>
    <tableColumn id="2" name="Descripción justificante" dataDxfId="3" totalsRowDxfId="2"/>
    <tableColumn id="3" name="Imp. aplic." totalsRowFunction="sum" dataDxfId="1" totalsRowDxfId="0" dataCellStyle="Millares" totalsRowCellStyle="Millar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U77"/>
  <sheetViews>
    <sheetView showGridLines="0" zoomScale="120" zoomScaleNormal="120" workbookViewId="0">
      <pane xSplit="1" ySplit="1" topLeftCell="C43" activePane="bottomRight" state="frozen"/>
      <selection pane="topRight" activeCell="B1" sqref="B1"/>
      <selection pane="bottomLeft" activeCell="A2" sqref="A2"/>
      <selection pane="bottomRight" activeCell="D66" sqref="D66"/>
    </sheetView>
  </sheetViews>
  <sheetFormatPr baseColWidth="10" defaultColWidth="10.33203125" defaultRowHeight="10.2"/>
  <cols>
    <col width="5" customWidth="1" style="6" min="1" max="1"/>
    <col width="29.6640625" customWidth="1" style="6" min="2" max="4"/>
    <col width="40.6640625" customWidth="1" style="6" min="5" max="5"/>
    <col width="9.109375" customWidth="1" style="6" min="6" max="6"/>
    <col width="9.6640625" customWidth="1" style="6" min="7" max="7"/>
    <col width="14.44140625" customWidth="1" style="6" min="8" max="8"/>
    <col width="5.88671875" customWidth="1" style="6" min="9" max="9"/>
    <col width="25.6640625" customWidth="1" style="6" min="10" max="10"/>
    <col width="5.109375" customWidth="1" style="6" min="11" max="12"/>
    <col width="4.44140625" customWidth="1" style="6" min="13" max="13"/>
    <col width="4.88671875" customWidth="1" style="6" min="14" max="14"/>
    <col width="4.88671875" customWidth="1" style="7" min="15" max="15"/>
    <col width="4.88671875" customWidth="1" style="6" min="16" max="16"/>
    <col width="3.5546875" customWidth="1" style="7" min="17" max="17"/>
    <col width="5.44140625" customWidth="1" style="6" min="18" max="18"/>
    <col width="5.109375" customWidth="1" style="6" min="19" max="21"/>
    <col width="10.33203125" customWidth="1" style="6" min="22" max="16384"/>
  </cols>
  <sheetData>
    <row r="1" ht="40.8" customHeight="1">
      <c r="A1" s="1" t="inlineStr">
        <is>
          <t>C.D.</t>
        </is>
      </c>
      <c r="B1" s="2" t="inlineStr">
        <is>
          <t>Departamento</t>
        </is>
      </c>
      <c r="C1" s="2" t="inlineStr">
        <is>
          <t>Plan</t>
        </is>
      </c>
      <c r="D1" s="2" t="inlineStr">
        <is>
          <t>Alumno</t>
        </is>
      </c>
      <c r="E1" s="2" t="inlineStr">
        <is>
          <t>Tesis</t>
        </is>
      </c>
      <c r="F1" s="2" t="inlineStr">
        <is>
          <t>Fecha</t>
        </is>
      </c>
      <c r="G1" s="2" t="inlineStr">
        <is>
          <t>Tutor</t>
        </is>
      </c>
      <c r="H1" s="2" t="inlineStr">
        <is>
          <t>Rol</t>
        </is>
      </c>
      <c r="I1" s="1" t="inlineStr">
        <is>
          <t>C.DEP.</t>
        </is>
      </c>
      <c r="J1" s="2" t="inlineStr">
        <is>
          <t>Departamento Tutor</t>
        </is>
      </c>
      <c r="K1" s="1" t="inlineStr">
        <is>
          <t>ASIGNACIÓN</t>
        </is>
      </c>
      <c r="L1" s="2" t="inlineStr">
        <is>
          <t>DEP.ASIG.</t>
        </is>
      </c>
      <c r="M1" s="3" t="inlineStr">
        <is>
          <t>EJERCICIO</t>
        </is>
      </c>
      <c r="N1" s="4" t="inlineStr">
        <is>
          <t>INS 1</t>
        </is>
      </c>
      <c r="O1" s="5" t="inlineStr">
        <is>
          <t>DED INS 1</t>
        </is>
      </c>
      <c r="P1" s="4" t="inlineStr">
        <is>
          <t>INS 2</t>
        </is>
      </c>
      <c r="Q1" s="5" t="inlineStr">
        <is>
          <t>DED INS 2</t>
        </is>
      </c>
      <c r="R1" s="4" t="inlineStr">
        <is>
          <t>DED DEP</t>
        </is>
      </c>
      <c r="S1" s="4" t="inlineStr">
        <is>
          <t>TDOC DEP</t>
        </is>
      </c>
      <c r="T1" s="4" t="inlineStr">
        <is>
          <t>TDOC INST 1</t>
        </is>
      </c>
      <c r="U1" s="4" t="inlineStr">
        <is>
          <t>TDOC INST 2</t>
        </is>
      </c>
    </row>
    <row r="2">
      <c r="A2" s="18" t="inlineStr">
        <is>
          <t xml:space="preserve">U044 </t>
        </is>
      </c>
      <c r="B2" s="18" t="inlineStr">
        <is>
          <t xml:space="preserve">ADM. FACULTAD DE CIENCIAS DE LA SALUD </t>
        </is>
      </c>
      <c r="C2" s="18" t="inlineStr">
        <is>
          <t xml:space="preserve">DOCTORADO EN CIENCIAS DE LA SALUD </t>
        </is>
      </c>
      <c r="D2" s="18" t="inlineStr">
        <is>
          <t xml:space="preserve">Fernández Frías, Ana María </t>
        </is>
      </c>
      <c r="E2" s="18" t="inlineStr">
        <is>
          <t xml:space="preserve">NUEVAS TECNOLOGÍAS Y CÁNCER DE MAMA. ANÁLISIS MEDIANTE E-HEALTH DE LA ANSIEDAD DURANTE LA FASE DIAGNÓSTICA DE UNA LESIÓN MAMARIA SOSPECHOSA </t>
        </is>
      </c>
      <c r="F2" s="18" t="inlineStr">
        <is>
          <t xml:space="preserve">29/07/2020 </t>
        </is>
      </c>
      <c r="G2" s="18" t="inlineStr">
        <is>
          <t xml:space="preserve">21510176R </t>
        </is>
      </c>
      <c r="H2" s="18" t="inlineStr">
        <is>
          <t xml:space="preserve">Director de tesis </t>
        </is>
      </c>
      <c r="I2" s="18" t="inlineStr">
        <is>
          <t xml:space="preserve">B148 </t>
        </is>
      </c>
      <c r="J2" s="18" t="inlineStr">
        <is>
          <t xml:space="preserve">TECNOLOGÍA INFORMÁTICA Y COMPUTACIÓN </t>
        </is>
      </c>
      <c r="K2" s="76" t="n">
        <v>1</v>
      </c>
      <c r="L2" s="18" t="inlineStr">
        <is>
          <t>B148</t>
        </is>
      </c>
      <c r="M2" s="18" t="n">
        <v>2019</v>
      </c>
      <c r="N2" s="18" t="inlineStr">
        <is>
          <t>10.19</t>
        </is>
      </c>
      <c r="O2" s="19" t="inlineStr">
        <is>
          <t>20</t>
        </is>
      </c>
      <c r="P2" s="18" t="inlineStr"/>
      <c r="Q2" s="19" t="inlineStr"/>
      <c r="R2" s="20" t="n">
        <v>80</v>
      </c>
      <c r="S2" s="77" t="n">
        <v>0.8</v>
      </c>
      <c r="T2" s="77" t="n">
        <v>0.2</v>
      </c>
      <c r="U2" s="77" t="n">
        <v>0</v>
      </c>
    </row>
    <row r="3">
      <c r="A3" s="18" t="inlineStr">
        <is>
          <t xml:space="preserve">U062 </t>
        </is>
      </c>
      <c r="B3" s="18" t="inlineStr">
        <is>
          <t xml:space="preserve">ADM. I.U. DE INVESTIGACIÓN INFORMÁTICA </t>
        </is>
      </c>
      <c r="C3" s="18" t="inlineStr">
        <is>
          <t xml:space="preserve">DOCTORADO EN INFORMÁTICA </t>
        </is>
      </c>
      <c r="D3" s="18" t="inlineStr">
        <is>
          <t xml:space="preserve">Cadena Vela, Susana Graciela </t>
        </is>
      </c>
      <c r="E3" s="18" t="inlineStr">
        <is>
          <t xml:space="preserve">MARCO DE REFERENCIA PARA LA PUBLICACIÓN DE DATOS ABIERTOS COMPRENSIBLES BASADO EN ESTÁNDARES DE CALIDAD </t>
        </is>
      </c>
      <c r="F3" s="18" t="inlineStr">
        <is>
          <t xml:space="preserve">20/11/2019 </t>
        </is>
      </c>
      <c r="G3" s="18" t="inlineStr">
        <is>
          <t xml:space="preserve">22000675W </t>
        </is>
      </c>
      <c r="H3" s="18" t="inlineStr">
        <is>
          <t xml:space="preserve">Codirector de tesis </t>
        </is>
      </c>
      <c r="I3" s="18" t="inlineStr">
        <is>
          <t xml:space="preserve">B148 </t>
        </is>
      </c>
      <c r="J3" s="18" t="inlineStr">
        <is>
          <t xml:space="preserve">TECNOLOGÍA INFORMÁTICA Y COMPUTACIÓN </t>
        </is>
      </c>
      <c r="K3" s="76" t="n">
        <v>0.5</v>
      </c>
      <c r="L3" s="18" t="inlineStr">
        <is>
          <t>B148</t>
        </is>
      </c>
      <c r="M3" s="18" t="n">
        <v>2019</v>
      </c>
      <c r="N3" s="18" t="inlineStr">
        <is>
          <t>10.19</t>
        </is>
      </c>
      <c r="O3" s="19" t="inlineStr">
        <is>
          <t>50</t>
        </is>
      </c>
      <c r="P3" s="18" t="inlineStr"/>
      <c r="Q3" s="19" t="inlineStr"/>
      <c r="R3" s="20" t="n">
        <v>50</v>
      </c>
      <c r="S3" s="77" t="n">
        <v>0.25</v>
      </c>
      <c r="T3" s="77" t="n">
        <v>0.25</v>
      </c>
      <c r="U3" s="77" t="n">
        <v>0</v>
      </c>
    </row>
    <row r="4">
      <c r="A4" s="18" t="inlineStr">
        <is>
          <t xml:space="preserve">U062 </t>
        </is>
      </c>
      <c r="B4" s="18" t="inlineStr">
        <is>
          <t xml:space="preserve">ADM. I.U. DE INVESTIGACIÓN INFORMÁTICA </t>
        </is>
      </c>
      <c r="C4" s="18" t="inlineStr">
        <is>
          <t xml:space="preserve">DOCTORADO EN INFORMÁTICA </t>
        </is>
      </c>
      <c r="D4" s="18" t="inlineStr">
        <is>
          <t xml:space="preserve">Cortes Castillo, Antonio </t>
        </is>
      </c>
      <c r="E4" s="18" t="inlineStr">
        <is>
          <t xml:space="preserve">MODELIZACIÓN DE LA PROPAGACIÓN DE INFORMACIÓN A TRAVÉS DE LAS REDES INFORMÁTICAS </t>
        </is>
      </c>
      <c r="F4" s="18" t="inlineStr">
        <is>
          <t xml:space="preserve">16/07/2020 </t>
        </is>
      </c>
      <c r="G4" s="18" t="inlineStr">
        <is>
          <t xml:space="preserve">21411855M </t>
        </is>
      </c>
      <c r="H4" s="18" t="inlineStr">
        <is>
          <t xml:space="preserve">Director de tesis </t>
        </is>
      </c>
      <c r="I4" s="18" t="inlineStr">
        <is>
          <t xml:space="preserve">B148 </t>
        </is>
      </c>
      <c r="J4" s="18" t="inlineStr">
        <is>
          <t xml:space="preserve">TECNOLOGÍA INFORMÁTICA Y COMPUTACIÓN </t>
        </is>
      </c>
      <c r="K4" s="76" t="n">
        <v>1</v>
      </c>
      <c r="L4" s="18" t="inlineStr">
        <is>
          <t>B148</t>
        </is>
      </c>
      <c r="M4" s="18" t="n">
        <v>2019</v>
      </c>
      <c r="N4" s="18" t="inlineStr">
        <is>
          <t>10.19</t>
        </is>
      </c>
      <c r="O4" s="19" t="inlineStr">
        <is>
          <t>20</t>
        </is>
      </c>
      <c r="P4" s="18" t="inlineStr"/>
      <c r="Q4" s="19" t="inlineStr"/>
      <c r="R4" s="20" t="n">
        <v>80</v>
      </c>
      <c r="S4" s="77" t="n">
        <v>0.8</v>
      </c>
      <c r="T4" s="77" t="n">
        <v>0.2</v>
      </c>
      <c r="U4" s="77" t="n">
        <v>0</v>
      </c>
    </row>
    <row r="5">
      <c r="A5" s="18" t="inlineStr">
        <is>
          <t xml:space="preserve">U062 </t>
        </is>
      </c>
      <c r="B5" s="18" t="inlineStr">
        <is>
          <t xml:space="preserve">ADM. I.U. DE INVESTIGACIÓN INFORMÁTICA </t>
        </is>
      </c>
      <c r="C5" s="18" t="inlineStr">
        <is>
          <t xml:space="preserve">DOCTORADO EN INFORMÁTICA </t>
        </is>
      </c>
      <c r="D5" s="18" t="inlineStr">
        <is>
          <t xml:space="preserve">Espín León, Aldrin Marcel </t>
        </is>
      </c>
      <c r="E5" s="18" t="inlineStr">
        <is>
          <t>Caracterización y cuantificación de la identidad cultural; aplicación a la cultura indígena amazónica</t>
        </is>
      </c>
      <c r="F5" s="18" t="inlineStr">
        <is>
          <t xml:space="preserve">06/07/2020 </t>
        </is>
      </c>
      <c r="G5" s="18" t="inlineStr">
        <is>
          <t xml:space="preserve">29011916S </t>
        </is>
      </c>
      <c r="H5" s="18" t="inlineStr">
        <is>
          <t xml:space="preserve">Codirector de tesis </t>
        </is>
      </c>
      <c r="I5" s="18" t="inlineStr">
        <is>
          <t xml:space="preserve">B148 </t>
        </is>
      </c>
      <c r="J5" s="18" t="inlineStr">
        <is>
          <t xml:space="preserve">TECNOLOGÍA INFORMÁTICA Y COMPUTACIÓN </t>
        </is>
      </c>
      <c r="K5" s="76" t="n">
        <v>0.5</v>
      </c>
      <c r="L5" s="18" t="inlineStr">
        <is>
          <t>B148</t>
        </is>
      </c>
      <c r="M5" s="18" t="n">
        <v>2019</v>
      </c>
      <c r="N5" s="18" t="inlineStr">
        <is>
          <t>10.19</t>
        </is>
      </c>
      <c r="O5" s="19" t="inlineStr">
        <is>
          <t>20</t>
        </is>
      </c>
      <c r="P5" s="18" t="inlineStr"/>
      <c r="Q5" s="19" t="inlineStr"/>
      <c r="R5" s="20" t="n">
        <v>80</v>
      </c>
      <c r="S5" s="77" t="n">
        <v>0.4</v>
      </c>
      <c r="T5" s="77" t="n">
        <v>0.1</v>
      </c>
      <c r="U5" s="77" t="n">
        <v>0</v>
      </c>
    </row>
    <row r="6">
      <c r="A6" s="18" t="inlineStr">
        <is>
          <t xml:space="preserve">U062 </t>
        </is>
      </c>
      <c r="B6" s="18" t="inlineStr">
        <is>
          <t xml:space="preserve">ADM. I.U. DE INVESTIGACIÓN INFORMÁTICA </t>
        </is>
      </c>
      <c r="C6" s="18" t="inlineStr">
        <is>
          <t xml:space="preserve">DOCTORADO EN INFORMÁTICA </t>
        </is>
      </c>
      <c r="D6" s="18" t="inlineStr">
        <is>
          <t xml:space="preserve">Enríquez Reyes, Robert </t>
        </is>
      </c>
      <c r="E6" s="18" t="inlineStr">
        <is>
          <t xml:space="preserve">SELECCIÓN DE CONJUNTOS DE DATOS A PUBLICAR EN ABIERTO BASADA EN EL MÉTODO DELPHI DIFUSO </t>
        </is>
      </c>
      <c r="F6" s="18" t="inlineStr">
        <is>
          <t xml:space="preserve">20/11/2019 </t>
        </is>
      </c>
      <c r="G6" s="18" t="inlineStr">
        <is>
          <t xml:space="preserve">22000675W </t>
        </is>
      </c>
      <c r="H6" s="18" t="inlineStr">
        <is>
          <t xml:space="preserve">Codirector de tesis </t>
        </is>
      </c>
      <c r="I6" s="18" t="inlineStr">
        <is>
          <t xml:space="preserve">B148 </t>
        </is>
      </c>
      <c r="J6" s="18" t="inlineStr">
        <is>
          <t xml:space="preserve">TECNOLOGÍA INFORMÁTICA Y COMPUTACIÓN </t>
        </is>
      </c>
      <c r="K6" s="76" t="n">
        <v>0.5</v>
      </c>
      <c r="L6" s="18" t="inlineStr">
        <is>
          <t>B148</t>
        </is>
      </c>
      <c r="M6" s="18" t="n">
        <v>2019</v>
      </c>
      <c r="N6" s="18" t="inlineStr">
        <is>
          <t>10.19</t>
        </is>
      </c>
      <c r="O6" s="19" t="inlineStr">
        <is>
          <t>50</t>
        </is>
      </c>
      <c r="P6" s="18" t="inlineStr"/>
      <c r="Q6" s="19" t="inlineStr"/>
      <c r="R6" s="20" t="n">
        <v>50</v>
      </c>
      <c r="S6" s="77" t="n">
        <v>0.25</v>
      </c>
      <c r="T6" s="77" t="n">
        <v>0.25</v>
      </c>
      <c r="U6" s="77" t="n">
        <v>0</v>
      </c>
    </row>
    <row r="7">
      <c r="A7" s="18" t="inlineStr">
        <is>
          <t xml:space="preserve">U062 </t>
        </is>
      </c>
      <c r="B7" s="18" t="inlineStr">
        <is>
          <t xml:space="preserve">ADM. I.U. DE INVESTIGACIÓN INFORMÁTICA </t>
        </is>
      </c>
      <c r="C7" s="18" t="inlineStr">
        <is>
          <t xml:space="preserve">DOCTORADO EN INFORMÁTICA </t>
        </is>
      </c>
      <c r="D7" s="18" t="inlineStr">
        <is>
          <t xml:space="preserve">Buenaño Fernández, Diego Patricio </t>
        </is>
      </c>
      <c r="E7" s="18" t="inlineStr">
        <is>
          <t xml:space="preserve">PROPUESTA DE UN CONJUNTO DE HERRAMIENTAS DE MINERÍA DE DATOS PARA EVALUAR EL DESEMPEÑO DE LOS ESTUDIANTES Y LOS PROCESOS DE ENSEÑANZA-APRENDIZAJE EN EL ÁMBITO DE LA EDUACIÓN EN LA INGENIERÍA </t>
        </is>
      </c>
      <c r="F7" s="18" t="inlineStr">
        <is>
          <t xml:space="preserve">19/06/2020 </t>
        </is>
      </c>
      <c r="G7" s="18" t="inlineStr">
        <is>
          <t xml:space="preserve">50170678L </t>
        </is>
      </c>
      <c r="H7" s="18" t="inlineStr">
        <is>
          <t xml:space="preserve">Codirector de tesis </t>
        </is>
      </c>
      <c r="I7" s="18" t="inlineStr">
        <is>
          <t xml:space="preserve">B148 </t>
        </is>
      </c>
      <c r="J7" s="18" t="inlineStr">
        <is>
          <t xml:space="preserve">TECNOLOGÍA INFORMÁTICA Y COMPUTACIÓN </t>
        </is>
      </c>
      <c r="K7" s="76" t="n">
        <v>0.5</v>
      </c>
      <c r="L7" s="18" t="inlineStr">
        <is>
          <t>B148</t>
        </is>
      </c>
      <c r="M7" s="18" t="n">
        <v>2019</v>
      </c>
      <c r="N7" s="18" t="inlineStr">
        <is>
          <t>10.19</t>
        </is>
      </c>
      <c r="O7" s="19" t="inlineStr">
        <is>
          <t>20</t>
        </is>
      </c>
      <c r="P7" s="18" t="inlineStr"/>
      <c r="Q7" s="19" t="inlineStr"/>
      <c r="R7" s="20" t="n">
        <v>80</v>
      </c>
      <c r="S7" s="77" t="n">
        <v>0.4</v>
      </c>
      <c r="T7" s="77" t="n">
        <v>0.1</v>
      </c>
      <c r="U7" s="77" t="n">
        <v>0</v>
      </c>
    </row>
    <row r="8">
      <c r="A8" s="18" t="inlineStr">
        <is>
          <t xml:space="preserve">U062 </t>
        </is>
      </c>
      <c r="B8" s="18" t="inlineStr">
        <is>
          <t xml:space="preserve">ADM. I.U. DE INVESTIGACIÓN INFORMÁTICA </t>
        </is>
      </c>
      <c r="C8" s="18" t="inlineStr">
        <is>
          <t xml:space="preserve">DOCTORADO EN INFORMÁTICA </t>
        </is>
      </c>
      <c r="D8" s="18" t="inlineStr">
        <is>
          <t xml:space="preserve">Borja Borja, Luis Felipe </t>
        </is>
      </c>
      <c r="E8" s="18" t="inlineStr">
        <is>
          <t xml:space="preserve">Arquitectura de visión y aprendizaje para el reconocimiento de actividades de grupos usando descriptores de movimient </t>
        </is>
      </c>
      <c r="F8" s="18" t="inlineStr">
        <is>
          <t xml:space="preserve">25/06/2020 </t>
        </is>
      </c>
      <c r="G8" s="18" t="inlineStr">
        <is>
          <t xml:space="preserve">52764803C </t>
        </is>
      </c>
      <c r="H8" s="18" t="inlineStr">
        <is>
          <t xml:space="preserve">Codirector de tesis </t>
        </is>
      </c>
      <c r="I8" s="18" t="inlineStr">
        <is>
          <t xml:space="preserve">B148 </t>
        </is>
      </c>
      <c r="J8" s="18" t="inlineStr">
        <is>
          <t xml:space="preserve">TECNOLOGÍA INFORMÁTICA Y COMPUTACIÓN </t>
        </is>
      </c>
      <c r="K8" s="76" t="n">
        <v>0.5</v>
      </c>
      <c r="L8" s="18" t="inlineStr">
        <is>
          <t>B148</t>
        </is>
      </c>
      <c r="M8" s="18" t="n">
        <v>2019</v>
      </c>
      <c r="N8" s="18" t="inlineStr">
        <is>
          <t>10.19</t>
        </is>
      </c>
      <c r="O8" s="19" t="inlineStr">
        <is>
          <t>50</t>
        </is>
      </c>
      <c r="P8" s="18" t="inlineStr"/>
      <c r="Q8" s="19" t="inlineStr"/>
      <c r="R8" s="20" t="n">
        <v>50</v>
      </c>
      <c r="S8" s="77" t="n">
        <v>0.25</v>
      </c>
      <c r="T8" s="77" t="n">
        <v>0.25</v>
      </c>
      <c r="U8" s="77" t="n">
        <v>0</v>
      </c>
    </row>
    <row r="9">
      <c r="A9" s="18" t="inlineStr">
        <is>
          <t xml:space="preserve">U062 </t>
        </is>
      </c>
      <c r="B9" s="18" t="inlineStr">
        <is>
          <t xml:space="preserve">ADM. I.U. DE INVESTIGACIÓN INFORMÁTICA </t>
        </is>
      </c>
      <c r="C9" s="18" t="inlineStr">
        <is>
          <t xml:space="preserve">DOCTORADO EN INFORMÁTICA </t>
        </is>
      </c>
      <c r="D9" s="18" t="inlineStr">
        <is>
          <t xml:space="preserve">Borja Borja, Luis Felipe </t>
        </is>
      </c>
      <c r="E9" s="18" t="inlineStr">
        <is>
          <t xml:space="preserve">Arquitectura de visión y aprendizaje para el reconocimiento de actividades de grupos usando descriptores de movimient </t>
        </is>
      </c>
      <c r="F9" s="18" t="inlineStr">
        <is>
          <t xml:space="preserve">25/06/2020 </t>
        </is>
      </c>
      <c r="G9" s="18" t="inlineStr">
        <is>
          <t xml:space="preserve">48325227L </t>
        </is>
      </c>
      <c r="H9" s="18" t="inlineStr">
        <is>
          <t xml:space="preserve">Codirector de tesis </t>
        </is>
      </c>
      <c r="I9" s="18" t="inlineStr">
        <is>
          <t xml:space="preserve">B148 </t>
        </is>
      </c>
      <c r="J9" s="18" t="inlineStr">
        <is>
          <t xml:space="preserve">TECNOLOGÍA INFORMÁTICA Y COMPUTACIÓN </t>
        </is>
      </c>
      <c r="K9" s="76" t="n">
        <v>0.5</v>
      </c>
      <c r="L9" s="18" t="inlineStr">
        <is>
          <t>B148</t>
        </is>
      </c>
      <c r="M9" s="18" t="n">
        <v>2019</v>
      </c>
      <c r="N9" s="18" t="inlineStr">
        <is>
          <t>10.19</t>
        </is>
      </c>
      <c r="O9" s="19" t="inlineStr">
        <is>
          <t>20</t>
        </is>
      </c>
      <c r="P9" s="18" t="inlineStr"/>
      <c r="Q9" s="19" t="inlineStr"/>
      <c r="R9" s="20" t="n">
        <v>80</v>
      </c>
      <c r="S9" s="77" t="n">
        <v>0.4</v>
      </c>
      <c r="T9" s="77" t="n">
        <v>0.1</v>
      </c>
      <c r="U9" s="77" t="n">
        <v>0</v>
      </c>
    </row>
    <row r="10">
      <c r="A10" s="18" t="inlineStr">
        <is>
          <t xml:space="preserve">U062 </t>
        </is>
      </c>
      <c r="B10" s="18" t="inlineStr">
        <is>
          <t xml:space="preserve">ADM. I.U. DE INVESTIGACIÓN INFORMÁTICA </t>
        </is>
      </c>
      <c r="C10" s="18" t="inlineStr">
        <is>
          <t xml:space="preserve">DOCTORADO EN INFORMÁTICA </t>
        </is>
      </c>
      <c r="D10" s="18" t="inlineStr">
        <is>
          <t xml:space="preserve">García García, Alberto </t>
        </is>
      </c>
      <c r="E10" s="18" t="inlineStr">
        <is>
          <t xml:space="preserve">DEEP LEARNING FOR 3D PERCEPTION: COMPUTER VISION AND TACTILE SENSING </t>
        </is>
      </c>
      <c r="F10" s="18" t="inlineStr">
        <is>
          <t xml:space="preserve">28/10/2019 </t>
        </is>
      </c>
      <c r="G10" s="18" t="inlineStr">
        <is>
          <t xml:space="preserve">21486541X </t>
        </is>
      </c>
      <c r="H10" s="18" t="inlineStr">
        <is>
          <t xml:space="preserve">Codirector de tesis </t>
        </is>
      </c>
      <c r="I10" s="18" t="inlineStr">
        <is>
          <t xml:space="preserve">B148 </t>
        </is>
      </c>
      <c r="J10" s="18" t="inlineStr">
        <is>
          <t xml:space="preserve">TECNOLOGÍA INFORMÁTICA Y COMPUTACIÓN </t>
        </is>
      </c>
      <c r="K10" s="76" t="n">
        <v>0.5</v>
      </c>
      <c r="L10" s="18" t="inlineStr">
        <is>
          <t>B148</t>
        </is>
      </c>
      <c r="M10" s="18" t="n">
        <v>2019</v>
      </c>
      <c r="N10" s="18" t="inlineStr">
        <is>
          <t>10.19</t>
        </is>
      </c>
      <c r="O10" s="19" t="inlineStr">
        <is>
          <t>20</t>
        </is>
      </c>
      <c r="P10" s="18" t="inlineStr"/>
      <c r="Q10" s="19" t="inlineStr"/>
      <c r="R10" s="20" t="n">
        <v>80</v>
      </c>
      <c r="S10" s="77" t="n">
        <v>0.4</v>
      </c>
      <c r="T10" s="77" t="n">
        <v>0.1</v>
      </c>
      <c r="U10" s="77" t="n">
        <v>0</v>
      </c>
    </row>
    <row r="11">
      <c r="A11" s="18" t="inlineStr">
        <is>
          <t xml:space="preserve">U062 </t>
        </is>
      </c>
      <c r="B11" s="18" t="inlineStr">
        <is>
          <t xml:space="preserve">ADM. I.U. DE INVESTIGACIÓN INFORMÁTICA </t>
        </is>
      </c>
      <c r="C11" s="18" t="inlineStr">
        <is>
          <t xml:space="preserve">DOCTORADO EN INFORMÁTICA </t>
        </is>
      </c>
      <c r="D11" s="18" t="inlineStr">
        <is>
          <t xml:space="preserve">Kauffmann Incer, Erick </t>
        </is>
      </c>
      <c r="E11" s="18" t="inlineStr">
        <is>
          <t xml:space="preserve">ARQUITECTURA PARA ANALÍTICAS DE DATOS ORIENTADA A LA AYUDA DEL PROCESO DE LA TOMA DE DECISIONES </t>
        </is>
      </c>
      <c r="F11" s="18" t="inlineStr">
        <is>
          <t xml:space="preserve">16/01/2020 </t>
        </is>
      </c>
      <c r="G11" s="18" t="inlineStr">
        <is>
          <t xml:space="preserve">50170678L </t>
        </is>
      </c>
      <c r="H11" s="18" t="inlineStr">
        <is>
          <t xml:space="preserve">Codirector de tesis </t>
        </is>
      </c>
      <c r="I11" s="18" t="inlineStr">
        <is>
          <t xml:space="preserve">B148 </t>
        </is>
      </c>
      <c r="J11" s="18" t="inlineStr">
        <is>
          <t xml:space="preserve">TECNOLOGÍA INFORMÁTICA Y COMPUTACIÓN </t>
        </is>
      </c>
      <c r="K11" s="76" t="n">
        <v>0.5</v>
      </c>
      <c r="L11" s="18" t="inlineStr">
        <is>
          <t>B148</t>
        </is>
      </c>
      <c r="M11" s="18" t="n">
        <v>2019</v>
      </c>
      <c r="N11" s="18" t="inlineStr">
        <is>
          <t>10.19</t>
        </is>
      </c>
      <c r="O11" s="19" t="inlineStr">
        <is>
          <t>20</t>
        </is>
      </c>
      <c r="P11" s="18" t="inlineStr"/>
      <c r="Q11" s="19" t="inlineStr"/>
      <c r="R11" s="20" t="n">
        <v>80</v>
      </c>
      <c r="S11" s="77" t="n">
        <v>0.4</v>
      </c>
      <c r="T11" s="77" t="n">
        <v>0.1</v>
      </c>
      <c r="U11" s="77" t="n">
        <v>0</v>
      </c>
    </row>
    <row r="12">
      <c r="A12" s="15" t="inlineStr">
        <is>
          <t xml:space="preserve">U062 </t>
        </is>
      </c>
      <c r="B12" s="15" t="inlineStr">
        <is>
          <t xml:space="preserve">ADM. I.U. DE INVESTIGACIÓN INFORMÁTICA </t>
        </is>
      </c>
      <c r="C12" s="15" t="inlineStr">
        <is>
          <t xml:space="preserve">DOCTORADO EN INFORMÁTICA </t>
        </is>
      </c>
      <c r="D12" s="15" t="inlineStr">
        <is>
          <t xml:space="preserve">Zamora Hernández, Mauricio Andrés </t>
        </is>
      </c>
      <c r="E12" s="15" t="inlineStr">
        <is>
          <t xml:space="preserve">Arquitectura para el control visual de ensambles en Industria 4.0 basado en aprendizaje </t>
        </is>
      </c>
      <c r="F12" s="15" t="inlineStr">
        <is>
          <t xml:space="preserve">27/10/2020 </t>
        </is>
      </c>
      <c r="G12" s="15" t="inlineStr">
        <is>
          <t xml:space="preserve">21486541X </t>
        </is>
      </c>
      <c r="H12" s="15" t="inlineStr">
        <is>
          <t xml:space="preserve">Codirector de tesis </t>
        </is>
      </c>
      <c r="I12" s="15" t="inlineStr">
        <is>
          <t xml:space="preserve">B148 </t>
        </is>
      </c>
      <c r="J12" s="15" t="inlineStr">
        <is>
          <t xml:space="preserve">TECNOLOGÍA INFORMÁTICA Y COMPUTACIÓN </t>
        </is>
      </c>
      <c r="K12" s="17" t="n">
        <v>0.5</v>
      </c>
      <c r="L12" s="17" t="inlineStr">
        <is>
          <t>B148</t>
        </is>
      </c>
      <c r="M12" s="22" t="n">
        <v>2019</v>
      </c>
      <c r="N12" s="15" t="inlineStr">
        <is>
          <t>10.19</t>
        </is>
      </c>
      <c r="O12" s="16" t="n">
        <v>20</v>
      </c>
      <c r="P12" s="15" t="inlineStr"/>
      <c r="Q12" s="16" t="n">
        <v>0</v>
      </c>
      <c r="R12" s="15" t="n">
        <v>80</v>
      </c>
      <c r="S12" s="15" t="n">
        <v>0.4</v>
      </c>
      <c r="T12" s="15" t="n">
        <v>0.1</v>
      </c>
      <c r="U12" s="15" t="n">
        <v>0</v>
      </c>
    </row>
    <row r="13">
      <c r="A13" s="15" t="inlineStr">
        <is>
          <t xml:space="preserve">U062 </t>
        </is>
      </c>
      <c r="B13" s="15" t="inlineStr">
        <is>
          <t xml:space="preserve">ADM. I.U. DE INVESTIGACIÓN INFORMÁTICA </t>
        </is>
      </c>
      <c r="C13" s="15" t="inlineStr">
        <is>
          <t xml:space="preserve">DOCTORADO EN INFORMÁTICA </t>
        </is>
      </c>
      <c r="D13" s="15" t="inlineStr">
        <is>
          <t xml:space="preserve">Zamora Hernández, Mauricio Andrés </t>
        </is>
      </c>
      <c r="E13" s="15" t="inlineStr">
        <is>
          <t xml:space="preserve">Arquitectura para el control visual de ensambles en Industria 4.0 basado en aprendizaje </t>
        </is>
      </c>
      <c r="F13" s="15" t="inlineStr">
        <is>
          <t xml:space="preserve">27/10/2020 </t>
        </is>
      </c>
      <c r="G13" s="15" t="inlineStr">
        <is>
          <t xml:space="preserve">52764803C </t>
        </is>
      </c>
      <c r="H13" s="15" t="inlineStr">
        <is>
          <t xml:space="preserve">Codirector de tesis </t>
        </is>
      </c>
      <c r="I13" s="15" t="inlineStr">
        <is>
          <t xml:space="preserve">B148 </t>
        </is>
      </c>
      <c r="J13" s="15" t="inlineStr">
        <is>
          <t xml:space="preserve">TECNOLOGÍA INFORMÁTICA Y COMPUTACIÓN </t>
        </is>
      </c>
      <c r="K13" s="17" t="n">
        <v>0.5</v>
      </c>
      <c r="L13" s="17" t="inlineStr">
        <is>
          <t>B148</t>
        </is>
      </c>
      <c r="M13" s="22" t="n">
        <v>2019</v>
      </c>
      <c r="N13" s="15" t="inlineStr">
        <is>
          <t>10.19</t>
        </is>
      </c>
      <c r="O13" s="16" t="n">
        <v>50</v>
      </c>
      <c r="P13" s="15" t="inlineStr"/>
      <c r="Q13" s="16" t="n">
        <v>0</v>
      </c>
      <c r="R13" s="15" t="n">
        <v>50</v>
      </c>
      <c r="S13" s="15" t="n">
        <v>0.25</v>
      </c>
      <c r="T13" s="15" t="n">
        <v>0.25</v>
      </c>
      <c r="U13" s="15" t="n">
        <v>0</v>
      </c>
    </row>
    <row r="14">
      <c r="A14" s="15" t="inlineStr">
        <is>
          <t xml:space="preserve">U062 </t>
        </is>
      </c>
      <c r="B14" s="15" t="inlineStr">
        <is>
          <t xml:space="preserve">ADM. I.U. DE INVESTIGACIÓN INFORMÁTICA </t>
        </is>
      </c>
      <c r="C14" s="15" t="inlineStr">
        <is>
          <t xml:space="preserve">DOCTORADO EN INFORMÁTICA </t>
        </is>
      </c>
      <c r="D14" s="15" t="inlineStr">
        <is>
          <t xml:space="preserve">Serrano Cases, Alejandro </t>
        </is>
      </c>
      <c r="E14" s="15" t="inlineStr">
        <is>
          <t xml:space="preserve">Fault tolerance in critical aerospace embedded systems: Multi-threaded mitigation, non-intrusive compiler-guided hardening, and early prediction of proton and neutron induced soft errors </t>
        </is>
      </c>
      <c r="F14" s="15" t="inlineStr">
        <is>
          <t xml:space="preserve">30/10/2020 </t>
        </is>
      </c>
      <c r="G14" s="15" t="inlineStr">
        <is>
          <t xml:space="preserve">74653004H </t>
        </is>
      </c>
      <c r="H14" s="15" t="inlineStr">
        <is>
          <t xml:space="preserve">Director de tesis </t>
        </is>
      </c>
      <c r="I14" s="15" t="inlineStr">
        <is>
          <t xml:space="preserve">B148 </t>
        </is>
      </c>
      <c r="J14" s="15" t="inlineStr">
        <is>
          <t xml:space="preserve">TECNOLOGÍA INFORMÁTICA Y COMPUTACIÓN </t>
        </is>
      </c>
      <c r="K14" s="17" t="n">
        <v>1</v>
      </c>
      <c r="L14" s="17" t="inlineStr">
        <is>
          <t>B148</t>
        </is>
      </c>
      <c r="M14" s="22" t="n">
        <v>2019</v>
      </c>
      <c r="N14" s="15" t="inlineStr">
        <is>
          <t>10.19</t>
        </is>
      </c>
      <c r="O14" s="16" t="n">
        <v>20</v>
      </c>
      <c r="P14" s="15" t="inlineStr"/>
      <c r="Q14" s="16" t="n">
        <v>0</v>
      </c>
      <c r="R14" s="15" t="n">
        <v>80</v>
      </c>
      <c r="S14" s="15" t="n">
        <v>0.8</v>
      </c>
      <c r="T14" s="15" t="n">
        <v>0.2</v>
      </c>
      <c r="U14" s="15" t="n">
        <v>0</v>
      </c>
    </row>
    <row r="15">
      <c r="A15" s="15" t="inlineStr">
        <is>
          <t xml:space="preserve">U062 </t>
        </is>
      </c>
      <c r="B15" s="15" t="inlineStr">
        <is>
          <t xml:space="preserve">ADM. I.U. DE INVESTIGACIÓN INFORMÁTICA </t>
        </is>
      </c>
      <c r="C15" s="15" t="inlineStr">
        <is>
          <t xml:space="preserve">DOCTORADO EN INFORMÁTICA </t>
        </is>
      </c>
      <c r="D15" s="15" t="inlineStr">
        <is>
          <t xml:space="preserve">Duque Gomez, Henry </t>
        </is>
      </c>
      <c r="E15" s="15" t="inlineStr">
        <is>
          <t xml:space="preserve">ARQUITECTURAS INTELIGENTES PARA GESTIÓN DE SISTEMAS CIBERFÍSICOS EN AMBIENTES IoT </t>
        </is>
      </c>
      <c r="F15" s="15" t="inlineStr">
        <is>
          <t xml:space="preserve">27/10/2020 </t>
        </is>
      </c>
      <c r="G15" s="15" t="inlineStr">
        <is>
          <t xml:space="preserve">21486541X </t>
        </is>
      </c>
      <c r="H15" s="15" t="inlineStr">
        <is>
          <t xml:space="preserve">Codirector de tesis </t>
        </is>
      </c>
      <c r="I15" s="15" t="inlineStr">
        <is>
          <t xml:space="preserve">B148 </t>
        </is>
      </c>
      <c r="J15" s="15" t="inlineStr">
        <is>
          <t xml:space="preserve">TECNOLOGÍA INFORMÁTICA Y COMPUTACIÓN </t>
        </is>
      </c>
      <c r="K15" s="17" t="n">
        <v>0.5</v>
      </c>
      <c r="L15" s="17" t="inlineStr">
        <is>
          <t>B148</t>
        </is>
      </c>
      <c r="M15" s="22" t="n">
        <v>2019</v>
      </c>
      <c r="N15" s="15" t="inlineStr">
        <is>
          <t>10.19</t>
        </is>
      </c>
      <c r="O15" s="16" t="n">
        <v>20</v>
      </c>
      <c r="P15" s="15" t="inlineStr"/>
      <c r="Q15" s="16" t="n">
        <v>0</v>
      </c>
      <c r="R15" s="15" t="n">
        <v>80</v>
      </c>
      <c r="S15" s="15" t="n">
        <v>0.4</v>
      </c>
      <c r="T15" s="15" t="n">
        <v>0.1</v>
      </c>
      <c r="U15" s="15" t="n">
        <v>0</v>
      </c>
    </row>
    <row r="16" ht="10.8" customHeight="1" thickBot="1">
      <c r="A16" s="15" t="inlineStr">
        <is>
          <t xml:space="preserve">U062 </t>
        </is>
      </c>
      <c r="B16" s="15" t="inlineStr">
        <is>
          <t xml:space="preserve">ADM. I.U. DE INVESTIGACIÓN INFORMÁTICA </t>
        </is>
      </c>
      <c r="C16" s="15" t="inlineStr">
        <is>
          <t xml:space="preserve">DOCTORADO EN INFORMÁTICA </t>
        </is>
      </c>
      <c r="D16" s="15" t="inlineStr">
        <is>
          <t xml:space="preserve">Duque Gomez, Henry </t>
        </is>
      </c>
      <c r="E16" s="15" t="inlineStr">
        <is>
          <t xml:space="preserve">ARQUITECTURAS INTELIGENTES PARA GESTIÓN DE SISTEMAS CIBERFÍSICOS EN AMBIENTES IoT </t>
        </is>
      </c>
      <c r="F16" s="15" t="inlineStr">
        <is>
          <t xml:space="preserve">27/10/2020 </t>
        </is>
      </c>
      <c r="G16" s="15" t="inlineStr">
        <is>
          <t xml:space="preserve">52764803C </t>
        </is>
      </c>
      <c r="H16" s="15" t="inlineStr">
        <is>
          <t xml:space="preserve">Codirector de tesis </t>
        </is>
      </c>
      <c r="I16" s="15" t="inlineStr">
        <is>
          <t xml:space="preserve">B148 </t>
        </is>
      </c>
      <c r="J16" s="15" t="inlineStr">
        <is>
          <t xml:space="preserve">TECNOLOGÍA INFORMÁTICA Y COMPUTACIÓN </t>
        </is>
      </c>
      <c r="K16" s="17" t="n">
        <v>0.5</v>
      </c>
      <c r="L16" s="17" t="inlineStr">
        <is>
          <t>B148</t>
        </is>
      </c>
      <c r="M16" s="22" t="n">
        <v>2019</v>
      </c>
      <c r="N16" s="15" t="inlineStr">
        <is>
          <t>10.19</t>
        </is>
      </c>
      <c r="O16" s="16" t="n">
        <v>50</v>
      </c>
      <c r="P16" s="15" t="inlineStr"/>
      <c r="Q16" s="16" t="n">
        <v>0</v>
      </c>
      <c r="R16" s="15" t="n">
        <v>50</v>
      </c>
      <c r="S16" s="15" t="n">
        <v>0.25</v>
      </c>
      <c r="T16" s="15" t="n">
        <v>0.25</v>
      </c>
      <c r="U16" s="15" t="n">
        <v>0</v>
      </c>
    </row>
    <row r="17" ht="10.8" customHeight="1" thickBot="1">
      <c r="A17" s="23" t="inlineStr">
        <is>
          <t xml:space="preserve">U062 </t>
        </is>
      </c>
      <c r="B17" s="23" t="inlineStr">
        <is>
          <t xml:space="preserve">ADM. I.U. DE INVESTIGACIÓN INFORMÁTICA </t>
        </is>
      </c>
      <c r="C17" s="23" t="inlineStr">
        <is>
          <t xml:space="preserve">DOCTORADO EN INFORMÁTICA </t>
        </is>
      </c>
      <c r="D17" s="23" t="inlineStr">
        <is>
          <t xml:space="preserve">Jiménez Álvarez, Luis Gonzalo </t>
        </is>
      </c>
      <c r="E17" s="23" t="inlineStr">
        <is>
          <t xml:space="preserve">Diseño y Especificación del ocio digital con fines de aprendizaje ODFA Subproblema: Ocio digital formativo en competencias ODFC para la UCE </t>
        </is>
      </c>
      <c r="F17" s="23" t="inlineStr">
        <is>
          <t xml:space="preserve">25/02/2021 </t>
        </is>
      </c>
      <c r="G17" s="24" t="inlineStr">
        <is>
          <t xml:space="preserve">21964202F </t>
        </is>
      </c>
      <c r="H17" s="25" t="inlineStr">
        <is>
          <t xml:space="preserve">Codirector de tesis </t>
        </is>
      </c>
      <c r="I17" s="25" t="inlineStr">
        <is>
          <t xml:space="preserve">B148 </t>
        </is>
      </c>
      <c r="J17" s="26" t="inlineStr">
        <is>
          <t xml:space="preserve">TECNOLOGÍA INFORMÁTICA Y COMPUTACIÓN </t>
        </is>
      </c>
      <c r="K17" s="17" t="n">
        <v>0.5</v>
      </c>
      <c r="L17" s="17" t="inlineStr">
        <is>
          <t>B148</t>
        </is>
      </c>
      <c r="M17" s="15" t="n">
        <v>2020</v>
      </c>
      <c r="N17" s="15" t="inlineStr">
        <is>
          <t>10.19</t>
        </is>
      </c>
      <c r="O17" s="16" t="n">
        <v>20</v>
      </c>
      <c r="P17" s="15" t="inlineStr">
        <is>
          <t>10.25</t>
        </is>
      </c>
      <c r="Q17" s="16" t="n">
        <v>10</v>
      </c>
      <c r="R17" s="15" t="n">
        <v>70</v>
      </c>
      <c r="S17" s="15" t="n">
        <v>0.35</v>
      </c>
      <c r="T17" s="15" t="n">
        <v>0.1</v>
      </c>
      <c r="U17" s="15" t="n">
        <v>0.05</v>
      </c>
    </row>
    <row r="18" ht="10.8" customHeight="1" thickBot="1">
      <c r="A18" s="23" t="inlineStr">
        <is>
          <t xml:space="preserve">U062 </t>
        </is>
      </c>
      <c r="B18" s="23" t="inlineStr">
        <is>
          <t xml:space="preserve">ADM. I.U. DE INVESTIGACIÓN INFORMÁTICA </t>
        </is>
      </c>
      <c r="C18" s="23" t="inlineStr">
        <is>
          <t xml:space="preserve">DOCTORADO EN INFORMÁTICA </t>
        </is>
      </c>
      <c r="D18" s="23" t="inlineStr">
        <is>
          <t xml:space="preserve">Bravo Fuentes, Paloma </t>
        </is>
      </c>
      <c r="E18" s="23" t="inlineStr">
        <is>
          <t xml:space="preserve">Propuesta metodológica para la enseñanza de la flauta dulce en educación primaria mediante el soporte de complementos tecnológicos para el aprendizaje autónomo. </t>
        </is>
      </c>
      <c r="F18" s="23" t="inlineStr">
        <is>
          <t xml:space="preserve">29/07/2021 </t>
        </is>
      </c>
      <c r="G18" s="24" t="inlineStr">
        <is>
          <t xml:space="preserve">09371918Q </t>
        </is>
      </c>
      <c r="H18" s="25" t="inlineStr">
        <is>
          <t xml:space="preserve">Codirector de tesis </t>
        </is>
      </c>
      <c r="I18" s="25" t="inlineStr">
        <is>
          <t xml:space="preserve">B148 </t>
        </is>
      </c>
      <c r="J18" s="26" t="inlineStr">
        <is>
          <t xml:space="preserve">TECNOLOGÍA INFORMÁTICA Y COMPUTACIÓN </t>
        </is>
      </c>
      <c r="K18" s="17" t="n">
        <v>0.5</v>
      </c>
      <c r="L18" s="17" t="inlineStr">
        <is>
          <t>B148</t>
        </is>
      </c>
      <c r="M18" s="15" t="n">
        <v>2020</v>
      </c>
      <c r="N18" s="15" t="inlineStr">
        <is>
          <t>10.25</t>
        </is>
      </c>
      <c r="O18" s="16" t="n">
        <v>10</v>
      </c>
      <c r="P18" s="15" t="inlineStr">
        <is>
          <t>10.19</t>
        </is>
      </c>
      <c r="Q18" s="16" t="n">
        <v>10</v>
      </c>
      <c r="R18" s="15" t="n">
        <v>80</v>
      </c>
      <c r="S18" s="15" t="n">
        <v>0.4</v>
      </c>
      <c r="T18" s="15" t="n">
        <v>0.05</v>
      </c>
      <c r="U18" s="15" t="n">
        <v>0.05</v>
      </c>
    </row>
    <row r="19" ht="10.8" customHeight="1" thickBot="1">
      <c r="A19" s="23" t="inlineStr">
        <is>
          <t xml:space="preserve">U062 </t>
        </is>
      </c>
      <c r="B19" s="23" t="inlineStr">
        <is>
          <t xml:space="preserve">ADM. I.U. DE INVESTIGACIÓN INFORMÁTICA </t>
        </is>
      </c>
      <c r="C19" s="23" t="inlineStr">
        <is>
          <t xml:space="preserve">DOCTORADO EN INFORMÁTICA </t>
        </is>
      </c>
      <c r="D19" s="23" t="inlineStr">
        <is>
          <t xml:space="preserve">Morales Morales, Mario Raúl </t>
        </is>
      </c>
      <c r="E19" s="23" t="inlineStr">
        <is>
          <t xml:space="preserve">Criptomonedas de ámbito social como herramienta de gobierno electrónico para el desarrollo sostenible </t>
        </is>
      </c>
      <c r="F19" s="23" t="inlineStr">
        <is>
          <t xml:space="preserve">01/06/2021 </t>
        </is>
      </c>
      <c r="G19" s="24" t="inlineStr">
        <is>
          <t xml:space="preserve">33489374V </t>
        </is>
      </c>
      <c r="H19" s="25" t="inlineStr">
        <is>
          <t xml:space="preserve">Codirector de tesis </t>
        </is>
      </c>
      <c r="I19" s="25" t="inlineStr">
        <is>
          <t xml:space="preserve">B148 </t>
        </is>
      </c>
      <c r="J19" s="26" t="inlineStr">
        <is>
          <t xml:space="preserve">TECNOLOGÍA INFORMÁTICA Y COMPUTACIÓN </t>
        </is>
      </c>
      <c r="K19" s="17" t="n">
        <v>0.5</v>
      </c>
      <c r="L19" s="17" t="inlineStr">
        <is>
          <t>B148</t>
        </is>
      </c>
      <c r="M19" s="15" t="n">
        <v>2020</v>
      </c>
      <c r="N19" s="15" t="inlineStr">
        <is>
          <t>10.19</t>
        </is>
      </c>
      <c r="O19" s="16" t="n">
        <v>20</v>
      </c>
      <c r="P19" s="15" t="inlineStr"/>
      <c r="Q19" s="16" t="n">
        <v>0</v>
      </c>
      <c r="R19" s="15" t="n">
        <v>80</v>
      </c>
      <c r="S19" s="15" t="n">
        <v>0.4</v>
      </c>
      <c r="T19" s="15" t="n">
        <v>0.1</v>
      </c>
      <c r="U19" s="15" t="n">
        <v>0</v>
      </c>
    </row>
    <row r="20" ht="10.8" customHeight="1" thickBot="1">
      <c r="A20" s="23" t="inlineStr">
        <is>
          <t xml:space="preserve">U062 </t>
        </is>
      </c>
      <c r="B20" s="23" t="inlineStr">
        <is>
          <t xml:space="preserve">ADM. I.U. DE INVESTIGACIÓN INFORMÁTICA </t>
        </is>
      </c>
      <c r="C20" s="23" t="inlineStr">
        <is>
          <t xml:space="preserve">DOCTORADO EN INFORMÁTICA </t>
        </is>
      </c>
      <c r="D20" s="23" t="inlineStr">
        <is>
          <t xml:space="preserve">Morales Morales, Mario Raúl </t>
        </is>
      </c>
      <c r="E20" s="23" t="inlineStr">
        <is>
          <t xml:space="preserve">Criptomonedas de ámbito social como herramienta de gobierno electrónico para el desarrollo sostenible </t>
        </is>
      </c>
      <c r="F20" s="23" t="inlineStr">
        <is>
          <t xml:space="preserve">01/06/2021 </t>
        </is>
      </c>
      <c r="G20" s="24" t="inlineStr">
        <is>
          <t xml:space="preserve">44752524K </t>
        </is>
      </c>
      <c r="H20" s="25" t="inlineStr">
        <is>
          <t xml:space="preserve">Codirector de tesis </t>
        </is>
      </c>
      <c r="I20" s="25" t="inlineStr">
        <is>
          <t xml:space="preserve">B148 </t>
        </is>
      </c>
      <c r="J20" s="26" t="inlineStr">
        <is>
          <t xml:space="preserve">TECNOLOGÍA INFORMÁTICA Y COMPUTACIÓN </t>
        </is>
      </c>
      <c r="K20" s="17" t="n">
        <v>0.5</v>
      </c>
      <c r="L20" s="17" t="inlineStr">
        <is>
          <t>B148</t>
        </is>
      </c>
      <c r="M20" s="15" t="n">
        <v>2020</v>
      </c>
      <c r="N20" s="15" t="inlineStr">
        <is>
          <t>10.19</t>
        </is>
      </c>
      <c r="O20" s="16" t="n">
        <v>20</v>
      </c>
      <c r="P20" s="15" t="inlineStr"/>
      <c r="Q20" s="16" t="n">
        <v>0</v>
      </c>
      <c r="R20" s="15" t="n">
        <v>80</v>
      </c>
      <c r="S20" s="15" t="n">
        <v>0.4</v>
      </c>
      <c r="T20" s="15" t="n">
        <v>0.1</v>
      </c>
      <c r="U20" s="15" t="n">
        <v>0</v>
      </c>
    </row>
    <row r="21" ht="10.8" customHeight="1" thickBot="1">
      <c r="A21" s="23" t="inlineStr">
        <is>
          <t xml:space="preserve">U062 </t>
        </is>
      </c>
      <c r="B21" s="23" t="inlineStr">
        <is>
          <t xml:space="preserve">ADM. I.U. DE INVESTIGACIÓN INFORMÁTICA </t>
        </is>
      </c>
      <c r="C21" s="23" t="inlineStr">
        <is>
          <t xml:space="preserve">DOCTORADO EN INFORMÁTICA </t>
        </is>
      </c>
      <c r="D21" s="23" t="inlineStr">
        <is>
          <t xml:space="preserve">Cortés Blasco, Daniel </t>
        </is>
      </c>
      <c r="E21" s="23" t="inlineStr">
        <is>
          <t xml:space="preserve">Modelado y simulación para la predicción de explosiones en espacios confinados </t>
        </is>
      </c>
      <c r="F21" s="23" t="inlineStr">
        <is>
          <t xml:space="preserve">03/03/2021 </t>
        </is>
      </c>
      <c r="G21" s="24" t="inlineStr">
        <is>
          <t xml:space="preserve">52764803C </t>
        </is>
      </c>
      <c r="H21" s="25" t="inlineStr">
        <is>
          <t xml:space="preserve">Codirector de tesis </t>
        </is>
      </c>
      <c r="I21" s="25" t="inlineStr">
        <is>
          <t xml:space="preserve">B148 </t>
        </is>
      </c>
      <c r="J21" s="26" t="inlineStr">
        <is>
          <t xml:space="preserve">TECNOLOGÍA INFORMÁTICA Y COMPUTACIÓN </t>
        </is>
      </c>
      <c r="K21" s="17" t="n">
        <v>0.5</v>
      </c>
      <c r="L21" s="17" t="inlineStr">
        <is>
          <t>B148</t>
        </is>
      </c>
      <c r="M21" s="15" t="n">
        <v>2020</v>
      </c>
      <c r="N21" s="15" t="inlineStr">
        <is>
          <t>10.19</t>
        </is>
      </c>
      <c r="O21" s="16" t="n">
        <v>50</v>
      </c>
      <c r="P21" s="15" t="inlineStr"/>
      <c r="Q21" s="16" t="n">
        <v>0</v>
      </c>
      <c r="R21" s="15" t="n">
        <v>50</v>
      </c>
      <c r="S21" s="15" t="n">
        <v>0.25</v>
      </c>
      <c r="T21" s="15" t="n">
        <v>0.25</v>
      </c>
      <c r="U21" s="15" t="n">
        <v>0</v>
      </c>
    </row>
    <row r="22" ht="10.8" customHeight="1" thickBot="1">
      <c r="A22" s="23" t="inlineStr">
        <is>
          <t xml:space="preserve">U062 </t>
        </is>
      </c>
      <c r="B22" s="23" t="inlineStr">
        <is>
          <t xml:space="preserve">ADM. I.U. DE INVESTIGACIÓN INFORMÁTICA </t>
        </is>
      </c>
      <c r="C22" s="23" t="inlineStr">
        <is>
          <t xml:space="preserve">DOCTORADO EN INFORMÁTICA </t>
        </is>
      </c>
      <c r="D22" s="23" t="inlineStr">
        <is>
          <t xml:space="preserve">Cortés Blasco, Daniel </t>
        </is>
      </c>
      <c r="E22" s="23" t="inlineStr">
        <is>
          <t xml:space="preserve">Modelado y simulación para la predicción de explosiones en espacios confinados </t>
        </is>
      </c>
      <c r="F22" s="23" t="inlineStr">
        <is>
          <t xml:space="preserve">03/03/2021 </t>
        </is>
      </c>
      <c r="G22" s="24" t="inlineStr">
        <is>
          <t xml:space="preserve">50170678L </t>
        </is>
      </c>
      <c r="H22" s="25" t="inlineStr">
        <is>
          <t xml:space="preserve">Codirector de tesis </t>
        </is>
      </c>
      <c r="I22" s="25" t="inlineStr">
        <is>
          <t xml:space="preserve">B148 </t>
        </is>
      </c>
      <c r="J22" s="26" t="inlineStr">
        <is>
          <t xml:space="preserve">TECNOLOGÍA INFORMÁTICA Y COMPUTACIÓN </t>
        </is>
      </c>
      <c r="K22" s="17" t="n">
        <v>0.5</v>
      </c>
      <c r="L22" s="17" t="inlineStr">
        <is>
          <t>B148</t>
        </is>
      </c>
      <c r="M22" s="15" t="n">
        <v>2020</v>
      </c>
      <c r="N22" s="15" t="inlineStr">
        <is>
          <t>10.19</t>
        </is>
      </c>
      <c r="O22" s="16" t="n">
        <v>20</v>
      </c>
      <c r="P22" s="15" t="inlineStr"/>
      <c r="Q22" s="16" t="n">
        <v>0</v>
      </c>
      <c r="R22" s="15" t="n">
        <v>80</v>
      </c>
      <c r="S22" s="15" t="n">
        <v>0.4</v>
      </c>
      <c r="T22" s="15" t="n">
        <v>0.1</v>
      </c>
      <c r="U22" s="15" t="n">
        <v>0</v>
      </c>
    </row>
    <row r="23" ht="10.8" customHeight="1" thickBot="1">
      <c r="A23" s="23" t="inlineStr">
        <is>
          <t xml:space="preserve">U062 </t>
        </is>
      </c>
      <c r="B23" s="23" t="inlineStr">
        <is>
          <t xml:space="preserve">ADM. I.U. DE INVESTIGACIÓN INFORMÁTICA </t>
        </is>
      </c>
      <c r="C23" s="23" t="inlineStr">
        <is>
          <t xml:space="preserve">DOCTORADO EN INFORMÁTICA </t>
        </is>
      </c>
      <c r="D23" s="23" t="inlineStr">
        <is>
          <t xml:space="preserve">Rosa de Rivera, Verónica Idalia </t>
        </is>
      </c>
      <c r="E23" s="23" t="inlineStr">
        <is>
          <t xml:space="preserve">Diseño causal de sistema piramidal para aprendizaje colaborativo de los lenguajes de programación </t>
        </is>
      </c>
      <c r="F23" s="23" t="inlineStr">
        <is>
          <t xml:space="preserve">21/07/2021 </t>
        </is>
      </c>
      <c r="G23" s="24" t="inlineStr">
        <is>
          <t xml:space="preserve">21964202F </t>
        </is>
      </c>
      <c r="H23" s="25" t="inlineStr">
        <is>
          <t xml:space="preserve">Director de tesis </t>
        </is>
      </c>
      <c r="I23" s="25" t="inlineStr">
        <is>
          <t xml:space="preserve">B148 </t>
        </is>
      </c>
      <c r="J23" s="26" t="inlineStr">
        <is>
          <t xml:space="preserve">TECNOLOGÍA INFORMÁTICA Y COMPUTACIÓN </t>
        </is>
      </c>
      <c r="K23" s="17" t="n">
        <v>1</v>
      </c>
      <c r="L23" s="17" t="inlineStr">
        <is>
          <t>B148</t>
        </is>
      </c>
      <c r="M23" s="15" t="n">
        <v>2020</v>
      </c>
      <c r="N23" s="15" t="inlineStr">
        <is>
          <t>10.19</t>
        </is>
      </c>
      <c r="O23" s="16" t="n">
        <v>20</v>
      </c>
      <c r="P23" s="15" t="inlineStr">
        <is>
          <t>10.25</t>
        </is>
      </c>
      <c r="Q23" s="16" t="n">
        <v>10</v>
      </c>
      <c r="R23" s="15" t="n">
        <v>70</v>
      </c>
      <c r="S23" s="15" t="n">
        <v>0.7</v>
      </c>
      <c r="T23" s="15" t="n">
        <v>0.2</v>
      </c>
      <c r="U23" s="15" t="n">
        <v>0.1</v>
      </c>
    </row>
    <row r="24" ht="10.8" customHeight="1" thickBot="1">
      <c r="A24" s="23" t="inlineStr">
        <is>
          <t xml:space="preserve">U062 </t>
        </is>
      </c>
      <c r="B24" s="23" t="inlineStr">
        <is>
          <t xml:space="preserve">ADM. I.U. DE INVESTIGACIÓN INFORMÁTICA </t>
        </is>
      </c>
      <c r="C24" s="23" t="inlineStr">
        <is>
          <t xml:space="preserve">DOCTORADO EN INFORMÁTICA </t>
        </is>
      </c>
      <c r="D24" s="23" t="inlineStr">
        <is>
          <t xml:space="preserve">Aguirre Ayala, Carlos Antonio </t>
        </is>
      </c>
      <c r="E24" s="23" t="inlineStr">
        <is>
          <t xml:space="preserve">"Diseño causal de sistema piramidal para aprendizaje colaborativo sobre la ingeniería web". </t>
        </is>
      </c>
      <c r="F24" s="23" t="inlineStr">
        <is>
          <t xml:space="preserve">22/07/2021 </t>
        </is>
      </c>
      <c r="G24" s="24" t="inlineStr">
        <is>
          <t xml:space="preserve">21964202F </t>
        </is>
      </c>
      <c r="H24" s="25" t="inlineStr">
        <is>
          <t xml:space="preserve">Director de tesis </t>
        </is>
      </c>
      <c r="I24" s="25" t="inlineStr">
        <is>
          <t xml:space="preserve">B148 </t>
        </is>
      </c>
      <c r="J24" s="26" t="inlineStr">
        <is>
          <t xml:space="preserve">TECNOLOGÍA INFORMÁTICA Y COMPUTACIÓN </t>
        </is>
      </c>
      <c r="K24" s="17" t="n">
        <v>1</v>
      </c>
      <c r="L24" s="17" t="inlineStr">
        <is>
          <t>B148</t>
        </is>
      </c>
      <c r="M24" s="15" t="n">
        <v>2020</v>
      </c>
      <c r="N24" s="15" t="inlineStr">
        <is>
          <t>10.19</t>
        </is>
      </c>
      <c r="O24" s="16" t="n">
        <v>20</v>
      </c>
      <c r="P24" s="15" t="inlineStr">
        <is>
          <t>10.25</t>
        </is>
      </c>
      <c r="Q24" s="16" t="n">
        <v>10</v>
      </c>
      <c r="R24" s="15" t="n">
        <v>70</v>
      </c>
      <c r="S24" s="15" t="n">
        <v>0.7</v>
      </c>
      <c r="T24" s="15" t="n">
        <v>0.2</v>
      </c>
      <c r="U24" s="15" t="n">
        <v>0.1</v>
      </c>
    </row>
    <row r="25">
      <c r="A25" s="15" t="inlineStr">
        <is>
          <t xml:space="preserve">U062 </t>
        </is>
      </c>
      <c r="B25" s="15" t="inlineStr">
        <is>
          <t xml:space="preserve">ADM. I.U. DE INVESTIGACIÓN INFORMÁTICA </t>
        </is>
      </c>
      <c r="C25" s="15" t="inlineStr">
        <is>
          <t xml:space="preserve">DOCTORADO EN INFORMÁTICA </t>
        </is>
      </c>
      <c r="D25" s="15" t="inlineStr">
        <is>
          <t xml:space="preserve">Arrebola Moreno, Clara </t>
        </is>
      </c>
      <c r="E25" s="15" t="inlineStr">
        <is>
          <t xml:space="preserve">Tecnologías aplicadas al proceso de enseñanza-aprendizaje del repertorio del Canto Lírico </t>
        </is>
      </c>
      <c r="F25" s="15" t="inlineStr">
        <is>
          <t xml:space="preserve">19/11/2021 </t>
        </is>
      </c>
      <c r="G25" s="15" t="inlineStr">
        <is>
          <t xml:space="preserve">09371918Q </t>
        </is>
      </c>
      <c r="H25" s="15" t="inlineStr">
        <is>
          <t xml:space="preserve">Codirector de tesis </t>
        </is>
      </c>
      <c r="I25" s="15" t="inlineStr">
        <is>
          <t xml:space="preserve">B148 </t>
        </is>
      </c>
      <c r="J25" s="15" t="inlineStr">
        <is>
          <t xml:space="preserve">TECNOLOGÍA INFORMÁTICA Y COMPUTACIÓN </t>
        </is>
      </c>
      <c r="K25" s="17" t="n">
        <v>0.5</v>
      </c>
      <c r="L25" s="17" t="inlineStr">
        <is>
          <t>B148</t>
        </is>
      </c>
      <c r="M25" s="15" t="n">
        <v>2021</v>
      </c>
      <c r="N25" s="15" t="inlineStr">
        <is>
          <t>10.25</t>
        </is>
      </c>
      <c r="O25" s="16" t="n">
        <v>10</v>
      </c>
      <c r="P25" s="15" t="inlineStr">
        <is>
          <t>10.19</t>
        </is>
      </c>
      <c r="Q25" s="16" t="n">
        <v>10</v>
      </c>
      <c r="R25" s="15" t="n">
        <v>80</v>
      </c>
      <c r="S25" s="15" t="n">
        <v>0.4</v>
      </c>
      <c r="T25" s="15" t="n">
        <v>0.05</v>
      </c>
      <c r="U25" s="15" t="n">
        <v>0.05</v>
      </c>
    </row>
    <row r="26">
      <c r="A26" s="15" t="inlineStr">
        <is>
          <t xml:space="preserve">U062 </t>
        </is>
      </c>
      <c r="B26" s="15" t="inlineStr">
        <is>
          <t xml:space="preserve">ADM. I.U. DE INVESTIGACIÓN INFORMÁTICA </t>
        </is>
      </c>
      <c r="C26" s="15" t="inlineStr">
        <is>
          <t xml:space="preserve">DOCTORADO EN INFORMÁTICA </t>
        </is>
      </c>
      <c r="D26" s="15" t="inlineStr">
        <is>
          <t xml:space="preserve">Rico García, Héctor </t>
        </is>
      </c>
      <c r="E26" s="15" t="inlineStr">
        <is>
          <t xml:space="preserve">APLICACIÓN DE TÉCNICAS DE COMPUTACIÓN PARALELA PARA ACELERACIÓN DE ALGORITMOS EN INGENIERÍA </t>
        </is>
      </c>
      <c r="F26" s="15" t="inlineStr">
        <is>
          <t xml:space="preserve">02/12/2021 </t>
        </is>
      </c>
      <c r="G26" s="15" t="inlineStr">
        <is>
          <t xml:space="preserve">29011916S </t>
        </is>
      </c>
      <c r="H26" s="15" t="inlineStr">
        <is>
          <t xml:space="preserve">Codirector de tesis </t>
        </is>
      </c>
      <c r="I26" s="15" t="inlineStr">
        <is>
          <t xml:space="preserve">B148 </t>
        </is>
      </c>
      <c r="J26" s="15" t="inlineStr">
        <is>
          <t xml:space="preserve">TECNOLOGÍA INFORMÁTICA Y COMPUTACIÓN </t>
        </is>
      </c>
      <c r="K26" s="17" t="n">
        <v>0.5</v>
      </c>
      <c r="L26" s="17" t="inlineStr">
        <is>
          <t>B148</t>
        </is>
      </c>
      <c r="M26" s="15" t="n">
        <v>2021</v>
      </c>
      <c r="N26" s="15" t="inlineStr">
        <is>
          <t>10.19</t>
        </is>
      </c>
      <c r="O26" s="16" t="n">
        <v>20</v>
      </c>
      <c r="P26" s="15" t="inlineStr"/>
      <c r="Q26" s="16" t="n">
        <v>0</v>
      </c>
      <c r="R26" s="15" t="n">
        <v>80</v>
      </c>
      <c r="S26" s="15" t="n">
        <v>0.4</v>
      </c>
      <c r="T26" s="15" t="n">
        <v>0.1</v>
      </c>
      <c r="U26" s="15" t="n">
        <v>0</v>
      </c>
    </row>
    <row r="27">
      <c r="A27" s="15" t="inlineStr">
        <is>
          <t xml:space="preserve">U062 </t>
        </is>
      </c>
      <c r="B27" s="15" t="inlineStr">
        <is>
          <t xml:space="preserve">ADM. I.U. DE INVESTIGACIÓN INFORMÁTICA </t>
        </is>
      </c>
      <c r="C27" s="15" t="inlineStr">
        <is>
          <t xml:space="preserve">DOCTORADO EN INFORMÁTICA </t>
        </is>
      </c>
      <c r="D27" s="15" t="inlineStr">
        <is>
          <t xml:space="preserve">Rico García, Héctor </t>
        </is>
      </c>
      <c r="E27" s="15" t="inlineStr">
        <is>
          <t xml:space="preserve">APLICACIÓN DE TÉCNICAS DE COMPUTACIÓN PARALELA PARA ACELERACIÓN DE ALGORITMOS EN INGENIERÍA </t>
        </is>
      </c>
      <c r="F27" s="15" t="inlineStr">
        <is>
          <t xml:space="preserve">02/12/2021 </t>
        </is>
      </c>
      <c r="G27" s="15" t="inlineStr">
        <is>
          <t xml:space="preserve">33485105A </t>
        </is>
      </c>
      <c r="H27" s="15" t="inlineStr">
        <is>
          <t xml:space="preserve">Codirector de tesis </t>
        </is>
      </c>
      <c r="I27" s="15" t="inlineStr">
        <is>
          <t xml:space="preserve">B148 </t>
        </is>
      </c>
      <c r="J27" s="15" t="inlineStr">
        <is>
          <t xml:space="preserve">TECNOLOGÍA INFORMÁTICA Y COMPUTACIÓN </t>
        </is>
      </c>
      <c r="K27" s="17" t="n">
        <v>0.5</v>
      </c>
      <c r="L27" s="17" t="inlineStr">
        <is>
          <t>B148</t>
        </is>
      </c>
      <c r="M27" s="15" t="n">
        <v>2021</v>
      </c>
      <c r="N27" s="15" t="inlineStr">
        <is>
          <t>10.19</t>
        </is>
      </c>
      <c r="O27" s="16" t="n">
        <v>20</v>
      </c>
      <c r="P27" s="15" t="inlineStr"/>
      <c r="Q27" s="16" t="n">
        <v>0</v>
      </c>
      <c r="R27" s="15" t="n">
        <v>80</v>
      </c>
      <c r="S27" s="15" t="n">
        <v>0.4</v>
      </c>
      <c r="T27" s="15" t="n">
        <v>0.1</v>
      </c>
      <c r="U27" s="15" t="n">
        <v>0</v>
      </c>
    </row>
    <row r="28">
      <c r="A28" s="15" t="inlineStr">
        <is>
          <t xml:space="preserve">U062 </t>
        </is>
      </c>
      <c r="B28" s="15" t="inlineStr">
        <is>
          <t xml:space="preserve">ADM. I.U. DE INVESTIGACIÓN INFORMÁTICA </t>
        </is>
      </c>
      <c r="C28" s="15" t="inlineStr">
        <is>
          <t xml:space="preserve">DOCTORADO EN INFORMÁTICA </t>
        </is>
      </c>
      <c r="D28" s="15" t="inlineStr">
        <is>
          <t xml:space="preserve">Vives Boix, Víctor </t>
        </is>
      </c>
      <c r="E28" s="15" t="inlineStr">
        <is>
          <t xml:space="preserve">¿Modelos neuronales basados en la metaplasticidad para la ayuda al diagnóstico clínico¿ </t>
        </is>
      </c>
      <c r="F28" s="15" t="inlineStr">
        <is>
          <t xml:space="preserve">03/12/2021 </t>
        </is>
      </c>
      <c r="G28" s="15" t="inlineStr">
        <is>
          <t xml:space="preserve">21510176R </t>
        </is>
      </c>
      <c r="H28" s="15" t="inlineStr">
        <is>
          <t xml:space="preserve">Director de tesis </t>
        </is>
      </c>
      <c r="I28" s="15" t="inlineStr">
        <is>
          <t xml:space="preserve">B148 </t>
        </is>
      </c>
      <c r="J28" s="15" t="inlineStr">
        <is>
          <t xml:space="preserve">TECNOLOGÍA INFORMÁTICA Y COMPUTACIÓN </t>
        </is>
      </c>
      <c r="K28" s="17" t="n">
        <v>1</v>
      </c>
      <c r="L28" s="17" t="inlineStr">
        <is>
          <t>B148</t>
        </is>
      </c>
      <c r="M28" s="15" t="n">
        <v>2021</v>
      </c>
      <c r="N28" s="15" t="inlineStr">
        <is>
          <t>10.19</t>
        </is>
      </c>
      <c r="O28" s="16" t="n">
        <v>20</v>
      </c>
      <c r="P28" s="15" t="inlineStr"/>
      <c r="Q28" s="16" t="n">
        <v>0</v>
      </c>
      <c r="R28" s="15" t="n">
        <v>80</v>
      </c>
      <c r="S28" s="15" t="n">
        <v>0.8</v>
      </c>
      <c r="T28" s="15" t="n">
        <v>0.2</v>
      </c>
      <c r="U28" s="15" t="n">
        <v>0</v>
      </c>
    </row>
    <row r="29">
      <c r="A29" s="15" t="inlineStr">
        <is>
          <t xml:space="preserve">U062 </t>
        </is>
      </c>
      <c r="B29" s="15" t="inlineStr">
        <is>
          <t xml:space="preserve">I.U. DE INVESTIGACIÓN INFORMÁTICA (10.19) </t>
        </is>
      </c>
      <c r="C29" s="15" t="inlineStr">
        <is>
          <t xml:space="preserve">DOCTORADO EN INFORMÁTICA </t>
        </is>
      </c>
      <c r="D29" s="15" t="inlineStr">
        <is>
          <t xml:space="preserve">Sánchez Torres, Fulgencio </t>
        </is>
      </c>
      <c r="E29" s="15" t="inlineStr">
        <is>
          <t xml:space="preserve">Data science como soporte al modelado del conocimiento para el análisis de costes en la empresa 4.0: la entidad turística </t>
        </is>
      </c>
      <c r="F29" s="15" t="inlineStr">
        <is>
          <t xml:space="preserve">22/09/2022 </t>
        </is>
      </c>
      <c r="G29" s="15" t="inlineStr">
        <is>
          <t xml:space="preserve">21964202F </t>
        </is>
      </c>
      <c r="H29" s="15" t="inlineStr">
        <is>
          <t xml:space="preserve">Codirector de tesis </t>
        </is>
      </c>
      <c r="I29" s="15" t="inlineStr">
        <is>
          <t xml:space="preserve">B148 </t>
        </is>
      </c>
      <c r="J29" s="15" t="inlineStr">
        <is>
          <t xml:space="preserve">TECNOLOGÍA INFORMÁTICA Y COMPUTACIÓN </t>
        </is>
      </c>
      <c r="K29" s="32" t="n">
        <v>0.5</v>
      </c>
      <c r="L29" s="32" t="inlineStr">
        <is>
          <t>B148</t>
        </is>
      </c>
      <c r="M29" s="15" t="n">
        <v>2021</v>
      </c>
      <c r="N29" s="32" t="inlineStr">
        <is>
          <t>10.19</t>
        </is>
      </c>
      <c r="O29" s="32" t="n">
        <v>20</v>
      </c>
      <c r="P29" s="32" t="inlineStr">
        <is>
          <t>10.25</t>
        </is>
      </c>
      <c r="Q29" s="32" t="n">
        <v>10</v>
      </c>
      <c r="R29" s="32" t="n">
        <v>70</v>
      </c>
      <c r="S29" s="32" t="n">
        <v>0.35</v>
      </c>
      <c r="T29" s="32" t="n">
        <v>0.1</v>
      </c>
      <c r="U29" s="32" t="n">
        <v>0.05</v>
      </c>
    </row>
    <row r="30">
      <c r="A30" s="15" t="inlineStr">
        <is>
          <t xml:space="preserve">U062 </t>
        </is>
      </c>
      <c r="B30" s="15" t="inlineStr">
        <is>
          <t xml:space="preserve">I.U. DE INVESTIGACIÓN INFORMÁTICA (10.19) </t>
        </is>
      </c>
      <c r="C30" s="15" t="inlineStr">
        <is>
          <t xml:space="preserve">DOCTORADO EN INFORMÁTICA </t>
        </is>
      </c>
      <c r="D30" s="15" t="inlineStr">
        <is>
          <t xml:space="preserve">Oprea , Sergiu Ovidiu </t>
        </is>
      </c>
      <c r="E30" s="15" t="inlineStr">
        <is>
          <t xml:space="preserve">Deep Predictive Learning: Understanding Interaction Dynamics from Synthetic Data </t>
        </is>
      </c>
      <c r="F30" s="15" t="inlineStr">
        <is>
          <t xml:space="preserve">26/09/2022 </t>
        </is>
      </c>
      <c r="G30" s="15" t="inlineStr">
        <is>
          <t xml:space="preserve">21486541X </t>
        </is>
      </c>
      <c r="H30" s="15" t="inlineStr">
        <is>
          <t xml:space="preserve">Codirector de tesis </t>
        </is>
      </c>
      <c r="I30" s="15" t="inlineStr">
        <is>
          <t xml:space="preserve">B148 </t>
        </is>
      </c>
      <c r="J30" s="15" t="inlineStr">
        <is>
          <t xml:space="preserve">TECNOLOGÍA INFORMÁTICA Y COMPUTACIÓN </t>
        </is>
      </c>
      <c r="K30" s="32" t="n">
        <v>0.5</v>
      </c>
      <c r="L30" s="32" t="inlineStr">
        <is>
          <t>B148</t>
        </is>
      </c>
      <c r="M30" s="15" t="n">
        <v>2021</v>
      </c>
      <c r="N30" s="32" t="inlineStr">
        <is>
          <t>10.19</t>
        </is>
      </c>
      <c r="O30" s="32" t="n">
        <v>20</v>
      </c>
      <c r="P30" s="32" t="inlineStr"/>
      <c r="Q30" s="32" t="n">
        <v>0</v>
      </c>
      <c r="R30" s="32" t="n">
        <v>80</v>
      </c>
      <c r="S30" s="32" t="n">
        <v>0.4</v>
      </c>
      <c r="T30" s="32" t="n">
        <v>0.1</v>
      </c>
      <c r="U30" s="32" t="n">
        <v>0</v>
      </c>
    </row>
    <row r="31">
      <c r="A31" s="15" t="inlineStr">
        <is>
          <t xml:space="preserve">U062 </t>
        </is>
      </c>
      <c r="B31" s="15" t="inlineStr">
        <is>
          <t xml:space="preserve">I.U. DE INVESTIGACIÓN INFORMÁTICA (10.19) </t>
        </is>
      </c>
      <c r="C31" s="15" t="inlineStr">
        <is>
          <t xml:space="preserve">DOCTORADO EN INFORMÁTICA </t>
        </is>
      </c>
      <c r="D31" s="15" t="inlineStr">
        <is>
          <t xml:space="preserve">Esteve Brotons, Miguel Jose </t>
        </is>
      </c>
      <c r="E31" s="15" t="inlineStr">
        <is>
          <t xml:space="preserve">Analysis and extraction of features in video streaming </t>
        </is>
      </c>
      <c r="F31" s="15" t="inlineStr">
        <is>
          <t xml:space="preserve">14/07/2023 </t>
        </is>
      </c>
      <c r="G31" s="15" t="inlineStr">
        <is>
          <t xml:space="preserve">21486541X </t>
        </is>
      </c>
      <c r="H31" s="15" t="inlineStr">
        <is>
          <t xml:space="preserve">Director de tesis </t>
        </is>
      </c>
      <c r="I31" s="15" t="inlineStr">
        <is>
          <t xml:space="preserve">B148 </t>
        </is>
      </c>
      <c r="J31" s="15" t="inlineStr">
        <is>
          <t xml:space="preserve">TECNOLOGÍA INFORMÁTICA Y COMPUTACIÓN </t>
        </is>
      </c>
      <c r="K31" s="32" t="n">
        <v>1</v>
      </c>
      <c r="L31" s="32" t="inlineStr">
        <is>
          <t>B148</t>
        </is>
      </c>
      <c r="M31" s="15" t="n">
        <v>2022</v>
      </c>
      <c r="N31" s="32" t="inlineStr">
        <is>
          <t>10.19</t>
        </is>
      </c>
      <c r="O31" s="32" t="n">
        <v>20</v>
      </c>
      <c r="P31" s="32" t="inlineStr"/>
      <c r="Q31" s="32" t="n">
        <v>0</v>
      </c>
      <c r="R31" s="32" t="n">
        <v>80</v>
      </c>
      <c r="S31" s="32" t="n">
        <v>0.8</v>
      </c>
      <c r="T31" s="32" t="n">
        <v>0.2</v>
      </c>
      <c r="U31" s="32" t="n">
        <v>0</v>
      </c>
    </row>
    <row r="32">
      <c r="A32" s="15" t="inlineStr">
        <is>
          <t xml:space="preserve">U062 </t>
        </is>
      </c>
      <c r="B32" s="15" t="inlineStr">
        <is>
          <t xml:space="preserve">I.U. DE INVESTIGACIÓN INFORMÁTICA (10.19) </t>
        </is>
      </c>
      <c r="C32" s="15" t="inlineStr">
        <is>
          <t xml:space="preserve">DOCTORADO EN INFORMÁTICA </t>
        </is>
      </c>
      <c r="D32" s="15" t="inlineStr">
        <is>
          <t xml:space="preserve">Lucas Ibañez, Luis </t>
        </is>
      </c>
      <c r="E32" s="15" t="inlineStr">
        <is>
          <t xml:space="preserve">Procesamiento multimodal de datos extraídos de redes sociales mediante técnicas de inteligencia artificial. Aplicaciones al turismo </t>
        </is>
      </c>
      <c r="F32" s="15" t="inlineStr">
        <is>
          <t xml:space="preserve">19/01/2023 </t>
        </is>
      </c>
      <c r="G32" s="15" t="inlineStr">
        <is>
          <t xml:space="preserve">21486541X </t>
        </is>
      </c>
      <c r="H32" s="15" t="inlineStr">
        <is>
          <t xml:space="preserve">Codirector de tesis </t>
        </is>
      </c>
      <c r="I32" s="15" t="inlineStr">
        <is>
          <t xml:space="preserve">B148 </t>
        </is>
      </c>
      <c r="J32" s="15" t="inlineStr">
        <is>
          <t xml:space="preserve">TECNOLOGÍA INFORMÁTICA Y COMPUTACIÓN </t>
        </is>
      </c>
      <c r="K32" s="32" t="n">
        <v>0.5</v>
      </c>
      <c r="L32" s="32" t="inlineStr">
        <is>
          <t>B148</t>
        </is>
      </c>
      <c r="M32" s="15" t="n">
        <v>2022</v>
      </c>
      <c r="N32" s="32" t="inlineStr">
        <is>
          <t>10.19</t>
        </is>
      </c>
      <c r="O32" s="32" t="n">
        <v>20</v>
      </c>
      <c r="P32" s="32" t="inlineStr"/>
      <c r="Q32" s="32" t="n">
        <v>0</v>
      </c>
      <c r="R32" s="32" t="n">
        <v>80</v>
      </c>
      <c r="S32" s="32" t="n">
        <v>0.4</v>
      </c>
      <c r="T32" s="32" t="n">
        <v>0.1</v>
      </c>
      <c r="U32" s="32" t="n">
        <v>0</v>
      </c>
    </row>
    <row r="33">
      <c r="A33" s="15" t="inlineStr">
        <is>
          <t xml:space="preserve">U062 </t>
        </is>
      </c>
      <c r="B33" s="15" t="inlineStr">
        <is>
          <t xml:space="preserve">I.U. DE INVESTIGACIÓN INFORMÁTICA (10.19) </t>
        </is>
      </c>
      <c r="C33" s="15" t="inlineStr">
        <is>
          <t xml:space="preserve">DOCTORADO EN INFORMÁTICA </t>
        </is>
      </c>
      <c r="D33" s="15" t="inlineStr">
        <is>
          <t xml:space="preserve">Martínez González, Pablo </t>
        </is>
      </c>
      <c r="E33" s="15" t="inlineStr">
        <is>
          <t xml:space="preserve">Synthetic Data Generation for 6D Object Pose and Grasping Estimation </t>
        </is>
      </c>
      <c r="F33" s="15" t="inlineStr">
        <is>
          <t xml:space="preserve">16/03/2023 </t>
        </is>
      </c>
      <c r="G33" s="15" t="inlineStr">
        <is>
          <t xml:space="preserve">21486541X </t>
        </is>
      </c>
      <c r="H33" s="15" t="inlineStr">
        <is>
          <t xml:space="preserve">Codirector de tesis </t>
        </is>
      </c>
      <c r="I33" s="15" t="inlineStr">
        <is>
          <t xml:space="preserve">B148 </t>
        </is>
      </c>
      <c r="J33" s="15" t="inlineStr">
        <is>
          <t xml:space="preserve">TECNOLOGÍA INFORMÁTICA Y COMPUTACIÓN </t>
        </is>
      </c>
      <c r="K33" s="32" t="n">
        <v>0.5</v>
      </c>
      <c r="L33" s="32" t="inlineStr">
        <is>
          <t>B148</t>
        </is>
      </c>
      <c r="M33" s="15" t="n">
        <v>2022</v>
      </c>
      <c r="N33" s="32" t="inlineStr">
        <is>
          <t>10.19</t>
        </is>
      </c>
      <c r="O33" s="32" t="n">
        <v>20</v>
      </c>
      <c r="P33" s="32" t="inlineStr"/>
      <c r="Q33" s="32" t="n">
        <v>0</v>
      </c>
      <c r="R33" s="32" t="n">
        <v>80</v>
      </c>
      <c r="S33" s="32" t="n">
        <v>0.4</v>
      </c>
      <c r="T33" s="32" t="n">
        <v>0.1</v>
      </c>
      <c r="U33" s="32" t="n">
        <v>0</v>
      </c>
    </row>
    <row r="34">
      <c r="A34" s="15" t="inlineStr">
        <is>
          <t xml:space="preserve">U062 </t>
        </is>
      </c>
      <c r="B34" s="15" t="inlineStr">
        <is>
          <t xml:space="preserve">I.U. DE INVESTIGACIÓN INFORMÁTICA (10.19) </t>
        </is>
      </c>
      <c r="C34" s="15" t="inlineStr">
        <is>
          <t xml:space="preserve">DOCTORADO EN INFORMÁTICA </t>
        </is>
      </c>
      <c r="D34" s="15" t="inlineStr">
        <is>
          <t xml:space="preserve">Castro Vargas, John Alejandro </t>
        </is>
      </c>
      <c r="E34" s="15" t="inlineStr">
        <is>
          <t xml:space="preserve">Contributions on 3D Human Computer-Interaction using Deep approaches </t>
        </is>
      </c>
      <c r="F34" s="15" t="inlineStr">
        <is>
          <t xml:space="preserve">16/03/2023 </t>
        </is>
      </c>
      <c r="G34" s="15" t="inlineStr">
        <is>
          <t xml:space="preserve">21486541X </t>
        </is>
      </c>
      <c r="H34" s="15" t="inlineStr">
        <is>
          <t xml:space="preserve">Codirector de tesis </t>
        </is>
      </c>
      <c r="I34" s="15" t="inlineStr">
        <is>
          <t xml:space="preserve">B148 </t>
        </is>
      </c>
      <c r="J34" s="15" t="inlineStr">
        <is>
          <t xml:space="preserve">TECNOLOGÍA INFORMÁTICA Y COMPUTACIÓN </t>
        </is>
      </c>
      <c r="K34" s="32" t="n">
        <v>0.5</v>
      </c>
      <c r="L34" s="32" t="inlineStr">
        <is>
          <t>B148</t>
        </is>
      </c>
      <c r="M34" s="15" t="n">
        <v>2022</v>
      </c>
      <c r="N34" s="32" t="inlineStr">
        <is>
          <t>10.19</t>
        </is>
      </c>
      <c r="O34" s="32" t="n">
        <v>20</v>
      </c>
      <c r="P34" s="32" t="inlineStr"/>
      <c r="Q34" s="32" t="n">
        <v>0</v>
      </c>
      <c r="R34" s="32" t="n">
        <v>80</v>
      </c>
      <c r="S34" s="32" t="n">
        <v>0.4</v>
      </c>
      <c r="T34" s="32" t="n">
        <v>0.1</v>
      </c>
      <c r="U34" s="32" t="n">
        <v>0</v>
      </c>
    </row>
    <row r="35">
      <c r="A35" s="15" t="inlineStr">
        <is>
          <t xml:space="preserve">U062 </t>
        </is>
      </c>
      <c r="B35" s="15" t="inlineStr">
        <is>
          <t xml:space="preserve">I.U. DE INVESTIGACIÓN INFORMÁTICA (10.19) </t>
        </is>
      </c>
      <c r="C35" s="15" t="inlineStr">
        <is>
          <t xml:space="preserve">DOCTORADO EN INFORMÁTICA </t>
        </is>
      </c>
      <c r="D35" s="15" t="inlineStr">
        <is>
          <t xml:space="preserve">Varela Guzmán, Erick Giovanni </t>
        </is>
      </c>
      <c r="E35" s="15" t="inlineStr">
        <is>
          <t xml:space="preserve">Modelos de gestión impulsados por la tecnología para el desarrollo de sociedades inteligentes </t>
        </is>
      </c>
      <c r="F35" s="15" t="inlineStr">
        <is>
          <t xml:space="preserve">08/09/2023 </t>
        </is>
      </c>
      <c r="G35" s="15" t="inlineStr">
        <is>
          <t xml:space="preserve">33489374V </t>
        </is>
      </c>
      <c r="H35" s="15" t="inlineStr">
        <is>
          <t xml:space="preserve">Codirector de tesis </t>
        </is>
      </c>
      <c r="I35" s="15" t="inlineStr">
        <is>
          <t xml:space="preserve">B148 </t>
        </is>
      </c>
      <c r="J35" s="15" t="inlineStr">
        <is>
          <t xml:space="preserve">TECNOLOGÍA INFORMÁTICA Y COMPUTACIÓN </t>
        </is>
      </c>
      <c r="K35" s="32" t="n">
        <v>0.5</v>
      </c>
      <c r="L35" s="32" t="inlineStr">
        <is>
          <t>B148</t>
        </is>
      </c>
      <c r="M35" s="15" t="n">
        <v>2022</v>
      </c>
      <c r="N35" s="32" t="inlineStr">
        <is>
          <t>10.19</t>
        </is>
      </c>
      <c r="O35" s="32" t="n">
        <v>20</v>
      </c>
      <c r="P35" s="32" t="inlineStr"/>
      <c r="Q35" s="32" t="n">
        <v>0</v>
      </c>
      <c r="R35" s="32" t="n">
        <v>80</v>
      </c>
      <c r="S35" s="32" t="n">
        <v>0.4</v>
      </c>
      <c r="T35" s="32" t="n">
        <v>0.1</v>
      </c>
      <c r="U35" s="32" t="n">
        <v>0</v>
      </c>
    </row>
    <row r="36">
      <c r="A36" s="15" t="inlineStr">
        <is>
          <t xml:space="preserve">U062 </t>
        </is>
      </c>
      <c r="B36" s="15" t="inlineStr">
        <is>
          <t xml:space="preserve">I.U. DE INVESTIGACIÓN INFORMÁTICA (10.19) </t>
        </is>
      </c>
      <c r="C36" s="15" t="inlineStr">
        <is>
          <t xml:space="preserve">DOCTORADO EN INFORMÁTICA </t>
        </is>
      </c>
      <c r="D36" s="15" t="inlineStr">
        <is>
          <t xml:space="preserve">Bedón Chamorro, César Arturo </t>
        </is>
      </c>
      <c r="E36" s="15" t="inlineStr">
        <is>
          <t xml:space="preserve">Modelo Causal y Análisis de Factores para la Adopción del Teletrabajo en la Era de la Industria 4.0 y 5.0 </t>
        </is>
      </c>
      <c r="F36" s="15" t="inlineStr">
        <is>
          <t xml:space="preserve">17/07/2023 </t>
        </is>
      </c>
      <c r="G36" s="15" t="inlineStr">
        <is>
          <t xml:space="preserve">44752524K </t>
        </is>
      </c>
      <c r="H36" s="15" t="inlineStr">
        <is>
          <t xml:space="preserve">Director de tesis </t>
        </is>
      </c>
      <c r="I36" s="15" t="inlineStr">
        <is>
          <t xml:space="preserve">B148 </t>
        </is>
      </c>
      <c r="J36" s="15" t="inlineStr">
        <is>
          <t xml:space="preserve">TECNOLOGÍA INFORMÁTICA Y COMPUTACIÓN </t>
        </is>
      </c>
      <c r="K36" s="32" t="n">
        <v>1</v>
      </c>
      <c r="L36" s="32" t="inlineStr">
        <is>
          <t>B148</t>
        </is>
      </c>
      <c r="M36" s="15" t="n">
        <v>2022</v>
      </c>
      <c r="N36" s="32" t="inlineStr">
        <is>
          <t>10.19</t>
        </is>
      </c>
      <c r="O36" s="32" t="n">
        <v>20</v>
      </c>
      <c r="P36" s="32" t="inlineStr"/>
      <c r="Q36" s="32" t="n">
        <v>0</v>
      </c>
      <c r="R36" s="32" t="n">
        <v>80</v>
      </c>
      <c r="S36" s="32" t="n">
        <v>0.8</v>
      </c>
      <c r="T36" s="32" t="n">
        <v>0.2</v>
      </c>
      <c r="U36" s="32" t="n">
        <v>0</v>
      </c>
    </row>
    <row r="37">
      <c r="A37" s="15" t="inlineStr">
        <is>
          <t xml:space="preserve">U062 </t>
        </is>
      </c>
      <c r="B37" s="15" t="inlineStr">
        <is>
          <t xml:space="preserve">I.U. DE INVESTIGACIÓN INFORMÁTICA (10.19) </t>
        </is>
      </c>
      <c r="C37" s="15" t="inlineStr">
        <is>
          <t xml:space="preserve">DOCTORADO EN INFORMÁTICA </t>
        </is>
      </c>
      <c r="D37" s="15" t="inlineStr">
        <is>
          <t xml:space="preserve">Guerrero Rodríguez, Byron Vicente </t>
        </is>
      </c>
      <c r="E37" s="15" t="inlineStr">
        <is>
          <t xml:space="preserve">Predicción de deslizamientos aplicando técnicas de aprendizaje automático </t>
        </is>
      </c>
      <c r="F37" s="15" t="inlineStr">
        <is>
          <t xml:space="preserve">09/06/2023 </t>
        </is>
      </c>
      <c r="G37" s="15" t="inlineStr">
        <is>
          <t xml:space="preserve">21486541X </t>
        </is>
      </c>
      <c r="H37" s="15" t="inlineStr">
        <is>
          <t xml:space="preserve">Codirector de tesis </t>
        </is>
      </c>
      <c r="I37" s="15" t="inlineStr">
        <is>
          <t xml:space="preserve">B148 </t>
        </is>
      </c>
      <c r="J37" s="15" t="inlineStr">
        <is>
          <t xml:space="preserve">TECNOLOGÍA INFORMÁTICA Y COMPUTACIÓN </t>
        </is>
      </c>
      <c r="K37" s="32" t="n">
        <v>0.5</v>
      </c>
      <c r="L37" s="32" t="inlineStr">
        <is>
          <t>B148</t>
        </is>
      </c>
      <c r="M37" s="15" t="n">
        <v>2022</v>
      </c>
      <c r="N37" s="32" t="inlineStr">
        <is>
          <t>10.19</t>
        </is>
      </c>
      <c r="O37" s="32" t="n">
        <v>20</v>
      </c>
      <c r="P37" s="32" t="inlineStr"/>
      <c r="Q37" s="32" t="n">
        <v>0</v>
      </c>
      <c r="R37" s="32" t="n">
        <v>80</v>
      </c>
      <c r="S37" s="32" t="n">
        <v>0.4</v>
      </c>
      <c r="T37" s="32" t="n">
        <v>0.1</v>
      </c>
      <c r="U37" s="32" t="n">
        <v>0</v>
      </c>
    </row>
    <row r="38">
      <c r="A38" s="15" t="inlineStr">
        <is>
          <t xml:space="preserve">U075 </t>
        </is>
      </c>
      <c r="B38" s="15" t="inlineStr">
        <is>
          <t xml:space="preserve">I.U.INVESTIGACIÓN DE ESTUDIOS SOCIALES DE AMÉRICA LATINA (10.25) </t>
        </is>
      </c>
      <c r="C38" s="15" t="inlineStr">
        <is>
          <t xml:space="preserve">DOCTORADO EN HUMANIDADES Y ESTUDIOS SOCIALES DE AMÉRICA LATINA </t>
        </is>
      </c>
      <c r="D38" s="15" t="inlineStr">
        <is>
          <t xml:space="preserve">García Chamizo, Juan Manuel </t>
        </is>
      </c>
      <c r="E38" s="15" t="inlineStr">
        <is>
          <t xml:space="preserve">Cine y turismo en la provincia de Alicante: las oportunidades perdidas para la creación de productos de turismo cinematográfico. </t>
        </is>
      </c>
      <c r="F38" s="15" t="inlineStr">
        <is>
          <t xml:space="preserve">24/11/2022 </t>
        </is>
      </c>
      <c r="G38" s="15" t="inlineStr">
        <is>
          <t xml:space="preserve">09371918Q </t>
        </is>
      </c>
      <c r="H38" s="15" t="inlineStr">
        <is>
          <t xml:space="preserve">Codirector de tesis </t>
        </is>
      </c>
      <c r="I38" s="15" t="inlineStr">
        <is>
          <t xml:space="preserve">B148 </t>
        </is>
      </c>
      <c r="J38" s="15" t="inlineStr">
        <is>
          <t xml:space="preserve">TECNOLOGÍA INFORMÁTICA Y COMPUTACIÓN </t>
        </is>
      </c>
      <c r="K38" s="32" t="n">
        <v>0.5</v>
      </c>
      <c r="L38" s="32" t="inlineStr">
        <is>
          <t>B148</t>
        </is>
      </c>
      <c r="M38" s="15" t="n">
        <v>2022</v>
      </c>
      <c r="N38" s="32" t="inlineStr">
        <is>
          <t>10.25</t>
        </is>
      </c>
      <c r="O38" s="32" t="n">
        <v>10</v>
      </c>
      <c r="P38" s="32" t="inlineStr">
        <is>
          <t>10.19</t>
        </is>
      </c>
      <c r="Q38" s="32" t="n">
        <v>10</v>
      </c>
      <c r="R38" s="32" t="n">
        <v>80</v>
      </c>
      <c r="S38" s="32" t="n">
        <v>0.4</v>
      </c>
      <c r="T38" s="32" t="n">
        <v>0.05</v>
      </c>
      <c r="U38" s="32" t="n">
        <v>0.05</v>
      </c>
    </row>
    <row r="39">
      <c r="A39" s="15" t="inlineStr">
        <is>
          <t xml:space="preserve">U075 </t>
        </is>
      </c>
      <c r="B39" s="15" t="inlineStr">
        <is>
          <t xml:space="preserve">I.U.INVESTIGACIÓN DE ESTUDIOS SOCIALES DE AMÉRICA LATINA (10.25) </t>
        </is>
      </c>
      <c r="C39" s="15" t="inlineStr">
        <is>
          <t xml:space="preserve">DOCTORADO EN HUMANIDADES Y ESTUDIOS SOCIALES DE AMÉRICA LATINA </t>
        </is>
      </c>
      <c r="D39" s="15" t="inlineStr">
        <is>
          <t xml:space="preserve">García Chamizo, Juan Manuel </t>
        </is>
      </c>
      <c r="E39" s="15" t="inlineStr">
        <is>
          <t xml:space="preserve">Cine y turismo en la provincia de Alicante: las oportunidades perdidas para la creación de productos de turismo cinematográfico. </t>
        </is>
      </c>
      <c r="F39" s="15" t="inlineStr">
        <is>
          <t xml:space="preserve">24/11/2022 </t>
        </is>
      </c>
      <c r="G39" s="15" t="inlineStr">
        <is>
          <t xml:space="preserve">22135677V </t>
        </is>
      </c>
      <c r="H39" s="15" t="inlineStr">
        <is>
          <t xml:space="preserve">Codirector de tesis </t>
        </is>
      </c>
      <c r="I39" s="15" t="inlineStr">
        <is>
          <t xml:space="preserve">B148 </t>
        </is>
      </c>
      <c r="J39" s="15" t="inlineStr">
        <is>
          <t xml:space="preserve">TECNOLOGÍA INFORMÁTICA Y COMPUTACIÓN </t>
        </is>
      </c>
      <c r="K39" s="32" t="n">
        <v>0.5</v>
      </c>
      <c r="L39" s="32" t="inlineStr">
        <is>
          <t>B148</t>
        </is>
      </c>
      <c r="M39" s="15" t="n">
        <v>2022</v>
      </c>
      <c r="N39" s="32" t="inlineStr">
        <is>
          <t>10.19</t>
        </is>
      </c>
      <c r="O39" s="32" t="n">
        <v>20</v>
      </c>
      <c r="P39" s="32" t="inlineStr"/>
      <c r="Q39" s="32" t="n">
        <v>0</v>
      </c>
      <c r="R39" s="32" t="n">
        <v>80</v>
      </c>
      <c r="S39" s="32" t="n">
        <v>0.4</v>
      </c>
      <c r="T39" s="32" t="n">
        <v>0.1</v>
      </c>
      <c r="U39" s="32" t="n">
        <v>0</v>
      </c>
    </row>
    <row r="40">
      <c r="A40" s="15" t="inlineStr">
        <is>
          <t>U044</t>
        </is>
      </c>
      <c r="B40" s="15" t="inlineStr">
        <is>
          <t>ADM. FACULTAD DE CIENCIAS DE LA SALUD</t>
        </is>
      </c>
      <c r="C40" s="15" t="inlineStr">
        <is>
          <t>DOCTORADO EN CIENCIAS DE LA SALUD</t>
        </is>
      </c>
      <c r="D40" s="15" t="inlineStr">
        <is>
          <t>Mujirishvili , Tamar</t>
        </is>
      </c>
      <c r="E40" s="15" t="inlineStr">
        <is>
          <t>Perceptions of personal safety and privacy in older adults and their caregivers in the context of video-based lifelogging technologies</t>
        </is>
      </c>
      <c r="F40" s="15" t="inlineStr">
        <is>
          <t>13/09/2024</t>
        </is>
      </c>
      <c r="G40" s="15" t="inlineStr">
        <is>
          <t>33476663W</t>
        </is>
      </c>
      <c r="H40" s="15" t="inlineStr">
        <is>
          <t>Codirector de tesis</t>
        </is>
      </c>
      <c r="I40" s="15" t="inlineStr">
        <is>
          <t>B148</t>
        </is>
      </c>
      <c r="J40" s="15" t="inlineStr">
        <is>
          <t>TECNOLOGIA INFORMATICA Y COMPUTACION</t>
        </is>
      </c>
      <c r="K40" s="32" t="n">
        <v>0.3333333333333333</v>
      </c>
      <c r="L40" s="32" t="inlineStr">
        <is>
          <t>B148</t>
        </is>
      </c>
      <c r="M40" s="15" t="n">
        <v>2023</v>
      </c>
      <c r="N40" s="32" t="inlineStr">
        <is>
          <t>10.19</t>
        </is>
      </c>
      <c r="O40" s="32" t="inlineStr">
        <is>
          <t>20</t>
        </is>
      </c>
      <c r="P40" s="32" t="inlineStr"/>
      <c r="Q40" s="32" t="inlineStr"/>
      <c r="R40" s="32" t="n">
        <v>80</v>
      </c>
      <c r="S40" s="64" t="n">
        <v>0.2666666666666667</v>
      </c>
      <c r="T40" s="64" t="n">
        <v>0.06666666666666667</v>
      </c>
      <c r="U40" s="32" t="n">
        <v>0</v>
      </c>
    </row>
    <row r="41">
      <c r="A41" s="15" t="inlineStr">
        <is>
          <t>U062</t>
        </is>
      </c>
      <c r="B41" s="15" t="inlineStr">
        <is>
          <t>I.U. DE INVESTIGACIÓN INFORMÁTICA (10.19)</t>
        </is>
      </c>
      <c r="C41" s="15" t="inlineStr">
        <is>
          <t>DOCTORADO EN INFORMÁTICA</t>
        </is>
      </c>
      <c r="D41" s="15" t="inlineStr">
        <is>
          <t>Elouali , Aya</t>
        </is>
      </c>
      <c r="E41" s="15" t="inlineStr">
        <is>
          <t>Distributed Architectures for Enhancing Artificial Intelligence of Things Systems A Cloud Collaborative Model</t>
        </is>
      </c>
      <c r="F41" s="15" t="inlineStr">
        <is>
          <t>23/11/2023</t>
        </is>
      </c>
      <c r="G41" s="15" t="inlineStr">
        <is>
          <t>21653548Z</t>
        </is>
      </c>
      <c r="H41" s="15" t="inlineStr">
        <is>
          <t>Codirector de tesis</t>
        </is>
      </c>
      <c r="I41" s="15" t="inlineStr">
        <is>
          <t>B148</t>
        </is>
      </c>
      <c r="J41" s="15" t="inlineStr">
        <is>
          <t>TECNOLOGÍA INFORMÁTICA Y COMPUTACIÓN</t>
        </is>
      </c>
      <c r="K41" s="15" t="n">
        <v>0.5</v>
      </c>
      <c r="L41" s="15" t="inlineStr">
        <is>
          <t>B148</t>
        </is>
      </c>
      <c r="M41" s="15" t="n">
        <v>2023</v>
      </c>
      <c r="N41" s="15" t="inlineStr"/>
      <c r="O41" s="15" t="inlineStr"/>
      <c r="P41" s="15" t="inlineStr"/>
      <c r="Q41" s="15" t="inlineStr"/>
      <c r="R41" s="15" t="n">
        <v>100</v>
      </c>
      <c r="S41" s="15" t="n">
        <v>0.5</v>
      </c>
      <c r="T41" s="15" t="n">
        <v>0</v>
      </c>
      <c r="U41" s="15" t="n">
        <v>0</v>
      </c>
    </row>
    <row r="42">
      <c r="A42" s="15" t="inlineStr">
        <is>
          <t>U062</t>
        </is>
      </c>
      <c r="B42" s="15" t="inlineStr">
        <is>
          <t>I.U. DE INVESTIGACIÓN INFORMÁTICA (10.19)</t>
        </is>
      </c>
      <c r="C42" s="15" t="inlineStr">
        <is>
          <t>DOCTORADO EN INFORMÁTICA</t>
        </is>
      </c>
      <c r="D42" s="15" t="inlineStr">
        <is>
          <t>Elouali , Aya</t>
        </is>
      </c>
      <c r="E42" s="15" t="inlineStr">
        <is>
          <t>Distributed Architectures for Enhancing Artificial Intelligence of Things Systems A Cloud Collaborative Model</t>
        </is>
      </c>
      <c r="F42" s="15" t="inlineStr">
        <is>
          <t>23/11/2023</t>
        </is>
      </c>
      <c r="G42" s="15" t="inlineStr">
        <is>
          <t>33489374V</t>
        </is>
      </c>
      <c r="H42" s="15" t="inlineStr">
        <is>
          <t>Codirector de tesis</t>
        </is>
      </c>
      <c r="I42" s="15" t="inlineStr">
        <is>
          <t>B148</t>
        </is>
      </c>
      <c r="J42" s="15" t="inlineStr">
        <is>
          <t>TECNOLOGÍA INFORMÁTICA Y COMPUTACIÓN</t>
        </is>
      </c>
      <c r="K42" s="15" t="n">
        <v>0.5</v>
      </c>
      <c r="L42" s="15" t="inlineStr">
        <is>
          <t>B148</t>
        </is>
      </c>
      <c r="M42" s="15" t="n">
        <v>2023</v>
      </c>
      <c r="N42" s="15" t="inlineStr">
        <is>
          <t>10.19</t>
        </is>
      </c>
      <c r="O42" s="15" t="inlineStr">
        <is>
          <t>20</t>
        </is>
      </c>
      <c r="P42" s="15" t="inlineStr"/>
      <c r="Q42" s="15" t="inlineStr"/>
      <c r="R42" s="15" t="n">
        <v>80</v>
      </c>
      <c r="S42" s="15" t="n">
        <v>0.4</v>
      </c>
      <c r="T42" s="15" t="n">
        <v>0.1</v>
      </c>
      <c r="U42" s="15" t="n">
        <v>0</v>
      </c>
    </row>
    <row r="43">
      <c r="A43" s="15" t="inlineStr">
        <is>
          <t>U062</t>
        </is>
      </c>
      <c r="B43" s="15" t="inlineStr">
        <is>
          <t>I.U. DE INVESTIGACIÓN INFORMÁTICA (10.19)</t>
        </is>
      </c>
      <c r="C43" s="15" t="inlineStr">
        <is>
          <t>DOCTORADO EN INFORMÁTICA</t>
        </is>
      </c>
      <c r="D43" s="15" t="inlineStr">
        <is>
          <t>Sánchez Ribes, Victor</t>
        </is>
      </c>
      <c r="E43" s="15" t="inlineStr">
        <is>
          <t>Arquitecturas para la computación de altas prestaciones en la nube. Aplicación a procesos de geometría computacional</t>
        </is>
      </c>
      <c r="F43" s="15" t="inlineStr">
        <is>
          <t>01/03/2024</t>
        </is>
      </c>
      <c r="G43" s="15" t="inlineStr">
        <is>
          <t>33489374V</t>
        </is>
      </c>
      <c r="H43" s="15" t="inlineStr">
        <is>
          <t>Codirector de tesis</t>
        </is>
      </c>
      <c r="I43" s="15" t="inlineStr">
        <is>
          <t>B148</t>
        </is>
      </c>
      <c r="J43" s="15" t="inlineStr">
        <is>
          <t>TECNOLOGÍA INFORMÁTICA Y COMPUTACIÓN</t>
        </is>
      </c>
      <c r="K43" s="15" t="n">
        <v>0.5</v>
      </c>
      <c r="L43" s="15" t="inlineStr">
        <is>
          <t>B148</t>
        </is>
      </c>
      <c r="M43" s="15" t="n">
        <v>2023</v>
      </c>
      <c r="N43" s="15" t="inlineStr">
        <is>
          <t>10.19</t>
        </is>
      </c>
      <c r="O43" s="15" t="inlineStr">
        <is>
          <t>20</t>
        </is>
      </c>
      <c r="P43" s="15" t="inlineStr"/>
      <c r="Q43" s="15" t="inlineStr"/>
      <c r="R43" s="15" t="n">
        <v>80</v>
      </c>
      <c r="S43" s="15" t="n">
        <v>0.4</v>
      </c>
      <c r="T43" s="15" t="n">
        <v>0.1</v>
      </c>
      <c r="U43" s="15" t="n">
        <v>0</v>
      </c>
    </row>
    <row r="44">
      <c r="A44" s="15" t="inlineStr">
        <is>
          <t>U062</t>
        </is>
      </c>
      <c r="B44" s="15" t="inlineStr">
        <is>
          <t>I.U. DE INVESTIGACIÓN INFORMÁTICA (10.19)</t>
        </is>
      </c>
      <c r="C44" s="15" t="inlineStr">
        <is>
          <t>DOCTORADO EN INFORMÁTICA</t>
        </is>
      </c>
      <c r="D44" s="15" t="inlineStr">
        <is>
          <t>Sánchez Ribes, Victor</t>
        </is>
      </c>
      <c r="E44" s="15" t="inlineStr">
        <is>
          <t>Arquitecturas para la computación de altas prestaciones en la nube. Aplicación a procesos de geometría computacional</t>
        </is>
      </c>
      <c r="F44" s="15" t="inlineStr">
        <is>
          <t>01/03/2024</t>
        </is>
      </c>
      <c r="G44" s="15" t="inlineStr">
        <is>
          <t>29011916S</t>
        </is>
      </c>
      <c r="H44" s="15" t="inlineStr">
        <is>
          <t>Codirector de tesis</t>
        </is>
      </c>
      <c r="I44" s="15" t="inlineStr">
        <is>
          <t>B148</t>
        </is>
      </c>
      <c r="J44" s="15" t="inlineStr">
        <is>
          <t>TECNOLOGÍA INFORMÁTICA Y COMPUTACIÓN</t>
        </is>
      </c>
      <c r="K44" s="15" t="n">
        <v>0.5</v>
      </c>
      <c r="L44" s="15" t="inlineStr">
        <is>
          <t>B148</t>
        </is>
      </c>
      <c r="M44" s="15" t="n">
        <v>2023</v>
      </c>
      <c r="N44" s="15" t="inlineStr">
        <is>
          <t>10.19</t>
        </is>
      </c>
      <c r="O44" s="15" t="inlineStr">
        <is>
          <t>20</t>
        </is>
      </c>
      <c r="P44" s="15" t="inlineStr"/>
      <c r="Q44" s="15" t="inlineStr"/>
      <c r="R44" s="15" t="n">
        <v>80</v>
      </c>
      <c r="S44" s="15" t="n">
        <v>0.4</v>
      </c>
      <c r="T44" s="15" t="n">
        <v>0.1</v>
      </c>
      <c r="U44" s="15" t="n">
        <v>0</v>
      </c>
    </row>
    <row r="45">
      <c r="A45" s="15" t="inlineStr">
        <is>
          <t>U062</t>
        </is>
      </c>
      <c r="B45" s="15" t="inlineStr">
        <is>
          <t>I.U. DE INVESTIGACIÓN INFORMÁTICA (10.19)</t>
        </is>
      </c>
      <c r="C45" s="15" t="inlineStr">
        <is>
          <t>DOCTORADO EN INFORMÁTICA</t>
        </is>
      </c>
      <c r="D45" s="15" t="inlineStr">
        <is>
          <t>Calabuig Barbero, Eduardo</t>
        </is>
      </c>
      <c r="E45" s="15" t="inlineStr">
        <is>
          <t>Investigación industrial en técnicas avanzadas de modelado por computador para la adaptación del diseño de calzado al paradigma de la Industria 4.0</t>
        </is>
      </c>
      <c r="F45" s="15" t="inlineStr">
        <is>
          <t>11/06/2024</t>
        </is>
      </c>
      <c r="G45" s="15" t="inlineStr">
        <is>
          <t>33489374V</t>
        </is>
      </c>
      <c r="H45" s="15" t="inlineStr">
        <is>
          <t>Codirector de tesis</t>
        </is>
      </c>
      <c r="I45" s="15" t="inlineStr">
        <is>
          <t>B148</t>
        </is>
      </c>
      <c r="J45" s="15" t="inlineStr">
        <is>
          <t>TECNOLOGÍA INFORMÁTICA Y COMPUTACIÓN</t>
        </is>
      </c>
      <c r="K45" s="15" t="n">
        <v>0.5</v>
      </c>
      <c r="L45" s="15" t="inlineStr">
        <is>
          <t>B148</t>
        </is>
      </c>
      <c r="M45" s="15" t="n">
        <v>2023</v>
      </c>
      <c r="N45" s="15" t="inlineStr">
        <is>
          <t>10.19</t>
        </is>
      </c>
      <c r="O45" s="15" t="inlineStr">
        <is>
          <t>20</t>
        </is>
      </c>
      <c r="P45" s="15" t="inlineStr"/>
      <c r="Q45" s="15" t="inlineStr"/>
      <c r="R45" s="15" t="n">
        <v>80</v>
      </c>
      <c r="S45" s="15" t="n">
        <v>0.4</v>
      </c>
      <c r="T45" s="15" t="n">
        <v>0.1</v>
      </c>
      <c r="U45" s="15" t="n">
        <v>0</v>
      </c>
    </row>
    <row r="46">
      <c r="A46" s="15" t="inlineStr">
        <is>
          <t>U062</t>
        </is>
      </c>
      <c r="B46" s="15" t="inlineStr">
        <is>
          <t>I.U. DE INVESTIGACIÓN INFORMÁTICA (10.19)</t>
        </is>
      </c>
      <c r="C46" s="15" t="inlineStr">
        <is>
          <t>DOCTORADO EN INFORMÁTICA</t>
        </is>
      </c>
      <c r="D46" s="15" t="inlineStr">
        <is>
          <t>Calabuig Barbero, Eduardo</t>
        </is>
      </c>
      <c r="E46" s="15" t="inlineStr">
        <is>
          <t>Investigación industrial en técnicas avanzadas de modelado por computador para la adaptación del diseño de calzado al paradigma de la Industria 4.0</t>
        </is>
      </c>
      <c r="F46" s="15" t="inlineStr">
        <is>
          <t>11/06/2024</t>
        </is>
      </c>
      <c r="G46" s="15" t="inlineStr">
        <is>
          <t>29011916S</t>
        </is>
      </c>
      <c r="H46" s="15" t="inlineStr">
        <is>
          <t>Codirector de tesis</t>
        </is>
      </c>
      <c r="I46" s="15" t="inlineStr">
        <is>
          <t>B148</t>
        </is>
      </c>
      <c r="J46" s="15" t="inlineStr">
        <is>
          <t>TECNOLOGÍA INFORMÁTICA Y COMPUTACIÓN</t>
        </is>
      </c>
      <c r="K46" s="15" t="n">
        <v>0.5</v>
      </c>
      <c r="L46" s="15" t="inlineStr">
        <is>
          <t>B148</t>
        </is>
      </c>
      <c r="M46" s="15" t="n">
        <v>2023</v>
      </c>
      <c r="N46" s="15" t="inlineStr">
        <is>
          <t>10.19</t>
        </is>
      </c>
      <c r="O46" s="15" t="inlineStr">
        <is>
          <t>20</t>
        </is>
      </c>
      <c r="P46" s="15" t="inlineStr"/>
      <c r="Q46" s="15" t="inlineStr"/>
      <c r="R46" s="15" t="n">
        <v>80</v>
      </c>
      <c r="S46" s="15" t="n">
        <v>0.4</v>
      </c>
      <c r="T46" s="15" t="n">
        <v>0.1</v>
      </c>
      <c r="U46" s="15" t="n">
        <v>0</v>
      </c>
    </row>
    <row r="47">
      <c r="A47" s="15" t="inlineStr">
        <is>
          <t>U062</t>
        </is>
      </c>
      <c r="B47" s="15" t="inlineStr">
        <is>
          <t>I.U. DE INVESTIGACIÓN INFORMÁTICA (10.19)</t>
        </is>
      </c>
      <c r="C47" s="15" t="inlineStr">
        <is>
          <t>DOCTORADO EN INFORMÁTICA</t>
        </is>
      </c>
      <c r="D47" s="15" t="inlineStr">
        <is>
          <t>Cortés Plana, José Juan</t>
        </is>
      </c>
      <c r="E47" s="15" t="inlineStr">
        <is>
          <t>Modelo computacional para la creación de un mapa de riesgo que gestione la propagación de la plaga vegetal X. fastidiosa</t>
        </is>
      </c>
      <c r="F47" s="15" t="inlineStr">
        <is>
          <t>10/01/2024</t>
        </is>
      </c>
      <c r="G47" s="15" t="inlineStr">
        <is>
          <t>21411855M</t>
        </is>
      </c>
      <c r="H47" s="15" t="inlineStr">
        <is>
          <t>Director de tesis</t>
        </is>
      </c>
      <c r="I47" s="15" t="inlineStr">
        <is>
          <t>B148</t>
        </is>
      </c>
      <c r="J47" s="15" t="inlineStr">
        <is>
          <t>TECNOLOGÍA INFORMÁTICA Y COMPUTACIÓN</t>
        </is>
      </c>
      <c r="K47" s="15" t="n">
        <v>1</v>
      </c>
      <c r="L47" s="15" t="inlineStr">
        <is>
          <t>B148</t>
        </is>
      </c>
      <c r="M47" s="15" t="n">
        <v>2023</v>
      </c>
      <c r="N47" s="15" t="inlineStr"/>
      <c r="O47" s="15" t="inlineStr"/>
      <c r="P47" s="15" t="inlineStr"/>
      <c r="Q47" s="15" t="inlineStr"/>
      <c r="R47" s="15" t="n">
        <v>100</v>
      </c>
      <c r="S47" s="15" t="n">
        <v>1</v>
      </c>
      <c r="T47" s="15" t="n">
        <v>0</v>
      </c>
      <c r="U47" s="15" t="n">
        <v>0</v>
      </c>
    </row>
    <row r="48">
      <c r="A48" s="15" t="inlineStr">
        <is>
          <t>U062</t>
        </is>
      </c>
      <c r="B48" s="15" t="inlineStr">
        <is>
          <t>I.U. DE INVESTIGACIÓN INFORMÁTICA (10.19)</t>
        </is>
      </c>
      <c r="C48" s="15" t="inlineStr">
        <is>
          <t>DOCTORADO EN INFORMÁTICA</t>
        </is>
      </c>
      <c r="D48" s="15" t="inlineStr">
        <is>
          <t>Gómez Hernández, José Francisco</t>
        </is>
      </c>
      <c r="E48" s="15" t="inlineStr">
        <is>
          <t>Investigación industrial orientada a la adecuación del paradigma de la Industria 4.0 a los procesos de fabricación del calzado</t>
        </is>
      </c>
      <c r="F48" s="15" t="inlineStr">
        <is>
          <t>05/06/2024</t>
        </is>
      </c>
      <c r="G48" s="15" t="inlineStr">
        <is>
          <t>29011916S</t>
        </is>
      </c>
      <c r="H48" s="15" t="inlineStr">
        <is>
          <t>Codirector de tesis</t>
        </is>
      </c>
      <c r="I48" s="15" t="inlineStr">
        <is>
          <t>B148</t>
        </is>
      </c>
      <c r="J48" s="15" t="inlineStr">
        <is>
          <t>TECNOLOGÍA INFORMÁTICA Y COMPUTACIÓN</t>
        </is>
      </c>
      <c r="K48" s="15" t="n">
        <v>0.5</v>
      </c>
      <c r="L48" s="15" t="inlineStr">
        <is>
          <t>B148</t>
        </is>
      </c>
      <c r="M48" s="15" t="n">
        <v>2023</v>
      </c>
      <c r="N48" s="15" t="inlineStr">
        <is>
          <t>10.19</t>
        </is>
      </c>
      <c r="O48" s="15" t="inlineStr">
        <is>
          <t>20</t>
        </is>
      </c>
      <c r="P48" s="15" t="inlineStr"/>
      <c r="Q48" s="15" t="inlineStr"/>
      <c r="R48" s="15" t="n">
        <v>80</v>
      </c>
      <c r="S48" s="15" t="n">
        <v>0.4</v>
      </c>
      <c r="T48" s="15" t="n">
        <v>0.1</v>
      </c>
      <c r="U48" s="15" t="n">
        <v>0</v>
      </c>
    </row>
    <row r="49" ht="12.75" customHeight="1">
      <c r="A49" s="15" t="inlineStr">
        <is>
          <t>U062</t>
        </is>
      </c>
      <c r="B49" s="15" t="inlineStr">
        <is>
          <t>I.U. DE INVESTIGACIÓN INFORMÁTICA (10.19)</t>
        </is>
      </c>
      <c r="C49" s="15" t="inlineStr">
        <is>
          <t>DOCTORADO EN INFORMÁTICA</t>
        </is>
      </c>
      <c r="D49" s="15" t="inlineStr">
        <is>
          <t>Gómez Hernández, José Francisco</t>
        </is>
      </c>
      <c r="E49" s="15" t="inlineStr">
        <is>
          <t>Investigación industrial orientada a la adecuación del paradigma de la Industria 4.0 a los procesos de fabricación del calzado</t>
        </is>
      </c>
      <c r="F49" s="15" t="inlineStr">
        <is>
          <t>05/06/2024</t>
        </is>
      </c>
      <c r="G49" s="15" t="inlineStr">
        <is>
          <t>33485105A</t>
        </is>
      </c>
      <c r="H49" s="15" t="inlineStr">
        <is>
          <t>Codirector de tesis</t>
        </is>
      </c>
      <c r="I49" s="15" t="inlineStr">
        <is>
          <t>B148</t>
        </is>
      </c>
      <c r="J49" s="15" t="inlineStr">
        <is>
          <t>TECNOLOGÍA INFORMÁTICA Y COMPUTACIÓN</t>
        </is>
      </c>
      <c r="K49" s="15" t="n">
        <v>0.5</v>
      </c>
      <c r="L49" s="15" t="inlineStr">
        <is>
          <t>B148</t>
        </is>
      </c>
      <c r="M49" s="15" t="n">
        <v>2023</v>
      </c>
      <c r="N49" s="15" t="inlineStr">
        <is>
          <t>10.19</t>
        </is>
      </c>
      <c r="O49" s="15" t="inlineStr">
        <is>
          <t>20</t>
        </is>
      </c>
      <c r="P49" s="15" t="inlineStr"/>
      <c r="Q49" s="15" t="inlineStr"/>
      <c r="R49" s="15" t="n">
        <v>80</v>
      </c>
      <c r="S49" s="15" t="n">
        <v>0.4</v>
      </c>
      <c r="T49" s="15" t="n">
        <v>0.1</v>
      </c>
      <c r="U49" s="15" t="n">
        <v>0</v>
      </c>
    </row>
    <row r="50">
      <c r="A50" s="15" t="inlineStr">
        <is>
          <t>U062</t>
        </is>
      </c>
      <c r="B50" s="15" t="inlineStr">
        <is>
          <t>I.U. DE INVESTIGACIÓN INFORMÁTICA (10.19)</t>
        </is>
      </c>
      <c r="C50" s="15" t="inlineStr">
        <is>
          <t>DOCTORADO EN INFORMÁTICA</t>
        </is>
      </c>
      <c r="D50" s="15" t="inlineStr">
        <is>
          <t>Teterja , Dmitrij</t>
        </is>
      </c>
      <c r="E50" s="15" t="inlineStr">
        <is>
          <t>Mosaic-Based Deep Learning Approach for Bird Species Identification and Behavior Recognition</t>
        </is>
      </c>
      <c r="F50" s="15" t="inlineStr">
        <is>
          <t>19/07/2024</t>
        </is>
      </c>
      <c r="G50" s="15" t="inlineStr">
        <is>
          <t>21486541X</t>
        </is>
      </c>
      <c r="H50" s="15" t="inlineStr">
        <is>
          <t>Codirector de tesis</t>
        </is>
      </c>
      <c r="I50" s="15" t="inlineStr">
        <is>
          <t>B148</t>
        </is>
      </c>
      <c r="J50" s="15" t="inlineStr">
        <is>
          <t>TECNOLOGÍA INFORMÁTICA Y COMPUTACIÓN</t>
        </is>
      </c>
      <c r="K50" s="15" t="n">
        <v>0.5</v>
      </c>
      <c r="L50" s="15" t="inlineStr">
        <is>
          <t>B148</t>
        </is>
      </c>
      <c r="M50" s="15" t="n">
        <v>2023</v>
      </c>
      <c r="N50" s="15" t="inlineStr">
        <is>
          <t>10.19</t>
        </is>
      </c>
      <c r="O50" s="15" t="inlineStr">
        <is>
          <t>20</t>
        </is>
      </c>
      <c r="P50" s="15" t="inlineStr"/>
      <c r="Q50" s="15" t="inlineStr"/>
      <c r="R50" s="15" t="n">
        <v>80</v>
      </c>
      <c r="S50" s="15" t="n">
        <v>0.4</v>
      </c>
      <c r="T50" s="15" t="n">
        <v>0.1</v>
      </c>
      <c r="U50" s="15" t="n">
        <v>0</v>
      </c>
    </row>
    <row r="51">
      <c r="A51" s="15" t="inlineStr">
        <is>
          <t>U062</t>
        </is>
      </c>
      <c r="B51" s="15" t="inlineStr">
        <is>
          <t>I.U. DE INVESTIGACIÓN INFORMÁTICA (10.19)</t>
        </is>
      </c>
      <c r="C51" s="15" t="inlineStr">
        <is>
          <t>DOCTORADO EN INFORMÁTICA</t>
        </is>
      </c>
      <c r="D51" s="15" t="inlineStr">
        <is>
          <t>Teterja , Dmitrij</t>
        </is>
      </c>
      <c r="E51" s="15" t="inlineStr">
        <is>
          <t>Mosaic-Based Deep Learning Approach for Bird Species Identification and Behavior Recognition</t>
        </is>
      </c>
      <c r="F51" s="15" t="inlineStr">
        <is>
          <t>19/07/2024</t>
        </is>
      </c>
      <c r="G51" s="15" t="inlineStr">
        <is>
          <t>52764803C</t>
        </is>
      </c>
      <c r="H51" s="15" t="inlineStr">
        <is>
          <t>Codirector de tesis</t>
        </is>
      </c>
      <c r="I51" s="15" t="inlineStr">
        <is>
          <t>B148</t>
        </is>
      </c>
      <c r="J51" s="15" t="inlineStr">
        <is>
          <t>TECNOLOGÍA INFORMÁTICA Y COMPUTACIÓN</t>
        </is>
      </c>
      <c r="K51" s="15" t="n">
        <v>0.5</v>
      </c>
      <c r="L51" s="15" t="inlineStr">
        <is>
          <t>B148</t>
        </is>
      </c>
      <c r="M51" s="15" t="n">
        <v>2023</v>
      </c>
      <c r="N51" s="15" t="inlineStr">
        <is>
          <t>10.19</t>
        </is>
      </c>
      <c r="O51" s="15" t="inlineStr">
        <is>
          <t>50</t>
        </is>
      </c>
      <c r="P51" s="15" t="inlineStr"/>
      <c r="Q51" s="15" t="inlineStr"/>
      <c r="R51" s="15" t="n">
        <v>50</v>
      </c>
      <c r="S51" s="15" t="n">
        <v>0.25</v>
      </c>
      <c r="T51" s="15" t="n">
        <v>0.25</v>
      </c>
      <c r="U51" s="15" t="n">
        <v>0</v>
      </c>
    </row>
    <row r="52">
      <c r="A52" s="15" t="inlineStr">
        <is>
          <t>U062</t>
        </is>
      </c>
      <c r="B52" s="15" t="inlineStr">
        <is>
          <t>I.U. DE INVESTIGACIÓN INFORMÁTICA (10.19)</t>
        </is>
      </c>
      <c r="C52" s="15" t="inlineStr">
        <is>
          <t>DOCTORADO EN INFORMÁTICA</t>
        </is>
      </c>
      <c r="D52" s="15" t="inlineStr">
        <is>
          <t>Güemes Esperón, Alejandro Miguel</t>
        </is>
      </c>
      <c r="E52" s="15" t="inlineStr">
        <is>
          <t>Modelo de generación de suites de pruebas efectivas a partir de requisitos para aplicaciones en entornos distribuidos</t>
        </is>
      </c>
      <c r="F52" s="15" t="inlineStr">
        <is>
          <t>23/07/2024</t>
        </is>
      </c>
      <c r="G52" s="15" t="inlineStr">
        <is>
          <t>48375795X</t>
        </is>
      </c>
      <c r="H52" s="15" t="inlineStr">
        <is>
          <t>Codirector de tesis</t>
        </is>
      </c>
      <c r="I52" s="15" t="inlineStr">
        <is>
          <t>B148</t>
        </is>
      </c>
      <c r="J52" s="15" t="inlineStr">
        <is>
          <t>TECNOLOGÍA INFORMÁTICA Y COMPUTACIÓN</t>
        </is>
      </c>
      <c r="K52" s="15" t="n">
        <v>0.3333333333333333</v>
      </c>
      <c r="L52" s="15" t="inlineStr">
        <is>
          <t>B148</t>
        </is>
      </c>
      <c r="M52" s="15" t="n">
        <v>2023</v>
      </c>
      <c r="N52" s="15" t="inlineStr">
        <is>
          <t>10.19</t>
        </is>
      </c>
      <c r="O52" s="15" t="inlineStr">
        <is>
          <t>20</t>
        </is>
      </c>
      <c r="P52" s="15" t="inlineStr"/>
      <c r="Q52" s="15" t="inlineStr"/>
      <c r="R52" s="15" t="n">
        <v>80</v>
      </c>
      <c r="S52" s="63" t="n">
        <v>0.2666666666666667</v>
      </c>
      <c r="T52" s="63" t="n">
        <v>0.06666666666666667</v>
      </c>
      <c r="U52" s="15" t="n">
        <v>0</v>
      </c>
    </row>
    <row r="53">
      <c r="A53" s="15" t="inlineStr">
        <is>
          <t>U062</t>
        </is>
      </c>
      <c r="B53" s="15" t="inlineStr">
        <is>
          <t>I.U. DE INVESTIGACIÓN INFORMÁTICA (10.19)</t>
        </is>
      </c>
      <c r="C53" s="15" t="inlineStr">
        <is>
          <t>DOCTORADO EN INFORMÁTICA</t>
        </is>
      </c>
      <c r="D53" s="15" t="inlineStr">
        <is>
          <t>Güemes Esperón, Alejandro Miguel</t>
        </is>
      </c>
      <c r="E53" s="15" t="inlineStr">
        <is>
          <t>Modelo de generación de suites de pruebas efectivas a partir de requisitos para aplicaciones en entornos distribuidos</t>
        </is>
      </c>
      <c r="F53" s="15" t="inlineStr">
        <is>
          <t>23/07/2024</t>
        </is>
      </c>
      <c r="G53" s="15" t="inlineStr">
        <is>
          <t>21474037H</t>
        </is>
      </c>
      <c r="H53" s="15" t="inlineStr">
        <is>
          <t>Codirector de tesis</t>
        </is>
      </c>
      <c r="I53" s="15" t="inlineStr">
        <is>
          <t>B148</t>
        </is>
      </c>
      <c r="J53" s="15" t="inlineStr">
        <is>
          <t>TECNOLOGÍA INFORMÁTICA Y COMPUTACIÓN</t>
        </is>
      </c>
      <c r="K53" s="15" t="n">
        <v>0.3333333333333333</v>
      </c>
      <c r="L53" s="15" t="inlineStr">
        <is>
          <t>B148</t>
        </is>
      </c>
      <c r="M53" s="15" t="n">
        <v>2023</v>
      </c>
      <c r="N53" s="15" t="inlineStr">
        <is>
          <t>10.19</t>
        </is>
      </c>
      <c r="O53" s="15" t="inlineStr">
        <is>
          <t>20</t>
        </is>
      </c>
      <c r="P53" s="15" t="inlineStr"/>
      <c r="Q53" s="15" t="inlineStr"/>
      <c r="R53" s="15" t="n">
        <v>80</v>
      </c>
      <c r="S53" s="63" t="n">
        <v>0.2666666666666667</v>
      </c>
      <c r="T53" s="63" t="n">
        <v>0.06666666666666667</v>
      </c>
      <c r="U53" s="15" t="n">
        <v>0</v>
      </c>
    </row>
    <row r="54">
      <c r="A54" s="15" t="inlineStr">
        <is>
          <t>U062</t>
        </is>
      </c>
      <c r="B54" s="15" t="inlineStr">
        <is>
          <t>I.U. DE INVESTIGACIÓN INFORMÁTICA (10.19)</t>
        </is>
      </c>
      <c r="C54" s="15" t="inlineStr">
        <is>
          <t>DOCTORADO EN INFORMÁTICA</t>
        </is>
      </c>
      <c r="D54" s="15" t="inlineStr">
        <is>
          <t>Boters Pitarch, Joan</t>
        </is>
      </c>
      <c r="E54" s="15" t="inlineStr">
        <is>
          <t>Modelo computacional de expansión en eventos influidos por el viento. El caso de los incendios forestales</t>
        </is>
      </c>
      <c r="F54" s="15" t="inlineStr">
        <is>
          <t>23/09/2024</t>
        </is>
      </c>
      <c r="G54" s="15" t="inlineStr">
        <is>
          <t>33489374V</t>
        </is>
      </c>
      <c r="H54" s="15" t="inlineStr">
        <is>
          <t>Codirector de tesis</t>
        </is>
      </c>
      <c r="I54" s="15" t="inlineStr">
        <is>
          <t>B148</t>
        </is>
      </c>
      <c r="J54" s="15" t="inlineStr">
        <is>
          <t>TECNOLOGIA INFORMATICA Y COMPUTACION</t>
        </is>
      </c>
      <c r="K54" s="15" t="n">
        <v>0.5</v>
      </c>
      <c r="L54" s="15" t="inlineStr">
        <is>
          <t>B148</t>
        </is>
      </c>
      <c r="M54" s="15" t="n">
        <v>2023</v>
      </c>
      <c r="N54" s="15" t="inlineStr">
        <is>
          <t>10.19</t>
        </is>
      </c>
      <c r="O54" s="15" t="inlineStr">
        <is>
          <t>20</t>
        </is>
      </c>
      <c r="P54" s="15" t="inlineStr"/>
      <c r="Q54" s="15" t="inlineStr"/>
      <c r="R54" s="15" t="n">
        <v>80</v>
      </c>
      <c r="S54" s="15" t="n">
        <v>0.4</v>
      </c>
      <c r="T54" s="15" t="n">
        <v>0.1</v>
      </c>
      <c r="U54" s="15" t="n">
        <v>0</v>
      </c>
    </row>
    <row r="55">
      <c r="A55" s="15" t="inlineStr">
        <is>
          <t>U062</t>
        </is>
      </c>
      <c r="B55" s="15" t="inlineStr">
        <is>
          <t>I.U. DE INVESTIGACIÓN INFORMÁTICA (10.19)</t>
        </is>
      </c>
      <c r="C55" s="15" t="inlineStr">
        <is>
          <t>DOCTORADO EN INFORMÁTICA</t>
        </is>
      </c>
      <c r="D55" s="15" t="inlineStr">
        <is>
          <t>Boters Pitarch, Joan</t>
        </is>
      </c>
      <c r="E55" s="15" t="inlineStr">
        <is>
          <t>Modelo computacional de expansión en eventos influidos por el viento. El caso de los incendios forestales</t>
        </is>
      </c>
      <c r="F55" s="15" t="inlineStr">
        <is>
          <t>23/09/2024</t>
        </is>
      </c>
      <c r="G55" s="15" t="inlineStr">
        <is>
          <t>21411855M</t>
        </is>
      </c>
      <c r="H55" s="15" t="inlineStr">
        <is>
          <t>Codirector de tesis</t>
        </is>
      </c>
      <c r="I55" s="15" t="inlineStr">
        <is>
          <t>B148</t>
        </is>
      </c>
      <c r="J55" s="15" t="inlineStr">
        <is>
          <t>TECNOLOGIA INFORMATICA Y COMPUTACION</t>
        </is>
      </c>
      <c r="K55" s="15" t="n">
        <v>0.5</v>
      </c>
      <c r="L55" s="15" t="inlineStr">
        <is>
          <t>B148</t>
        </is>
      </c>
      <c r="M55" s="15" t="n">
        <v>2023</v>
      </c>
      <c r="N55" s="15" t="inlineStr"/>
      <c r="O55" s="15" t="inlineStr"/>
      <c r="P55" s="15" t="inlineStr"/>
      <c r="Q55" s="15" t="inlineStr"/>
      <c r="R55" s="15" t="n">
        <v>100</v>
      </c>
      <c r="S55" s="15" t="n">
        <v>0.5</v>
      </c>
      <c r="T55" s="15" t="n">
        <v>0</v>
      </c>
      <c r="U55" s="15" t="n">
        <v>0</v>
      </c>
    </row>
    <row r="56">
      <c r="A56" s="15" t="inlineStr">
        <is>
          <t>U062</t>
        </is>
      </c>
      <c r="B56" s="15" t="inlineStr">
        <is>
          <t>I.U. DE INVESTIGACIÓN INFORMÁTICA (10.19)</t>
        </is>
      </c>
      <c r="C56" s="15" t="inlineStr">
        <is>
          <t>DOCTORADO EN INFORMÁTICA</t>
        </is>
      </c>
      <c r="D56" s="15" t="inlineStr">
        <is>
          <t>Hojas Mazo, Wenny</t>
        </is>
      </c>
      <c r="E56" s="15" t="inlineStr">
        <is>
          <t>Clasificación inteligente de flujos no estacionarios de correos electrónicos: Un enfoque proactivo basado en metas</t>
        </is>
      </c>
      <c r="F56" s="15" t="inlineStr">
        <is>
          <t>06/09/2024</t>
        </is>
      </c>
      <c r="G56" s="15" t="inlineStr">
        <is>
          <t>48375795X</t>
        </is>
      </c>
      <c r="H56" s="15" t="inlineStr">
        <is>
          <t>Codirector de tesis</t>
        </is>
      </c>
      <c r="I56" s="15" t="inlineStr">
        <is>
          <t>B148</t>
        </is>
      </c>
      <c r="J56" s="15" t="inlineStr">
        <is>
          <t>TECNOLOGIA INFORMATICA Y COMPUTACION</t>
        </is>
      </c>
      <c r="K56" s="15" t="n">
        <v>0.3333333333333333</v>
      </c>
      <c r="L56" s="15" t="inlineStr">
        <is>
          <t>B148</t>
        </is>
      </c>
      <c r="M56" s="15" t="n">
        <v>2023</v>
      </c>
      <c r="N56" s="15" t="inlineStr">
        <is>
          <t>10.19</t>
        </is>
      </c>
      <c r="O56" s="15" t="inlineStr">
        <is>
          <t>20</t>
        </is>
      </c>
      <c r="P56" s="15" t="inlineStr"/>
      <c r="Q56" s="15" t="inlineStr"/>
      <c r="R56" s="15" t="n">
        <v>80</v>
      </c>
      <c r="S56" s="63" t="n">
        <v>0.2666666666666667</v>
      </c>
      <c r="T56" s="63" t="n">
        <v>0.06666666666666667</v>
      </c>
      <c r="U56" s="15" t="n">
        <v>0</v>
      </c>
    </row>
    <row r="57">
      <c r="A57" s="15" t="inlineStr">
        <is>
          <t>U062</t>
        </is>
      </c>
      <c r="B57" s="15" t="inlineStr">
        <is>
          <t>I.U. DE INVESTIGACIÓN INFORMÁTICA (10.19)</t>
        </is>
      </c>
      <c r="C57" s="15" t="inlineStr">
        <is>
          <t>DOCTORADO EN INFORMÁTICA</t>
        </is>
      </c>
      <c r="D57" s="15" t="inlineStr">
        <is>
          <t>Hojas Mazo, Wenny</t>
        </is>
      </c>
      <c r="E57" s="15" t="inlineStr">
        <is>
          <t>Clasificación inteligente de flujos no estacionarios de correos electrónicos: Un enfoque proactivo basado en metas</t>
        </is>
      </c>
      <c r="F57" s="15" t="inlineStr">
        <is>
          <t>06/09/2024</t>
        </is>
      </c>
      <c r="G57" s="15" t="inlineStr">
        <is>
          <t>21474037H</t>
        </is>
      </c>
      <c r="H57" s="15" t="inlineStr">
        <is>
          <t>Codirector de tesis</t>
        </is>
      </c>
      <c r="I57" s="15" t="inlineStr">
        <is>
          <t>B148</t>
        </is>
      </c>
      <c r="J57" s="15" t="inlineStr">
        <is>
          <t>TECNOLOGIA INFORMATICA Y COMPUTACION</t>
        </is>
      </c>
      <c r="K57" s="15" t="n">
        <v>0.3333333333333333</v>
      </c>
      <c r="L57" s="15" t="inlineStr">
        <is>
          <t>B148</t>
        </is>
      </c>
      <c r="M57" s="15" t="n">
        <v>2023</v>
      </c>
      <c r="N57" s="15" t="inlineStr">
        <is>
          <t>10.19</t>
        </is>
      </c>
      <c r="O57" s="15" t="inlineStr">
        <is>
          <t>20</t>
        </is>
      </c>
      <c r="P57" s="15" t="inlineStr"/>
      <c r="Q57" s="15" t="inlineStr"/>
      <c r="R57" s="15" t="n">
        <v>80</v>
      </c>
      <c r="S57" s="63" t="n">
        <v>0.2666666666666667</v>
      </c>
      <c r="T57" s="63" t="n">
        <v>0.06666666666666667</v>
      </c>
      <c r="U57" s="15" t="n">
        <v>0</v>
      </c>
    </row>
    <row r="58">
      <c r="A58" s="15" t="inlineStr">
        <is>
          <t>U044</t>
        </is>
      </c>
      <c r="B58" s="15" t="inlineStr">
        <is>
          <t>Administración Facultad de Ciencias de la Salud</t>
        </is>
      </c>
      <c r="C58" s="15" t="inlineStr">
        <is>
          <t>DOCTORADO EN CIENCIAS DE LA SALUD</t>
        </is>
      </c>
      <c r="D58" s="15" t="inlineStr">
        <is>
          <t>DEL ROSARIO GILABERT, David</t>
        </is>
      </c>
      <c r="E58" s="15" t="inlineStr">
        <is>
          <t>Efectos de las ondas mecánicas audibles sobre neuronas no auditivas: diseño e
implementación de dispositivos biocompatibles para aplicaciones de sonobiología</t>
        </is>
      </c>
      <c r="F58" s="15" t="inlineStr">
        <is>
          <t>25/03/2025</t>
        </is>
      </c>
      <c r="G58" s="15" t="inlineStr">
        <is>
          <t>21510176R</t>
        </is>
      </c>
      <c r="H58" s="15" t="inlineStr">
        <is>
          <t>Codirector de tesis</t>
        </is>
      </c>
      <c r="I58" s="15" t="inlineStr">
        <is>
          <t>B148</t>
        </is>
      </c>
      <c r="J58" s="15" t="inlineStr">
        <is>
          <t>Tecnología Informática y Computación</t>
        </is>
      </c>
      <c r="K58" s="15" t="n">
        <v>0.5</v>
      </c>
      <c r="L58" s="15" t="inlineStr">
        <is>
          <t>B148</t>
        </is>
      </c>
      <c r="M58" s="15" t="n">
        <v>2024</v>
      </c>
      <c r="N58" s="15" t="inlineStr">
        <is>
          <t>10.19</t>
        </is>
      </c>
      <c r="O58" s="15" t="inlineStr">
        <is>
          <t>20</t>
        </is>
      </c>
      <c r="P58" s="15" t="inlineStr"/>
      <c r="Q58" s="15" t="inlineStr"/>
      <c r="R58" s="15" t="n">
        <v>80</v>
      </c>
      <c r="S58" s="63" t="n">
        <v>0.4</v>
      </c>
      <c r="T58" s="63" t="n">
        <v>0.1</v>
      </c>
      <c r="U58" s="15" t="n">
        <v>0</v>
      </c>
    </row>
    <row r="59">
      <c r="A59" s="15" t="inlineStr">
        <is>
          <t>U062</t>
        </is>
      </c>
      <c r="B59" s="15" t="inlineStr">
        <is>
          <t>Instituto Universitario de Investigación Informática (10.19)</t>
        </is>
      </c>
      <c r="C59" s="15" t="inlineStr">
        <is>
          <t>DOCTORADO EN INFORMÁTICA</t>
        </is>
      </c>
      <c r="D59" s="15" t="inlineStr">
        <is>
          <t>Brenes Carranza, José Antonio</t>
        </is>
      </c>
      <c r="E59" s="15" t="inlineStr">
        <is>
          <t>ARQUITECTURA PARA MONITORIZACIÓN, CONTROL Y NOTIFICACIÓN PERSONALIZADA
PARA AGRICULTURA DE PRECISIÓN DIRIGIDA A PEQUEÑOS Y MEDIANOS
AGRICULTORES</t>
        </is>
      </c>
      <c r="F59" s="15" t="inlineStr">
        <is>
          <t>11/06/2025</t>
        </is>
      </c>
      <c r="G59" s="15" t="inlineStr">
        <is>
          <t>09371918Q</t>
        </is>
      </c>
      <c r="H59" s="15" t="inlineStr">
        <is>
          <t>Codirector de tesis</t>
        </is>
      </c>
      <c r="I59" s="15" t="inlineStr">
        <is>
          <t>B148</t>
        </is>
      </c>
      <c r="J59" s="15" t="inlineStr">
        <is>
          <t>Tecnología Informática y Computación</t>
        </is>
      </c>
      <c r="K59" s="15" t="n">
        <v>0.5</v>
      </c>
      <c r="L59" s="15" t="inlineStr">
        <is>
          <t>B148</t>
        </is>
      </c>
      <c r="M59" s="15" t="n">
        <v>2024</v>
      </c>
      <c r="N59" s="15" t="inlineStr">
        <is>
          <t>10.19</t>
        </is>
      </c>
      <c r="O59" s="15" t="inlineStr">
        <is>
          <t>10</t>
        </is>
      </c>
      <c r="P59" s="15" t="inlineStr">
        <is>
          <t>10.25</t>
        </is>
      </c>
      <c r="Q59" s="15" t="inlineStr">
        <is>
          <t>10</t>
        </is>
      </c>
      <c r="R59" s="15" t="n">
        <v>80</v>
      </c>
      <c r="S59" s="63" t="n">
        <v>0.4</v>
      </c>
      <c r="T59" s="63" t="n">
        <v>0.05</v>
      </c>
      <c r="U59" s="15" t="n">
        <v>0.05</v>
      </c>
    </row>
    <row r="60">
      <c r="A60" s="15" t="inlineStr">
        <is>
          <t>U062</t>
        </is>
      </c>
      <c r="B60" s="15" t="inlineStr">
        <is>
          <t>Instituto Universitario de Investigación Informática (10.19)</t>
        </is>
      </c>
      <c r="C60" s="15" t="inlineStr">
        <is>
          <t>DOCTORADO EN INFORMÁTICA</t>
        </is>
      </c>
      <c r="D60" s="15" t="inlineStr">
        <is>
          <t>Crespo Cano, Rubén</t>
        </is>
      </c>
      <c r="E60" s="15" t="inlineStr">
        <is>
          <t>Estudio, caracterización y optimización mediante metaheurísticas multiobjetivo y modelos de
aprendizaje automático de modelos bioinspirados de visión / Study, characterization, and optimization through
multi-objective metaheuristics and machine learn</t>
        </is>
      </c>
      <c r="F60" s="15" t="inlineStr">
        <is>
          <t>28/03/2025</t>
        </is>
      </c>
      <c r="G60" s="15" t="inlineStr">
        <is>
          <t>74653004H</t>
        </is>
      </c>
      <c r="H60" s="15" t="inlineStr">
        <is>
          <t>Codirector de tesis</t>
        </is>
      </c>
      <c r="I60" s="15" t="inlineStr">
        <is>
          <t>B148</t>
        </is>
      </c>
      <c r="J60" s="15" t="inlineStr">
        <is>
          <t>Tecnología Informática y Computación</t>
        </is>
      </c>
      <c r="K60" s="15" t="n">
        <v>0.5</v>
      </c>
      <c r="L60" s="15" t="inlineStr">
        <is>
          <t>B148</t>
        </is>
      </c>
      <c r="M60" s="15" t="n">
        <v>2024</v>
      </c>
      <c r="N60" s="15" t="inlineStr">
        <is>
          <t>10.19</t>
        </is>
      </c>
      <c r="O60" s="15" t="inlineStr">
        <is>
          <t>20</t>
        </is>
      </c>
      <c r="P60" s="15" t="inlineStr"/>
      <c r="Q60" s="15" t="inlineStr"/>
      <c r="R60" s="15" t="n">
        <v>80</v>
      </c>
      <c r="S60" s="63" t="n">
        <v>0.4</v>
      </c>
      <c r="T60" s="63" t="n">
        <v>0.1</v>
      </c>
      <c r="U60" s="15" t="n">
        <v>0</v>
      </c>
    </row>
    <row r="61">
      <c r="A61" s="15" t="inlineStr">
        <is>
          <t>U062</t>
        </is>
      </c>
      <c r="B61" s="15" t="inlineStr">
        <is>
          <t>Instituto Universitario de Investigación Informática (10.19)</t>
        </is>
      </c>
      <c r="C61" s="15" t="inlineStr">
        <is>
          <t>DOCTORADO EN INFORMÁTICA</t>
        </is>
      </c>
      <c r="D61" s="15" t="inlineStr">
        <is>
          <t>Villena Martínez, Víctor</t>
        </is>
      </c>
      <c r="E61" s="15" t="inlineStr">
        <is>
          <t>Computer vision and machine learning methodology for registering and reconstructing three-dimensional models</t>
        </is>
      </c>
      <c r="F61" s="15" t="inlineStr">
        <is>
          <t>12/12/2024</t>
        </is>
      </c>
      <c r="G61" s="15" t="inlineStr">
        <is>
          <t>52764803C</t>
        </is>
      </c>
      <c r="H61" s="15" t="inlineStr">
        <is>
          <t>Codirector de tesis</t>
        </is>
      </c>
      <c r="I61" s="15" t="inlineStr">
        <is>
          <t>B148</t>
        </is>
      </c>
      <c r="J61" s="15" t="inlineStr">
        <is>
          <t>Tecnología Informática y Computación</t>
        </is>
      </c>
      <c r="K61" s="15" t="n">
        <v>0.5</v>
      </c>
      <c r="L61" s="15" t="inlineStr">
        <is>
          <t>B148</t>
        </is>
      </c>
      <c r="M61" s="15" t="n">
        <v>2024</v>
      </c>
      <c r="N61" s="15" t="inlineStr">
        <is>
          <t>10.19</t>
        </is>
      </c>
      <c r="O61" s="15" t="inlineStr">
        <is>
          <t>50</t>
        </is>
      </c>
      <c r="P61" s="15" t="inlineStr"/>
      <c r="Q61" s="15" t="inlineStr"/>
      <c r="R61" s="15" t="n">
        <v>50</v>
      </c>
      <c r="S61" s="63" t="n">
        <v>0.25</v>
      </c>
      <c r="T61" s="63" t="n">
        <v>0.25</v>
      </c>
      <c r="U61" s="15" t="n">
        <v>0</v>
      </c>
    </row>
    <row r="62">
      <c r="A62" s="15" t="inlineStr">
        <is>
          <t>U062</t>
        </is>
      </c>
      <c r="B62" s="15" t="inlineStr">
        <is>
          <t>Instituto Universitario de Investigación Informática (10.19)</t>
        </is>
      </c>
      <c r="C62" s="15" t="inlineStr">
        <is>
          <t>DOCTORADO EN INFORMÁTICA</t>
        </is>
      </c>
      <c r="D62" s="15" t="inlineStr">
        <is>
          <t>Villena Martínez, Víctor</t>
        </is>
      </c>
      <c r="E62" s="15" t="inlineStr">
        <is>
          <t>Computer vision and machine learning methodology for registering and reconstructing three-dimensional models</t>
        </is>
      </c>
      <c r="F62" s="15" t="inlineStr">
        <is>
          <t>12/12/2024</t>
        </is>
      </c>
      <c r="G62" s="15" t="inlineStr">
        <is>
          <t>22000675W</t>
        </is>
      </c>
      <c r="H62" s="15" t="inlineStr">
        <is>
          <t>Codirector de tesis</t>
        </is>
      </c>
      <c r="I62" s="15" t="inlineStr">
        <is>
          <t>B148</t>
        </is>
      </c>
      <c r="J62" s="15" t="inlineStr">
        <is>
          <t>Tecnología Informática y Computación</t>
        </is>
      </c>
      <c r="K62" s="15" t="n">
        <v>0.5</v>
      </c>
      <c r="L62" s="15" t="inlineStr">
        <is>
          <t>B148</t>
        </is>
      </c>
      <c r="M62" s="15" t="n">
        <v>2024</v>
      </c>
      <c r="N62" s="15" t="inlineStr">
        <is>
          <t>10.19</t>
        </is>
      </c>
      <c r="O62" s="15" t="inlineStr">
        <is>
          <t>50</t>
        </is>
      </c>
      <c r="P62" s="15" t="inlineStr"/>
      <c r="Q62" s="15" t="inlineStr"/>
      <c r="R62" s="15" t="n">
        <v>50</v>
      </c>
      <c r="S62" s="63" t="n">
        <v>0.25</v>
      </c>
      <c r="T62" s="63" t="n">
        <v>0.25</v>
      </c>
      <c r="U62" s="15" t="n">
        <v>0</v>
      </c>
    </row>
    <row r="63">
      <c r="A63" s="15" t="inlineStr">
        <is>
          <t>U062</t>
        </is>
      </c>
      <c r="B63" s="15" t="inlineStr">
        <is>
          <t>Instituto Universitario de Investigación Informática (10.19)</t>
        </is>
      </c>
      <c r="C63" s="15" t="inlineStr">
        <is>
          <t>DOCTORADO EN INFORMÁTICA</t>
        </is>
      </c>
      <c r="D63" s="15" t="inlineStr">
        <is>
          <t>Sáez Pérez, Javier</t>
        </is>
      </c>
      <c r="E63" s="15" t="inlineStr">
        <is>
          <t>Autonomous Off-Road Vehicles: Enhancing Perception, Remote Control, and Environmental Impact Through Advanced AI Techniques</t>
        </is>
      </c>
      <c r="F63" s="15" t="inlineStr">
        <is>
          <t>05/11/2024</t>
        </is>
      </c>
      <c r="G63" s="15" t="inlineStr">
        <is>
          <t>21486541X</t>
        </is>
      </c>
      <c r="H63" s="15" t="inlineStr">
        <is>
          <t>Codirector de tesis</t>
        </is>
      </c>
      <c r="I63" s="15" t="inlineStr">
        <is>
          <t>B148</t>
        </is>
      </c>
      <c r="J63" s="15" t="inlineStr">
        <is>
          <t>Tecnología Informática y Computación</t>
        </is>
      </c>
      <c r="K63" s="15" t="n">
        <v>0.5</v>
      </c>
      <c r="L63" s="15" t="inlineStr">
        <is>
          <t>B148</t>
        </is>
      </c>
      <c r="M63" s="15" t="n">
        <v>2024</v>
      </c>
      <c r="N63" s="15" t="inlineStr">
        <is>
          <t>10.19</t>
        </is>
      </c>
      <c r="O63" s="15" t="inlineStr">
        <is>
          <t>20</t>
        </is>
      </c>
      <c r="P63" s="15" t="inlineStr"/>
      <c r="Q63" s="15" t="inlineStr"/>
      <c r="R63" s="15" t="n">
        <v>80</v>
      </c>
      <c r="S63" s="63" t="n">
        <v>0.4</v>
      </c>
      <c r="T63" s="63" t="n">
        <v>0.1</v>
      </c>
      <c r="U63" s="15" t="n">
        <v>0</v>
      </c>
    </row>
    <row r="64">
      <c r="A64" s="15" t="inlineStr">
        <is>
          <t>U062</t>
        </is>
      </c>
      <c r="B64" s="15" t="inlineStr">
        <is>
          <t>Instituto Universitario de Investigación Informática (10.19)</t>
        </is>
      </c>
      <c r="C64" s="15" t="inlineStr">
        <is>
          <t>DOCTORADO EN INFORMÁTICA</t>
        </is>
      </c>
      <c r="D64" s="15" t="inlineStr">
        <is>
          <t>Ortiz Pérez, David</t>
        </is>
      </c>
      <c r="E64" s="15" t="inlineStr">
        <is>
          <t>Multimodal Deep Learning Techniques for Cognitive Decline Detection and Emotional
Insights</t>
        </is>
      </c>
      <c r="F64" s="15" t="inlineStr">
        <is>
          <t>12/05/2025</t>
        </is>
      </c>
      <c r="G64" s="15" t="inlineStr">
        <is>
          <t>21486541X</t>
        </is>
      </c>
      <c r="H64" s="15" t="inlineStr">
        <is>
          <t>Codirector de tesis</t>
        </is>
      </c>
      <c r="I64" s="15" t="inlineStr">
        <is>
          <t>B148</t>
        </is>
      </c>
      <c r="J64" s="15" t="inlineStr">
        <is>
          <t>Tecnología Informática y Computación</t>
        </is>
      </c>
      <c r="K64" s="15" t="n">
        <v>0.5</v>
      </c>
      <c r="L64" s="15" t="inlineStr">
        <is>
          <t>B148</t>
        </is>
      </c>
      <c r="M64" s="15" t="n">
        <v>2024</v>
      </c>
      <c r="N64" s="15" t="inlineStr">
        <is>
          <t>10.19</t>
        </is>
      </c>
      <c r="O64" s="15" t="inlineStr">
        <is>
          <t>20</t>
        </is>
      </c>
      <c r="P64" s="15" t="inlineStr"/>
      <c r="Q64" s="15" t="inlineStr"/>
      <c r="R64" s="15" t="n">
        <v>80</v>
      </c>
      <c r="S64" s="63" t="n">
        <v>0.4</v>
      </c>
      <c r="T64" s="63" t="n">
        <v>0.1</v>
      </c>
      <c r="U64" s="15" t="n">
        <v>0</v>
      </c>
    </row>
    <row r="65">
      <c r="A65" s="15" t="inlineStr">
        <is>
          <t>U062</t>
        </is>
      </c>
      <c r="B65" s="15" t="inlineStr">
        <is>
          <t>Instituto Universitario de Investigación Informática (10.19)</t>
        </is>
      </c>
      <c r="C65" s="15" t="inlineStr">
        <is>
          <t>DOCTORADO EN INFORMÁTICA</t>
        </is>
      </c>
      <c r="D65" s="15" t="inlineStr">
        <is>
          <t>García D'Urso, Nahuel Emiliano</t>
        </is>
      </c>
      <c r="E65" s="15" t="inlineStr">
        <is>
          <t>3D Human Body Shape Analysis Using Deep Learning and Computer Vision Techniques</t>
        </is>
      </c>
      <c r="F65" s="15" t="inlineStr">
        <is>
          <t>15/01/2025</t>
        </is>
      </c>
      <c r="G65" s="15" t="inlineStr">
        <is>
          <t>52764803C</t>
        </is>
      </c>
      <c r="H65" s="15" t="inlineStr">
        <is>
          <t>Codirector de tesis</t>
        </is>
      </c>
      <c r="I65" s="15" t="inlineStr">
        <is>
          <t>B148</t>
        </is>
      </c>
      <c r="J65" s="15" t="inlineStr">
        <is>
          <t>Tecnología Informática y Computación</t>
        </is>
      </c>
      <c r="K65" s="15" t="n">
        <v>0.5</v>
      </c>
      <c r="L65" s="15" t="inlineStr">
        <is>
          <t>B148</t>
        </is>
      </c>
      <c r="M65" s="15" t="n">
        <v>2024</v>
      </c>
      <c r="N65" s="15" t="inlineStr">
        <is>
          <t>10.19</t>
        </is>
      </c>
      <c r="O65" s="15" t="inlineStr">
        <is>
          <t>50</t>
        </is>
      </c>
      <c r="P65" s="15" t="inlineStr"/>
      <c r="Q65" s="15" t="inlineStr"/>
      <c r="R65" s="15" t="n">
        <v>50</v>
      </c>
      <c r="S65" s="63" t="n">
        <v>0.25</v>
      </c>
      <c r="T65" s="63" t="n">
        <v>0.25</v>
      </c>
      <c r="U65" s="15" t="n">
        <v>0</v>
      </c>
    </row>
    <row r="66">
      <c r="A66" s="15" t="inlineStr">
        <is>
          <t>U062</t>
        </is>
      </c>
      <c r="B66" s="15" t="inlineStr">
        <is>
          <t>Instituto Universitario de Investigación Informática (10.19)</t>
        </is>
      </c>
      <c r="C66" s="15" t="inlineStr">
        <is>
          <t>DOCTORADO EN INFORMÁTICA</t>
        </is>
      </c>
      <c r="D66" s="15" t="inlineStr">
        <is>
          <t>García D'Urso, Nahuel Emiliano</t>
        </is>
      </c>
      <c r="E66" s="15" t="inlineStr">
        <is>
          <t>3D Human Body Shape Analysis Using Deep Learning and Computer Vision Techniques</t>
        </is>
      </c>
      <c r="F66" s="15" t="inlineStr">
        <is>
          <t>15/01/2025</t>
        </is>
      </c>
      <c r="G66" s="15" t="inlineStr">
        <is>
          <t>22000675W</t>
        </is>
      </c>
      <c r="H66" s="15" t="inlineStr">
        <is>
          <t>Codirector de tesis</t>
        </is>
      </c>
      <c r="I66" s="15" t="inlineStr">
        <is>
          <t>B148</t>
        </is>
      </c>
      <c r="J66" s="15" t="inlineStr">
        <is>
          <t>Tecnología Informática y Computación</t>
        </is>
      </c>
      <c r="K66" s="15" t="n">
        <v>0.5</v>
      </c>
      <c r="L66" s="15" t="inlineStr">
        <is>
          <t>B148</t>
        </is>
      </c>
      <c r="M66" s="15" t="n">
        <v>2024</v>
      </c>
      <c r="N66" s="15" t="inlineStr">
        <is>
          <t>10.19</t>
        </is>
      </c>
      <c r="O66" s="15" t="inlineStr">
        <is>
          <t>50</t>
        </is>
      </c>
      <c r="P66" s="15" t="inlineStr"/>
      <c r="Q66" s="15" t="inlineStr"/>
      <c r="R66" s="15" t="n">
        <v>50</v>
      </c>
      <c r="S66" s="63" t="n">
        <v>0.25</v>
      </c>
      <c r="T66" s="63" t="n">
        <v>0.25</v>
      </c>
      <c r="U66" s="15" t="n">
        <v>0</v>
      </c>
    </row>
    <row r="67">
      <c r="A67" s="15" t="inlineStr">
        <is>
          <t>U062</t>
        </is>
      </c>
      <c r="B67" s="15" t="inlineStr">
        <is>
          <t>Instituto Universitario de Investigación Informática (10.19)</t>
        </is>
      </c>
      <c r="C67" s="15" t="inlineStr">
        <is>
          <t>DOCTORADO EN INFORMÁTICA</t>
        </is>
      </c>
      <c r="D67" s="15" t="inlineStr">
        <is>
          <t>Benavent Lledó, Manuel</t>
        </is>
      </c>
      <c r="E67" s="15" t="inlineStr">
        <is>
          <t>Action Understanding in RGB Videos Through Deep Learning and Multimodal Cues</t>
        </is>
      </c>
      <c r="F67" s="15" t="inlineStr">
        <is>
          <t>29/09/2025</t>
        </is>
      </c>
      <c r="G67" s="15" t="inlineStr">
        <is>
          <t>21486541X</t>
        </is>
      </c>
      <c r="H67" s="15" t="inlineStr">
        <is>
          <t>Codirector de tesis</t>
        </is>
      </c>
      <c r="I67" s="15" t="inlineStr">
        <is>
          <t>B148</t>
        </is>
      </c>
      <c r="J67" s="15" t="inlineStr">
        <is>
          <t>Tecnología Informática y Computación</t>
        </is>
      </c>
      <c r="K67" s="15" t="n">
        <v>0.5</v>
      </c>
      <c r="L67" s="15" t="inlineStr">
        <is>
          <t>B148</t>
        </is>
      </c>
      <c r="M67" s="15" t="n">
        <v>2024</v>
      </c>
      <c r="N67" s="15" t="inlineStr">
        <is>
          <t>10.19</t>
        </is>
      </c>
      <c r="O67" s="15" t="inlineStr">
        <is>
          <t>20</t>
        </is>
      </c>
      <c r="P67" s="15" t="inlineStr"/>
      <c r="Q67" s="15" t="inlineStr"/>
      <c r="R67" s="15" t="n">
        <v>80</v>
      </c>
      <c r="S67" s="63" t="n">
        <v>0.4</v>
      </c>
      <c r="T67" s="63" t="n">
        <v>0.1</v>
      </c>
      <c r="U67" s="15" t="n">
        <v>0</v>
      </c>
    </row>
    <row r="68">
      <c r="A68" s="15" t="inlineStr">
        <is>
          <t>U062</t>
        </is>
      </c>
      <c r="B68" s="15" t="inlineStr">
        <is>
          <t>Instituto Universitario de Investigación Informática (10.19)</t>
        </is>
      </c>
      <c r="C68" s="15" t="inlineStr">
        <is>
          <t>DOCTORADO EN INFORMÁTICA</t>
        </is>
      </c>
      <c r="D68" s="15" t="inlineStr">
        <is>
          <t>Gama García, Ángel Manuel</t>
        </is>
      </c>
      <c r="E68" s="15" t="inlineStr">
        <is>
          <t>End-To-End Service Management in Multi-tenant Beyond 5G Networks</t>
        </is>
      </c>
      <c r="F68" s="15" t="inlineStr">
        <is>
          <t>14/11/2024</t>
        </is>
      </c>
      <c r="G68" s="15" t="inlineStr">
        <is>
          <t>33489374V</t>
        </is>
      </c>
      <c r="H68" s="15" t="inlineStr">
        <is>
          <t>Codirector de tesis</t>
        </is>
      </c>
      <c r="I68" s="15" t="inlineStr">
        <is>
          <t>B148</t>
        </is>
      </c>
      <c r="J68" s="15" t="inlineStr">
        <is>
          <t>Tecnología Informática y Computación</t>
        </is>
      </c>
      <c r="K68" s="15" t="n">
        <v>0.5</v>
      </c>
      <c r="L68" s="15" t="inlineStr">
        <is>
          <t>B148</t>
        </is>
      </c>
      <c r="M68" s="15" t="n">
        <v>2024</v>
      </c>
      <c r="N68" s="15" t="inlineStr">
        <is>
          <t>10.19</t>
        </is>
      </c>
      <c r="O68" s="15" t="inlineStr">
        <is>
          <t>20</t>
        </is>
      </c>
      <c r="P68" s="15" t="inlineStr"/>
      <c r="Q68" s="15" t="inlineStr"/>
      <c r="R68" s="15" t="n">
        <v>80</v>
      </c>
      <c r="S68" s="63" t="n">
        <v>0.4</v>
      </c>
      <c r="T68" s="63" t="n">
        <v>0.1</v>
      </c>
      <c r="U68" s="15" t="n">
        <v>0</v>
      </c>
    </row>
    <row r="69">
      <c r="A69" s="15" t="inlineStr">
        <is>
          <t>U062</t>
        </is>
      </c>
      <c r="B69" s="15" t="inlineStr">
        <is>
          <t>Instituto Universitario de Investigación Informática (10.19)</t>
        </is>
      </c>
      <c r="C69" s="15" t="inlineStr">
        <is>
          <t>DOCTORADO EN INFORMÁTICA</t>
        </is>
      </c>
      <c r="D69" s="15" t="inlineStr">
        <is>
          <t>Maciá Lillo, Antonio</t>
        </is>
      </c>
      <c r="E69" s="15" t="inlineStr">
        <is>
          <t>Novel Algorithms and Architectures for High-Performance AI Applications</t>
        </is>
      </c>
      <c r="F69" s="15" t="inlineStr">
        <is>
          <t>15/01/2025</t>
        </is>
      </c>
      <c r="G69" s="15" t="inlineStr">
        <is>
          <t>33489374V</t>
        </is>
      </c>
      <c r="H69" s="15" t="inlineStr">
        <is>
          <t>Codirector de tesis</t>
        </is>
      </c>
      <c r="I69" s="15" t="inlineStr">
        <is>
          <t>B148</t>
        </is>
      </c>
      <c r="J69" s="15" t="inlineStr">
        <is>
          <t>Tecnología Informática y Computación</t>
        </is>
      </c>
      <c r="K69" s="15" t="n">
        <v>0.5</v>
      </c>
      <c r="L69" s="15" t="inlineStr">
        <is>
          <t>B148</t>
        </is>
      </c>
      <c r="M69" s="15" t="n">
        <v>2024</v>
      </c>
      <c r="N69" s="15" t="inlineStr">
        <is>
          <t>10.19</t>
        </is>
      </c>
      <c r="O69" s="15" t="inlineStr">
        <is>
          <t>20</t>
        </is>
      </c>
      <c r="P69" s="15" t="inlineStr"/>
      <c r="Q69" s="15" t="inlineStr"/>
      <c r="R69" s="15" t="n">
        <v>80</v>
      </c>
      <c r="S69" s="63" t="n">
        <v>0.4</v>
      </c>
      <c r="T69" s="63" t="n">
        <v>0.1</v>
      </c>
      <c r="U69" s="15" t="n">
        <v>0</v>
      </c>
    </row>
    <row r="70">
      <c r="A70" s="15" t="inlineStr">
        <is>
          <t>U062</t>
        </is>
      </c>
      <c r="B70" s="15" t="inlineStr">
        <is>
          <t>Instituto Universitario de Investigación Informática (10.19)</t>
        </is>
      </c>
      <c r="C70" s="15" t="inlineStr">
        <is>
          <t>DOCTORADO EN INFORMÁTICA</t>
        </is>
      </c>
      <c r="D70" s="15" t="inlineStr">
        <is>
          <t>Maciá Lillo, Antonio</t>
        </is>
      </c>
      <c r="E70" s="15" t="inlineStr">
        <is>
          <t>Novel Algorithms and Architectures for High-Performance AI Applications</t>
        </is>
      </c>
      <c r="F70" s="15" t="inlineStr">
        <is>
          <t>15/01/2025</t>
        </is>
      </c>
      <c r="G70" s="15" t="inlineStr">
        <is>
          <t>29011916S</t>
        </is>
      </c>
      <c r="H70" s="15" t="inlineStr">
        <is>
          <t>Codirector de tesis</t>
        </is>
      </c>
      <c r="I70" s="15" t="inlineStr">
        <is>
          <t>B148</t>
        </is>
      </c>
      <c r="J70" s="15" t="inlineStr">
        <is>
          <t>Tecnología Informática y Computación</t>
        </is>
      </c>
      <c r="K70" s="15" t="n">
        <v>0.5</v>
      </c>
      <c r="L70" s="15" t="inlineStr">
        <is>
          <t>B148</t>
        </is>
      </c>
      <c r="M70" s="15" t="n">
        <v>2024</v>
      </c>
      <c r="N70" s="15" t="inlineStr">
        <is>
          <t>10.19</t>
        </is>
      </c>
      <c r="O70" s="15" t="inlineStr">
        <is>
          <t>20</t>
        </is>
      </c>
      <c r="P70" s="15" t="inlineStr"/>
      <c r="Q70" s="15" t="inlineStr"/>
      <c r="R70" s="15" t="n">
        <v>80</v>
      </c>
      <c r="S70" s="63" t="n">
        <v>0.4</v>
      </c>
      <c r="T70" s="63" t="n">
        <v>0.1</v>
      </c>
      <c r="U70" s="15" t="n">
        <v>0</v>
      </c>
    </row>
    <row r="71">
      <c r="A71" s="15" t="inlineStr">
        <is>
          <t>U062</t>
        </is>
      </c>
      <c r="B71" s="15" t="inlineStr">
        <is>
          <t>Instituto Universitario de Investigación Informática (10.19)</t>
        </is>
      </c>
      <c r="C71" s="15" t="inlineStr">
        <is>
          <t>DOCTORADO EN INFORMÁTICA</t>
        </is>
      </c>
      <c r="D71" s="15" t="inlineStr">
        <is>
          <t>Ortega Candel, Jose Manuel</t>
        </is>
      </c>
      <c r="E71" s="15" t="inlineStr">
        <is>
          <t>Modelo híbrido para la detección de ataques de denegación de cartera en arquitecturas serverless</t>
        </is>
      </c>
      <c r="F71" s="15" t="inlineStr">
        <is>
          <t>05/09/2025</t>
        </is>
      </c>
      <c r="G71" s="15" t="inlineStr">
        <is>
          <t>21653548Z</t>
        </is>
      </c>
      <c r="H71" s="15" t="inlineStr">
        <is>
          <t>Codirector de tesis</t>
        </is>
      </c>
      <c r="I71" s="15" t="inlineStr">
        <is>
          <t>B148</t>
        </is>
      </c>
      <c r="J71" s="15" t="inlineStr">
        <is>
          <t>Tecnología Informática y Computación</t>
        </is>
      </c>
      <c r="K71" s="15" t="n">
        <v>0.5</v>
      </c>
      <c r="L71" s="15" t="inlineStr">
        <is>
          <t>B148</t>
        </is>
      </c>
      <c r="M71" s="15" t="n">
        <v>2024</v>
      </c>
      <c r="N71" s="15" t="inlineStr"/>
      <c r="O71" s="15" t="inlineStr"/>
      <c r="P71" s="15" t="inlineStr"/>
      <c r="Q71" s="15" t="inlineStr"/>
      <c r="R71" s="15" t="n">
        <v>100</v>
      </c>
      <c r="S71" s="63" t="n">
        <v>0.5</v>
      </c>
      <c r="T71" s="63" t="n">
        <v>0</v>
      </c>
      <c r="U71" s="15" t="n">
        <v>0</v>
      </c>
    </row>
    <row r="72">
      <c r="A72" s="15" t="inlineStr">
        <is>
          <t>U062</t>
        </is>
      </c>
      <c r="B72" s="15" t="inlineStr">
        <is>
          <t>Instituto Universitario de Investigación Informática (10.19)</t>
        </is>
      </c>
      <c r="C72" s="15" t="inlineStr">
        <is>
          <t>DOCTORADO EN INFORMÁTICA</t>
        </is>
      </c>
      <c r="D72" s="15" t="inlineStr">
        <is>
          <t>Ortega Candel, Jose Manuel</t>
        </is>
      </c>
      <c r="E72" s="15" t="inlineStr">
        <is>
          <t>Modelo híbrido para la detección de ataques de denegación de cartera en arquitecturas serverless</t>
        </is>
      </c>
      <c r="F72" s="15" t="inlineStr">
        <is>
          <t>05/09/2025</t>
        </is>
      </c>
      <c r="G72" s="15" t="inlineStr">
        <is>
          <t>33489374V</t>
        </is>
      </c>
      <c r="H72" s="15" t="inlineStr">
        <is>
          <t>Codirector de tesis</t>
        </is>
      </c>
      <c r="I72" s="15" t="inlineStr">
        <is>
          <t>B148</t>
        </is>
      </c>
      <c r="J72" s="15" t="inlineStr">
        <is>
          <t>Tecnología Informática y Computación</t>
        </is>
      </c>
      <c r="K72" s="15" t="n">
        <v>0.5</v>
      </c>
      <c r="L72" s="15" t="inlineStr">
        <is>
          <t>B148</t>
        </is>
      </c>
      <c r="M72" s="15" t="n">
        <v>2024</v>
      </c>
      <c r="N72" s="15" t="inlineStr">
        <is>
          <t>10.19</t>
        </is>
      </c>
      <c r="O72" s="15" t="inlineStr">
        <is>
          <t>20</t>
        </is>
      </c>
      <c r="P72" s="15" t="inlineStr"/>
      <c r="Q72" s="15" t="inlineStr"/>
      <c r="R72" s="15" t="n">
        <v>80</v>
      </c>
      <c r="S72" s="63" t="n">
        <v>0.4</v>
      </c>
      <c r="T72" s="63" t="n">
        <v>0.1</v>
      </c>
      <c r="U72" s="15" t="n">
        <v>0</v>
      </c>
    </row>
    <row r="73">
      <c r="A73" s="15" t="inlineStr">
        <is>
          <t>U062</t>
        </is>
      </c>
      <c r="B73" s="15" t="inlineStr">
        <is>
          <t>Instituto Universitario de Investigación Informática (10.19)</t>
        </is>
      </c>
      <c r="C73" s="15" t="inlineStr">
        <is>
          <t>DOCTORADO EN INFORMÁTICA</t>
        </is>
      </c>
      <c r="D73" s="15" t="inlineStr">
        <is>
          <t>Mulero Pérez, David</t>
        </is>
      </c>
      <c r="E73" s="15" t="inlineStr">
        <is>
          <t>Synthetic Generation and Reconstruction of Human-Centred Virtual Environments</t>
        </is>
      </c>
      <c r="F73" s="15" t="inlineStr">
        <is>
          <t>29/09/2025</t>
        </is>
      </c>
      <c r="G73" s="15" t="inlineStr">
        <is>
          <t>21486541X</t>
        </is>
      </c>
      <c r="H73" s="15" t="inlineStr">
        <is>
          <t>Codirector de tesis</t>
        </is>
      </c>
      <c r="I73" s="15" t="inlineStr">
        <is>
          <t>B148</t>
        </is>
      </c>
      <c r="J73" s="15" t="inlineStr">
        <is>
          <t>Tecnología Informática y Computación</t>
        </is>
      </c>
      <c r="K73" s="15" t="n">
        <v>0.5</v>
      </c>
      <c r="L73" s="15" t="inlineStr">
        <is>
          <t>B148</t>
        </is>
      </c>
      <c r="M73" s="15" t="n">
        <v>2024</v>
      </c>
      <c r="N73" s="15" t="inlineStr">
        <is>
          <t>10.19</t>
        </is>
      </c>
      <c r="O73" s="15" t="inlineStr">
        <is>
          <t>20</t>
        </is>
      </c>
      <c r="P73" s="15" t="inlineStr"/>
      <c r="Q73" s="15" t="inlineStr"/>
      <c r="R73" s="15" t="n">
        <v>80</v>
      </c>
      <c r="S73" s="63" t="n">
        <v>0.4</v>
      </c>
      <c r="T73" s="63" t="n">
        <v>0.1</v>
      </c>
      <c r="U73" s="15" t="n">
        <v>0</v>
      </c>
    </row>
    <row r="74">
      <c r="A74" s="15" t="inlineStr">
        <is>
          <t>U062</t>
        </is>
      </c>
      <c r="B74" s="15" t="inlineStr">
        <is>
          <t>Instituto Universitario de Investigación Informática (10.19)</t>
        </is>
      </c>
      <c r="C74" s="15" t="inlineStr">
        <is>
          <t>DOCTORADO EN INFORMÁTICA</t>
        </is>
      </c>
      <c r="D74" s="15" t="inlineStr">
        <is>
          <t>Mulero Pérez, David</t>
        </is>
      </c>
      <c r="E74" s="15" t="inlineStr">
        <is>
          <t>Synthetic Generation and Reconstruction of Human-Centred Virtual Environments</t>
        </is>
      </c>
      <c r="F74" s="15" t="inlineStr">
        <is>
          <t>29/09/2025</t>
        </is>
      </c>
      <c r="G74" s="15" t="inlineStr">
        <is>
          <t>52764803C</t>
        </is>
      </c>
      <c r="H74" s="15" t="inlineStr">
        <is>
          <t>Codirector de tesis</t>
        </is>
      </c>
      <c r="I74" s="15" t="inlineStr">
        <is>
          <t>B148</t>
        </is>
      </c>
      <c r="J74" s="15" t="inlineStr">
        <is>
          <t>Tecnología Informática y Computación</t>
        </is>
      </c>
      <c r="K74" s="15" t="n">
        <v>0.5</v>
      </c>
      <c r="L74" s="15" t="inlineStr">
        <is>
          <t>B148</t>
        </is>
      </c>
      <c r="M74" s="15" t="n">
        <v>2024</v>
      </c>
      <c r="N74" s="15" t="inlineStr">
        <is>
          <t>10.19</t>
        </is>
      </c>
      <c r="O74" s="15" t="inlineStr">
        <is>
          <t>50</t>
        </is>
      </c>
      <c r="P74" s="15" t="inlineStr"/>
      <c r="Q74" s="15" t="inlineStr"/>
      <c r="R74" s="15" t="n">
        <v>50</v>
      </c>
      <c r="S74" s="63" t="n">
        <v>0.25</v>
      </c>
      <c r="T74" s="63" t="n">
        <v>0.25</v>
      </c>
      <c r="U74" s="15" t="n">
        <v>0</v>
      </c>
    </row>
    <row r="75">
      <c r="A75" s="15" t="inlineStr">
        <is>
          <t>U062</t>
        </is>
      </c>
      <c r="B75" s="15" t="inlineStr">
        <is>
          <t>Instituto Universitario de Investigación Informática (10.19)</t>
        </is>
      </c>
      <c r="C75" s="15" t="inlineStr">
        <is>
          <t>DOCTORADO EN INFORMÁTICA</t>
        </is>
      </c>
      <c r="D75" s="15" t="inlineStr">
        <is>
          <t>Alfaro Víquez, David Gerardo</t>
        </is>
      </c>
      <c r="E75" s="15" t="inlineStr">
        <is>
          <t>Design of Intelligent Architectures for Activity Monitoring in Manufacturing 4.0 Environments</t>
        </is>
      </c>
      <c r="F75" s="15" t="inlineStr">
        <is>
          <t>16/06/2025</t>
        </is>
      </c>
      <c r="G75" s="15" t="inlineStr">
        <is>
          <t>21486541X</t>
        </is>
      </c>
      <c r="H75" s="15" t="inlineStr">
        <is>
          <t>Codirector de tesis</t>
        </is>
      </c>
      <c r="I75" s="15" t="inlineStr">
        <is>
          <t>B148</t>
        </is>
      </c>
      <c r="J75" s="15" t="inlineStr">
        <is>
          <t>Tecnología Informática y Computación</t>
        </is>
      </c>
      <c r="K75" s="15" t="n">
        <v>0.5</v>
      </c>
      <c r="L75" s="15" t="inlineStr">
        <is>
          <t>B148</t>
        </is>
      </c>
      <c r="M75" s="15" t="n">
        <v>2024</v>
      </c>
      <c r="N75" s="15" t="inlineStr">
        <is>
          <t>10.19</t>
        </is>
      </c>
      <c r="O75" s="15" t="inlineStr">
        <is>
          <t>20</t>
        </is>
      </c>
      <c r="P75" s="15" t="inlineStr"/>
      <c r="Q75" s="15" t="inlineStr"/>
      <c r="R75" s="15" t="n">
        <v>80</v>
      </c>
      <c r="S75" s="63" t="n">
        <v>0.4</v>
      </c>
      <c r="T75" s="63" t="n">
        <v>0.1</v>
      </c>
      <c r="U75" s="15" t="n">
        <v>0</v>
      </c>
    </row>
    <row r="76">
      <c r="A76" s="15" t="inlineStr">
        <is>
          <t>U062</t>
        </is>
      </c>
      <c r="B76" s="15" t="inlineStr">
        <is>
          <t>Instituto Universitario de Investigación Informática (10.19)</t>
        </is>
      </c>
      <c r="C76" s="15" t="inlineStr">
        <is>
          <t>DOCTORADO EN INFORMÁTICA</t>
        </is>
      </c>
      <c r="D76" s="15" t="inlineStr">
        <is>
          <t>Alfaro Víquez, David Gerardo</t>
        </is>
      </c>
      <c r="E76" s="15" t="inlineStr">
        <is>
          <t>Design of Intelligent Architectures for Activity Monitoring in Manufacturing 4.0 Environments</t>
        </is>
      </c>
      <c r="F76" s="15" t="inlineStr">
        <is>
          <t>16/06/2025</t>
        </is>
      </c>
      <c r="G76" s="15" t="inlineStr">
        <is>
          <t>52764803C</t>
        </is>
      </c>
      <c r="H76" s="15" t="inlineStr">
        <is>
          <t>Codirector de tesis</t>
        </is>
      </c>
      <c r="I76" s="15" t="inlineStr">
        <is>
          <t>B148</t>
        </is>
      </c>
      <c r="J76" s="15" t="inlineStr">
        <is>
          <t>Tecnología Informática y Computación</t>
        </is>
      </c>
      <c r="K76" s="15" t="n">
        <v>0.5</v>
      </c>
      <c r="L76" s="15" t="inlineStr">
        <is>
          <t>B148</t>
        </is>
      </c>
      <c r="M76" s="15" t="n">
        <v>2024</v>
      </c>
      <c r="N76" s="15" t="inlineStr">
        <is>
          <t>10.19</t>
        </is>
      </c>
      <c r="O76" s="15" t="inlineStr">
        <is>
          <t>50</t>
        </is>
      </c>
      <c r="P76" s="15" t="inlineStr"/>
      <c r="Q76" s="15" t="inlineStr"/>
      <c r="R76" s="15" t="n">
        <v>50</v>
      </c>
      <c r="S76" s="63" t="n">
        <v>0.25</v>
      </c>
      <c r="T76" s="63" t="n">
        <v>0.25</v>
      </c>
      <c r="U76" s="15" t="n">
        <v>0</v>
      </c>
    </row>
    <row r="77">
      <c r="A77" s="33" t="n"/>
      <c r="B77" s="33" t="n"/>
      <c r="C77" s="33" t="n"/>
      <c r="D77" s="33" t="n"/>
      <c r="E77" s="33" t="n"/>
      <c r="F77" s="33" t="n"/>
      <c r="G77" s="33" t="n"/>
      <c r="H77" s="33" t="n"/>
      <c r="I77" s="33" t="n"/>
      <c r="J77" s="33" t="n"/>
      <c r="K77" s="33" t="n"/>
      <c r="L77" s="33" t="n"/>
      <c r="M77" s="33" t="n"/>
      <c r="N77" s="33" t="n"/>
      <c r="O77" s="34" t="n"/>
      <c r="P77" s="33" t="n"/>
      <c r="Q77" s="34" t="n"/>
      <c r="R77" s="33" t="n"/>
      <c r="S77" s="78">
        <f>SUM(S2:S76)</f>
        <v/>
      </c>
      <c r="T77" s="33" t="n"/>
      <c r="U77" s="33" t="n"/>
    </row>
  </sheetData>
  <autoFilter ref="A1:U1">
    <sortState ref="A2:T1865">
      <sortCondition ref="K2:K1865"/>
      <sortCondition ref="L2:L1865"/>
      <sortCondition ref="D2:D1865"/>
    </sortState>
  </autoFilter>
  <printOptions horizontalCentered="1"/>
  <pageMargins left="0.1968503937007874" right="0.1968503937007874" top="0.3937007874015748" bottom="0.3937007874015748" header="0.7874015748031497" footer="0"/>
  <pageSetup orientation="landscape" paperSize="9" scale="93" fitToHeight="50" fitToWidth="2"/>
</worksheet>
</file>

<file path=xl/worksheets/sheet2.xml><?xml version="1.0" encoding="utf-8"?>
<worksheet xmlns="http://schemas.openxmlformats.org/spreadsheetml/2006/main">
  <sheetPr>
    <outlinePr summaryBelow="1" summaryRight="1"/>
    <pageSetUpPr fitToPage="1"/>
  </sheetPr>
  <dimension ref="A1:S29"/>
  <sheetViews>
    <sheetView zoomScaleNormal="100" workbookViewId="0">
      <selection activeCell="T7" sqref="T7"/>
    </sheetView>
  </sheetViews>
  <sheetFormatPr baseColWidth="10" defaultColWidth="11.44140625" defaultRowHeight="13.2"/>
  <cols>
    <col width="10.88671875" bestFit="1" customWidth="1" style="10" min="1" max="1"/>
    <col width="39.88671875" bestFit="1" customWidth="1" style="10" min="2" max="2"/>
    <col width="17" bestFit="1" customWidth="1" style="10" min="3" max="3"/>
    <col width="3.33203125" bestFit="1" customWidth="1" style="10" min="4" max="9"/>
    <col width="13.109375" bestFit="1" customWidth="1" style="10" min="10" max="10"/>
    <col width="5.33203125" bestFit="1" customWidth="1" style="10" min="11" max="11"/>
    <col width="5.6640625" bestFit="1" customWidth="1" style="10" min="12" max="13"/>
    <col width="5.6640625" bestFit="1" customWidth="1" style="11" min="14" max="14"/>
    <col width="5.6640625" bestFit="1" customWidth="1" style="10" min="15" max="15"/>
    <col width="5.6640625" bestFit="1" customWidth="1" style="11" min="16" max="16"/>
    <col width="5.6640625" bestFit="1" customWidth="1" style="10" min="17" max="19"/>
    <col width="11.44140625" customWidth="1" style="10" min="20" max="16384"/>
  </cols>
  <sheetData>
    <row r="1" ht="30" customHeight="1">
      <c r="A1" s="28" t="inlineStr">
        <is>
          <t>NIF</t>
        </is>
      </c>
      <c r="B1" s="28" t="inlineStr">
        <is>
          <t>NOMBRE_COMPLETO</t>
        </is>
      </c>
      <c r="C1" s="28" t="inlineStr">
        <is>
          <t>TIPO_SEXENIO</t>
        </is>
      </c>
      <c r="D1" s="29" t="inlineStr">
        <is>
          <t>2020</t>
        </is>
      </c>
      <c r="E1" s="29" t="inlineStr">
        <is>
          <t>2021</t>
        </is>
      </c>
      <c r="F1" s="29" t="inlineStr">
        <is>
          <t>2022</t>
        </is>
      </c>
      <c r="G1" s="29" t="inlineStr">
        <is>
          <t>2023</t>
        </is>
      </c>
      <c r="H1" s="29" t="inlineStr">
        <is>
          <t>2024</t>
        </is>
      </c>
      <c r="I1" s="29" t="inlineStr">
        <is>
          <t>2025</t>
        </is>
      </c>
      <c r="J1" s="28" t="inlineStr">
        <is>
          <t>Total general</t>
        </is>
      </c>
      <c r="K1" s="30" t="inlineStr">
        <is>
          <t>COD DEP</t>
        </is>
      </c>
      <c r="L1" s="8" t="inlineStr">
        <is>
          <t>INS
1</t>
        </is>
      </c>
      <c r="M1" s="8" t="inlineStr">
        <is>
          <t>DED
INS 1</t>
        </is>
      </c>
      <c r="N1" s="8" t="inlineStr">
        <is>
          <t>INS
2</t>
        </is>
      </c>
      <c r="O1" s="8" t="inlineStr">
        <is>
          <t>DED
INS 2</t>
        </is>
      </c>
      <c r="P1" s="9" t="inlineStr">
        <is>
          <t>DED
DEP</t>
        </is>
      </c>
      <c r="Q1" s="9" t="inlineStr">
        <is>
          <t>SEX
INS 1</t>
        </is>
      </c>
      <c r="R1" s="9" t="inlineStr">
        <is>
          <t>SEX
INS 2</t>
        </is>
      </c>
      <c r="S1" s="9" t="inlineStr">
        <is>
          <t>SEX
DEP</t>
        </is>
      </c>
    </row>
    <row r="2" ht="14.4" customHeight="1">
      <c r="A2" s="12" t="inlineStr">
        <is>
          <t>09371918Q</t>
        </is>
      </c>
      <c r="B2" s="12" t="inlineStr">
        <is>
          <t>Ferrández Pastor, Francisco Javier</t>
        </is>
      </c>
      <c r="C2" s="12" t="inlineStr">
        <is>
          <t>FUNCIONARIO</t>
        </is>
      </c>
      <c r="D2" s="12" t="n"/>
      <c r="E2" s="12" t="n"/>
      <c r="F2" s="12" t="n"/>
      <c r="G2" s="12" t="n">
        <v>1</v>
      </c>
      <c r="H2" s="12" t="n"/>
      <c r="I2" s="12" t="n"/>
      <c r="J2" s="12" t="n">
        <v>1</v>
      </c>
      <c r="K2" s="12" t="inlineStr">
        <is>
          <t>B148</t>
        </is>
      </c>
      <c r="L2" s="13" t="inlineStr">
        <is>
          <t>10.19</t>
        </is>
      </c>
      <c r="M2" s="13" t="inlineStr">
        <is>
          <t>10</t>
        </is>
      </c>
      <c r="N2" s="13" t="inlineStr">
        <is>
          <t>10.25</t>
        </is>
      </c>
      <c r="O2" s="13" t="inlineStr">
        <is>
          <t>10</t>
        </is>
      </c>
      <c r="P2" s="13" t="n">
        <v>80</v>
      </c>
      <c r="Q2" s="13" t="n">
        <v>0.1</v>
      </c>
      <c r="R2" s="13" t="n">
        <v>0.1</v>
      </c>
      <c r="S2" s="13" t="n">
        <v>0.8</v>
      </c>
    </row>
    <row r="3" ht="14.4" customHeight="1">
      <c r="A3" s="12" t="inlineStr">
        <is>
          <t>21397854B</t>
        </is>
      </c>
      <c r="B3" s="12" t="inlineStr">
        <is>
          <t>Grediaga Olivo, Ángel</t>
        </is>
      </c>
      <c r="C3" s="12" t="inlineStr">
        <is>
          <t>Vivos</t>
        </is>
      </c>
      <c r="D3" s="12" t="n"/>
      <c r="E3" s="12" t="n"/>
      <c r="F3" s="12" t="n"/>
      <c r="G3" s="12" t="n"/>
      <c r="H3" s="12" t="n"/>
      <c r="I3" s="12" t="n">
        <v>1</v>
      </c>
      <c r="J3" s="12" t="n">
        <v>1</v>
      </c>
      <c r="K3" s="12" t="inlineStr">
        <is>
          <t>B148</t>
        </is>
      </c>
      <c r="L3" s="13" t="inlineStr">
        <is>
          <t>10.19</t>
        </is>
      </c>
      <c r="M3" s="13" t="inlineStr">
        <is>
          <t>20</t>
        </is>
      </c>
      <c r="N3" s="13" t="inlineStr"/>
      <c r="O3" s="13" t="inlineStr"/>
      <c r="P3" s="13" t="n">
        <v>80</v>
      </c>
      <c r="Q3" s="13" t="n">
        <v>0.2</v>
      </c>
      <c r="R3" s="13" t="n">
        <v>0</v>
      </c>
      <c r="S3" s="13" t="n">
        <v>0.8</v>
      </c>
    </row>
    <row r="4" ht="14.4" customHeight="1">
      <c r="A4" s="12" t="inlineStr">
        <is>
          <t>21474037H</t>
        </is>
      </c>
      <c r="B4" s="12" t="inlineStr">
        <is>
          <t xml:space="preserve">Maciá Pérez, Francisco </t>
        </is>
      </c>
      <c r="C4" s="12" t="inlineStr">
        <is>
          <t>FUNCIONARIO</t>
        </is>
      </c>
      <c r="D4" s="12" t="n">
        <v>1</v>
      </c>
      <c r="E4" s="12" t="n"/>
      <c r="F4" s="12" t="n"/>
      <c r="G4" s="12" t="n"/>
      <c r="H4" s="12" t="n"/>
      <c r="I4" s="12" t="n"/>
      <c r="J4" s="12" t="n">
        <v>1</v>
      </c>
      <c r="K4" s="12" t="inlineStr">
        <is>
          <t>B148</t>
        </is>
      </c>
      <c r="L4" s="13" t="inlineStr">
        <is>
          <t>10.19</t>
        </is>
      </c>
      <c r="M4" s="13" t="inlineStr">
        <is>
          <t>20</t>
        </is>
      </c>
      <c r="N4" s="13" t="inlineStr"/>
      <c r="O4" s="13" t="inlineStr"/>
      <c r="P4" s="13" t="n">
        <v>80</v>
      </c>
      <c r="Q4" s="13" t="n">
        <v>0.2</v>
      </c>
      <c r="R4" s="13" t="n">
        <v>0</v>
      </c>
      <c r="S4" s="13" t="n">
        <v>0.8</v>
      </c>
    </row>
    <row r="5" ht="14.4" customHeight="1">
      <c r="A5" s="12" t="inlineStr">
        <is>
          <t>21486541X</t>
        </is>
      </c>
      <c r="B5" s="12" t="inlineStr">
        <is>
          <t>García Rodríguez, José</t>
        </is>
      </c>
      <c r="C5" s="12" t="inlineStr">
        <is>
          <t>FUNCIONARIO</t>
        </is>
      </c>
      <c r="D5" s="12" t="n"/>
      <c r="E5" s="12" t="n"/>
      <c r="F5" s="12" t="n"/>
      <c r="G5" s="12" t="n"/>
      <c r="H5" s="12" t="n"/>
      <c r="I5" s="12" t="n">
        <v>1</v>
      </c>
      <c r="J5" s="12" t="n">
        <v>1</v>
      </c>
      <c r="K5" s="12" t="inlineStr">
        <is>
          <t>B148</t>
        </is>
      </c>
      <c r="L5" s="13" t="inlineStr">
        <is>
          <t>10.19</t>
        </is>
      </c>
      <c r="M5" s="13" t="inlineStr">
        <is>
          <t>20</t>
        </is>
      </c>
      <c r="N5" s="13" t="inlineStr"/>
      <c r="O5" s="13" t="inlineStr"/>
      <c r="P5" s="13" t="n">
        <v>80</v>
      </c>
      <c r="Q5" s="13" t="n">
        <v>0.2</v>
      </c>
      <c r="R5" s="13" t="n">
        <v>0</v>
      </c>
      <c r="S5" s="13" t="n">
        <v>0.8</v>
      </c>
    </row>
    <row r="6" ht="14.4" customHeight="1">
      <c r="A6" s="12" t="inlineStr">
        <is>
          <t>21510176R</t>
        </is>
      </c>
      <c r="B6" s="12" t="inlineStr">
        <is>
          <t>Ruiz Fernández, Daniel</t>
        </is>
      </c>
      <c r="C6" s="12" t="inlineStr">
        <is>
          <t>FUNCIONARIO</t>
        </is>
      </c>
      <c r="D6" s="12" t="n"/>
      <c r="E6" s="12" t="n">
        <v>1</v>
      </c>
      <c r="F6" s="12" t="n"/>
      <c r="G6" s="12" t="n"/>
      <c r="H6" s="12" t="n"/>
      <c r="I6" s="12" t="n"/>
      <c r="J6" s="12" t="n">
        <v>1</v>
      </c>
      <c r="K6" s="12" t="inlineStr">
        <is>
          <t>B148</t>
        </is>
      </c>
      <c r="L6" s="13" t="inlineStr">
        <is>
          <t>10.19</t>
        </is>
      </c>
      <c r="M6" s="13" t="inlineStr">
        <is>
          <t>20</t>
        </is>
      </c>
      <c r="N6" s="13" t="inlineStr"/>
      <c r="O6" s="13" t="inlineStr"/>
      <c r="P6" s="13" t="n">
        <v>80</v>
      </c>
      <c r="Q6" s="13" t="n">
        <v>0.2</v>
      </c>
      <c r="R6" s="13" t="n">
        <v>0</v>
      </c>
      <c r="S6" s="13" t="n">
        <v>0.8</v>
      </c>
    </row>
    <row r="7" ht="14.4" customHeight="1">
      <c r="A7" s="12" t="inlineStr">
        <is>
          <t>21653548Z</t>
        </is>
      </c>
      <c r="B7" s="12" t="inlineStr">
        <is>
          <t>Mora Gimeno, Francisco José</t>
        </is>
      </c>
      <c r="C7" s="12" t="inlineStr">
        <is>
          <t>FUNCIONARIO</t>
        </is>
      </c>
      <c r="D7" s="12" t="n"/>
      <c r="E7" s="12" t="n">
        <v>1</v>
      </c>
      <c r="F7" s="12" t="n"/>
      <c r="G7" s="12" t="n"/>
      <c r="H7" s="12" t="n"/>
      <c r="I7" s="12" t="n"/>
      <c r="J7" s="12" t="n">
        <v>1</v>
      </c>
      <c r="K7" s="12" t="inlineStr">
        <is>
          <t>B148</t>
        </is>
      </c>
      <c r="L7" s="13" t="n">
        <v>0</v>
      </c>
      <c r="M7" s="13" t="n">
        <v>0</v>
      </c>
      <c r="N7" s="13" t="inlineStr"/>
      <c r="O7" s="13" t="inlineStr"/>
      <c r="P7" s="13" t="n">
        <v>100</v>
      </c>
      <c r="Q7" s="13" t="n">
        <v>0</v>
      </c>
      <c r="R7" s="13" t="n">
        <v>0</v>
      </c>
      <c r="S7" s="13" t="n">
        <v>1</v>
      </c>
    </row>
    <row r="8" ht="14.4" customHeight="1">
      <c r="A8" s="12" t="inlineStr">
        <is>
          <t>21964202F</t>
        </is>
      </c>
      <c r="B8" s="12" t="inlineStr">
        <is>
          <t>García Chamizo, Juan Manuel</t>
        </is>
      </c>
      <c r="C8" s="12" t="inlineStr">
        <is>
          <t>Vivos</t>
        </is>
      </c>
      <c r="D8" s="12" t="n"/>
      <c r="E8" s="12" t="n"/>
      <c r="F8" s="12" t="n"/>
      <c r="G8" s="12" t="n"/>
      <c r="H8" s="12" t="n"/>
      <c r="I8" s="12" t="n">
        <v>1</v>
      </c>
      <c r="J8" s="12" t="n">
        <v>1</v>
      </c>
      <c r="K8" s="12" t="inlineStr">
        <is>
          <t>B148</t>
        </is>
      </c>
      <c r="L8" s="13" t="inlineStr">
        <is>
          <t>10.25</t>
        </is>
      </c>
      <c r="M8" s="13" t="inlineStr">
        <is>
          <t>10</t>
        </is>
      </c>
      <c r="N8" s="13" t="inlineStr">
        <is>
          <t>10.19</t>
        </is>
      </c>
      <c r="O8" s="13" t="inlineStr">
        <is>
          <t>20</t>
        </is>
      </c>
      <c r="P8" s="13" t="n">
        <v>70</v>
      </c>
      <c r="Q8" s="13" t="n">
        <v>0.1</v>
      </c>
      <c r="R8" s="13" t="n">
        <v>0.2</v>
      </c>
      <c r="S8" s="13" t="n">
        <v>0.7</v>
      </c>
    </row>
    <row r="9" ht="14.4" customHeight="1">
      <c r="A9" s="12" t="inlineStr">
        <is>
          <t>22000675W</t>
        </is>
      </c>
      <c r="B9" s="12" t="inlineStr">
        <is>
          <t>Fuster Guilló, Andrés</t>
        </is>
      </c>
      <c r="C9" s="12" t="inlineStr">
        <is>
          <t>FUNCIONARIO</t>
        </is>
      </c>
      <c r="D9" s="12" t="n"/>
      <c r="E9" s="12" t="n"/>
      <c r="F9" s="12" t="n">
        <v>1</v>
      </c>
      <c r="G9" s="12" t="n"/>
      <c r="H9" s="12" t="n"/>
      <c r="I9" s="12" t="n"/>
      <c r="J9" s="12" t="n">
        <v>1</v>
      </c>
      <c r="K9" s="12" t="inlineStr">
        <is>
          <t>B148</t>
        </is>
      </c>
      <c r="L9" s="13" t="inlineStr">
        <is>
          <t>10.19</t>
        </is>
      </c>
      <c r="M9" s="13" t="inlineStr">
        <is>
          <t>50</t>
        </is>
      </c>
      <c r="N9" s="13" t="inlineStr"/>
      <c r="O9" s="13" t="inlineStr"/>
      <c r="P9" s="13" t="n">
        <v>50</v>
      </c>
      <c r="Q9" s="13" t="n">
        <v>0.5</v>
      </c>
      <c r="R9" s="13" t="n">
        <v>0</v>
      </c>
      <c r="S9" s="13" t="n">
        <v>0.5</v>
      </c>
    </row>
    <row r="10" ht="14.4" customHeight="1">
      <c r="A10" s="12" t="inlineStr">
        <is>
          <t>22135677V</t>
        </is>
      </c>
      <c r="B10" s="12" t="inlineStr">
        <is>
          <t>Soriano Paya, Antonio</t>
        </is>
      </c>
      <c r="C10" s="12" t="inlineStr">
        <is>
          <t>Vivos</t>
        </is>
      </c>
      <c r="D10" s="12" t="n"/>
      <c r="E10" s="12" t="n"/>
      <c r="F10" s="12" t="n"/>
      <c r="G10" s="12" t="n"/>
      <c r="H10" s="12" t="n"/>
      <c r="I10" s="12" t="n">
        <v>1</v>
      </c>
      <c r="J10" s="12" t="n">
        <v>1</v>
      </c>
      <c r="K10" s="12" t="inlineStr">
        <is>
          <t>B148</t>
        </is>
      </c>
      <c r="L10" s="13" t="inlineStr">
        <is>
          <t>10.19</t>
        </is>
      </c>
      <c r="M10" s="13" t="inlineStr">
        <is>
          <t>20</t>
        </is>
      </c>
      <c r="N10" s="13" t="inlineStr"/>
      <c r="O10" s="13" t="inlineStr"/>
      <c r="P10" s="13" t="n">
        <v>80</v>
      </c>
      <c r="Q10" s="13" t="n">
        <v>0.2</v>
      </c>
      <c r="R10" s="13" t="n">
        <v>0</v>
      </c>
      <c r="S10" s="13" t="n">
        <v>0.8</v>
      </c>
    </row>
    <row r="11" ht="14.4" customHeight="1">
      <c r="A11" s="12" t="inlineStr">
        <is>
          <t>29011916S</t>
        </is>
      </c>
      <c r="B11" s="12" t="inlineStr">
        <is>
          <t>Jimeno Morenilla, Antonio Manuel</t>
        </is>
      </c>
      <c r="C11" s="12" t="inlineStr">
        <is>
          <t>FUNCIONARIO</t>
        </is>
      </c>
      <c r="D11" s="12" t="n"/>
      <c r="E11" s="12" t="n"/>
      <c r="F11" s="12" t="n"/>
      <c r="G11" s="12" t="n">
        <v>1</v>
      </c>
      <c r="H11" s="12" t="n"/>
      <c r="I11" s="12" t="n"/>
      <c r="J11" s="12" t="n">
        <v>1</v>
      </c>
      <c r="K11" s="12" t="inlineStr">
        <is>
          <t>B148</t>
        </is>
      </c>
      <c r="L11" s="13" t="inlineStr">
        <is>
          <t>10.19</t>
        </is>
      </c>
      <c r="M11" s="13" t="inlineStr">
        <is>
          <t>20</t>
        </is>
      </c>
      <c r="N11" s="13" t="inlineStr"/>
      <c r="O11" s="13" t="inlineStr"/>
      <c r="P11" s="13" t="n">
        <v>80</v>
      </c>
      <c r="Q11" s="13" t="n">
        <v>0.2</v>
      </c>
      <c r="R11" s="13" t="n">
        <v>0</v>
      </c>
      <c r="S11" s="13" t="n">
        <v>0.8</v>
      </c>
    </row>
    <row r="12" ht="14.4" customHeight="1">
      <c r="A12" s="12" t="inlineStr">
        <is>
          <t>31251007X</t>
        </is>
      </c>
      <c r="B12" s="12" t="inlineStr">
        <is>
          <t>Cuenca Asensi, Sergio Antonio</t>
        </is>
      </c>
      <c r="C12" s="12" t="inlineStr">
        <is>
          <t>FUNCIONARIO</t>
        </is>
      </c>
      <c r="D12" s="12" t="n"/>
      <c r="E12" s="12" t="n"/>
      <c r="F12" s="12" t="n"/>
      <c r="G12" s="12" t="n"/>
      <c r="H12" s="12" t="n">
        <v>1</v>
      </c>
      <c r="I12" s="12" t="n"/>
      <c r="J12" s="12" t="n">
        <v>1</v>
      </c>
      <c r="K12" s="12" t="inlineStr">
        <is>
          <t>B148</t>
        </is>
      </c>
      <c r="L12" s="13" t="inlineStr">
        <is>
          <t>10.19</t>
        </is>
      </c>
      <c r="M12" s="13" t="inlineStr">
        <is>
          <t>20</t>
        </is>
      </c>
      <c r="N12" s="13" t="inlineStr"/>
      <c r="O12" s="13" t="inlineStr"/>
      <c r="P12" s="13" t="n">
        <v>80</v>
      </c>
      <c r="Q12" s="13" t="n">
        <v>0.2</v>
      </c>
      <c r="R12" s="13" t="n">
        <v>0</v>
      </c>
      <c r="S12" s="13" t="n">
        <v>0.8</v>
      </c>
    </row>
    <row r="13" ht="14.4" customHeight="1">
      <c r="A13" s="12" t="inlineStr">
        <is>
          <t>33475167R</t>
        </is>
      </c>
      <c r="B13" s="12" t="inlineStr">
        <is>
          <t>Mora Pascual, Jeronimo Manuel</t>
        </is>
      </c>
      <c r="C13" s="12" t="inlineStr">
        <is>
          <t>Vivos</t>
        </is>
      </c>
      <c r="D13" s="12" t="n"/>
      <c r="E13" s="12" t="n"/>
      <c r="F13" s="12" t="n"/>
      <c r="G13" s="12" t="n"/>
      <c r="H13" s="12" t="n"/>
      <c r="I13" s="12" t="n">
        <v>1</v>
      </c>
      <c r="J13" s="12" t="n">
        <v>1</v>
      </c>
      <c r="K13" s="12" t="inlineStr">
        <is>
          <t>B148</t>
        </is>
      </c>
      <c r="L13" s="13" t="inlineStr">
        <is>
          <t>10.25</t>
        </is>
      </c>
      <c r="M13" s="13" t="inlineStr">
        <is>
          <t>10</t>
        </is>
      </c>
      <c r="N13" s="13" t="inlineStr">
        <is>
          <t>10.19</t>
        </is>
      </c>
      <c r="O13" s="13" t="inlineStr">
        <is>
          <t>20</t>
        </is>
      </c>
      <c r="P13" s="13" t="n">
        <v>70</v>
      </c>
      <c r="Q13" s="13" t="n">
        <v>0.1</v>
      </c>
      <c r="R13" s="13" t="n">
        <v>0.2</v>
      </c>
      <c r="S13" s="13" t="n">
        <v>0.7</v>
      </c>
    </row>
    <row r="14" ht="14.4" customHeight="1">
      <c r="A14" s="12" t="inlineStr">
        <is>
          <t>33476663W</t>
        </is>
      </c>
      <c r="B14" s="12" t="inlineStr">
        <is>
          <t>Florez Revuelta, Francisco Asis</t>
        </is>
      </c>
      <c r="C14" s="12" t="inlineStr">
        <is>
          <t>FUNCIONARIO</t>
        </is>
      </c>
      <c r="D14" s="12" t="n"/>
      <c r="E14" s="12" t="n"/>
      <c r="F14" s="12" t="n">
        <v>1</v>
      </c>
      <c r="G14" s="12" t="n"/>
      <c r="H14" s="12" t="n"/>
      <c r="I14" s="12" t="n"/>
      <c r="J14" s="12" t="n">
        <v>1</v>
      </c>
      <c r="K14" s="12" t="inlineStr">
        <is>
          <t>B148</t>
        </is>
      </c>
      <c r="L14" s="13" t="inlineStr">
        <is>
          <t>10.19</t>
        </is>
      </c>
      <c r="M14" s="13" t="inlineStr">
        <is>
          <t>20</t>
        </is>
      </c>
      <c r="N14" s="13" t="inlineStr"/>
      <c r="O14" s="13" t="inlineStr"/>
      <c r="P14" s="13" t="n">
        <v>80</v>
      </c>
      <c r="Q14" s="13" t="n">
        <v>0.2</v>
      </c>
      <c r="R14" s="13" t="n">
        <v>0</v>
      </c>
      <c r="S14" s="13" t="n">
        <v>0.8</v>
      </c>
    </row>
    <row r="15" ht="14.4" customHeight="1">
      <c r="A15" s="12" t="inlineStr">
        <is>
          <t>33485105A</t>
        </is>
      </c>
      <c r="B15" s="12" t="inlineStr">
        <is>
          <t>Sánchez Romero, José Luis</t>
        </is>
      </c>
      <c r="C15" s="12" t="inlineStr">
        <is>
          <t>FUNCIONARIO</t>
        </is>
      </c>
      <c r="D15" s="12" t="n"/>
      <c r="E15" s="12" t="n">
        <v>1</v>
      </c>
      <c r="F15" s="12" t="n"/>
      <c r="G15" s="12" t="n"/>
      <c r="H15" s="12" t="n"/>
      <c r="I15" s="12" t="n"/>
      <c r="J15" s="12" t="n">
        <v>1</v>
      </c>
      <c r="K15" s="12" t="inlineStr">
        <is>
          <t>B148</t>
        </is>
      </c>
      <c r="L15" s="13" t="inlineStr">
        <is>
          <t>10.19</t>
        </is>
      </c>
      <c r="M15" s="13" t="inlineStr">
        <is>
          <t>20</t>
        </is>
      </c>
      <c r="N15" s="13" t="inlineStr"/>
      <c r="O15" s="13" t="inlineStr"/>
      <c r="P15" s="13" t="n">
        <v>80</v>
      </c>
      <c r="Q15" s="13" t="n">
        <v>0.2</v>
      </c>
      <c r="R15" s="13" t="n">
        <v>0</v>
      </c>
      <c r="S15" s="13" t="n">
        <v>0.8</v>
      </c>
    </row>
    <row r="16" ht="14.4" customHeight="1">
      <c r="A16" s="12" t="inlineStr">
        <is>
          <t>33489374V</t>
        </is>
      </c>
      <c r="B16" s="12" t="inlineStr">
        <is>
          <t>Mora Mora, Higinio</t>
        </is>
      </c>
      <c r="C16" s="12" t="inlineStr">
        <is>
          <t>FUNCIONARIO</t>
        </is>
      </c>
      <c r="D16" s="12" t="n"/>
      <c r="E16" s="12" t="n"/>
      <c r="F16" s="12" t="n"/>
      <c r="G16" s="12" t="n"/>
      <c r="H16" s="12" t="n"/>
      <c r="I16" s="12" t="n">
        <v>1</v>
      </c>
      <c r="J16" s="12" t="n">
        <v>1</v>
      </c>
      <c r="K16" s="12" t="inlineStr">
        <is>
          <t>B148</t>
        </is>
      </c>
      <c r="L16" s="13" t="inlineStr">
        <is>
          <t>10.19</t>
        </is>
      </c>
      <c r="M16" s="13" t="inlineStr">
        <is>
          <t>20</t>
        </is>
      </c>
      <c r="N16" s="13" t="inlineStr"/>
      <c r="O16" s="13" t="inlineStr"/>
      <c r="P16" s="13" t="n">
        <v>80</v>
      </c>
      <c r="Q16" s="13" t="n">
        <v>0.2</v>
      </c>
      <c r="R16" s="13" t="n">
        <v>0</v>
      </c>
      <c r="S16" s="13" t="n">
        <v>0.8</v>
      </c>
    </row>
    <row r="17" ht="14.4" customHeight="1">
      <c r="A17" s="12" t="inlineStr">
        <is>
          <t>33491634T</t>
        </is>
      </c>
      <c r="B17" s="12" t="inlineStr">
        <is>
          <t>Marcos Jorquera, Diego</t>
        </is>
      </c>
      <c r="C17" s="12" t="inlineStr">
        <is>
          <t>FUNCIONARIO</t>
        </is>
      </c>
      <c r="D17" s="12" t="n"/>
      <c r="E17" s="12" t="n"/>
      <c r="F17" s="12" t="n"/>
      <c r="G17" s="12" t="n"/>
      <c r="H17" s="12" t="n"/>
      <c r="I17" s="12" t="n">
        <v>2</v>
      </c>
      <c r="J17" s="12" t="n">
        <v>2</v>
      </c>
      <c r="K17" s="12" t="inlineStr">
        <is>
          <t>B148</t>
        </is>
      </c>
      <c r="L17" s="13" t="inlineStr">
        <is>
          <t>10.19</t>
        </is>
      </c>
      <c r="M17" s="13" t="inlineStr">
        <is>
          <t>20</t>
        </is>
      </c>
      <c r="N17" s="13" t="inlineStr"/>
      <c r="O17" s="13" t="inlineStr"/>
      <c r="P17" s="13" t="n">
        <v>80</v>
      </c>
      <c r="Q17" s="13" t="n">
        <v>0.4</v>
      </c>
      <c r="R17" s="13" t="n">
        <v>0</v>
      </c>
      <c r="S17" s="13" t="n">
        <v>1.6</v>
      </c>
    </row>
    <row r="18" ht="14.4" customHeight="1">
      <c r="A18" s="12" t="inlineStr">
        <is>
          <t>44752524K</t>
        </is>
      </c>
      <c r="B18" s="12" t="inlineStr">
        <is>
          <t>Pujol López, Francisco Antonio</t>
        </is>
      </c>
      <c r="C18" s="12" t="inlineStr">
        <is>
          <t>FUNCIONARIO</t>
        </is>
      </c>
      <c r="D18" s="12" t="n"/>
      <c r="E18" s="12" t="n"/>
      <c r="F18" s="12" t="n"/>
      <c r="G18" s="12" t="n">
        <v>1</v>
      </c>
      <c r="H18" s="12" t="n"/>
      <c r="I18" s="12" t="n"/>
      <c r="J18" s="12" t="n">
        <v>1</v>
      </c>
      <c r="K18" s="12" t="inlineStr">
        <is>
          <t>B148</t>
        </is>
      </c>
      <c r="L18" s="13" t="inlineStr">
        <is>
          <t>10.19</t>
        </is>
      </c>
      <c r="M18" s="13" t="inlineStr">
        <is>
          <t>20</t>
        </is>
      </c>
      <c r="N18" s="13" t="inlineStr"/>
      <c r="O18" s="13" t="inlineStr"/>
      <c r="P18" s="13" t="n">
        <v>80</v>
      </c>
      <c r="Q18" s="13" t="n">
        <v>0.2</v>
      </c>
      <c r="R18" s="13" t="n">
        <v>0</v>
      </c>
      <c r="S18" s="13" t="n">
        <v>0.8</v>
      </c>
    </row>
    <row r="19" ht="14.4" customHeight="1">
      <c r="A19" s="12" t="inlineStr">
        <is>
          <t>48325227L</t>
        </is>
      </c>
      <c r="B19" s="12" t="inlineStr">
        <is>
          <t>Saval Calvo, Marcelo</t>
        </is>
      </c>
      <c r="C19" s="12" t="inlineStr">
        <is>
          <t>FUNCIONARIO</t>
        </is>
      </c>
      <c r="D19" s="12" t="n"/>
      <c r="E19" s="12" t="n">
        <v>1</v>
      </c>
      <c r="F19" s="12" t="n"/>
      <c r="G19" s="12" t="n"/>
      <c r="H19" s="12" t="n"/>
      <c r="I19" s="12" t="n">
        <v>1</v>
      </c>
      <c r="J19" s="12" t="n">
        <v>2</v>
      </c>
      <c r="K19" s="12" t="inlineStr">
        <is>
          <t>B148</t>
        </is>
      </c>
      <c r="L19" s="13" t="inlineStr">
        <is>
          <t>10.19</t>
        </is>
      </c>
      <c r="M19" s="13" t="inlineStr">
        <is>
          <t>20</t>
        </is>
      </c>
      <c r="N19" s="13" t="inlineStr"/>
      <c r="O19" s="13" t="inlineStr"/>
      <c r="P19" s="13" t="n">
        <v>80</v>
      </c>
      <c r="Q19" s="13" t="n">
        <v>0.4</v>
      </c>
      <c r="R19" s="13" t="n">
        <v>0</v>
      </c>
      <c r="S19" s="13" t="n">
        <v>1.6</v>
      </c>
    </row>
    <row r="20" ht="14.4" customHeight="1">
      <c r="A20" s="31" t="inlineStr">
        <is>
          <t>48331496D</t>
        </is>
      </c>
      <c r="B20" s="31" t="inlineStr">
        <is>
          <t>Climent Pérez, Pau</t>
        </is>
      </c>
      <c r="C20" s="31" t="inlineStr">
        <is>
          <t>FUNCIONARIO</t>
        </is>
      </c>
      <c r="D20" s="31" t="n"/>
      <c r="E20" s="31" t="n"/>
      <c r="F20" s="31" t="n"/>
      <c r="G20" s="31" t="n"/>
      <c r="H20" s="31" t="n"/>
      <c r="I20" s="31" t="n">
        <v>1</v>
      </c>
      <c r="J20" s="31" t="n">
        <v>1</v>
      </c>
      <c r="K20" s="12" t="inlineStr">
        <is>
          <t>B148</t>
        </is>
      </c>
      <c r="L20" s="13" t="inlineStr">
        <is>
          <t>10.19</t>
        </is>
      </c>
      <c r="M20" s="13" t="inlineStr">
        <is>
          <t>20</t>
        </is>
      </c>
      <c r="N20" s="13" t="inlineStr"/>
      <c r="O20" s="13" t="inlineStr"/>
      <c r="P20" s="13" t="n">
        <v>80</v>
      </c>
      <c r="Q20" s="13" t="n">
        <v>0.2</v>
      </c>
      <c r="R20" s="13" t="n">
        <v>0</v>
      </c>
      <c r="S20" s="13" t="n">
        <v>0.8</v>
      </c>
    </row>
    <row r="21" ht="14.4" customHeight="1">
      <c r="A21" s="12" t="inlineStr">
        <is>
          <t>48375795X</t>
        </is>
      </c>
      <c r="B21" s="12" t="inlineStr">
        <is>
          <t>Berná Martínez, José Vicente</t>
        </is>
      </c>
      <c r="C21" s="12" t="inlineStr">
        <is>
          <t>FUNCIONARIO</t>
        </is>
      </c>
      <c r="D21" s="12" t="n"/>
      <c r="E21" s="12" t="n"/>
      <c r="F21" s="12" t="n"/>
      <c r="G21" s="12" t="n"/>
      <c r="H21" s="12" t="n">
        <v>2</v>
      </c>
      <c r="I21" s="12" t="n"/>
      <c r="J21" s="12" t="n">
        <v>2</v>
      </c>
      <c r="K21" s="12" t="inlineStr">
        <is>
          <t>B148</t>
        </is>
      </c>
      <c r="L21" s="13" t="inlineStr">
        <is>
          <t>10.19</t>
        </is>
      </c>
      <c r="M21" s="13" t="inlineStr">
        <is>
          <t>20</t>
        </is>
      </c>
      <c r="N21" s="13" t="inlineStr"/>
      <c r="O21" s="13" t="inlineStr"/>
      <c r="P21" s="13" t="n">
        <v>80</v>
      </c>
      <c r="Q21" s="13" t="n">
        <v>0.4</v>
      </c>
      <c r="R21" s="13" t="n">
        <v>0</v>
      </c>
      <c r="S21" s="13" t="n">
        <v>1.6</v>
      </c>
    </row>
    <row r="22" ht="14.4" customHeight="1">
      <c r="A22" s="12" t="inlineStr">
        <is>
          <t>48511175N</t>
        </is>
      </c>
      <c r="B22" s="12" t="inlineStr">
        <is>
          <t>De Ramón Fernández, Alberto Antonio</t>
        </is>
      </c>
      <c r="C22" s="12" t="inlineStr">
        <is>
          <t>FUNCIONARIO</t>
        </is>
      </c>
      <c r="D22" s="12" t="n"/>
      <c r="E22" s="12" t="n"/>
      <c r="F22" s="12" t="n"/>
      <c r="G22" s="12" t="n"/>
      <c r="H22" s="12" t="n">
        <v>1</v>
      </c>
      <c r="I22" s="12" t="n"/>
      <c r="J22" s="12" t="n">
        <v>1</v>
      </c>
      <c r="K22" s="12" t="inlineStr">
        <is>
          <t>B148</t>
        </is>
      </c>
      <c r="L22" s="13" t="n">
        <v>0</v>
      </c>
      <c r="M22" s="13" t="n">
        <v>0</v>
      </c>
      <c r="N22" s="13" t="inlineStr"/>
      <c r="O22" s="13" t="inlineStr"/>
      <c r="P22" s="13" t="n">
        <v>100</v>
      </c>
      <c r="Q22" s="13" t="n">
        <v>0</v>
      </c>
      <c r="R22" s="13" t="n">
        <v>0</v>
      </c>
      <c r="S22" s="13" t="n">
        <v>1</v>
      </c>
    </row>
    <row r="23" ht="14.4" customHeight="1">
      <c r="A23" s="12" t="inlineStr">
        <is>
          <t>50170678L</t>
        </is>
      </c>
      <c r="B23" s="12" t="inlineStr">
        <is>
          <t>Gil Méndez, David</t>
        </is>
      </c>
      <c r="C23" s="12" t="inlineStr">
        <is>
          <t>FUNCIONARIO</t>
        </is>
      </c>
      <c r="D23" s="12" t="n"/>
      <c r="E23" s="12" t="n"/>
      <c r="F23" s="12" t="n">
        <v>1</v>
      </c>
      <c r="G23" s="12" t="n"/>
      <c r="H23" s="12" t="n"/>
      <c r="I23" s="12" t="n"/>
      <c r="J23" s="12" t="n">
        <v>1</v>
      </c>
      <c r="K23" s="12" t="inlineStr">
        <is>
          <t>B148</t>
        </is>
      </c>
      <c r="L23" s="13" t="inlineStr">
        <is>
          <t>10.19</t>
        </is>
      </c>
      <c r="M23" s="13" t="inlineStr">
        <is>
          <t>20</t>
        </is>
      </c>
      <c r="N23" s="13" t="inlineStr"/>
      <c r="O23" s="13" t="inlineStr"/>
      <c r="P23" s="13" t="n">
        <v>80</v>
      </c>
      <c r="Q23" s="13" t="n">
        <v>0.2</v>
      </c>
      <c r="R23" s="13" t="n">
        <v>0</v>
      </c>
      <c r="S23" s="13" t="n">
        <v>0.8</v>
      </c>
    </row>
    <row r="24" ht="14.4" customHeight="1">
      <c r="A24" s="12" t="inlineStr">
        <is>
          <t>50735030C</t>
        </is>
      </c>
      <c r="B24" s="12" t="inlineStr">
        <is>
          <t>Gilart Iglesias, Virgilio</t>
        </is>
      </c>
      <c r="C24" s="12" t="inlineStr">
        <is>
          <t>FUNCIONARIO</t>
        </is>
      </c>
      <c r="D24" s="12" t="n"/>
      <c r="E24" s="12" t="n">
        <v>1</v>
      </c>
      <c r="F24" s="12" t="n"/>
      <c r="G24" s="12" t="n"/>
      <c r="H24" s="12" t="n"/>
      <c r="I24" s="12" t="n"/>
      <c r="J24" s="12" t="n">
        <v>1</v>
      </c>
      <c r="K24" s="12" t="inlineStr">
        <is>
          <t>B148</t>
        </is>
      </c>
      <c r="L24" s="13" t="inlineStr">
        <is>
          <t>10.19</t>
        </is>
      </c>
      <c r="M24" s="13" t="inlineStr">
        <is>
          <t>20</t>
        </is>
      </c>
      <c r="N24" s="13" t="inlineStr"/>
      <c r="O24" s="13" t="inlineStr"/>
      <c r="P24" s="13" t="n">
        <v>80</v>
      </c>
      <c r="Q24" s="13" t="n">
        <v>0.2</v>
      </c>
      <c r="R24" s="13" t="n">
        <v>0</v>
      </c>
      <c r="S24" s="13" t="n">
        <v>0.8</v>
      </c>
    </row>
    <row r="25" ht="14.4" customHeight="1">
      <c r="A25" s="12" t="inlineStr">
        <is>
          <t>52764803C</t>
        </is>
      </c>
      <c r="B25" s="12" t="inlineStr">
        <is>
          <t>Azorín López, Jorge</t>
        </is>
      </c>
      <c r="C25" s="14" t="inlineStr">
        <is>
          <t>FUNCIONARIO</t>
        </is>
      </c>
      <c r="D25" s="12" t="n"/>
      <c r="E25" s="12" t="n"/>
      <c r="F25" s="12" t="n">
        <v>1</v>
      </c>
      <c r="G25" s="12" t="n"/>
      <c r="H25" s="12" t="n"/>
      <c r="I25" s="12" t="n"/>
      <c r="J25" s="12" t="n">
        <v>1</v>
      </c>
      <c r="K25" s="12" t="inlineStr">
        <is>
          <t>B148</t>
        </is>
      </c>
      <c r="L25" s="13" t="inlineStr">
        <is>
          <t>10.19</t>
        </is>
      </c>
      <c r="M25" s="13" t="inlineStr">
        <is>
          <t>50</t>
        </is>
      </c>
      <c r="N25" s="13" t="inlineStr"/>
      <c r="O25" s="13" t="inlineStr"/>
      <c r="P25" s="13" t="n">
        <v>50</v>
      </c>
      <c r="Q25" s="13" t="n">
        <v>0.5</v>
      </c>
      <c r="R25" s="13" t="n">
        <v>0</v>
      </c>
      <c r="S25" s="13" t="n">
        <v>0.5</v>
      </c>
    </row>
    <row r="26" ht="14.4" customHeight="1">
      <c r="A26" s="12" t="inlineStr">
        <is>
          <t>74085674Y</t>
        </is>
      </c>
      <c r="B26" s="12" t="inlineStr">
        <is>
          <t>Rico Soliveres, María Luisa</t>
        </is>
      </c>
      <c r="C26" s="14" t="inlineStr">
        <is>
          <t>FUNCIONARIO</t>
        </is>
      </c>
      <c r="D26" s="12" t="n"/>
      <c r="E26" s="12" t="n">
        <v>1</v>
      </c>
      <c r="F26" s="12" t="n"/>
      <c r="G26" s="12" t="n"/>
      <c r="H26" s="12" t="n"/>
      <c r="I26" s="12" t="n"/>
      <c r="J26" s="12" t="n">
        <v>1</v>
      </c>
      <c r="K26" s="12" t="inlineStr">
        <is>
          <t>B148</t>
        </is>
      </c>
      <c r="L26" s="41" t="inlineStr">
        <is>
          <t>10.19</t>
        </is>
      </c>
      <c r="M26" s="41" t="inlineStr">
        <is>
          <t>20</t>
        </is>
      </c>
      <c r="N26" s="41" t="inlineStr"/>
      <c r="O26" s="41" t="inlineStr"/>
      <c r="P26" s="41" t="n">
        <v>80</v>
      </c>
      <c r="Q26" s="41" t="n">
        <v>0.2</v>
      </c>
      <c r="R26" s="41" t="n">
        <v>0</v>
      </c>
      <c r="S26" s="41" t="n">
        <v>0.8</v>
      </c>
    </row>
    <row r="27" ht="14.4" customHeight="1">
      <c r="A27" s="12" t="inlineStr">
        <is>
          <t>74653004H</t>
        </is>
      </c>
      <c r="B27" s="12" t="inlineStr">
        <is>
          <t>Martínez Álvarez, Antonio</t>
        </is>
      </c>
      <c r="C27" s="14" t="inlineStr">
        <is>
          <t>FUNCIONARIO</t>
        </is>
      </c>
      <c r="D27" s="12" t="n"/>
      <c r="E27" s="12" t="n">
        <v>1</v>
      </c>
      <c r="F27" s="12" t="n"/>
      <c r="G27" s="12" t="n"/>
      <c r="H27" s="12" t="n"/>
      <c r="I27" s="12" t="n"/>
      <c r="J27" s="12" t="n">
        <v>1</v>
      </c>
      <c r="K27" s="12" t="inlineStr">
        <is>
          <t>B148</t>
        </is>
      </c>
      <c r="L27" s="41" t="inlineStr">
        <is>
          <t>10.19</t>
        </is>
      </c>
      <c r="M27" s="41" t="inlineStr">
        <is>
          <t>20</t>
        </is>
      </c>
      <c r="N27" s="41" t="inlineStr"/>
      <c r="O27" s="41" t="inlineStr"/>
      <c r="P27" s="41" t="n">
        <v>80</v>
      </c>
      <c r="Q27" s="41" t="n">
        <v>0.2</v>
      </c>
      <c r="R27" s="41" t="n">
        <v>0</v>
      </c>
      <c r="S27" s="41" t="n">
        <v>0.8</v>
      </c>
    </row>
    <row r="28" ht="14.4" customHeight="1">
      <c r="A28" s="12" t="inlineStr">
        <is>
          <t>78295956T</t>
        </is>
      </c>
      <c r="B28" s="12" t="inlineStr">
        <is>
          <t>Lorenzo Fonseca, Iren</t>
        </is>
      </c>
      <c r="C28" s="14" t="inlineStr">
        <is>
          <t>FUNCIONARIO</t>
        </is>
      </c>
      <c r="D28" s="12" t="n"/>
      <c r="E28" s="12" t="n"/>
      <c r="F28" s="12" t="n"/>
      <c r="G28" s="12" t="n"/>
      <c r="H28" s="12" t="n">
        <v>1</v>
      </c>
      <c r="I28" s="12" t="n"/>
      <c r="J28" s="12" t="n">
        <v>1</v>
      </c>
      <c r="K28" s="12" t="inlineStr">
        <is>
          <t>B148</t>
        </is>
      </c>
      <c r="L28" s="41" t="inlineStr">
        <is>
          <t>10.19</t>
        </is>
      </c>
      <c r="M28" s="41" t="inlineStr">
        <is>
          <t>20</t>
        </is>
      </c>
      <c r="N28" s="41" t="inlineStr"/>
      <c r="O28" s="41" t="inlineStr"/>
      <c r="P28" s="41" t="n">
        <v>80</v>
      </c>
      <c r="Q28" s="41" t="n">
        <v>0.2</v>
      </c>
      <c r="R28" s="41" t="n">
        <v>0</v>
      </c>
      <c r="S28" s="41" t="n">
        <v>0.8</v>
      </c>
    </row>
    <row r="29" ht="14.4" customHeight="1">
      <c r="A29" s="42" t="n"/>
      <c r="B29" s="42" t="n"/>
      <c r="C29" s="43" t="n"/>
      <c r="D29" s="42" t="n"/>
      <c r="E29" s="42" t="n"/>
      <c r="F29" s="42" t="n"/>
      <c r="G29" s="42" t="n"/>
      <c r="H29" s="42" t="n"/>
      <c r="I29" s="42" t="n"/>
      <c r="J29" s="42" t="n"/>
      <c r="K29" s="42" t="n"/>
      <c r="L29" s="42" t="n"/>
      <c r="M29" s="42" t="n"/>
      <c r="N29" s="42" t="n"/>
      <c r="O29" s="42" t="n"/>
      <c r="P29" s="42" t="n"/>
      <c r="Q29" s="42" t="n"/>
      <c r="R29" s="42" t="n"/>
      <c r="S29" s="45">
        <f>SUM(S2:S28)</f>
        <v/>
      </c>
    </row>
  </sheetData>
  <pageMargins left="0.3937007874015748" right="0.3937007874015748" top="0.3937007874015748" bottom="0.3937007874015748" header="0.3149606299212598" footer="0.3149606299212598"/>
  <pageSetup orientation="landscape" paperSize="9" scale="10"/>
</worksheet>
</file>

<file path=xl/worksheets/sheet3.xml><?xml version="1.0" encoding="utf-8"?>
<worksheet xmlns="http://schemas.openxmlformats.org/spreadsheetml/2006/main">
  <sheetPr>
    <outlinePr summaryBelow="1" summaryRight="1"/>
    <pageSetUpPr/>
  </sheetPr>
  <dimension ref="A1:D61"/>
  <sheetViews>
    <sheetView topLeftCell="A40" workbookViewId="0">
      <selection activeCell="C60" sqref="C60"/>
    </sheetView>
  </sheetViews>
  <sheetFormatPr baseColWidth="10" defaultRowHeight="14.4"/>
  <cols>
    <col width="17" customWidth="1" min="1" max="1"/>
    <col width="113.88671875" customWidth="1" min="2" max="2"/>
    <col width="16" customWidth="1" min="3" max="3"/>
    <col width="69" customWidth="1" min="4" max="4"/>
  </cols>
  <sheetData>
    <row r="1">
      <c r="A1" s="47" t="inlineStr">
        <is>
          <t>Cód. org. aplic.</t>
        </is>
      </c>
      <c r="B1" s="47" t="inlineStr">
        <is>
          <t>Descripción justificante</t>
        </is>
      </c>
      <c r="C1" s="47" t="inlineStr">
        <is>
          <t>Imp.cob.aplic.</t>
        </is>
      </c>
    </row>
    <row r="2">
      <c r="A2" s="39" t="inlineStr">
        <is>
          <t>34.70.6C.01.34</t>
        </is>
      </c>
      <c r="B2" s="39" t="inlineStr">
        <is>
          <t>Proyecto NUEVO SISTEMA AVANZADO DE ANALISIS FINANCIERO DE EMPRESAS CON RIESGO DE ACTIVIDAD BASADO EN IA con código ACIE de Expediente 1492.008.23. Proyecto NUEVOS DESARROLLOS E INNOVACIONES EN LAS TECNOLOGIAS EMPLEADAS EN EDREAMS con código ACIE de Expediente 2686.023.23. Proyecto INNOVACIONES Y DESARROLLOS EN EL SISTEMA DE CONECTIVIDAD DE EDREAMS con código ACIE de Expediente 2686.025.23</t>
        </is>
      </c>
      <c r="C2" s="79" t="n">
        <v>2860</v>
      </c>
    </row>
    <row r="3">
      <c r="A3" s="38" t="inlineStr">
        <is>
          <t>34.70.6C.01.34</t>
        </is>
      </c>
      <c r="B3" s="38" t="inlineStr">
        <is>
          <t>ASESORAMIENTO CIENTÍFICO-TÉCNICO Y REALIZACIÓN DE EVALUACIONES Y CERTIFICACIONES DE PROYECTOS DE I+D+I</t>
        </is>
      </c>
      <c r="C3" s="80" t="n">
        <v>23848</v>
      </c>
    </row>
    <row r="4">
      <c r="A4" s="38" t="inlineStr">
        <is>
          <t>34.70.6C.01.57</t>
        </is>
      </c>
      <c r="B4" s="38" t="inlineStr">
        <is>
          <t>Tercer y último pago Convenio INESCOP3-21I DISEÑO E IMPLEMENTACIÓN DE ALGORITMOS DE DISCRETIZACIÓN EFICIENTE DE SUPERFICIES ADAPTADOS A LOS MODELOS GEOMÉTRICOS PROPIOS DE LA INDUSTRIA DEL CALZADO. Numero de pedido: NP061070</t>
        </is>
      </c>
      <c r="C4" s="80" t="n">
        <v>1760</v>
      </c>
    </row>
    <row r="5">
      <c r="A5" s="39" t="inlineStr">
        <is>
          <t>34.70.6C.01.67</t>
        </is>
      </c>
      <c r="B5" s="39" t="inlineStr">
        <is>
          <t>TERCER PAGO POR LA FIRMA DEL CONTRATO "ASESORÍA Y ASISTENCIA TÉCNICA PARA VALIDAR LA LABOR DE TRANSFERENCIA MEDIANTE MÉTODO DE ANÁLISIS CASUAL"</t>
        </is>
      </c>
      <c r="C5" s="79" t="n">
        <v>3520</v>
      </c>
    </row>
    <row r="6">
      <c r="A6" s="39" t="inlineStr">
        <is>
          <t>34.70.6C.01.70</t>
        </is>
      </c>
      <c r="B6" s="39" t="inlineStr">
        <is>
          <t>Evaluación del proyecto de I+D+i MMIPRENNSA (2022)  Ref. pdo. 6063979</t>
        </is>
      </c>
      <c r="C6" s="79" t="n">
        <v>378.4</v>
      </c>
    </row>
    <row r="7">
      <c r="A7" s="38" t="inlineStr">
        <is>
          <t>34.70.6C.01.70</t>
        </is>
      </c>
      <c r="B7" s="38" t="inlineStr">
        <is>
          <t>Trabajos de evaluación científico-técnica Numero de pedido: 62490000131</t>
        </is>
      </c>
      <c r="C7" s="80" t="n">
        <v>7019.5</v>
      </c>
    </row>
    <row r="8">
      <c r="A8" s="39" t="inlineStr">
        <is>
          <t>34.70.6C.01.70</t>
        </is>
      </c>
      <c r="B8" s="39" t="inlineStr">
        <is>
          <t>Trabajos de evaluación científico-técnica. Numero de pedido 62490000131</t>
        </is>
      </c>
      <c r="C8" s="79" t="n">
        <v>528</v>
      </c>
    </row>
    <row r="9">
      <c r="A9" s="38" t="inlineStr">
        <is>
          <t>34.70.6C.01.70</t>
        </is>
      </c>
      <c r="B9" s="38" t="inlineStr">
        <is>
          <t>Trabajos de evaluación científico-técnica. Numero de pedido 62490000131</t>
        </is>
      </c>
      <c r="C9" s="80" t="n">
        <v>572</v>
      </c>
    </row>
    <row r="10">
      <c r="A10" s="39" t="inlineStr">
        <is>
          <t>34.70.6C.01.70</t>
        </is>
      </c>
      <c r="B10" s="39" t="inlineStr">
        <is>
          <t>Trabajos de evaluación científico-técnica. Numero de pedido 62490000131</t>
        </is>
      </c>
      <c r="C10" s="79" t="n">
        <v>1320</v>
      </c>
    </row>
    <row r="11">
      <c r="A11" s="38" t="inlineStr">
        <is>
          <t>34.70.6C.01.70</t>
        </is>
      </c>
      <c r="B11" s="38" t="inlineStr">
        <is>
          <t>Trabajos de evaluación científico-técnica. Numero de pedido 62490000131</t>
        </is>
      </c>
      <c r="C11" s="80" t="n">
        <v>1056</v>
      </c>
    </row>
    <row r="12">
      <c r="A12" s="39" t="inlineStr">
        <is>
          <t>34.70.6C.01.70</t>
        </is>
      </c>
      <c r="B12" s="39" t="inlineStr">
        <is>
          <t>Trabajos de evaluación científico-técnica. Numero de pedido 62490000131</t>
        </is>
      </c>
      <c r="C12" s="79" t="n">
        <v>704</v>
      </c>
    </row>
    <row r="13">
      <c r="A13" s="38" t="inlineStr">
        <is>
          <t>34.70.6C.01.70</t>
        </is>
      </c>
      <c r="B13" s="38" t="inlineStr">
        <is>
          <t>Trabajos de evaluación científico-técnica. Numero de pedido 62490000131</t>
        </is>
      </c>
      <c r="C13" s="80" t="n">
        <v>572</v>
      </c>
    </row>
    <row r="14">
      <c r="A14" s="39" t="inlineStr">
        <is>
          <t>34.70.6C.01.70</t>
        </is>
      </c>
      <c r="B14" s="39" t="inlineStr">
        <is>
          <t>Trabajos de evaluación científico-técnica. Numero de pedido 62490000131</t>
        </is>
      </c>
      <c r="C14" s="79" t="n">
        <v>528</v>
      </c>
    </row>
    <row r="15">
      <c r="A15" s="38" t="inlineStr">
        <is>
          <t>34.70.6C.01.70</t>
        </is>
      </c>
      <c r="B15" s="38" t="inlineStr">
        <is>
          <t>Trabajos de evaluación científico-técnica. Numero de pedido 62490000131</t>
        </is>
      </c>
      <c r="C15" s="80" t="n">
        <v>351.21</v>
      </c>
    </row>
    <row r="16">
      <c r="A16" s="38" t="inlineStr">
        <is>
          <t>34.70.6C.01.71</t>
        </is>
      </c>
      <c r="B16" s="38" t="inlineStr">
        <is>
          <t>EVALUACIÓN DEL PROYECTO DE I+D+i ONESTOCK23 (2022) Ref. Pedido 6062994</t>
        </is>
      </c>
      <c r="C16" s="80" t="n">
        <v>378.4</v>
      </c>
    </row>
    <row r="17">
      <c r="A17" s="39" t="inlineStr">
        <is>
          <t>34.70.6C.01.71</t>
        </is>
      </c>
      <c r="B17" s="39" t="inlineStr">
        <is>
          <t xml:space="preserve">EVALUACIÓN DEL PROYECTO DE I+D+I SOCSAN2020 (2022) Ref. pdo. 6063406  </t>
        </is>
      </c>
      <c r="C17" s="79" t="n">
        <v>189.2</v>
      </c>
    </row>
    <row r="18">
      <c r="A18" s="38" t="inlineStr">
        <is>
          <t>34.70.6C.01.71</t>
        </is>
      </c>
      <c r="B18" s="38" t="inlineStr">
        <is>
          <t>EVALUACION DEL PROYECTO DE I+D+I PEBYSA2021 (2021). Ref.pdo. 6059518</t>
        </is>
      </c>
      <c r="C18" s="80" t="n">
        <v>378.4</v>
      </c>
    </row>
    <row r="19">
      <c r="A19" s="39" t="inlineStr">
        <is>
          <t>34.70.6C.01.71</t>
        </is>
      </c>
      <c r="B19" s="39" t="inlineStr">
        <is>
          <t>EVALUACIÓN DEL PROYECTO DE I+D+I ALGORI2022. Ref. pdo. 6060980</t>
        </is>
      </c>
      <c r="C19" s="79" t="n">
        <v>189.2</v>
      </c>
    </row>
    <row r="20">
      <c r="A20" s="38" t="inlineStr">
        <is>
          <t>34.70.6C.01.71</t>
        </is>
      </c>
      <c r="B20" s="38" t="inlineStr">
        <is>
          <t>EVALUACIÓN DEL PROYECTO DE I+D+I AINFLU2022 (2022). Ref. pdo. 6060983</t>
        </is>
      </c>
      <c r="C20" s="80" t="n">
        <v>189.2</v>
      </c>
    </row>
    <row r="21">
      <c r="A21" s="39" t="inlineStr">
        <is>
          <t>34.70.6C.01.71</t>
        </is>
      </c>
      <c r="B21" s="39" t="inlineStr">
        <is>
          <t>Evaluación del proyecto de I+D+i INNERPPRO1 (2022)  Ref. pdo. 6064859</t>
        </is>
      </c>
      <c r="C21" s="79" t="n">
        <v>378.4</v>
      </c>
    </row>
    <row r="22">
      <c r="A22" s="38" t="inlineStr">
        <is>
          <t>34.70.6C.01.71</t>
        </is>
      </c>
      <c r="B22" s="38" t="inlineStr">
        <is>
          <t>EVALUACIÓN DEL PROYECTO DE I+D+I MCLOGISTIC (2022) Ref. pdo. 6063496</t>
        </is>
      </c>
      <c r="C22" s="80" t="n">
        <v>378.4</v>
      </c>
    </row>
    <row r="23">
      <c r="A23" s="39" t="inlineStr">
        <is>
          <t>34.70.6C.01.71</t>
        </is>
      </c>
      <c r="B23" s="39" t="inlineStr">
        <is>
          <t>Evaluación del proyecto de I+D+i GLOBALDATA (2021) Numero de pedido: 6058537</t>
        </is>
      </c>
      <c r="C23" s="79" t="n">
        <v>378.4</v>
      </c>
    </row>
    <row r="24">
      <c r="A24" s="38" t="inlineStr">
        <is>
          <t>34.70.6C.01.71</t>
        </is>
      </c>
      <c r="B24" s="38" t="inlineStr">
        <is>
          <t>Evaluación del proyecto de I+D+i CREAGEST22 (2022)  Ref. pdo. 6063915</t>
        </is>
      </c>
      <c r="C24" s="80" t="n">
        <v>378.4</v>
      </c>
    </row>
    <row r="25">
      <c r="A25" s="39" t="inlineStr">
        <is>
          <t>34.70.6C.01.76</t>
        </is>
      </c>
      <c r="B25" s="39" t="inlineStr">
        <is>
          <t>Minoración del INNVA2/2022/6 (es importe aceptado en la justificación)</t>
        </is>
      </c>
      <c r="C25" s="79" t="n">
        <v>-3735.26</v>
      </c>
    </row>
    <row r="26">
      <c r="A26" s="38" t="inlineStr">
        <is>
          <t>34.70.6C.01.76</t>
        </is>
      </c>
      <c r="B26" s="38" t="inlineStr">
        <is>
          <t xml:space="preserve">INNVA2/2022/6 </t>
        </is>
      </c>
      <c r="C26" s="80" t="n">
        <v>87820</v>
      </c>
    </row>
    <row r="27">
      <c r="A27" s="39" t="inlineStr">
        <is>
          <t>34.70.6C.01.78</t>
        </is>
      </c>
      <c r="B27" s="39" t="inlineStr">
        <is>
          <t>Predicción y detección on-line de anomalías en motores trifásicos ensayando distintas aproximaciones y modelos algorítmicos de distintas disciplinas dentro de la inteligencia artificial. Conforme memoria Ayuda INFO expediente 2022.08.CT01.024</t>
        </is>
      </c>
      <c r="C27" s="79" t="n">
        <v>7040</v>
      </c>
    </row>
    <row r="28">
      <c r="A28" s="38" t="inlineStr">
        <is>
          <t>34.70.6C.01.79</t>
        </is>
      </c>
      <c r="B28" s="38" t="inlineStr">
        <is>
          <t xml:space="preserve">INFORME TÉCNICO SOBRE LA EXTRACCIÓN DE LOS REGISTROS DE LA ACTIVIDAD DE INSERCIÓN DE DISPOSITIVOS HARDWARE EXTRAÍBLES DE ALMACENAMIENTO EXTERNO EN UNO DE LOS ORDENADORES QUE FORMAN PARTE DEL EQUIPAMIENTO INFORMÁTICO CORPORATIVO DE LA NOTARÍA </t>
        </is>
      </c>
      <c r="C28" s="80" t="n">
        <v>528</v>
      </c>
    </row>
    <row r="29">
      <c r="A29" s="39" t="inlineStr">
        <is>
          <t>34.70.6C.01.81</t>
        </is>
      </c>
      <c r="B29" s="39" t="inlineStr">
        <is>
          <t>Instalación y prueba del software para la trazabilidad digital en el estudio de procesos de manipulación controlada en el espectro e intensidad de la luz</t>
        </is>
      </c>
      <c r="C29" s="79" t="n">
        <v>1980</v>
      </c>
    </row>
    <row r="30">
      <c r="A30" s="38" t="inlineStr">
        <is>
          <t>34.70.6C.01.81</t>
        </is>
      </c>
      <c r="B30" s="38" t="inlineStr">
        <is>
          <t>Fase 1: Diseño e instalación de la infraestructura de iluminación y adaptación climática necesaria sobre un módulo invernadero. 1er pago (25%)</t>
        </is>
      </c>
      <c r="C30" s="80" t="n">
        <v>1980</v>
      </c>
    </row>
    <row r="31">
      <c r="A31" s="39" t="inlineStr">
        <is>
          <t>34.70.6C.01.82</t>
        </is>
      </c>
      <c r="B31" s="39" t="inlineStr">
        <is>
          <t xml:space="preserve">Realización de servicios técnicos. Evaluación del proyecto 935.544 - Indagación y desarrollo de nuevos conceptos de conectividad de dispositivos electromecánicos. </t>
        </is>
      </c>
      <c r="C31" s="79" t="n">
        <v>660</v>
      </c>
    </row>
    <row r="32">
      <c r="A32" s="38" t="inlineStr">
        <is>
          <t>34.70.6C.01.83</t>
        </is>
      </c>
      <c r="B32" s="38" t="inlineStr">
        <is>
          <t>Diseño de una herramienta de servicios digitales culturales</t>
        </is>
      </c>
      <c r="C32" s="80" t="n">
        <v>1584</v>
      </c>
    </row>
    <row r="33">
      <c r="A33" s="39" t="inlineStr">
        <is>
          <t>34.70.6C.01.84</t>
        </is>
      </c>
      <c r="B33" s="39" t="inlineStr">
        <is>
          <t>Evaluación del contenido formativo (D2.4.1 Learning resources AAL), relacionado con tecnologías para la vida activa y asistida, de entregables desarrollados dentro del proyecto europeo ALLVIEW (621192-EPP-1-2020-1-ES-EPPKA3-VET-COVE)</t>
        </is>
      </c>
      <c r="C33" s="79" t="n">
        <v>880</v>
      </c>
    </row>
    <row r="34">
      <c r="A34" s="38" t="inlineStr">
        <is>
          <t>34.70.6C.01.85</t>
        </is>
      </c>
      <c r="B34" s="38" t="inlineStr">
        <is>
          <t>3º PAGO - CONCEPCIÓN DE ESTRATEGIAS DE COMPUTACIÓN DISTRIBUIDA PARA EL PROCESAMIENTO DE APLICACIONES DE INTELIGENCIA ARTIFICIAL PARA LA INDUSTRIA. PO 4110041556</t>
        </is>
      </c>
      <c r="C34" s="80" t="n">
        <v>3616.67</v>
      </c>
    </row>
    <row r="35">
      <c r="A35" s="39" t="inlineStr">
        <is>
          <t>34.70.6C.01.85</t>
        </is>
      </c>
      <c r="B35" s="39" t="inlineStr">
        <is>
          <t>6º PAGO - CONCEPCIÓN DE ESTRATEGIAS DE COMPUTACIÓN DISTRIBUIDA PARA EL PROCESAMIENTO DE APLICACIONES DE INTELIGENCIA ARTIFICIAL PARA LA INDUSTRIA.</t>
        </is>
      </c>
      <c r="C35" s="79" t="n">
        <v>3616.67</v>
      </c>
    </row>
    <row r="36">
      <c r="A36" s="38" t="inlineStr">
        <is>
          <t>34.70.6C.01.85</t>
        </is>
      </c>
      <c r="B36" s="38" t="inlineStr">
        <is>
          <t>4º PAGO - CONCEPCIÓN DE ESTRATEGIAS DE COMPUTACIÓN DISTRIBUIDA PARA EL PROCESAMIENTO DE APLICACIONES DE INTELIGENCIA ARTIFICIAL PARA LA INDUSTRIA. PO 4110041556</t>
        </is>
      </c>
      <c r="C36" s="80" t="n">
        <v>3616.67</v>
      </c>
    </row>
    <row r="37">
      <c r="A37" s="39" t="inlineStr">
        <is>
          <t>34.70.6C.01.85</t>
        </is>
      </c>
      <c r="B37" s="39" t="inlineStr">
        <is>
          <t>5º PAGO - CONCEPCIÓN DE ESTRATEGIAS DE COMPUTACIÓN DISTRIBUIDA PARA EL PROCESAMIENTO DE APLICACIONES DE INTELIGENCIA ARTIFICIAL PARA LA INDUSTRIA. PO 4110041556</t>
        </is>
      </c>
      <c r="C37" s="79" t="n">
        <v>3616.67</v>
      </c>
    </row>
    <row r="38">
      <c r="A38" s="38" t="inlineStr">
        <is>
          <t>34.70.6C.01.85</t>
        </is>
      </c>
      <c r="B38" s="38" t="inlineStr">
        <is>
          <t>CONCEPCIÓN DE ESTRATEGIAS DE COMPUTACIÓN DISTRIBUIDA PARA EL PROCESAMIENTO DE  APLICACIONES DE INTELIGENCIA ARTIFICIAL PARA LA INDUSTRIA</t>
        </is>
      </c>
      <c r="C38" s="80" t="n">
        <v>3616.67</v>
      </c>
    </row>
    <row r="39">
      <c r="A39" s="39" t="inlineStr">
        <is>
          <t>34.70.6C.01.85</t>
        </is>
      </c>
      <c r="B39" s="39" t="inlineStr">
        <is>
          <t>2º PAGO - CONCEPCIÓN DE ESTRATEGIAS DE COMPUTACIÓN DISTRIBUIDA PARA EL PROCESAMIENTO DE APLICACIONES DE INTELIGENCIA ARTIFICIAL PARA LA INDUSTRIA. PO 4110041556</t>
        </is>
      </c>
      <c r="C39" s="79" t="n">
        <v>3616.67</v>
      </c>
    </row>
    <row r="40">
      <c r="A40" s="38" t="inlineStr">
        <is>
          <t>34.70.6C.01.86</t>
        </is>
      </c>
      <c r="B40" s="38" t="inlineStr">
        <is>
          <t xml:space="preserve">CANAL SOPORTE TECNOLÓGICO TIC-INFORME </t>
        </is>
      </c>
      <c r="C40" s="80" t="n">
        <v>6160</v>
      </c>
    </row>
    <row r="41">
      <c r="A41" s="39" t="inlineStr">
        <is>
          <t>34.70.6C.01.87</t>
        </is>
      </c>
      <c r="B41" s="39" t="inlineStr">
        <is>
          <t>SIMULADOR DE IMPLANTACIÓN TIC EN ENTORNOS EMPRESARIALES</t>
        </is>
      </c>
      <c r="C41" s="79" t="n">
        <v>4400</v>
      </c>
    </row>
    <row r="42">
      <c r="A42" s="38" t="inlineStr">
        <is>
          <t>34.70.6C.01.88</t>
        </is>
      </c>
      <c r="B42" s="38" t="inlineStr">
        <is>
          <t>ASESORAMIENTO CIENTÍFICO-TÉCNICO Y REALIZACIÓN DE EVALUACIONES Y CERTIFICACIONES DE PROYECTO DE I+D+I. Número de pedido 6249000013.</t>
        </is>
      </c>
      <c r="C42" s="80" t="n">
        <v>3388</v>
      </c>
    </row>
    <row r="43">
      <c r="A43" s="39" t="inlineStr">
        <is>
          <t>34.70.6C.01.88</t>
        </is>
      </c>
      <c r="B43" s="39" t="inlineStr">
        <is>
          <t>ASESORAMIENTO CIENTÍFICO-TÉCNICO Y REALIZACIÓN DE EVALUACIONES Y CERTIFICACIONES DE PROYECTO DE I+D+I. Numero de pedido 62490000131</t>
        </is>
      </c>
      <c r="C43" s="79" t="n">
        <v>2660.33</v>
      </c>
    </row>
    <row r="44">
      <c r="A44" s="38" t="inlineStr">
        <is>
          <t>34.70.6C.01.88</t>
        </is>
      </c>
      <c r="B44" s="38" t="inlineStr">
        <is>
          <t>ASESORAMIENTO CIENTÍFICO-TÉCNICO Y REALIZACIÓN DE EVALUACIONES Y CERTIFICACIONES DE PROYECTO DE I+D+I. Numero de pedido 62490000131</t>
        </is>
      </c>
      <c r="C44" s="80" t="n">
        <v>4488</v>
      </c>
    </row>
    <row r="45">
      <c r="A45" s="39" t="inlineStr">
        <is>
          <t>34.70.6C.01.88</t>
        </is>
      </c>
      <c r="B45" s="39" t="inlineStr">
        <is>
          <t>Clausula Octava. Tramite de audiencia / Recurso de alzada Número de pedido 62490000131</t>
        </is>
      </c>
      <c r="C45" s="79" t="n">
        <v>264</v>
      </c>
    </row>
    <row r="46">
      <c r="A46" s="38" t="inlineStr">
        <is>
          <t>34.70.6C.01.90</t>
        </is>
      </c>
      <c r="B46" s="38" t="inlineStr">
        <is>
          <t>ASESORAMIENTO CIENTÍFICO-TÉCNICO EN LA DEFINCIÓN DE INFRAESTRUCTURA Y LABORATORIOS E INTERNACIONALIZACIÓN DEL GRADO EN INGENIERÍA BIOMÉDICA Y GRADO EN INGENIERÍA ROBÓTICA.</t>
        </is>
      </c>
      <c r="C46" s="80" t="n">
        <v>10000.01</v>
      </c>
    </row>
    <row r="47">
      <c r="A47" s="39" t="inlineStr">
        <is>
          <t>34.70.6C.01.91</t>
        </is>
      </c>
      <c r="B47" s="39" t="inlineStr">
        <is>
          <t>Actualización de una aplicación (bajo sistema operativo ANDROID) destinada a personas mayores.</t>
        </is>
      </c>
      <c r="C47" s="79" t="n">
        <v>1760</v>
      </c>
    </row>
    <row r="48">
      <c r="A48" s="38" t="inlineStr">
        <is>
          <t>34.70.6C.01.92</t>
        </is>
      </c>
      <c r="B48" s="38" t="inlineStr">
        <is>
          <t>EVALUACIÓN DE UN PROYECTO COMO EXPERTO TÉCNICO CON LA ENTREGA DE UN INFORME</t>
        </is>
      </c>
      <c r="C48" s="80" t="n">
        <v>616</v>
      </c>
    </row>
    <row r="49">
      <c r="A49" s="39" t="inlineStr">
        <is>
          <t>34.70.6C.01.94</t>
        </is>
      </c>
      <c r="B49" s="39" t="inlineStr">
        <is>
          <t>Evaluación de un proyecto como Experto Técnico con la entrega de un informe. Proyecto C-02-2023-026 "Monitorización remota de pacientes basada en multidispositivo IoT sobre plataforma Symmetry" (MORESYM22I- Año 2022) de la empresa IZERTIS, S.A.</t>
        </is>
      </c>
      <c r="C49" s="79" t="n">
        <v>704</v>
      </c>
    </row>
    <row r="50" ht="45.75" customHeight="1">
      <c r="A50" s="38" t="inlineStr">
        <is>
          <t>34.70.6P.00.34</t>
        </is>
      </c>
      <c r="B50" s="38" t="inlineStr">
        <is>
          <t xml:space="preserve">PID2020-118574GB-I00/118816GB-I00/119124RB-I00/119144RB-I00/119320GB-I00/119383GB-I00/119734RB-I00/119878GB-I00/119959GB-I00/120213RB-I00 </t>
        </is>
      </c>
      <c r="C50" s="81" t="n">
        <v>7530.94</v>
      </c>
      <c r="D50" s="35" t="inlineStr">
        <is>
          <t>De los 11410,51€, el 66%(7.530,94€) para Tecnología Informática y Computación y 34%(3.879,57€) para Psicología de la Salud (según email de Jorge Azorín 30/10/2024)</t>
        </is>
      </c>
    </row>
    <row r="51">
      <c r="A51" s="39" t="inlineStr">
        <is>
          <t>34.70.6P.00.35</t>
        </is>
      </c>
      <c r="B51" s="39" t="inlineStr">
        <is>
          <t xml:space="preserve">PID2020-118574GB-I00/118816GB-I00/119124RB-I00/119144RB-I00/119320GB-I00/119383GB-I00/119734RB-I00/119878GB-I00/119959GB-I00/120213RB-I00 </t>
        </is>
      </c>
      <c r="C51" s="79" t="n">
        <v>34083.98</v>
      </c>
    </row>
    <row r="52">
      <c r="A52" s="38" t="inlineStr">
        <is>
          <t>34.70.6P.00.36</t>
        </is>
      </c>
      <c r="B52" s="38" t="inlineStr">
        <is>
          <t>DEVOLUCIÓN DE INGRESOS_MODELO 047_Nº de liquidación: 46/2023/RAS/10200/1_Número de justificante: 047/1/002359944_Nº de referencia:047/1/002359944</t>
        </is>
      </c>
      <c r="C52" s="80" t="n">
        <v>-8421.940000000001</v>
      </c>
    </row>
    <row r="53">
      <c r="A53" s="39" t="inlineStr">
        <is>
          <t>34.70.6P.00.36</t>
        </is>
      </c>
      <c r="B53" s="39" t="inlineStr">
        <is>
          <t xml:space="preserve">AICO/2021/184-189-192-196-331 </t>
        </is>
      </c>
      <c r="C53" s="79" t="n">
        <v>29500</v>
      </c>
    </row>
    <row r="54">
      <c r="A54" s="38" t="inlineStr">
        <is>
          <t>34.70.6P.00.39</t>
        </is>
      </c>
      <c r="B54" s="38" t="inlineStr">
        <is>
          <t>INGRESO DEL PROYECTO FBIOPLEAMAR21-02</t>
        </is>
      </c>
      <c r="C54" s="80" t="n">
        <v>37821.34</v>
      </c>
    </row>
    <row r="55">
      <c r="A55" s="39" t="inlineStr">
        <is>
          <t>34.70.6P.00.42</t>
        </is>
      </c>
      <c r="B55" s="39" t="inlineStr">
        <is>
          <t xml:space="preserve">CIAEST/2021/35/41/52 </t>
        </is>
      </c>
      <c r="C55" s="79" t="n">
        <v>18000</v>
      </c>
    </row>
    <row r="56">
      <c r="A56" s="38" t="inlineStr">
        <is>
          <t>34.70.6P.00.43</t>
        </is>
      </c>
      <c r="B56" s="38" t="inlineStr">
        <is>
          <t xml:space="preserve">CIAEST/2021/35/41/52 </t>
        </is>
      </c>
      <c r="C56" s="80" t="n">
        <v>18000</v>
      </c>
    </row>
    <row r="57">
      <c r="A57" s="39" t="inlineStr">
        <is>
          <t>34.70.6P.00.45</t>
        </is>
      </c>
      <c r="B57" s="39" t="inlineStr">
        <is>
          <t xml:space="preserve">ayuda AYTOIIE-C </t>
        </is>
      </c>
      <c r="C57" s="79" t="n">
        <v>4000</v>
      </c>
    </row>
    <row r="58">
      <c r="A58" s="38" t="inlineStr">
        <is>
          <t>34.70.6P.00.48</t>
        </is>
      </c>
      <c r="B58" s="38" t="inlineStr">
        <is>
          <t xml:space="preserve">AYUDAS CIAEST/2022/2, CIAEST/2022/25, CIAEST/2022/49, CIAEST/2022/78 </t>
        </is>
      </c>
      <c r="C58" s="80" t="n">
        <v>18000</v>
      </c>
    </row>
    <row r="59">
      <c r="A59" s="48" t="inlineStr">
        <is>
          <t>34.70.6P.00.49</t>
        </is>
      </c>
      <c r="B59" s="48" t="inlineStr">
        <is>
          <t xml:space="preserve">AYUDAS CIAEST/2022/2, CIAEST/2022/25, CIAEST/2022/49, CIAEST/2022/78 </t>
        </is>
      </c>
      <c r="C59" s="82" t="n">
        <v>18000</v>
      </c>
    </row>
    <row r="60">
      <c r="A60" s="48" t="inlineStr">
        <is>
          <t>Total</t>
        </is>
      </c>
      <c r="B60" s="48" t="n"/>
      <c r="C60" s="83">
        <f>SUBTOTAL(109,Tabla2[Imp.cob.aplic.])</f>
        <v/>
      </c>
    </row>
    <row r="61">
      <c r="C61" s="84" t="n"/>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58"/>
  <sheetViews>
    <sheetView topLeftCell="A46" workbookViewId="0">
      <selection activeCell="B61" sqref="B61:C61"/>
    </sheetView>
  </sheetViews>
  <sheetFormatPr baseColWidth="10" defaultRowHeight="14.4"/>
  <cols>
    <col width="18.5546875" customWidth="1" min="1" max="1"/>
    <col width="62.44140625" customWidth="1" min="2" max="2"/>
    <col width="15.109375" customWidth="1" min="3" max="3"/>
  </cols>
  <sheetData>
    <row r="1">
      <c r="A1" s="55" t="inlineStr">
        <is>
          <t>Org. aplic.</t>
        </is>
      </c>
      <c r="B1" s="55" t="inlineStr">
        <is>
          <t>Descripción justificante</t>
        </is>
      </c>
      <c r="C1" s="85" t="inlineStr">
        <is>
          <t>Imp. aplic.</t>
        </is>
      </c>
    </row>
    <row r="2">
      <c r="A2" s="51" t="inlineStr">
        <is>
          <t>34.70.6C.01.71</t>
        </is>
      </c>
      <c r="B2" s="51" t="inlineStr">
        <is>
          <t>Evaluación del proyecto de I+D+i BROOKLYKPI (2022) Ref. pdo. 6065117</t>
        </is>
      </c>
      <c r="C2" s="86" t="n">
        <v>378.4</v>
      </c>
    </row>
    <row r="3">
      <c r="A3" s="53" t="inlineStr">
        <is>
          <t>34.70.6C.01.71</t>
        </is>
      </c>
      <c r="B3" s="53" t="inlineStr">
        <is>
          <t>Evaluación del proyecto de I+D+i GLOBALDATA (2022) Ref. pdo. 6067016</t>
        </is>
      </c>
      <c r="C3" s="87" t="n">
        <v>189.2</v>
      </c>
    </row>
    <row r="4">
      <c r="A4" s="51" t="inlineStr">
        <is>
          <t>34.70.6C.01.71</t>
        </is>
      </c>
      <c r="B4" s="51" t="inlineStr">
        <is>
          <t>EVALUACIÓN DEL PROYECTO I+D+I SOFTVENDIN (2022)  Ref. pdo. 6066060</t>
        </is>
      </c>
      <c r="C4" s="86" t="n">
        <v>378.4</v>
      </c>
    </row>
    <row r="5">
      <c r="A5" s="53" t="inlineStr">
        <is>
          <t>34.70.6C.01.71</t>
        </is>
      </c>
      <c r="B5" s="53" t="inlineStr">
        <is>
          <t>EVALUACIÓN DEL PROYECTO DE I+D+I ROUTINGOPS (2022). Ref. pdo. 6066053</t>
        </is>
      </c>
      <c r="C5" s="87" t="n">
        <v>189.2</v>
      </c>
    </row>
    <row r="6">
      <c r="A6" s="51" t="inlineStr">
        <is>
          <t>34.70.6C.01.71</t>
        </is>
      </c>
      <c r="B6" s="51" t="inlineStr">
        <is>
          <t>EVALUACIÓN DEL PROYECTO DE I+D+I VINOSIGEST (2022). Ref. pdo. 6066038</t>
        </is>
      </c>
      <c r="C6" s="86" t="n">
        <v>378.4</v>
      </c>
    </row>
    <row r="7">
      <c r="A7" s="53" t="inlineStr">
        <is>
          <t>34.70.6C.01.71</t>
        </is>
      </c>
      <c r="B7" s="53" t="inlineStr">
        <is>
          <t xml:space="preserve">EVALUACIÓN DEL PROYECTO DE I+D+I 598AIE2023. Ref. pdo. 6066073 </t>
        </is>
      </c>
      <c r="C7" s="87" t="n">
        <v>378.4</v>
      </c>
    </row>
    <row r="8">
      <c r="A8" s="51" t="inlineStr">
        <is>
          <t>34.70.6C.01.71</t>
        </is>
      </c>
      <c r="B8" s="51" t="inlineStr">
        <is>
          <t>EVALUACIÓN DEL PROYECTO DE I+D+I 501AIE2023. Ref. pdo. 6066007</t>
        </is>
      </c>
      <c r="C8" s="86" t="n">
        <v>378.4</v>
      </c>
    </row>
    <row r="9">
      <c r="A9" s="53" t="inlineStr">
        <is>
          <t>34.70.6C.01.71</t>
        </is>
      </c>
      <c r="B9" s="53" t="inlineStr">
        <is>
          <t>EVALUACIÓN DEL PROYECTO DE I+D+I 504AIE2023. Ref. pdo. 6066069</t>
        </is>
      </c>
      <c r="C9" s="87" t="n">
        <v>378.4</v>
      </c>
    </row>
    <row r="10">
      <c r="A10" s="51" t="inlineStr">
        <is>
          <t>34.70.6C.01.71</t>
        </is>
      </c>
      <c r="B10" s="51" t="inlineStr">
        <is>
          <t>EVALUACIÓN DEL PROYECTO DE I+D+I 541AIE2023. Ref. pdo. 6066030</t>
        </is>
      </c>
      <c r="C10" s="86" t="n">
        <v>378.4</v>
      </c>
    </row>
    <row r="11">
      <c r="A11" s="53" t="inlineStr">
        <is>
          <t>34.70.6C.01.71</t>
        </is>
      </c>
      <c r="B11" s="53" t="inlineStr">
        <is>
          <t>EVALUACIÓN DEL PROYECTO DE I+D+I WEBFLEET20 (2022). Ref. pdo. 6066362</t>
        </is>
      </c>
      <c r="C11" s="87" t="n">
        <v>189.2</v>
      </c>
    </row>
    <row r="12">
      <c r="A12" s="51" t="inlineStr">
        <is>
          <t>34.70.6C.01.71</t>
        </is>
      </c>
      <c r="B12" s="51" t="inlineStr">
        <is>
          <t>EVALUACIÓN DEL PROYECTO DE I+D+I DELIVERSYS (2022). Ref. pdo. 6066037</t>
        </is>
      </c>
      <c r="C12" s="86" t="n">
        <v>189.2</v>
      </c>
    </row>
    <row r="13">
      <c r="A13" s="53" t="inlineStr">
        <is>
          <t>34.70.6C.01.76</t>
        </is>
      </c>
      <c r="B13" s="53" t="inlineStr">
        <is>
          <t xml:space="preserve">ayuda INNVA2/2022/6 </t>
        </is>
      </c>
      <c r="C13" s="87" t="n">
        <v>164860</v>
      </c>
    </row>
    <row r="14">
      <c r="A14" s="51" t="inlineStr">
        <is>
          <t>34.70.6C.01.76</t>
        </is>
      </c>
      <c r="B14" s="51" t="inlineStr">
        <is>
          <t xml:space="preserve">Minoración INNVA2/2022/6 </t>
        </is>
      </c>
      <c r="C14" s="86" t="n">
        <v>-8066.52</v>
      </c>
    </row>
    <row r="15">
      <c r="A15" s="53" t="inlineStr">
        <is>
          <t>34.70.6C.01.76</t>
        </is>
      </c>
      <c r="B15" s="53" t="inlineStr">
        <is>
          <t xml:space="preserve">Minoración ayuda INNVA2/2022/6 </t>
        </is>
      </c>
      <c r="C15" s="87" t="n">
        <v>-27378.18</v>
      </c>
    </row>
    <row r="16">
      <c r="A16" s="51" t="inlineStr">
        <is>
          <t>34.70.6C.01.80</t>
        </is>
      </c>
      <c r="B16" s="51" t="inlineStr">
        <is>
          <t>DESARROLLO DE UNA HERRAMIENTA DE CONTROL Y ANALÍTICA DE DATOS DE AFILIADOS SINDICALES.</t>
        </is>
      </c>
      <c r="C16" s="86" t="n">
        <v>2024</v>
      </c>
    </row>
    <row r="17">
      <c r="A17" s="53" t="inlineStr">
        <is>
          <t>34.70.6C.01.88</t>
        </is>
      </c>
      <c r="B17" s="53" t="inlineStr">
        <is>
          <t>ASESORAMIENTO CIENTÍFICO-TÉCNICO Y REALIZACIÓN DE EVALUACIONES Y CERTIFICACIONES DE PROYECTO DE I+D+I Numero de pedido: 62490000573</t>
        </is>
      </c>
      <c r="C17" s="87" t="n">
        <v>17512</v>
      </c>
    </row>
    <row r="18">
      <c r="A18" s="51" t="inlineStr">
        <is>
          <t>34.70.6C.01.88</t>
        </is>
      </c>
      <c r="B18" s="51" t="inlineStr">
        <is>
          <t>Evaluación de los proyectos de Innovación Tecnológica y de I+D número de pedido: 62490000573</t>
        </is>
      </c>
      <c r="C18" s="86" t="n">
        <v>941.34</v>
      </c>
    </row>
    <row r="19">
      <c r="A19" s="53" t="inlineStr">
        <is>
          <t>34.70.6C.01.88</t>
        </is>
      </c>
      <c r="B19" s="53" t="inlineStr">
        <is>
          <t>Evaluación de los proyectos de Innovación Tecnológica y de I+D. Número de pedido: 62490000573</t>
        </is>
      </c>
      <c r="C19" s="87" t="n">
        <v>1320</v>
      </c>
    </row>
    <row r="20">
      <c r="A20" s="51" t="inlineStr">
        <is>
          <t>34.70.6C.01.88</t>
        </is>
      </c>
      <c r="B20" s="51" t="inlineStr">
        <is>
          <t>Evaluación de los proyectos de Innovación Tecnológica y de I+D+I. Número de pedido: 62490000824</t>
        </is>
      </c>
      <c r="C20" s="86" t="n">
        <v>2134</v>
      </c>
    </row>
    <row r="21">
      <c r="A21" s="53" t="inlineStr">
        <is>
          <t>34.70.6C.01.88</t>
        </is>
      </c>
      <c r="B21" s="53" t="inlineStr">
        <is>
          <t>Evaluación de los proyectos de Innovación Tecnológica y de I+D+I. Número de pedido: 62490000824</t>
        </is>
      </c>
      <c r="C21" s="87" t="n">
        <v>2997.85</v>
      </c>
    </row>
    <row r="22">
      <c r="A22" s="51" t="inlineStr">
        <is>
          <t>34.70.6C.01.88</t>
        </is>
      </c>
      <c r="B22" s="51" t="inlineStr">
        <is>
          <t>Evaluación de los siguientes proyectos de Innovación Tecnológica y de I+D. Número de pedido: 62490000824.</t>
        </is>
      </c>
      <c r="C22" s="86" t="n">
        <v>176</v>
      </c>
    </row>
    <row r="23">
      <c r="A23" s="53" t="inlineStr">
        <is>
          <t>34.70.6C.01.88</t>
        </is>
      </c>
      <c r="B23" s="53" t="inlineStr">
        <is>
          <t>Evaluación y certificación actividades de I+D(+i). Número de pedido: 62490000824</t>
        </is>
      </c>
      <c r="C23" s="87" t="n">
        <v>13064.88</v>
      </c>
    </row>
    <row r="24">
      <c r="A24" s="51" t="inlineStr">
        <is>
          <t>34.70.6C.01.88</t>
        </is>
      </c>
      <c r="B24" s="51" t="inlineStr">
        <is>
          <t>Evaluación de los siguientes proyectos de Innovación Tecnológica y de I+D+i. Número de pedido: 62490000824.</t>
        </is>
      </c>
      <c r="C24" s="86" t="n">
        <v>5519.89</v>
      </c>
    </row>
    <row r="25">
      <c r="A25" s="53" t="inlineStr">
        <is>
          <t>34.70.6C.01.88</t>
        </is>
      </c>
      <c r="B25" s="53" t="inlineStr">
        <is>
          <t>Evaluación de los proyectos de Innovación Tecnológica y de I+D+I. Número de pedido: 62490000824</t>
        </is>
      </c>
      <c r="C25" s="87" t="n">
        <v>88</v>
      </c>
    </row>
    <row r="26">
      <c r="A26" s="51" t="inlineStr">
        <is>
          <t>34.70.6C.01.88</t>
        </is>
      </c>
      <c r="B26" s="51" t="inlineStr">
        <is>
          <t>Evaluación de los proyectos de Innovación Tecnológica y de I+D+I. Número de pedido: 62490000824</t>
        </is>
      </c>
      <c r="C26" s="86" t="n">
        <v>5940</v>
      </c>
    </row>
    <row r="27">
      <c r="A27" s="53" t="inlineStr">
        <is>
          <t>34.70.6C.01.90</t>
        </is>
      </c>
      <c r="B27" s="53" t="inlineStr">
        <is>
          <t>ASESORAMIENTO CIENTÍFICO-TÉCNICO EN LA DEFINICIÓN DE INFRAESTRUCTURA Y LABORATORIOS E INTERNACIONALIZACIÓN DEL GRADO EN INGENIERÍA BIOMÉDICA Y GRADO EN INGENIERÍA ROBÓTICA. Segundo pago.</t>
        </is>
      </c>
      <c r="C27" s="87" t="n">
        <v>10000.01</v>
      </c>
    </row>
    <row r="28">
      <c r="A28" s="51" t="inlineStr">
        <is>
          <t>34.70.6C.01.93</t>
        </is>
      </c>
      <c r="B28" s="51" t="inlineStr">
        <is>
          <t xml:space="preserve">Evaluación de Contenido y Ejecución con exante previo del ejercicio 2022 del proyecto 943.702 </t>
        </is>
      </c>
      <c r="C28" s="86" t="n">
        <v>378.4</v>
      </c>
    </row>
    <row r="29">
      <c r="A29" s="53" t="inlineStr">
        <is>
          <t>34.70.6C.01.96</t>
        </is>
      </c>
      <c r="B29" s="53" t="inlineStr">
        <is>
          <t>One year Handball Analytics v1.0 software License. From January 1st, 2024 until December 31th, 2024</t>
        </is>
      </c>
      <c r="C29" s="87" t="n">
        <v>1200</v>
      </c>
    </row>
    <row r="30">
      <c r="A30" s="51" t="inlineStr">
        <is>
          <t>34.70.6C.01.97</t>
        </is>
      </c>
      <c r="B30" s="51" t="inlineStr">
        <is>
          <t>DESARROLLO DE MODELOS DE COMPUTACIÓN SERVERLESS PARA EL PROCESAMIENTO DE APLICACIONES DE INTELIGENCIA ARTIFICIAL. Primer pago</t>
        </is>
      </c>
      <c r="C30" s="86" t="n">
        <v>3766.68</v>
      </c>
    </row>
    <row r="31">
      <c r="A31" s="53" t="inlineStr">
        <is>
          <t>34.70.6C.01.97</t>
        </is>
      </c>
      <c r="B31" s="53" t="inlineStr">
        <is>
          <t>DESARROLLO DE MODELOS DE COMPUTACIÓN SERVERLESS PARA EL PROCESAMIENTO DE APLICACIONES DE INTELIGENCIA ARTIFICIAL. Segundo pago</t>
        </is>
      </c>
      <c r="C31" s="87" t="n">
        <v>3766.66</v>
      </c>
    </row>
    <row r="32">
      <c r="A32" s="51" t="inlineStr">
        <is>
          <t>34.70.6C.01.97</t>
        </is>
      </c>
      <c r="B32" s="51" t="inlineStr">
        <is>
          <t>DESARROLLO DE MODELOS DE COMPUTACIÓN SERVERLESS PARA EL PROCESAMIENTO DE APLICACIONES DE INTELIGENCIA ARTIFICIAL. Tercer pago PO: 4110050000</t>
        </is>
      </c>
      <c r="C32" s="86" t="n">
        <v>3766.66</v>
      </c>
    </row>
    <row r="33">
      <c r="A33" s="53" t="inlineStr">
        <is>
          <t>34.70.6C.01.97</t>
        </is>
      </c>
      <c r="B33" s="53" t="inlineStr">
        <is>
          <t>DESARROLLO DE MODELOS DE COMPUTACIÓN SERVERLESS PARA EL PROCESAMIENTO DE APLICACIONES DE INTELIGENCIA ARTIFICIAL. Cuarto pago</t>
        </is>
      </c>
      <c r="C33" s="87" t="n">
        <v>3766.66</v>
      </c>
    </row>
    <row r="34">
      <c r="A34" s="51" t="inlineStr">
        <is>
          <t>34.70.6C.01.97</t>
        </is>
      </c>
      <c r="B34" s="51" t="inlineStr">
        <is>
          <t>DESARROLLO DE MODELOS DE COMPUTACIÓN SERVERLESS PARA EL PROCESAMIENTO DE APLICACIONES DE INTELIGENCIA ARTIFICIAL. Quinto pago Número de pedido: 4110051772</t>
        </is>
      </c>
      <c r="C34" s="86" t="n">
        <v>3766.66</v>
      </c>
    </row>
    <row r="35">
      <c r="A35" s="53" t="inlineStr">
        <is>
          <t>34.70.6C.01.97</t>
        </is>
      </c>
      <c r="B35" s="53" t="inlineStr">
        <is>
          <t>DESARROLLO DE MODELOS DE COMPUTACIÓN SERVERLESS PARA EL PROCESAMIENTO DE APLICACIONES DE INTELIGENCIA ARTIFICIAL. Sexto pago Número de pedido: 4110051772</t>
        </is>
      </c>
      <c r="C35" s="87" t="n">
        <v>3766.66</v>
      </c>
    </row>
    <row r="36">
      <c r="A36" s="51" t="inlineStr">
        <is>
          <t>34.70.6C.01.98</t>
        </is>
      </c>
      <c r="B36" s="51" t="inlineStr">
        <is>
          <t>Patrocinio Categoría ORO del Evento FIRST LEGO League Alicante. PO: 4110051158</t>
        </is>
      </c>
      <c r="C36" s="86" t="n">
        <v>1320</v>
      </c>
    </row>
    <row r="37">
      <c r="A37" s="53" t="inlineStr">
        <is>
          <t>34.70.6C.01.99</t>
        </is>
      </c>
      <c r="B37" s="53" t="inlineStr">
        <is>
          <t>Handball Analytics 1.0. Development of the infrastructure and service deployment, the maintenance and the service providing</t>
        </is>
      </c>
      <c r="C37" s="87" t="n">
        <v>6600</v>
      </c>
    </row>
    <row r="38">
      <c r="A38" s="51" t="inlineStr">
        <is>
          <t>34.70.6C.02.00</t>
        </is>
      </c>
      <c r="B38" s="51" t="inlineStr">
        <is>
          <t>Asesoramiento técnico desarrollo de los algoritmos de encriptación de datos para alta seguridad y apoyo en las pruebas de validación de los protocolos de seguridad.</t>
        </is>
      </c>
      <c r="C38" s="86" t="n">
        <v>17512</v>
      </c>
    </row>
    <row r="39">
      <c r="A39" s="53" t="inlineStr">
        <is>
          <t>34.70.6C.02.01</t>
        </is>
      </c>
      <c r="B39" s="53" t="inlineStr">
        <is>
          <t>ACTUALIZACION DEL CONTENIDO DE UNA APLICACION DISEÑADA EN SISTEMA OPERATIVO ANDROID (MOVIL), DESTINADO A PERSONAS MAYORES</t>
        </is>
      </c>
      <c r="C39" s="87" t="n">
        <v>1760</v>
      </c>
    </row>
    <row r="40">
      <c r="A40" s="51" t="inlineStr">
        <is>
          <t>34.70.6C.02.02</t>
        </is>
      </c>
      <c r="B40" s="51" t="inlineStr">
        <is>
          <t>VALIDACIÓN DE UN MODELO DE PATRONAJE MEDIANTE EL USO DEL ALGORITMO METAHEURÍSTICO DENOMINADO "JAYA" número de encargo: NP064265</t>
        </is>
      </c>
      <c r="C40" s="86" t="n">
        <v>5280</v>
      </c>
    </row>
    <row r="41">
      <c r="A41" s="53" t="inlineStr">
        <is>
          <t>34.70.6C.02.03</t>
        </is>
      </c>
      <c r="B41" s="53" t="inlineStr">
        <is>
          <t>DESARROLLO DE UN PROTOTIPO DE SOFTWARE DINAMICO QUE PERMITA USAR VALENF INSTRUMENT COMO UNA HERRAMIENTA DE VALORACION Y PRESCRIPCION DE CUIDADOS. Primer Pago</t>
        </is>
      </c>
      <c r="C41" s="87" t="n">
        <v>3520</v>
      </c>
    </row>
    <row r="42">
      <c r="A42" s="51" t="inlineStr">
        <is>
          <t>34.70.6C.02.03</t>
        </is>
      </c>
      <c r="B42" s="51" t="inlineStr">
        <is>
          <t>DESARROLLO DE UN PROTOTIPO DE SOFTWARE DINAMICO QUE PERMITA USAR VALENF INSTRUMENT COMO UNA HERRAMIENTA DE VALORACION Y PRESCRIPCION DE CUIDADOS. Segundo Pago</t>
        </is>
      </c>
      <c r="C42" s="86" t="n">
        <v>3520</v>
      </c>
    </row>
    <row r="43">
      <c r="A43" s="53" t="inlineStr">
        <is>
          <t>34.70.6C.02.03</t>
        </is>
      </c>
      <c r="B43" s="53" t="inlineStr">
        <is>
          <t>DESARROLLO DE UN PROTOTIPO DE SOFTWARE DINAMICO QUE PERMITA USAR VALENF INSTRUMENT COMO UNA HERRAMIENTA DE VALORACION Y PRESCRIPCION DE CUIDADOS. Tercer Pago</t>
        </is>
      </c>
      <c r="C43" s="87" t="n">
        <v>2960</v>
      </c>
    </row>
    <row r="44">
      <c r="A44" s="51" t="inlineStr">
        <is>
          <t>34.70.6C.02.05</t>
        </is>
      </c>
      <c r="B44" s="51" t="inlineStr">
        <is>
          <t>Estrategias de Seguridad basadas en IA generativa para Arquitecturas Cloud Computing. Primer pago. Ref. LEVANTINASERVICIOS2-23Y-INDC IP responsable: Higinio Mora</t>
        </is>
      </c>
      <c r="C44" s="86" t="n">
        <v>6044.69</v>
      </c>
    </row>
    <row r="45">
      <c r="A45" s="53" t="inlineStr">
        <is>
          <t>34.70.6C.02.06</t>
        </is>
      </c>
      <c r="B45" s="53" t="inlineStr">
        <is>
          <t xml:space="preserve">EVALUACIÓN DE CONTENIDO Y EJECUCIÓN POR PARTE DEL EXPERTO TÉCNICO DEL PROYECTO 952.044 </t>
        </is>
      </c>
      <c r="C45" s="87" t="n">
        <v>660</v>
      </c>
    </row>
    <row r="46">
      <c r="A46" s="51" t="inlineStr">
        <is>
          <t>34.70.6C.02.07</t>
        </is>
      </c>
      <c r="B46" s="51" t="inlineStr">
        <is>
          <t>EVALUACIÓN DE CONTENIDO Y EJECUCIÓN CON EXANTE PREVIO POR PARTE DEL EXPERTO TÉCNICO DEL PROYECTO 949.967</t>
        </is>
      </c>
      <c r="C46" s="86" t="n">
        <v>440</v>
      </c>
    </row>
    <row r="47">
      <c r="A47" s="53" t="inlineStr">
        <is>
          <t>34.70.6C.02.08</t>
        </is>
      </c>
      <c r="B47" s="53" t="inlineStr">
        <is>
          <t>Elaboración de un manual de uso para los usuarios de la aplicación eVALENF</t>
        </is>
      </c>
      <c r="C47" s="87" t="n">
        <v>1144</v>
      </c>
    </row>
    <row r="48">
      <c r="A48" s="51" t="inlineStr">
        <is>
          <t>34.70.6P.00.36</t>
        </is>
      </c>
      <c r="B48" s="51" t="inlineStr">
        <is>
          <t>DEVOLUCIÓN DE INGRESO_MODELO 047_SUBVENCIÓN AICO  ANUALIDAD_2023</t>
        </is>
      </c>
      <c r="C48" s="86" t="n">
        <v>-5233.26</v>
      </c>
    </row>
    <row r="49">
      <c r="A49" s="53" t="inlineStr">
        <is>
          <t>34.70.6P.00.48</t>
        </is>
      </c>
      <c r="B49" s="53" t="inlineStr">
        <is>
          <t>PLU.CIAEST 2022. RESOLUCION CONCESION 19/09/2023. CIAEST/2022/2/25/49/78. (LÍNEA S0296)</t>
        </is>
      </c>
      <c r="C49" s="87" t="n">
        <v>18000</v>
      </c>
    </row>
    <row r="50">
      <c r="A50" s="51" t="inlineStr">
        <is>
          <t>34.70.6P.00.49</t>
        </is>
      </c>
      <c r="B50" s="51" t="inlineStr">
        <is>
          <t>PLU.CIAEST 2022. RESOLUCION CONCESION 19/09/2023. CIAEST/2022/2/25/49/78. (LÍNEA S0296)</t>
        </is>
      </c>
      <c r="C50" s="86" t="n">
        <v>18000</v>
      </c>
    </row>
    <row r="51">
      <c r="A51" s="53" t="inlineStr">
        <is>
          <t>34.70.6P.00.50</t>
        </is>
      </c>
      <c r="B51" s="53" t="inlineStr">
        <is>
          <t>PROGRAMA AYUDAS ICAR 2023 PROYECTO EWAI</t>
        </is>
      </c>
      <c r="C51" s="87" t="n">
        <v>10927.43</v>
      </c>
    </row>
    <row r="52">
      <c r="A52" s="51" t="inlineStr">
        <is>
          <t>34.70.6P.00.51</t>
        </is>
      </c>
      <c r="B52" s="51" t="inlineStr">
        <is>
          <t>PROGRAMA AYUDAS ICAR 2023 PROYECTO IASISTEM</t>
        </is>
      </c>
      <c r="C52" s="86" t="n">
        <v>17803.8</v>
      </c>
    </row>
    <row r="53">
      <c r="A53" s="53" t="inlineStr">
        <is>
          <t>34.70.6P.00.54</t>
        </is>
      </c>
      <c r="B53" s="53" t="inlineStr">
        <is>
          <t xml:space="preserve">ayudas CIAEST/2023/31, CIAEST/2023/36, CIAEST/2023/12 (LINEA SUBVENCIÓN S0296) </t>
        </is>
      </c>
      <c r="C53" s="87" t="n">
        <v>18000</v>
      </c>
    </row>
    <row r="54">
      <c r="A54" s="51" t="inlineStr">
        <is>
          <t>34.70.6P.00.55</t>
        </is>
      </c>
      <c r="B54" s="51" t="inlineStr">
        <is>
          <t>Ayudas PID2023-146660OB-I00, PID2023-147126OB-I00, PID2023-148259NB-I00, PID2023-148881OB-I00, PID2023-149456NB-I00, PID2023-149562OB-I00, PID2023-149624NB-I00, PID2023-149643NB-I00, PID2023-149706OB-I00, PID2023-149994NB-I00, PID2023-150750NB-I00, PID2023-150761OB-C22, PID2023-150795NB-C22 , PID2023-151559OB-I00, PID2023-151958NB-I00, PID2023-151982NB-I00, PID2023-152305NB-I00, PID2023-152358NA-I00, PID2023-152372NB-I00, PID2023-152566OB-I00, PID2023-152734NB-I00, PID2023-152804OB-I00, PID2023-152869OB-C21, PID2023-153032NB-I00</t>
        </is>
      </c>
      <c r="C54" s="86" t="n">
        <v>100283.4</v>
      </c>
    </row>
    <row r="55">
      <c r="A55" s="53" t="inlineStr">
        <is>
          <t>34.70.6P.00.56</t>
        </is>
      </c>
      <c r="B55" s="53" t="inlineStr">
        <is>
          <t>Ayudas PID2023-146660OB-I00, PID2023-147126OB-I00, PID2023-148259NB-I00, PID2023-148881OB-I00, PID2023-149456NB-I00, PID2023-149562OB-I00, PID2023-149624NB-I00, PID2023-149643NB-I00, PID2023-149706OB-I00, PID2023-149994NB-I00, PID2023-150750NB-I00, PID2023-150761OB-C22, PID2023-150795NB-C22 , PID2023-151559OB-I00, PID2023-151958NB-I00, PID2023-151982NB-I00, PID2023-152305NB-I00, PID2023-152358NA-I00, PID2023-152372NB-I00, PID2023-152566OB-I00, PID2023-152734NB-I00, PID2023-152804OB-I00, PID2023-152869OB-C21, PID2023-153032NB-I00</t>
        </is>
      </c>
      <c r="C55" s="87" t="n">
        <v>67841</v>
      </c>
    </row>
    <row r="56">
      <c r="A56" s="51" t="inlineStr">
        <is>
          <t>34.70.6P.00.57</t>
        </is>
      </c>
      <c r="B56" s="51" t="inlineStr">
        <is>
          <t>Ayudas PID2023-146660OB-I00, PID2023-147126OB-I00, PID2023-148259NB-I00, PID2023-148881OB-I00, PID2023-149456NB-I00, PID2023-149562OB-I00, PID2023-149624NB-I00, PID2023-149643NB-I00, PID2023-149706OB-I00, PID2023-149994NB-I00, PID2023-150750NB-I00, PID2023-150761OB-C22, PID2023-150795NB-C22 , PID2023-151559OB-I00, PID2023-151958NB-I00, PID2023-151982NB-I00, PID2023-152305NB-I00, PID2023-152358NA-I00, PID2023-152372NB-I00, PID2023-152566OB-I00, PID2023-152734NB-I00, PID2023-152804OB-I00, PID2023-152869OB-C21, PID2023-153032NB-I00</t>
        </is>
      </c>
      <c r="C56" s="86" t="n">
        <v>98312.60000000001</v>
      </c>
    </row>
    <row r="57">
      <c r="A57" s="59" t="inlineStr">
        <is>
          <t>34.70.6P.00.58</t>
        </is>
      </c>
      <c r="B57" s="59" t="inlineStr">
        <is>
          <t>CIAICO/2023/134/178/179/203/250/255/266/268</t>
        </is>
      </c>
      <c r="C57" s="88" t="n">
        <v>9405</v>
      </c>
    </row>
    <row r="58">
      <c r="A58" s="59" t="inlineStr">
        <is>
          <t>Total</t>
        </is>
      </c>
      <c r="B58" s="59" t="n"/>
      <c r="C58" s="89">
        <f>SUBTOTAL(109,Tabla3[Imp. aplic.])</f>
        <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46"/>
  <sheetViews>
    <sheetView tabSelected="1" topLeftCell="A22" workbookViewId="0">
      <selection activeCell="C47" sqref="C47"/>
    </sheetView>
  </sheetViews>
  <sheetFormatPr baseColWidth="10" defaultRowHeight="14.4"/>
  <cols>
    <col width="19.88671875" customWidth="1" min="1" max="1"/>
    <col width="68.5546875" customWidth="1" min="2" max="2"/>
    <col width="20.33203125" customWidth="1" min="3" max="3"/>
  </cols>
  <sheetData>
    <row r="1">
      <c r="A1" s="65" t="inlineStr">
        <is>
          <t>Org. aplic.</t>
        </is>
      </c>
      <c r="B1" s="66" t="inlineStr">
        <is>
          <t>Descripción justificante</t>
        </is>
      </c>
      <c r="C1" s="66" t="inlineStr">
        <is>
          <t>Imp. aplic.</t>
        </is>
      </c>
    </row>
    <row r="2">
      <c r="A2" s="67" t="inlineStr">
        <is>
          <t>34.70.6C.01.71</t>
        </is>
      </c>
      <c r="B2" s="68" t="inlineStr">
        <is>
          <t>Evaluación seguimiento Experto Técnico del proyecto 598AIE2023. PEDIDO: 6072939</t>
        </is>
      </c>
      <c r="C2" s="90" t="n">
        <v>189.2</v>
      </c>
    </row>
    <row r="3">
      <c r="A3" s="70" t="inlineStr">
        <is>
          <t>34.70.6C.01.71</t>
        </is>
      </c>
      <c r="B3" s="71" t="inlineStr">
        <is>
          <t>Evaluación seguimiento Experto Técnico del proyecto 504AIE2023. PEDIDO: 6072938</t>
        </is>
      </c>
      <c r="C3" s="91" t="n">
        <v>189.2</v>
      </c>
    </row>
    <row r="4">
      <c r="A4" s="67" t="inlineStr">
        <is>
          <t>34.70.6C.01.71</t>
        </is>
      </c>
      <c r="B4" s="68" t="inlineStr">
        <is>
          <t>Evaluación seguimiento Experto Técnico del proyecto 501AIE2023. PEDIDO: 6072936</t>
        </is>
      </c>
      <c r="C4" s="90" t="n">
        <v>189.2</v>
      </c>
    </row>
    <row r="5">
      <c r="A5" s="70" t="inlineStr">
        <is>
          <t>34.70.6C.01.71</t>
        </is>
      </c>
      <c r="B5" s="71" t="inlineStr">
        <is>
          <t>Evaluación seguimiento Experto Técnico del proyecto SUPPLY2022. PEDIDO: 6072940</t>
        </is>
      </c>
      <c r="C5" s="91" t="n">
        <v>378.4</v>
      </c>
    </row>
    <row r="6">
      <c r="A6" s="67" t="inlineStr">
        <is>
          <t>34.70.6C.01.71</t>
        </is>
      </c>
      <c r="B6" s="68" t="inlineStr">
        <is>
          <t>Nueva solución de localización inteligente para carga de vehículos eléctricos LOCALINT23 - Pedido 6073257</t>
        </is>
      </c>
      <c r="C6" s="90" t="n">
        <v>660</v>
      </c>
    </row>
    <row r="7">
      <c r="A7" s="70" t="inlineStr">
        <is>
          <t>34.70.6C.01.88</t>
        </is>
      </c>
      <c r="B7" s="71" t="inlineStr">
        <is>
          <t>Evaluación de los proyectos de Innovación Tecnológica y de I+D+I. Numero de pedido: 62490000824</t>
        </is>
      </c>
      <c r="C7" s="91" t="n">
        <v>21340</v>
      </c>
    </row>
    <row r="8">
      <c r="A8" s="67" t="inlineStr">
        <is>
          <t>34.70.6C.01.88</t>
        </is>
      </c>
      <c r="B8" s="68" t="inlineStr">
        <is>
          <t>Evaluación de los proyectos de Innovación Tecnológica y de I+D+I. Numero de pedido: 62490000824 Servicio de evaluación de las actividades de I+D(+i) vinculadas a la disciplina con código UNESCO 1203 realizadas por el Personal Investigador asociado a la empresa NFOQUE ADVISORY SERVICES, S.L. con código ACIE de Expediente 1906.007.24 y asociado a la empresa BOSONIT, S.L. con código ACIE de Expediente 4372.002.24</t>
        </is>
      </c>
      <c r="C8" s="90" t="n">
        <v>689.04</v>
      </c>
    </row>
    <row r="9">
      <c r="A9" s="70" t="inlineStr">
        <is>
          <t>34.70.6C.01.88</t>
        </is>
      </c>
      <c r="B9" s="71" t="inlineStr">
        <is>
          <t>Evaluación de los proyectos de Innovación Tecnológica y de I+D+I. Numero de pedido: 62490001170</t>
        </is>
      </c>
      <c r="C9" s="91" t="n">
        <v>5126</v>
      </c>
    </row>
    <row r="10">
      <c r="A10" s="67" t="inlineStr">
        <is>
          <t>34.70.6C.01.88</t>
        </is>
      </c>
      <c r="B10" s="68" t="inlineStr">
        <is>
          <t>Evaluación de los proyectos de Innovación Tecnológica y de I+D+I. Numero de pedido: 62490001170</t>
        </is>
      </c>
      <c r="C10" s="90" t="n">
        <v>16068.58</v>
      </c>
    </row>
    <row r="11">
      <c r="A11" s="70" t="inlineStr">
        <is>
          <t>34.70.6C.01.88</t>
        </is>
      </c>
      <c r="B11" s="71" t="inlineStr">
        <is>
          <t>Evaluación de los proyectos de Innovación Tecnológica y de I+D+I. Numero de pedido: 62490001170 Trámite de audiencia de los proyectos: NUEVAS SOLUCIONES PARA LA DIGITALIZACION Y AUTOMATIZACION EN BLOQUES LOGISTICOS con código ACIE de Expediente 325.055.24d y EVOLUCION HACIA UN MODELO DE CLOUD BANKING PARA PRESTACION DE SERVICIOS TRANSACCIONALES con código ACIE de Expediente 901.024.24</t>
        </is>
      </c>
      <c r="C11" s="91" t="n">
        <v>176</v>
      </c>
    </row>
    <row r="12">
      <c r="A12" s="67" t="inlineStr">
        <is>
          <t>34.70.6C.01.88</t>
        </is>
      </c>
      <c r="B12" s="68" t="inlineStr">
        <is>
          <t>Evaluación de los proyectos de Innovación Tecnológica y de I+D+I. Numero de pedido: 62490001170</t>
        </is>
      </c>
      <c r="C12" s="90" t="n">
        <v>5599.18</v>
      </c>
    </row>
    <row r="13">
      <c r="A13" s="70" t="inlineStr">
        <is>
          <t>34.70.6C.01.88</t>
        </is>
      </c>
      <c r="B13" s="71" t="inlineStr">
        <is>
          <t>Evaluación de los proyectos de Innovación Tecnológica y de I+D+I.Numero de pedido: 62490001170</t>
        </is>
      </c>
      <c r="C13" s="91" t="n">
        <v>9240</v>
      </c>
    </row>
    <row r="14">
      <c r="A14" s="67" t="inlineStr">
        <is>
          <t>34.70.6C.01.95</t>
        </is>
      </c>
      <c r="B14" s="68" t="inlineStr">
        <is>
          <t>Servicio de configuración de la placa NVIDIA Orin e integración de la herramienta NVMain en el simulador gem5.</t>
        </is>
      </c>
      <c r="C14" s="90" t="n">
        <v>10560</v>
      </c>
    </row>
    <row r="15">
      <c r="A15" s="70" t="inlineStr">
        <is>
          <t>34.70.6C.02.04</t>
        </is>
      </c>
      <c r="B15" s="71" t="inlineStr">
        <is>
          <t>DISEÑO Y PRUEBA DE CONCEPTO PARA EL DESARROLLO DE SOPORTE SOFTWARE QUE INCORPORE SERVICIOS BASADOS EN IA GENERATIVA.</t>
        </is>
      </c>
      <c r="C15" s="91" t="n">
        <v>10120</v>
      </c>
    </row>
    <row r="16">
      <c r="A16" s="67" t="inlineStr">
        <is>
          <t>34.70.6C.02.05</t>
        </is>
      </c>
      <c r="B16" s="68" t="inlineStr">
        <is>
          <t>Estrategias de Seguridad basadas en IA generativa para Arquitecturas Cloud Computing. Segundo pago. Ref. LEVANTINASERVICIOS2-23Y-INDC IP responsable: Higinio Mora</t>
        </is>
      </c>
      <c r="C16" s="90" t="n">
        <v>3022.35</v>
      </c>
    </row>
    <row r="17">
      <c r="A17" s="70" t="inlineStr">
        <is>
          <t>34.70.6C.02.05</t>
        </is>
      </c>
      <c r="B17" s="71" t="inlineStr">
        <is>
          <t>Estrategias de Seguridad basadas en IA generativa para Arquitecturas Cloud Computing. Tercer pago. Ref. LEVANTINASERVICIOS2-23Y-INDC IP responsable: Higinio Mora</t>
        </is>
      </c>
      <c r="C17" s="91" t="n">
        <v>3022.35</v>
      </c>
    </row>
    <row r="18">
      <c r="A18" s="67" t="inlineStr">
        <is>
          <t>34.70.6C.02.05</t>
        </is>
      </c>
      <c r="B18" s="68" t="inlineStr">
        <is>
          <t>Estrategias de Seguridad basadas en IA generativa para Arquitecturas Cloud Computing. Cuarto pago. Ref. LEVANTINASERVICIOS2-23Y-INDC. IP Responsable: Higinio Mora</t>
        </is>
      </c>
      <c r="C18" s="90" t="n">
        <v>7409.43</v>
      </c>
    </row>
    <row r="19">
      <c r="A19" s="70" t="inlineStr">
        <is>
          <t>34.70.6C.02.09</t>
        </is>
      </c>
      <c r="B19" s="71" t="inlineStr">
        <is>
          <t xml:space="preserve">SIRET: 18007003900631 COLLABORATION IN THE EUROPEAN PROJECT PURECIRCLES "MAXIMISING RESOURCE USE EFFICIENCY WITHIN THE WATER NUTRIENT-ENERGY NEXUS FOR SUSTAINABLE AGRICULTURE IN MARGINAL ENVIRONMENTS" </t>
        </is>
      </c>
      <c r="C19" s="91" t="n">
        <v>3520</v>
      </c>
    </row>
    <row r="20">
      <c r="A20" s="67" t="inlineStr">
        <is>
          <t>34.70.6C.02.10</t>
        </is>
      </c>
      <c r="B20" s="68" t="inlineStr">
        <is>
          <t>COLLABORATION IN THE EUROPEAN PROJECT PURECIRCLES "MAXIMISING RESOURCE USE EFFICIENCY WITHIN THE WATER NUTRIENT-ENERGY NEXUS FOR SUSTAINABLE AGRICULTURE IN MARGINAL ENVIRONMENTS"</t>
        </is>
      </c>
      <c r="C20" s="90" t="n">
        <v>3520</v>
      </c>
    </row>
    <row r="21">
      <c r="A21" s="70" t="inlineStr">
        <is>
          <t>34.70.6C.02.11</t>
        </is>
      </c>
      <c r="B21" s="71" t="inlineStr">
        <is>
          <t xml:space="preserve">COLLABORATION IN THE EUROPEAN PROJECT PURECIRCLES "MAXIMISING RESOURCE USE EFFICIENCY WITHIN THE WATER NUTRIENT-ENERGY NEXUS FOR SUSTAINABLE AGRICULTURE IN MARGINAL ENVIRONMENTS" </t>
        </is>
      </c>
      <c r="C21" s="91" t="n">
        <v>3520</v>
      </c>
    </row>
    <row r="22">
      <c r="A22" s="67" t="inlineStr">
        <is>
          <t>34.70.6C.02.12</t>
        </is>
      </c>
      <c r="B22" s="68" t="inlineStr">
        <is>
          <t>Patrocinio del Evento FIRST LEGO League Alicante 2025. Número de pedido: 4110058587</t>
        </is>
      </c>
      <c r="C22" s="90" t="n">
        <v>1320</v>
      </c>
    </row>
    <row r="23">
      <c r="A23" s="70" t="inlineStr">
        <is>
          <t>34.70.6C.02.13</t>
        </is>
      </c>
      <c r="B23" s="71" t="inlineStr">
        <is>
          <t>DESARROLLO DE ARQUITECTURAS SERVERLESS PARA EL PROCESAMIENTO EFICIENTE DE APLICACIONES DE INTELIGENCIA ARTIFICIAL. Primer pago. Número de Pedido: 4110058768</t>
        </is>
      </c>
      <c r="C23" s="91" t="n">
        <v>4686.66</v>
      </c>
    </row>
    <row r="24">
      <c r="A24" s="67" t="inlineStr">
        <is>
          <t>34.70.6C.02.13</t>
        </is>
      </c>
      <c r="B24" s="68" t="inlineStr">
        <is>
          <t>DESARROLLO DE ARQUITECTURAS SERVERLESS PARA EL PROCESAMIENTO EFICIENTE DE APLICACIONES DE INTELIGENCIA ARTIFICIAL. Segundo pago. Número de Pedido: 4110058768</t>
        </is>
      </c>
      <c r="C24" s="90" t="n">
        <v>4686.67</v>
      </c>
    </row>
    <row r="25">
      <c r="A25" s="70" t="inlineStr">
        <is>
          <t>34.70.6C.02.13</t>
        </is>
      </c>
      <c r="B25" s="71" t="inlineStr">
        <is>
          <t>DESARROLLO DE ARQUITECTURAS SERVERLESS PARA EL PROCESAMIENTO EFICIENTE DE APLICACIONES DE INTELIGENCIA ARTIFICIAL. Tercer pago. Número de pedido: 4110058768</t>
        </is>
      </c>
      <c r="C25" s="91" t="n">
        <v>4686.67</v>
      </c>
    </row>
    <row r="26">
      <c r="A26" s="67" t="inlineStr">
        <is>
          <t>34.70.6C.02.13</t>
        </is>
      </c>
      <c r="B26" s="68" t="inlineStr">
        <is>
          <t>DESARROLLO DE ARQUITECTURAS SERVERLESS PARA EL PROCESAMIENTO EFICIENTE DE APLICACIONES DE INTELIGENCIA ARTIFICIAL. Cuarto pago. Número de pedido: 4110058768</t>
        </is>
      </c>
      <c r="C26" s="90" t="n">
        <v>3630.67</v>
      </c>
    </row>
    <row r="27">
      <c r="A27" s="70" t="inlineStr">
        <is>
          <t>34.70.6C.02.13</t>
        </is>
      </c>
      <c r="B27" s="71" t="inlineStr">
        <is>
          <t>DESARROLLO DE ARQUITECTURAS SERVERLESS PARA EL PROCESAMIENTO EFICIENTE DE APLICACIONES DE INTELIGENCIA ARTIFICIAL. Quinto pago.  Número de pedido: 4110058768</t>
        </is>
      </c>
      <c r="C27" s="91" t="n">
        <v>3630.67</v>
      </c>
    </row>
    <row r="28">
      <c r="A28" s="67" t="inlineStr">
        <is>
          <t>34.70.6C.02.13</t>
        </is>
      </c>
      <c r="B28" s="68" t="inlineStr">
        <is>
          <t>DESARROLLO DE ARQUITECTURAS SERVERLESS PARA EL PROCESAMIENTO EFICIENTE DE APLICACIONES DE INTELIGENCIA ARTIFICIAL. Sexto pago. Número de pedido: 4110063550</t>
        </is>
      </c>
      <c r="C28" s="90" t="n">
        <v>3630.67</v>
      </c>
    </row>
    <row r="29">
      <c r="A29" s="70" t="inlineStr">
        <is>
          <t>34.70.6C.02.14</t>
        </is>
      </c>
      <c r="B29" s="71" t="inlineStr">
        <is>
          <t>EVALUACION DE CONTENIDO Y EJECUCION POR PARTE DEL EXPERTO TECNICO DEL PROYECTO 949.596</t>
        </is>
      </c>
      <c r="C29" s="91" t="n">
        <v>378.4</v>
      </c>
    </row>
    <row r="30">
      <c r="A30" s="67" t="inlineStr">
        <is>
          <t>34.70.6C.02.15</t>
        </is>
      </c>
      <c r="B30" s="68" t="inlineStr">
        <is>
          <t xml:space="preserve">ACTUALIZACIÓN DE APLICACIÓN ACTUALIZACION DE LA ESTRUCTURA Y CONTENIDO DE UNA APLICACION EN SISTEMA OPERATIVO ANDROID PARA MEJORAR LA USABILIDAD DEL SISTEMA </t>
        </is>
      </c>
      <c r="C30" s="90" t="n">
        <v>1760</v>
      </c>
    </row>
    <row r="31">
      <c r="A31" s="70" t="inlineStr">
        <is>
          <t>34.70.6P.00.54</t>
        </is>
      </c>
      <c r="B31" s="71" t="inlineStr">
        <is>
          <t>CIAEST/2023/31/36/12</t>
        </is>
      </c>
      <c r="C31" s="91" t="n">
        <v>18000</v>
      </c>
    </row>
    <row r="32">
      <c r="A32" s="67" t="inlineStr">
        <is>
          <t>34.70.6P.00.55</t>
        </is>
      </c>
      <c r="B32" s="68" t="inlineStr">
        <is>
          <t>AYUDAS PID2023-146660OB-I00,PID2023-147126OB-I00, PID2023-148259NB-I00, PID2023-148881OB-I00, , PID2023-149456NB-I00,PID2023-149562OB-I00, PID2023-149624NB-I00, ,PID2023-149643NB-I00,PID2023-149706OB-I00,PID2023-149994NB-I00,PID2023-150750NB-I00, PID2023-150761OB-C22, PID2023-150795NB-C22 , PID2023-151559OB-I00, PID2023-151958NB-I00, PID2023-151982NB-I00, PID2023-152305NB-I00, PID2023-152358NA-I00, PID2023-152372NB-I00, PID2023-152566OB-I00, PID2023-152734NB-I00, PID2023-152804OB-I00, PID2023-152869OB-C21, PID2023-153032NB-I00,</t>
        </is>
      </c>
      <c r="C32" s="90" t="n">
        <v>17463.6</v>
      </c>
    </row>
    <row r="33">
      <c r="A33" s="70" t="inlineStr">
        <is>
          <t>34.70.6P.00.56</t>
        </is>
      </c>
      <c r="B33" s="71" t="inlineStr">
        <is>
          <t>AYUDAS PID2023-146660OB-I00,PID2023-147126OB-I00, PID2023-148259NB-I00, PID2023-148881OB-I00, , PID2023-149456NB-I00,PID2023-149562OB-I00, PID2023-149624NB-I00, ,PID2023-149643NB-I00,PID2023-149706OB-I00,PID2023-149994NB-I00,PID2023-150750NB-I00, PID2023-150761OB-C22, PID2023-150795NB-C22 , PID2023-151559OB-I00, PID2023-151958NB-I00, PID2023-151982NB-I00, PID2023-152305NB-I00, PID2023-152358NA-I00, PID2023-152372NB-I00, PID2023-152566OB-I00, PID2023-152734NB-I00, PID2023-152804OB-I00, PID2023-152869OB-C21, PID2023-153032NB-I00,</t>
        </is>
      </c>
      <c r="C33" s="91" t="n">
        <v>11814</v>
      </c>
    </row>
    <row r="34">
      <c r="A34" s="67" t="inlineStr">
        <is>
          <t>34.70.6P.00.57</t>
        </is>
      </c>
      <c r="B34" s="68" t="inlineStr">
        <is>
          <t>AYUDAS PID2023-146660OB-I00,PID2023-147126OB-I00, PID2023-148259NB-I00, PID2023-148881OB-I00, , PID2023-149456NB-I00,PID2023-149562OB-I00, PID2023-149624NB-I00, ,PID2023-149643NB-I00,PID2023-149706OB-I00,PID2023-149994NB-I00,PID2023-150750NB-I00, PID2023-150761OB-C22, PID2023-150795NB-C22 , PID2023-151559OB-I00, PID2023-151958NB-I00, PID2023-151982NB-I00, PID2023-152305NB-I00, PID2023-152358NA-I00, PID2023-152372NB-I00, PID2023-152566OB-I00, PID2023-152734NB-I00, PID2023-152804OB-I00, PID2023-152869OB-C21, PID2023-153032NB-I00,</t>
        </is>
      </c>
      <c r="C34" s="90" t="n">
        <v>17120.4</v>
      </c>
    </row>
    <row r="35">
      <c r="A35" s="70" t="inlineStr">
        <is>
          <t>34.70.6P.00.58</t>
        </is>
      </c>
      <c r="B35" s="71" t="inlineStr">
        <is>
          <t>CIAICO/2023/134/178/179/203/250/255/266/268</t>
        </is>
      </c>
      <c r="C35" s="91" t="n">
        <v>30000</v>
      </c>
    </row>
    <row r="36">
      <c r="A36" s="67" t="inlineStr">
        <is>
          <t>34.70.6P.00.58</t>
        </is>
      </c>
      <c r="B36" s="68" t="inlineStr">
        <is>
          <t xml:space="preserve">Minoración parcial CIAICO/2023/178/179/203/250/255/266. </t>
        </is>
      </c>
      <c r="C36" s="90" t="n">
        <v>-3603.11</v>
      </c>
    </row>
    <row r="37">
      <c r="A37" s="70" t="inlineStr">
        <is>
          <t>34.70.6P.00.63</t>
        </is>
      </c>
      <c r="B37" s="71" t="inlineStr">
        <is>
          <t>PCI2025-163159. PIC2025-163255 RESOLUCIÓN CONCESIÓN DIRECTA AYUDAS 2025 EN EL MARCO DE "PROYECTOS DE COLABORACIÓN INTERNACIONAL" -  PROGRAMA ESTATAL DE TRANSFERENCIA Y COLABORACIÓN 2024-2027</t>
        </is>
      </c>
      <c r="C37" s="91" t="n">
        <v>125000</v>
      </c>
    </row>
    <row r="38">
      <c r="A38" s="67" t="inlineStr">
        <is>
          <t>34.70.6P.00.64</t>
        </is>
      </c>
      <c r="B38" s="68" t="inlineStr">
        <is>
          <t>CIAEST/2024/24 / CIAEST/2024/66</t>
        </is>
      </c>
      <c r="C38" s="90" t="n">
        <v>18000</v>
      </c>
    </row>
    <row r="39">
      <c r="A39" s="70" t="inlineStr">
        <is>
          <t>34.70.6P.00.65</t>
        </is>
      </c>
      <c r="B39" s="71" t="inlineStr">
        <is>
          <t>CIAEST/2024/24 / CIAEST/2024/66</t>
        </is>
      </c>
      <c r="C39" s="91" t="n">
        <v>18000</v>
      </c>
    </row>
    <row r="40">
      <c r="A40" s="67" t="inlineStr">
        <is>
          <t>34.70.6X.00.02</t>
        </is>
      </c>
      <c r="B40" s="68" t="inlineStr">
        <is>
          <t>PROYECTO: MASTER-X-RAPT. PROGRAMA: HORIZONTE EUROPA. REF. PROYECTO: 101093079</t>
        </is>
      </c>
      <c r="C40" s="90" t="n">
        <v>5313</v>
      </c>
    </row>
    <row r="41">
      <c r="A41" s="70" t="inlineStr">
        <is>
          <t>34.70.6X.00.02</t>
        </is>
      </c>
      <c r="B41" s="71" t="inlineStr">
        <is>
          <t>PROYECTO: MASTER-X-RAPT. PROGRAMA: HORIZONTE EUROPA. REF. PROYECTO: 101093079</t>
        </is>
      </c>
      <c r="C41" s="91" t="n">
        <v>5313</v>
      </c>
    </row>
    <row r="42" ht="15" customHeight="1" thickBot="1">
      <c r="A42" s="67" t="inlineStr">
        <is>
          <t>34.70.6X.00.03</t>
        </is>
      </c>
      <c r="B42" s="68" t="inlineStr">
        <is>
          <t xml:space="preserve">PROYECTO: MASTER-X-RAPT. PROGRAMA: HORIZONTE EUROPA. REF. PROYECTO: 101093079 </t>
        </is>
      </c>
      <c r="C42" s="90" t="n">
        <v>5547.17</v>
      </c>
    </row>
    <row r="43" ht="15" customHeight="1" thickTop="1">
      <c r="A43" s="73" t="inlineStr">
        <is>
          <t>Total</t>
        </is>
      </c>
      <c r="B43" s="74" t="n"/>
      <c r="C43" s="92" t="n">
        <v>400917.4</v>
      </c>
    </row>
    <row r="46">
      <c r="B46" s="61" t="inlineStr">
        <is>
          <t>Total ingresos investigación 2023-25</t>
        </is>
      </c>
      <c r="C46" s="93">
        <f>C43+Tabla2[[#Totals],[Imp.cob.aplic.]]+Tabla3[[#Totals],[Imp. aplic.]]</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iuit@ua.es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21387280V</dc:creator>
  <dcterms:created xsi:type="dcterms:W3CDTF">2019-07-03T07:15:54Z</dcterms:created>
  <dcterms:modified xsi:type="dcterms:W3CDTF">2026-05-28T21:59:17Z</dcterms:modified>
  <cp:lastModifiedBy>MARIA TERESA PUJALTE DEVIS</cp:lastModifiedBy>
  <cp:lastPrinted>2022-10-17T07:50:16Z</cp:lastPrinted>
</cp:coreProperties>
</file>