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3" activeTab="7" autoFilterDateGrouping="1"/>
  </bookViews>
  <sheets>
    <sheet name="Tesis" sheetId="1" state="visible" r:id="rId1"/>
    <sheet name="Sexenios" sheetId="2" state="visible" r:id="rId2"/>
    <sheet name="Ingresos investigación 2023" sheetId="3" state="visible" r:id="rId3"/>
    <sheet name="Ingresos investigación 2024" sheetId="4" state="visible" r:id="rId4"/>
    <sheet name="Ingresos investigación 2025" sheetId="5" state="visible" r:id="rId5"/>
    <sheet name="Ingresos formación 2023" sheetId="6" state="visible" r:id="rId6"/>
    <sheet name="Ingresos formación 2024" sheetId="7" state="visible" r:id="rId7"/>
    <sheet name="Ingresos formación 2025" sheetId="8" state="visible" r:id="rId8"/>
    <sheet name="Correo" sheetId="9" state="veryHidden" r:id="rId9"/>
  </sheets>
  <definedNames>
    <definedName name="_xlnm._FilterDatabase" localSheetId="0" hidden="1">'Tesis'!$A$1:$T$162</definedName>
    <definedName name="_xlnm.Print_Titles" localSheetId="0">'Tesis'!$1:$1,'Tesis'!$D:$D</definedName>
  </definedNames>
  <calcPr calcId="191029" fullCalcOnLoad="1"/>
</workbook>
</file>

<file path=xl/styles.xml><?xml version="1.0" encoding="utf-8"?>
<styleSheet xmlns="http://schemas.openxmlformats.org/spreadsheetml/2006/main">
  <numFmts count="3">
    <numFmt numFmtId="164" formatCode="_-* #,##0.00_-;\-* #,##0.00_-;_-* &quot;-&quot;??_-;_-@_-"/>
    <numFmt numFmtId="165" formatCode="0.0"/>
    <numFmt numFmtId="166" formatCode="_-* #,##0.00\ _€_-;\-* #,##0.00\ _€_-;_-* &quot;-&quot;??\ _€_-;_-@_-"/>
  </numFmts>
  <fonts count="16">
    <font>
      <name val="Calibri"/>
      <family val="2"/>
      <color theme="1"/>
      <sz val="11"/>
      <scheme val="minor"/>
    </font>
    <font>
      <name val="Arial"/>
      <family val="2"/>
      <color theme="1"/>
      <sz val="8"/>
    </font>
    <font>
      <name val="Arial"/>
      <family val="2"/>
      <sz val="8"/>
    </font>
    <font>
      <name val="Arial"/>
      <family val="2"/>
      <b val="1"/>
      <sz val="8"/>
    </font>
    <font>
      <name val="Arial"/>
      <family val="2"/>
      <b val="1"/>
      <color indexed="8"/>
      <sz val="8"/>
    </font>
    <font>
      <name val="Arial"/>
      <family val="2"/>
      <color indexed="8"/>
      <sz val="10"/>
    </font>
    <font>
      <name val="Arial"/>
      <family val="2"/>
      <sz val="10"/>
    </font>
    <font>
      <name val="Arial"/>
      <family val="2"/>
      <b val="1"/>
      <color indexed="8"/>
      <sz val="10"/>
    </font>
    <font>
      <name val="Arial"/>
      <family val="2"/>
      <b val="1"/>
      <sz val="10"/>
    </font>
    <font>
      <name val="Arial"/>
      <family val="2"/>
      <color theme="1"/>
      <sz val="10"/>
    </font>
    <font>
      <name val="Calibri"/>
      <family val="2"/>
      <b val="1"/>
      <color theme="1"/>
      <sz val="11"/>
      <scheme val="minor"/>
    </font>
    <font>
      <name val="Calibri"/>
      <family val="2"/>
      <color theme="1"/>
      <sz val="11"/>
      <scheme val="minor"/>
    </font>
    <font>
      <name val="Arial"/>
      <family val="2"/>
      <b val="1"/>
      <color theme="0"/>
      <sz val="10"/>
    </font>
    <font>
      <name val="Arial"/>
      <family val="2"/>
      <color theme="1"/>
      <sz val="10"/>
    </font>
    <font>
      <name val="Calibri"/>
      <family val="2"/>
      <sz val="11"/>
      <scheme val="minor"/>
    </font>
    <font>
      <name val="Arial"/>
      <family val="2"/>
      <b val="1"/>
      <color theme="1"/>
      <sz val="10"/>
    </font>
  </fonts>
  <fills count="11">
    <fill>
      <patternFill/>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
        <bgColor indexed="64"/>
      </patternFill>
    </fill>
    <fill>
      <patternFill patternType="solid">
        <fgColor theme="9"/>
        <bgColor theme="9"/>
      </patternFill>
    </fill>
    <fill>
      <patternFill patternType="solid">
        <fgColor theme="9" tint="0.7999816888943144"/>
        <bgColor theme="9" tint="0.7999816888943144"/>
      </patternFill>
    </fill>
    <fill>
      <patternFill patternType="solid">
        <fgColor theme="0" tint="-0.3499862666707358"/>
        <bgColor indexed="64"/>
      </patternFill>
    </fill>
    <fill>
      <patternFill patternType="solid">
        <fgColor theme="4"/>
        <bgColor theme="4"/>
      </patternFill>
    </fill>
    <fill>
      <patternFill patternType="solid">
        <fgColor theme="4" tint="0.7999816888943144"/>
        <bgColor theme="4" tint="0.799981688894314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theme="9" tint="0.3999755851924192"/>
      </top>
      <bottom style="thin">
        <color theme="9" tint="0.3999755851924192"/>
      </bottom>
      <diagonal/>
    </border>
    <border>
      <left/>
      <right/>
      <top style="thin">
        <color indexed="64"/>
      </top>
      <bottom/>
      <diagonal/>
    </border>
    <border>
      <left/>
      <right/>
      <top/>
      <bottom style="thin">
        <color theme="9" tint="0.3999755851924192"/>
      </bottom>
      <diagonal/>
    </border>
    <border>
      <left/>
      <right/>
      <top style="thin">
        <color theme="9" tint="0.3999755851924192"/>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top style="double">
        <color theme="4"/>
      </top>
      <bottom style="thin">
        <color theme="4" tint="0.3999755851924192"/>
      </bottom>
      <diagonal/>
    </border>
    <border>
      <left/>
      <right/>
      <top style="double">
        <color theme="4"/>
      </top>
      <bottom style="thin">
        <color theme="4" tint="0.3999755851924192"/>
      </bottom>
      <diagonal/>
    </border>
  </borders>
  <cellStyleXfs count="7">
    <xf numFmtId="0" fontId="11" fillId="0" borderId="0"/>
    <xf numFmtId="0" fontId="2" fillId="0" borderId="0"/>
    <xf numFmtId="0" fontId="5" fillId="0" borderId="0"/>
    <xf numFmtId="0" fontId="5" fillId="0" borderId="0"/>
    <xf numFmtId="0" fontId="6" fillId="0" borderId="0"/>
    <xf numFmtId="0" fontId="1" fillId="0" borderId="0"/>
    <xf numFmtId="166" fontId="11" fillId="0" borderId="0"/>
  </cellStyleXfs>
  <cellXfs count="85">
    <xf numFmtId="0" fontId="0" fillId="0" borderId="0" pivotButton="0" quotePrefix="0" xfId="0"/>
    <xf numFmtId="0" fontId="3" fillId="3" borderId="1" applyAlignment="1" pivotButton="0" quotePrefix="0" xfId="1">
      <alignment horizontal="center"/>
    </xf>
    <xf numFmtId="0" fontId="4" fillId="3" borderId="1" applyAlignment="1" pivotButton="0" quotePrefix="0" xfId="1">
      <alignment horizontal="center"/>
    </xf>
    <xf numFmtId="0" fontId="4" fillId="3" borderId="1" applyAlignment="1" pivotButton="0" quotePrefix="0" xfId="3">
      <alignment horizontal="center" wrapText="1"/>
    </xf>
    <xf numFmtId="0" fontId="4" fillId="3" borderId="1" applyAlignment="1" pivotButton="0" quotePrefix="0" xfId="3">
      <alignment horizontal="right" wrapText="1"/>
    </xf>
    <xf numFmtId="0" fontId="2" fillId="4" borderId="0" pivotButton="0" quotePrefix="0" xfId="1"/>
    <xf numFmtId="0" fontId="2" fillId="4" borderId="0" applyAlignment="1" pivotButton="0" quotePrefix="0" xfId="1">
      <alignment horizontal="right"/>
    </xf>
    <xf numFmtId="0" fontId="8" fillId="5" borderId="1" applyAlignment="1" pivotButton="0" quotePrefix="0" xfId="3">
      <alignment horizontal="center" textRotation="90" wrapText="1"/>
    </xf>
    <xf numFmtId="0" fontId="8" fillId="3" borderId="1" applyAlignment="1" pivotButton="0" quotePrefix="0" xfId="3">
      <alignment horizontal="center" textRotation="90" wrapText="1"/>
    </xf>
    <xf numFmtId="0" fontId="9" fillId="0" borderId="0" pivotButton="0" quotePrefix="0" xfId="5"/>
    <xf numFmtId="0" fontId="9" fillId="0" borderId="0" applyAlignment="1" pivotButton="0" quotePrefix="0" xfId="5">
      <alignment horizontal="right"/>
    </xf>
    <xf numFmtId="0" fontId="7" fillId="2" borderId="1" pivotButton="0" quotePrefix="0" xfId="0"/>
    <xf numFmtId="0" fontId="7" fillId="2" borderId="1" applyAlignment="1" pivotButton="0" quotePrefix="0" xfId="0">
      <alignment textRotation="90"/>
    </xf>
    <xf numFmtId="0" fontId="8" fillId="3" borderId="1" applyAlignment="1" pivotButton="0" quotePrefix="0" xfId="3">
      <alignment horizontal="center" wrapText="1"/>
    </xf>
    <xf numFmtId="0" fontId="0" fillId="0" borderId="1" pivotButton="0" quotePrefix="0" xfId="0"/>
    <xf numFmtId="0" fontId="0" fillId="0" borderId="1" applyAlignment="1" pivotButton="0" quotePrefix="0" xfId="0">
      <alignment horizontal="center"/>
    </xf>
    <xf numFmtId="0" fontId="0" fillId="0" borderId="1" applyAlignment="1" pivotButton="0" quotePrefix="0" xfId="0">
      <alignment horizontal="left"/>
    </xf>
    <xf numFmtId="0" fontId="4" fillId="3" borderId="1" applyAlignment="1" pivotButton="0" quotePrefix="0" xfId="2">
      <alignment horizontal="center"/>
    </xf>
    <xf numFmtId="0" fontId="2" fillId="4" borderId="1" pivotButton="0" quotePrefix="0" xfId="1"/>
    <xf numFmtId="0" fontId="2" fillId="0" borderId="0" pivotButton="0" quotePrefix="0" xfId="1"/>
    <xf numFmtId="0" fontId="6" fillId="0" borderId="1" pivotButton="0" quotePrefix="0" xfId="0"/>
    <xf numFmtId="0" fontId="6" fillId="0" borderId="1" applyAlignment="1" pivotButton="0" quotePrefix="0" xfId="0">
      <alignment horizontal="left"/>
    </xf>
    <xf numFmtId="0" fontId="2" fillId="4" borderId="2" pivotButton="0" quotePrefix="0" xfId="1"/>
    <xf numFmtId="0" fontId="13" fillId="7" borderId="3" pivotButton="0" quotePrefix="0" xfId="0"/>
    <xf numFmtId="164" fontId="0" fillId="7" borderId="3" pivotButton="0" quotePrefix="0" xfId="6"/>
    <xf numFmtId="0" fontId="13" fillId="0" borderId="3" pivotButton="0" quotePrefix="0" xfId="0"/>
    <xf numFmtId="164" fontId="0" fillId="0" borderId="3" pivotButton="0" quotePrefix="0" xfId="6"/>
    <xf numFmtId="164" fontId="0" fillId="0" borderId="0" pivotButton="0" quotePrefix="0" xfId="0"/>
    <xf numFmtId="0" fontId="2" fillId="8" borderId="0" pivotButton="0" quotePrefix="0" xfId="1"/>
    <xf numFmtId="0" fontId="2" fillId="8" borderId="0" applyAlignment="1" pivotButton="0" quotePrefix="0" xfId="1">
      <alignment horizontal="right"/>
    </xf>
    <xf numFmtId="0" fontId="6" fillId="0" borderId="1" applyAlignment="1" pivotButton="0" quotePrefix="0" xfId="0">
      <alignment horizontal="center"/>
    </xf>
    <xf numFmtId="0" fontId="0" fillId="8" borderId="0" pivotButton="0" quotePrefix="0" xfId="0"/>
    <xf numFmtId="0" fontId="0" fillId="8" borderId="0" applyAlignment="1" pivotButton="0" quotePrefix="0" xfId="0">
      <alignment horizontal="left"/>
    </xf>
    <xf numFmtId="0" fontId="9" fillId="0" borderId="1" pivotButton="0" quotePrefix="0" xfId="5"/>
    <xf numFmtId="0" fontId="9" fillId="0" borderId="1" applyAlignment="1" pivotButton="0" quotePrefix="0" xfId="5">
      <alignment horizontal="left"/>
    </xf>
    <xf numFmtId="165" fontId="10" fillId="8" borderId="0" pivotButton="0" quotePrefix="0" xfId="0"/>
    <xf numFmtId="2" fontId="2" fillId="4" borderId="1" pivotButton="0" quotePrefix="0" xfId="1"/>
    <xf numFmtId="0" fontId="12" fillId="6" borderId="5" pivotButton="0" quotePrefix="0" xfId="0"/>
    <xf numFmtId="0" fontId="13" fillId="0" borderId="6" pivotButton="0" quotePrefix="0" xfId="0"/>
    <xf numFmtId="0" fontId="0" fillId="0" borderId="6" pivotButton="0" quotePrefix="0" xfId="0"/>
    <xf numFmtId="166" fontId="0" fillId="0" borderId="0" pivotButton="0" quotePrefix="0" xfId="6"/>
    <xf numFmtId="0" fontId="0" fillId="0" borderId="0" applyAlignment="1" pivotButton="0" quotePrefix="0" xfId="0">
      <alignment wrapText="1"/>
    </xf>
    <xf numFmtId="164" fontId="0" fillId="0" borderId="6" pivotButton="0" quotePrefix="0" xfId="6"/>
    <xf numFmtId="166" fontId="0" fillId="0" borderId="0" pivotButton="0" quotePrefix="0" xfId="0"/>
    <xf numFmtId="0" fontId="9" fillId="0" borderId="6" pivotButton="0" quotePrefix="0" xfId="0"/>
    <xf numFmtId="164" fontId="11" fillId="0" borderId="6" pivotButton="0" quotePrefix="0" xfId="0"/>
    <xf numFmtId="0" fontId="10" fillId="0" borderId="1" pivotButton="0" quotePrefix="0" xfId="0"/>
    <xf numFmtId="166" fontId="10" fillId="0" borderId="1" pivotButton="0" quotePrefix="0" xfId="6"/>
    <xf numFmtId="164" fontId="0" fillId="0" borderId="6" pivotButton="0" quotePrefix="0" xfId="0"/>
    <xf numFmtId="0" fontId="2" fillId="4" borderId="1" pivotButton="0" quotePrefix="0" xfId="1"/>
    <xf numFmtId="2" fontId="2" fillId="4" borderId="1" pivotButton="0" quotePrefix="0" xfId="1"/>
    <xf numFmtId="0" fontId="2" fillId="4" borderId="0" pivotButton="0" quotePrefix="0" xfId="1"/>
    <xf numFmtId="0" fontId="2" fillId="0" borderId="1" pivotButton="0" quotePrefix="0" xfId="1"/>
    <xf numFmtId="0" fontId="2" fillId="4" borderId="1" applyAlignment="1" pivotButton="0" quotePrefix="0" xfId="1">
      <alignment horizontal="right"/>
    </xf>
    <xf numFmtId="0" fontId="14" fillId="0" borderId="1" pivotButton="0" quotePrefix="0" xfId="0"/>
    <xf numFmtId="0" fontId="14" fillId="0" borderId="1" applyAlignment="1" pivotButton="0" quotePrefix="0" xfId="0">
      <alignment horizontal="center"/>
    </xf>
    <xf numFmtId="0" fontId="12" fillId="9" borderId="7" pivotButton="0" quotePrefix="0" xfId="0"/>
    <xf numFmtId="0" fontId="12" fillId="9" borderId="8" pivotButton="0" quotePrefix="0" xfId="0"/>
    <xf numFmtId="0" fontId="9" fillId="10" borderId="7" pivotButton="0" quotePrefix="0" xfId="0"/>
    <xf numFmtId="0" fontId="9" fillId="10" borderId="8" pivotButton="0" quotePrefix="0" xfId="0"/>
    <xf numFmtId="166" fontId="9" fillId="10" borderId="8" pivotButton="0" quotePrefix="0" xfId="6"/>
    <xf numFmtId="0" fontId="9" fillId="0" borderId="7" pivotButton="0" quotePrefix="0" xfId="0"/>
    <xf numFmtId="0" fontId="9" fillId="0" borderId="8" pivotButton="0" quotePrefix="0" xfId="0"/>
    <xf numFmtId="166" fontId="9" fillId="0" borderId="8" pivotButton="0" quotePrefix="0" xfId="6"/>
    <xf numFmtId="0" fontId="15" fillId="0" borderId="9" pivotButton="0" quotePrefix="0" xfId="0"/>
    <xf numFmtId="0" fontId="15" fillId="0" borderId="10" pivotButton="0" quotePrefix="0" xfId="0"/>
    <xf numFmtId="166" fontId="15" fillId="0" borderId="10" pivotButton="0" quotePrefix="0" xfId="6"/>
    <xf numFmtId="165" fontId="3" fillId="8" borderId="4" applyAlignment="1" pivotButton="0" quotePrefix="0" xfId="1">
      <alignment horizontal="center"/>
    </xf>
    <xf numFmtId="166" fontId="12" fillId="9" borderId="8" pivotButton="0" quotePrefix="0" xfId="6"/>
    <xf numFmtId="166" fontId="15" fillId="0" borderId="10" pivotButton="0" quotePrefix="0" xfId="0"/>
    <xf numFmtId="0" fontId="0" fillId="0" borderId="4" pivotButton="0" quotePrefix="0" xfId="0"/>
    <xf numFmtId="164" fontId="0" fillId="7" borderId="3" pivotButton="0" quotePrefix="0" xfId="6"/>
    <xf numFmtId="164" fontId="0" fillId="0" borderId="3" pivotButton="0" quotePrefix="0" xfId="6"/>
    <xf numFmtId="164" fontId="0" fillId="0" borderId="6" pivotButton="0" quotePrefix="0" xfId="6"/>
    <xf numFmtId="164" fontId="11" fillId="0" borderId="6" pivotButton="0" quotePrefix="0" xfId="0"/>
    <xf numFmtId="166" fontId="0" fillId="0" borderId="0" pivotButton="0" quotePrefix="0" xfId="6"/>
    <xf numFmtId="166" fontId="0" fillId="0" borderId="0" pivotButton="0" quotePrefix="0" xfId="0"/>
    <xf numFmtId="166" fontId="9" fillId="10" borderId="8" pivotButton="0" quotePrefix="0" xfId="6"/>
    <xf numFmtId="166" fontId="9" fillId="0" borderId="8" pivotButton="0" quotePrefix="0" xfId="6"/>
    <xf numFmtId="166" fontId="15" fillId="0" borderId="10" pivotButton="0" quotePrefix="0" xfId="6"/>
    <xf numFmtId="166" fontId="10" fillId="0" borderId="1" pivotButton="0" quotePrefix="0" xfId="6"/>
    <xf numFmtId="164" fontId="0" fillId="0" borderId="6" pivotButton="0" quotePrefix="0" xfId="0"/>
    <xf numFmtId="164" fontId="0" fillId="0" borderId="0" pivotButton="0" quotePrefix="0" xfId="0"/>
    <xf numFmtId="166" fontId="12" fillId="9" borderId="8" pivotButton="0" quotePrefix="0" xfId="6"/>
    <xf numFmtId="166" fontId="15" fillId="0" borderId="10" pivotButton="0" quotePrefix="0" xfId="0"/>
  </cellXfs>
  <cellStyles count="7">
    <cellStyle name="Normal" xfId="0" builtinId="0"/>
    <cellStyle name="Normal_Ind.2010" xfId="1"/>
    <cellStyle name="Normal_Becas 14_9_2005" xfId="2"/>
    <cellStyle name="Normal_PDI por Centro" xfId="3"/>
    <cellStyle name="Normal 2" xfId="4"/>
    <cellStyle name="Normal 3" xfId="5"/>
    <cellStyle name="Millares" xfId="6" builtinId="3"/>
  </cellStyles>
  <dxfs count="17">
    <dxf>
      <alignment horizontal="general" vertical="bottom" wrapText="1"/>
    </dxf>
    <dxf>
      <alignment horizontal="general" vertical="bottom" wrapText="1"/>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
      <alignment horizontal="general" vertical="bottom" wrapText="1"/>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35" formatCode="_-* #,##0.00_-;\-* #,##0.00_-;_-* &quot;-&quot;??_-;_-@_-"/>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border outline="0">
        <left/>
        <right/>
        <top/>
        <bottom/>
      </border>
    </dxf>
    <dxf>
      <font>
        <name val="Arial"/>
        <family val="2"/>
        <strike val="0"/>
        <outline val="0"/>
        <shadow val="0"/>
        <condense val="0"/>
        <color theme="1"/>
        <extend val="0"/>
        <sz val="10"/>
        <vertAlign val="baseline"/>
      </font>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border outline="0">
        <left/>
        <right/>
        <top/>
        <bottom/>
      </border>
    </dxf>
    <dxf>
      <font>
        <name val="Arial"/>
        <family val="2"/>
        <strike val="0"/>
        <outline val="0"/>
        <shadow val="0"/>
        <condense val="0"/>
        <color theme="1"/>
        <extend val="0"/>
        <sz val="10"/>
        <vertAlign val="baseline"/>
      </font>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Tabla2" displayName="Tabla2" ref="A1:C28" headerRowCount="1" totalsRowCount="1" headerRowDxfId="16" headerRowBorderDxfId="15" tableBorderDxfId="14" totalsRowBorderDxfId="13">
  <autoFilter ref="A1:C27"/>
  <tableColumns count="3">
    <tableColumn id="1" name="Cód. org. aplic." totalsRowLabel="Total" dataDxfId="12" totalsRowDxfId="11"/>
    <tableColumn id="2" name="Descripción justificante" dataDxfId="10" totalsRowDxfId="9"/>
    <tableColumn id="3" name="Imp.cob.aplic." totalsRowFunction="sum" dataDxfId="8" totalsRowDxfId="7"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id="2" name="Tabla3" displayName="Tabla3" ref="A1:C20" headerRowCount="1" totalsRowCount="1">
  <autoFilter ref="A1:C19"/>
  <tableColumns count="3">
    <tableColumn id="1" name="Org. aplic." totalsRowLabel="Total"/>
    <tableColumn id="2" name="Descripción justificante" dataDxfId="6"/>
    <tableColumn id="3" name="Imp. aplic." totalsRowFunction="sum" dataCellStyle="Millares" totalsRowCellStyle="Millares"/>
  </tableColumns>
  <tableStyleInfo name="TableStyleMedium7" showFirstColumn="0" showLastColumn="0" showRowStripes="1" showColumnStripes="0"/>
</table>
</file>

<file path=xl/tables/table3.xml><?xml version="1.0" encoding="utf-8"?>
<table xmlns="http://schemas.openxmlformats.org/spreadsheetml/2006/main" id="3" name="Tabla5" displayName="Tabla5" ref="A1:C4" headerRowCount="1" totalsRowCount="1" headerRowDxfId="5" headerRowBorderDxfId="4" tableBorderDxfId="3" totalsRowBorderDxfId="2">
  <autoFilter ref="A1:C3"/>
  <tableColumns count="3">
    <tableColumn id="1" name="Cód. org. aplic." totalsRowLabel="Total"/>
    <tableColumn id="2" name="Descripción justificante"/>
    <tableColumn id="3" name="Imp.cob.aplic." totalsRowFunction="sum"/>
  </tableColumns>
  <tableStyleInfo name="TableStyleMedium2" showFirstColumn="0" showLastColumn="0" showRowStripes="1" showColumnStripes="0"/>
</table>
</file>

<file path=xl/tables/table4.xml><?xml version="1.0" encoding="utf-8"?>
<table xmlns="http://schemas.openxmlformats.org/spreadsheetml/2006/main" id="4" name="Tabla4" displayName="Tabla4" ref="A1:C9" headerRowCount="1" totalsRowCount="1">
  <autoFilter ref="A1:C8"/>
  <tableColumns count="3">
    <tableColumn id="1" name="Org. aplic." totalsRowLabel="Total"/>
    <tableColumn id="2" name="Descripción justificante" dataDxfId="1" totalsRowDxfId="0"/>
    <tableColumn id="3" name="Imp. aplic." totalsRowFunction="sum" dataCellStyle="Millares" totalsRowCellStyle="Millares"/>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_rels/sheet7.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fitToPage="1"/>
  </sheetPr>
  <dimension ref="A1:V162"/>
  <sheetViews>
    <sheetView showGridLines="0" topLeftCell="L142" zoomScaleNormal="100" workbookViewId="0">
      <selection activeCell="S163" sqref="S163"/>
    </sheetView>
  </sheetViews>
  <sheetFormatPr baseColWidth="10" defaultColWidth="10.28515625" defaultRowHeight="11.25"/>
  <cols>
    <col width="5" customWidth="1" style="51" min="1" max="1"/>
    <col width="29.7109375" customWidth="1" style="51" min="2" max="4"/>
    <col width="40.7109375" customWidth="1" style="51" min="5" max="5"/>
    <col width="9.140625" customWidth="1" style="51" min="6" max="6"/>
    <col width="9.7109375" customWidth="1" style="51" min="7" max="7"/>
    <col width="14.42578125" customWidth="1" style="51" min="8" max="8"/>
    <col width="5.85546875" customWidth="1" style="51" min="9" max="9"/>
    <col width="25.7109375" customWidth="1" style="51" min="10" max="10"/>
    <col width="5.140625" customWidth="1" style="51" min="11" max="11"/>
    <col width="5.28515625" customWidth="1" style="6" min="12" max="12"/>
    <col width="4.85546875" customWidth="1" style="51" min="13" max="13"/>
    <col width="5.28515625" customWidth="1" style="6" min="14" max="14"/>
    <col width="4.5703125" customWidth="1" style="51" min="15" max="15"/>
    <col width="4.7109375" customWidth="1" style="6" min="16" max="16"/>
    <col width="3.5703125" customWidth="1" style="51" min="17" max="17"/>
    <col width="5.140625" customWidth="1" style="51" min="18" max="20"/>
    <col width="10.28515625" customWidth="1" style="51" min="21" max="16384"/>
  </cols>
  <sheetData>
    <row r="1" ht="45" customHeight="1">
      <c r="A1" s="1" t="inlineStr">
        <is>
          <t>C.D.</t>
        </is>
      </c>
      <c r="B1" s="2" t="inlineStr">
        <is>
          <t>Departamento</t>
        </is>
      </c>
      <c r="C1" s="2" t="inlineStr">
        <is>
          <t>Plan</t>
        </is>
      </c>
      <c r="D1" s="2" t="inlineStr">
        <is>
          <t>Alumno</t>
        </is>
      </c>
      <c r="E1" s="2" t="inlineStr">
        <is>
          <t>Tesis</t>
        </is>
      </c>
      <c r="F1" s="2" t="inlineStr">
        <is>
          <t>Fecha</t>
        </is>
      </c>
      <c r="G1" s="2" t="inlineStr">
        <is>
          <t>Tutor</t>
        </is>
      </c>
      <c r="H1" s="2" t="inlineStr">
        <is>
          <t>Rol</t>
        </is>
      </c>
      <c r="I1" s="1" t="inlineStr">
        <is>
          <t>C.DEP.</t>
        </is>
      </c>
      <c r="J1" s="2" t="inlineStr">
        <is>
          <t>Departamento Tutor</t>
        </is>
      </c>
      <c r="K1" s="1" t="inlineStr">
        <is>
          <t>ASIGNACIÓN</t>
        </is>
      </c>
      <c r="L1" s="2" t="inlineStr">
        <is>
          <t>DEP.ASIG.</t>
        </is>
      </c>
      <c r="M1" s="17" t="inlineStr">
        <is>
          <t>EJERCICIO</t>
        </is>
      </c>
      <c r="N1" s="3" t="inlineStr">
        <is>
          <t>INS 1</t>
        </is>
      </c>
      <c r="O1" s="4" t="inlineStr">
        <is>
          <t>DED INS 1</t>
        </is>
      </c>
      <c r="P1" s="3" t="inlineStr">
        <is>
          <t>INS 2</t>
        </is>
      </c>
      <c r="Q1" s="4" t="inlineStr">
        <is>
          <t>DED INS 2</t>
        </is>
      </c>
      <c r="R1" s="3" t="inlineStr">
        <is>
          <t>DED DEP</t>
        </is>
      </c>
      <c r="S1" s="3" t="inlineStr">
        <is>
          <t>TDOC DEP</t>
        </is>
      </c>
      <c r="T1" s="3" t="inlineStr">
        <is>
          <t>TDOC INST 1</t>
        </is>
      </c>
      <c r="U1" s="3" t="inlineStr">
        <is>
          <t>TDOC INST 2</t>
        </is>
      </c>
    </row>
    <row r="2">
      <c r="A2" s="49" t="inlineStr">
        <is>
          <t xml:space="preserve">U020 </t>
        </is>
      </c>
      <c r="B2" s="49" t="inlineStr">
        <is>
          <t xml:space="preserve">ADM. I.U. DEL AGUA Y DE LAS CIENCIAS AMBIENTALES </t>
        </is>
      </c>
      <c r="C2" s="49" t="inlineStr">
        <is>
          <t xml:space="preserve">DOCTORADO EN AGUA Y DESARROLLO SOSTENIBLE </t>
        </is>
      </c>
      <c r="D2" s="49" t="inlineStr">
        <is>
          <t xml:space="preserve">Céspedes López, María Francisca </t>
        </is>
      </c>
      <c r="E2" s="49" t="inlineStr">
        <is>
          <t xml:space="preserve">CALIFICACIÓN ENERGÉTICA Y PRECIO DE LA VIVIENDA. ANÁLISIS DE LOS PRECIOS DE VENTA EN LA PROVINCIA DE ALICANTE (ESPAÑA) </t>
        </is>
      </c>
      <c r="F2" s="49" t="inlineStr">
        <is>
          <t xml:space="preserve">10/07/2020 </t>
        </is>
      </c>
      <c r="G2" s="49" t="inlineStr">
        <is>
          <t xml:space="preserve">46336900L </t>
        </is>
      </c>
      <c r="H2" s="49" t="inlineStr">
        <is>
          <t xml:space="preserve">Codirector de tesis </t>
        </is>
      </c>
      <c r="I2" s="49" t="inlineStr">
        <is>
          <t xml:space="preserve">B184 </t>
        </is>
      </c>
      <c r="J2" s="49" t="inlineStr">
        <is>
          <t xml:space="preserve">EDIFICACIÓN Y URBANISMO </t>
        </is>
      </c>
      <c r="K2" s="49" t="n">
        <v>0.5</v>
      </c>
      <c r="L2" s="49" t="inlineStr">
        <is>
          <t>B184</t>
        </is>
      </c>
      <c r="M2" s="49" t="n">
        <v>2019</v>
      </c>
      <c r="N2" s="49" t="inlineStr">
        <is>
          <t>10.05</t>
        </is>
      </c>
      <c r="O2" s="49" t="inlineStr">
        <is>
          <t>20</t>
        </is>
      </c>
      <c r="P2" s="49" t="inlineStr">
        <is>
          <t>10.25</t>
        </is>
      </c>
      <c r="Q2" s="49" t="inlineStr">
        <is>
          <t>10</t>
        </is>
      </c>
      <c r="R2" s="49" t="n">
        <v>70</v>
      </c>
      <c r="S2" s="49" t="n">
        <v>0.35</v>
      </c>
      <c r="T2" s="50" t="n">
        <v>0.1</v>
      </c>
      <c r="U2" s="49" t="n">
        <v>0.05</v>
      </c>
    </row>
    <row r="3">
      <c r="A3" s="49" t="inlineStr">
        <is>
          <t xml:space="preserve">U020 </t>
        </is>
      </c>
      <c r="B3" s="49" t="inlineStr">
        <is>
          <t xml:space="preserve">ADM. I.U. DEL AGUA Y DE LAS CIENCIAS AMBIENTALES </t>
        </is>
      </c>
      <c r="C3" s="49" t="inlineStr">
        <is>
          <t xml:space="preserve">DOCTORADO EN AGUA Y DESARROLLO SOSTENIBLE </t>
        </is>
      </c>
      <c r="D3" s="49" t="inlineStr">
        <is>
          <t xml:space="preserve">López Baeza, Jesús </t>
        </is>
      </c>
      <c r="E3" s="49" t="inlineStr">
        <is>
          <t xml:space="preserve">Unveiling urban dynamics: An exploration of tools and methods using crowd-sourced data for the study of urban space </t>
        </is>
      </c>
      <c r="F3" s="49" t="inlineStr">
        <is>
          <t xml:space="preserve">17/02/2020 </t>
        </is>
      </c>
      <c r="G3" s="49" t="inlineStr">
        <is>
          <t xml:space="preserve">46336900L </t>
        </is>
      </c>
      <c r="H3" s="49" t="inlineStr">
        <is>
          <t xml:space="preserve">Director de tesis </t>
        </is>
      </c>
      <c r="I3" s="49" t="inlineStr">
        <is>
          <t xml:space="preserve">B184 </t>
        </is>
      </c>
      <c r="J3" s="49" t="inlineStr">
        <is>
          <t xml:space="preserve">EDIFICACIÓN Y URBANISMO </t>
        </is>
      </c>
      <c r="K3" s="49" t="n">
        <v>1</v>
      </c>
      <c r="L3" s="49" t="inlineStr">
        <is>
          <t>B184</t>
        </is>
      </c>
      <c r="M3" s="49" t="n">
        <v>2019</v>
      </c>
      <c r="N3" s="49" t="inlineStr">
        <is>
          <t>10.05</t>
        </is>
      </c>
      <c r="O3" s="49" t="inlineStr">
        <is>
          <t>20</t>
        </is>
      </c>
      <c r="P3" s="49" t="inlineStr">
        <is>
          <t>10.25</t>
        </is>
      </c>
      <c r="Q3" s="49" t="inlineStr">
        <is>
          <t>10</t>
        </is>
      </c>
      <c r="R3" s="49" t="n">
        <v>70</v>
      </c>
      <c r="S3" s="49" t="n">
        <v>0.7</v>
      </c>
      <c r="T3" s="50" t="n">
        <v>0.2</v>
      </c>
      <c r="U3" s="49" t="n">
        <v>0.1</v>
      </c>
    </row>
    <row r="4">
      <c r="A4" s="49" t="inlineStr">
        <is>
          <t xml:space="preserve">U023 </t>
        </is>
      </c>
      <c r="B4" s="49" t="inlineStr">
        <is>
          <t xml:space="preserve">ADM. FACULTAD DE FILOSOFIA Y LETRAS </t>
        </is>
      </c>
      <c r="C4" s="49" t="inlineStr">
        <is>
          <t xml:space="preserve">DOCTORADO EN FILOSOFÍA Y LETRAS </t>
        </is>
      </c>
      <c r="D4" s="49" t="inlineStr">
        <is>
          <t xml:space="preserve">Ríos Pérez, Manuel </t>
        </is>
      </c>
      <c r="E4" s="49" t="inlineStr">
        <is>
          <t xml:space="preserve">Concesiones de transporte público regular de viajeros por carretera y su dependencia territorial. Evolución, contexto socioeconómico y modelo desarrollado en la provincia de Alicante </t>
        </is>
      </c>
      <c r="F4" s="49" t="inlineStr">
        <is>
          <t xml:space="preserve">05/11/2020 </t>
        </is>
      </c>
      <c r="G4" s="49" t="inlineStr">
        <is>
          <t xml:space="preserve">21490870S </t>
        </is>
      </c>
      <c r="H4" s="49" t="inlineStr">
        <is>
          <t xml:space="preserve">Codirector de tesis </t>
        </is>
      </c>
      <c r="I4" s="49" t="inlineStr">
        <is>
          <t xml:space="preserve">B175 </t>
        </is>
      </c>
      <c r="J4" s="49" t="inlineStr">
        <is>
          <t xml:space="preserve">COMUNICACIÓN Y PSICOLOGÍA SOCIAL </t>
        </is>
      </c>
      <c r="K4" s="49" t="n">
        <v>0.5</v>
      </c>
      <c r="L4" s="49" t="inlineStr">
        <is>
          <t>B175</t>
        </is>
      </c>
      <c r="M4" s="49" t="n">
        <v>2019</v>
      </c>
      <c r="N4" s="49" t="inlineStr">
        <is>
          <t>10.23</t>
        </is>
      </c>
      <c r="O4" s="49" t="n">
        <v>20</v>
      </c>
      <c r="P4" s="49" t="inlineStr">
        <is>
          <t>10.25</t>
        </is>
      </c>
      <c r="Q4" s="49" t="n">
        <v>30</v>
      </c>
      <c r="R4" s="49" t="n">
        <v>50</v>
      </c>
      <c r="S4" s="49" t="n">
        <v>0.25</v>
      </c>
      <c r="T4" s="50" t="n">
        <v>0.1</v>
      </c>
      <c r="U4" s="49" t="n">
        <v>0.15</v>
      </c>
    </row>
    <row r="5">
      <c r="A5" s="49" t="inlineStr">
        <is>
          <t xml:space="preserve">B112 </t>
        </is>
      </c>
      <c r="B5" s="49" t="inlineStr">
        <is>
          <t xml:space="preserve">DIDACTICA GENERAL Y DIDÁCTICAS ESPECÍFICAS </t>
        </is>
      </c>
      <c r="C5" s="49" t="inlineStr">
        <is>
          <t xml:space="preserve">DOCTORADO EN INVESTIGACIÓN EDUCATIVA </t>
        </is>
      </c>
      <c r="D5" s="49" t="inlineStr">
        <is>
          <t xml:space="preserve">Urrea Solano, María Encarnación </t>
        </is>
      </c>
      <c r="E5" s="49" t="inlineStr">
        <is>
          <t xml:space="preserve">El liderazgo de las académicas en la Educación Superior: un estudio de caso </t>
        </is>
      </c>
      <c r="F5" s="49" t="inlineStr">
        <is>
          <t xml:space="preserve">22/02/2021 </t>
        </is>
      </c>
      <c r="G5" s="49" t="inlineStr">
        <is>
          <t xml:space="preserve">48769418B </t>
        </is>
      </c>
      <c r="H5" s="49" t="inlineStr">
        <is>
          <t xml:space="preserve">Codirector de tesis </t>
        </is>
      </c>
      <c r="I5" s="49" t="inlineStr">
        <is>
          <t xml:space="preserve">B112 </t>
        </is>
      </c>
      <c r="J5" s="49" t="inlineStr">
        <is>
          <t xml:space="preserve">DIDACTICA GENERAL Y DIDÁCTICAS ESPECÍFICAS </t>
        </is>
      </c>
      <c r="K5" s="49" t="n">
        <v>0.5</v>
      </c>
      <c r="L5" s="49" t="inlineStr">
        <is>
          <t>B112</t>
        </is>
      </c>
      <c r="M5" s="49" t="n">
        <v>2020</v>
      </c>
      <c r="N5" s="49" t="inlineStr">
        <is>
          <t>10.23</t>
        </is>
      </c>
      <c r="O5" s="49" t="n">
        <v>30</v>
      </c>
      <c r="P5" s="49" t="inlineStr">
        <is>
          <t>10.25</t>
        </is>
      </c>
      <c r="Q5" s="49" t="n">
        <v>30</v>
      </c>
      <c r="R5" s="49" t="n">
        <v>40</v>
      </c>
      <c r="S5" s="49" t="n">
        <v>0.2</v>
      </c>
      <c r="T5" s="50" t="n">
        <v>0.15</v>
      </c>
      <c r="U5" s="49" t="n">
        <v>0.15</v>
      </c>
    </row>
    <row r="6">
      <c r="A6" s="49" t="inlineStr">
        <is>
          <t xml:space="preserve">U023 </t>
        </is>
      </c>
      <c r="B6" s="49" t="inlineStr">
        <is>
          <t xml:space="preserve">ADM. FACULTAD DE FILOSOFIA Y LETRAS </t>
        </is>
      </c>
      <c r="C6" s="49" t="inlineStr">
        <is>
          <t xml:space="preserve">DOCTORADO EN FILOSOFÍA Y LETRAS </t>
        </is>
      </c>
      <c r="D6" s="49" t="inlineStr">
        <is>
          <t xml:space="preserve">Santa Soriano, Alba </t>
        </is>
      </c>
      <c r="E6" s="49" t="inlineStr">
        <is>
          <t xml:space="preserve">Relaciones públicas e inteligencia estratégica en la era digital: contexto, convergencia y aplicaciones desde el engagement para maximizar el impacto de los proyectos europeos </t>
        </is>
      </c>
      <c r="F6" s="49" t="inlineStr">
        <is>
          <t xml:space="preserve">22/06/2021 </t>
        </is>
      </c>
      <c r="G6" s="49" t="inlineStr">
        <is>
          <t xml:space="preserve">21490870S </t>
        </is>
      </c>
      <c r="H6" s="49" t="inlineStr">
        <is>
          <t xml:space="preserve">Director de tesis </t>
        </is>
      </c>
      <c r="I6" s="49" t="inlineStr">
        <is>
          <t xml:space="preserve">B175 </t>
        </is>
      </c>
      <c r="J6" s="49" t="inlineStr">
        <is>
          <t xml:space="preserve">COMUNICACIÓN Y PSICOLOGÍA SOCIAL </t>
        </is>
      </c>
      <c r="K6" s="49" t="n">
        <v>1</v>
      </c>
      <c r="L6" s="49" t="inlineStr">
        <is>
          <t>B175</t>
        </is>
      </c>
      <c r="M6" s="49" t="n">
        <v>2020</v>
      </c>
      <c r="N6" s="49" t="inlineStr">
        <is>
          <t>10.23</t>
        </is>
      </c>
      <c r="O6" s="49" t="n">
        <v>20</v>
      </c>
      <c r="P6" s="49" t="inlineStr">
        <is>
          <t>10.25</t>
        </is>
      </c>
      <c r="Q6" s="49" t="n">
        <v>30</v>
      </c>
      <c r="R6" s="49" t="n">
        <v>50</v>
      </c>
      <c r="S6" s="49" t="n">
        <v>0.5</v>
      </c>
      <c r="T6" s="50" t="n">
        <v>0.2</v>
      </c>
      <c r="U6" s="49" t="n">
        <v>0.3</v>
      </c>
    </row>
    <row r="7">
      <c r="A7" s="49" t="inlineStr">
        <is>
          <t xml:space="preserve">U023 </t>
        </is>
      </c>
      <c r="B7" s="49" t="inlineStr">
        <is>
          <t xml:space="preserve">ADM. FACULTAD DE FILOSOFIA Y LETRAS </t>
        </is>
      </c>
      <c r="C7" s="49" t="inlineStr">
        <is>
          <t xml:space="preserve">DOCTORADO EN FILOSOFÍA Y LETRAS </t>
        </is>
      </c>
      <c r="D7" s="49" t="inlineStr">
        <is>
          <t xml:space="preserve">Cañizares Gómez, María José </t>
        </is>
      </c>
      <c r="E7" s="49" t="inlineStr">
        <is>
          <t xml:space="preserve">Iglesia, frontera y poder: el pleito del obispado de Orihuela entre la Corona de Castilla y la Corona de Aragón (siglos XIII y XVI) </t>
        </is>
      </c>
      <c r="F7" s="49" t="inlineStr">
        <is>
          <t xml:space="preserve">29/09/2021 </t>
        </is>
      </c>
      <c r="G7" s="49" t="inlineStr">
        <is>
          <t xml:space="preserve">21436046T </t>
        </is>
      </c>
      <c r="H7" s="49" t="inlineStr">
        <is>
          <t xml:space="preserve">Codirector de tesis </t>
        </is>
      </c>
      <c r="I7" s="49" t="inlineStr">
        <is>
          <t xml:space="preserve">B174 </t>
        </is>
      </c>
      <c r="J7" s="49" t="inlineStr">
        <is>
          <t xml:space="preserve">HISTORIA MEDIEVAL, HISTORIA MODERNA Y CIENCIAS Y TÉCNICAS HISTORIOGRÀFICAS </t>
        </is>
      </c>
      <c r="K7" s="49" t="n">
        <v>0.5</v>
      </c>
      <c r="L7" s="49" t="inlineStr">
        <is>
          <t>B174</t>
        </is>
      </c>
      <c r="M7" s="49" t="n">
        <v>2020</v>
      </c>
      <c r="N7" s="49" t="inlineStr">
        <is>
          <t>10.23</t>
        </is>
      </c>
      <c r="O7" s="49" t="n">
        <v>10</v>
      </c>
      <c r="P7" s="49" t="inlineStr">
        <is>
          <t>10.25</t>
        </is>
      </c>
      <c r="Q7" s="49" t="n">
        <v>25</v>
      </c>
      <c r="R7" s="49" t="n">
        <v>65</v>
      </c>
      <c r="S7" s="49" t="n">
        <v>0.325</v>
      </c>
      <c r="T7" s="50" t="n">
        <v>0.05</v>
      </c>
      <c r="U7" s="49" t="n">
        <v>0.125</v>
      </c>
    </row>
    <row r="8">
      <c r="A8" s="49" t="inlineStr">
        <is>
          <t xml:space="preserve">U062 </t>
        </is>
      </c>
      <c r="B8" s="49" t="inlineStr">
        <is>
          <t xml:space="preserve">ADM. I.U. DE INVESTIGACIÓN INFORMÁTICA </t>
        </is>
      </c>
      <c r="C8" s="49" t="inlineStr">
        <is>
          <t xml:space="preserve">DOCTORADO EN INFORMÁTICA </t>
        </is>
      </c>
      <c r="D8" s="49" t="inlineStr">
        <is>
          <t xml:space="preserve">Jiménez Álvarez, Luis Gonzalo </t>
        </is>
      </c>
      <c r="E8" s="49" t="inlineStr">
        <is>
          <t xml:space="preserve">Diseño y Especificación del ocio digital con fines de aprendizaje ODFA Subproblema: Ocio digital formativo en competencias ODFC para la UCE </t>
        </is>
      </c>
      <c r="F8" s="49" t="inlineStr">
        <is>
          <t xml:space="preserve">25/02/2021 </t>
        </is>
      </c>
      <c r="G8" s="49" t="inlineStr">
        <is>
          <t xml:space="preserve">21964202F </t>
        </is>
      </c>
      <c r="H8" s="49" t="inlineStr">
        <is>
          <t xml:space="preserve">Codirector de tesis </t>
        </is>
      </c>
      <c r="I8" s="49" t="inlineStr">
        <is>
          <t xml:space="preserve">B148 </t>
        </is>
      </c>
      <c r="J8" s="49" t="inlineStr">
        <is>
          <t xml:space="preserve">TECNOLOGÍA INFORMÁTICA Y COMPUTACIÓN </t>
        </is>
      </c>
      <c r="K8" s="49" t="n">
        <v>0.5</v>
      </c>
      <c r="L8" s="49" t="inlineStr">
        <is>
          <t>B148</t>
        </is>
      </c>
      <c r="M8" s="49" t="n">
        <v>2020</v>
      </c>
      <c r="N8" s="49" t="inlineStr">
        <is>
          <t>10.19</t>
        </is>
      </c>
      <c r="O8" s="49" t="n">
        <v>20</v>
      </c>
      <c r="P8" s="49" t="inlineStr">
        <is>
          <t>10.25</t>
        </is>
      </c>
      <c r="Q8" s="49" t="n">
        <v>10</v>
      </c>
      <c r="R8" s="49" t="n">
        <v>70</v>
      </c>
      <c r="S8" s="49" t="n">
        <v>0.35</v>
      </c>
      <c r="T8" s="50" t="n">
        <v>0.1</v>
      </c>
      <c r="U8" s="49" t="n">
        <v>0.05</v>
      </c>
    </row>
    <row r="9">
      <c r="A9" s="49" t="inlineStr">
        <is>
          <t xml:space="preserve">U062 </t>
        </is>
      </c>
      <c r="B9" s="49" t="inlineStr">
        <is>
          <t xml:space="preserve">ADM. I.U. DE INVESTIGACIÓN INFORMÁTICA </t>
        </is>
      </c>
      <c r="C9" s="49" t="inlineStr">
        <is>
          <t xml:space="preserve">DOCTORADO EN INFORMÁTICA </t>
        </is>
      </c>
      <c r="D9" s="49" t="inlineStr">
        <is>
          <t xml:space="preserve">Rosa de Rivera, Verónica Idalia </t>
        </is>
      </c>
      <c r="E9" s="49" t="inlineStr">
        <is>
          <t xml:space="preserve">Diseño causal de sistema piramidal para aprendizaje colaborativo de los lenguajes de programación </t>
        </is>
      </c>
      <c r="F9" s="49" t="inlineStr">
        <is>
          <t xml:space="preserve">21/07/2021 </t>
        </is>
      </c>
      <c r="G9" s="49" t="inlineStr">
        <is>
          <t xml:space="preserve">21964202F </t>
        </is>
      </c>
      <c r="H9" s="49" t="inlineStr">
        <is>
          <t xml:space="preserve">Director de tesis </t>
        </is>
      </c>
      <c r="I9" s="49" t="inlineStr">
        <is>
          <t xml:space="preserve">B148 </t>
        </is>
      </c>
      <c r="J9" s="49" t="inlineStr">
        <is>
          <t xml:space="preserve">TECNOLOGÍA INFORMÁTICA Y COMPUTACIÓN </t>
        </is>
      </c>
      <c r="K9" s="49" t="n">
        <v>1</v>
      </c>
      <c r="L9" s="49" t="inlineStr">
        <is>
          <t>B148</t>
        </is>
      </c>
      <c r="M9" s="49" t="n">
        <v>2020</v>
      </c>
      <c r="N9" s="49" t="inlineStr">
        <is>
          <t>10.19</t>
        </is>
      </c>
      <c r="O9" s="49" t="n">
        <v>20</v>
      </c>
      <c r="P9" s="49" t="inlineStr">
        <is>
          <t>10.25</t>
        </is>
      </c>
      <c r="Q9" s="49" t="n">
        <v>10</v>
      </c>
      <c r="R9" s="49" t="n">
        <v>70</v>
      </c>
      <c r="S9" s="49" t="n">
        <v>0.7</v>
      </c>
      <c r="T9" s="50" t="n">
        <v>0.2</v>
      </c>
      <c r="U9" s="49" t="n">
        <v>0.1</v>
      </c>
    </row>
    <row r="10">
      <c r="A10" s="49" t="inlineStr">
        <is>
          <t xml:space="preserve">U062 </t>
        </is>
      </c>
      <c r="B10" s="49" t="inlineStr">
        <is>
          <t xml:space="preserve">ADM. I.U. DE INVESTIGACIÓN INFORMÁTICA </t>
        </is>
      </c>
      <c r="C10" s="49" t="inlineStr">
        <is>
          <t xml:space="preserve">DOCTORADO EN INFORMÁTICA </t>
        </is>
      </c>
      <c r="D10" s="49" t="inlineStr">
        <is>
          <t xml:space="preserve">Aguirre Ayala, Carlos Antonio </t>
        </is>
      </c>
      <c r="E10" s="49" t="inlineStr">
        <is>
          <t xml:space="preserve">"Diseño causal de sistema piramidal para aprendizaje colaborativo sobre la ingeniería web". </t>
        </is>
      </c>
      <c r="F10" s="49" t="inlineStr">
        <is>
          <t xml:space="preserve">22/07/2021 </t>
        </is>
      </c>
      <c r="G10" s="49" t="inlineStr">
        <is>
          <t xml:space="preserve">21964202F </t>
        </is>
      </c>
      <c r="H10" s="49" t="inlineStr">
        <is>
          <t xml:space="preserve">Director de tesis </t>
        </is>
      </c>
      <c r="I10" s="49" t="inlineStr">
        <is>
          <t xml:space="preserve">B148 </t>
        </is>
      </c>
      <c r="J10" s="49" t="inlineStr">
        <is>
          <t xml:space="preserve">TECNOLOGÍA INFORMÁTICA Y COMPUTACIÓN </t>
        </is>
      </c>
      <c r="K10" s="49" t="n">
        <v>1</v>
      </c>
      <c r="L10" s="49" t="inlineStr">
        <is>
          <t>B148</t>
        </is>
      </c>
      <c r="M10" s="49" t="n">
        <v>2020</v>
      </c>
      <c r="N10" s="49" t="inlineStr">
        <is>
          <t>10.19</t>
        </is>
      </c>
      <c r="O10" s="49" t="n">
        <v>20</v>
      </c>
      <c r="P10" s="49" t="inlineStr">
        <is>
          <t>10.25</t>
        </is>
      </c>
      <c r="Q10" s="49" t="n">
        <v>10</v>
      </c>
      <c r="R10" s="49" t="n">
        <v>70</v>
      </c>
      <c r="S10" s="49" t="n">
        <v>0.7</v>
      </c>
      <c r="T10" s="50" t="n">
        <v>0.2</v>
      </c>
      <c r="U10" s="49" t="n">
        <v>0.1</v>
      </c>
    </row>
    <row r="11">
      <c r="A11" s="49" t="inlineStr">
        <is>
          <t xml:space="preserve">B177 </t>
        </is>
      </c>
      <c r="B11" s="49" t="inlineStr">
        <is>
          <t xml:space="preserve">PSICOLOGÍA EVOLUTIVA Y DIDÁCTICA </t>
        </is>
      </c>
      <c r="C11" s="49" t="inlineStr">
        <is>
          <t xml:space="preserve">DOCTORADO EN INVESTIGACIÓN EDUCATIVA </t>
        </is>
      </c>
      <c r="D11" s="49" t="inlineStr">
        <is>
          <t xml:space="preserve">Gavilán Martín, Diego </t>
        </is>
      </c>
      <c r="E11" s="49" t="inlineStr">
        <is>
          <t xml:space="preserve">La integración de la igualdad de género en la formación de los futuros docentes de Educación Primaria: los espacios de género </t>
        </is>
      </c>
      <c r="F11" s="49" t="inlineStr">
        <is>
          <t xml:space="preserve">18/10/2021 </t>
        </is>
      </c>
      <c r="G11" s="49" t="inlineStr">
        <is>
          <t xml:space="preserve">48769418B </t>
        </is>
      </c>
      <c r="H11" s="49" t="inlineStr">
        <is>
          <t xml:space="preserve">Director de tesis </t>
        </is>
      </c>
      <c r="I11" s="49" t="inlineStr">
        <is>
          <t xml:space="preserve">B112 </t>
        </is>
      </c>
      <c r="J11" s="49" t="inlineStr">
        <is>
          <t xml:space="preserve">DIDACTICA GENERAL Y DIDÁCTICAS ESPECÍFICAS </t>
        </is>
      </c>
      <c r="K11" s="49" t="n">
        <v>1</v>
      </c>
      <c r="L11" s="49" t="inlineStr">
        <is>
          <t>B112</t>
        </is>
      </c>
      <c r="M11" s="49" t="n">
        <v>2021</v>
      </c>
      <c r="N11" s="49" t="inlineStr">
        <is>
          <t>10.23</t>
        </is>
      </c>
      <c r="O11" s="49" t="n">
        <v>30</v>
      </c>
      <c r="P11" s="49" t="inlineStr">
        <is>
          <t>10.25</t>
        </is>
      </c>
      <c r="Q11" s="49" t="n">
        <v>30</v>
      </c>
      <c r="R11" s="49" t="n">
        <v>40</v>
      </c>
      <c r="S11" s="49" t="n">
        <v>0.4</v>
      </c>
      <c r="T11" s="50" t="n">
        <v>0.3</v>
      </c>
      <c r="U11" s="49" t="n">
        <v>0.3</v>
      </c>
    </row>
    <row r="12">
      <c r="A12" s="49" t="inlineStr">
        <is>
          <t xml:space="preserve">U020 </t>
        </is>
      </c>
      <c r="B12" s="49" t="inlineStr">
        <is>
          <t xml:space="preserve">ADM. I.U. DEL AGUA Y DE LAS CIENCIAS AMBIENTALES </t>
        </is>
      </c>
      <c r="C12" s="49" t="inlineStr">
        <is>
          <t xml:space="preserve">DOCTORADO EN AGUA Y DESARROLLO SOSTENIBLE </t>
        </is>
      </c>
      <c r="D12" s="49" t="inlineStr">
        <is>
          <t xml:space="preserve">López Davó, Joaquín Antonio </t>
        </is>
      </c>
      <c r="E12" s="49" t="inlineStr">
        <is>
          <t xml:space="preserve">La evolución del concepto de confort: el confort ambiental en edificios docentes y administrativos </t>
        </is>
      </c>
      <c r="F12" s="49" t="inlineStr">
        <is>
          <t xml:space="preserve">25/03/2022 </t>
        </is>
      </c>
      <c r="G12" s="49" t="inlineStr">
        <is>
          <t xml:space="preserve">46336900L </t>
        </is>
      </c>
      <c r="H12" s="49" t="inlineStr">
        <is>
          <t xml:space="preserve">Codirector de tesis </t>
        </is>
      </c>
      <c r="I12" s="49" t="inlineStr">
        <is>
          <t xml:space="preserve">B184 </t>
        </is>
      </c>
      <c r="J12" s="49" t="inlineStr">
        <is>
          <t xml:space="preserve">EDIFICACIÓN Y URBANISMO </t>
        </is>
      </c>
      <c r="K12" s="49" t="n">
        <v>0.5</v>
      </c>
      <c r="L12" s="49" t="inlineStr">
        <is>
          <t>B184</t>
        </is>
      </c>
      <c r="M12" s="49" t="n">
        <v>2021</v>
      </c>
      <c r="N12" s="49" t="inlineStr">
        <is>
          <t>10.05</t>
        </is>
      </c>
      <c r="O12" s="49" t="n">
        <v>20</v>
      </c>
      <c r="P12" s="49" t="inlineStr">
        <is>
          <t>10.25</t>
        </is>
      </c>
      <c r="Q12" s="49" t="n">
        <v>10</v>
      </c>
      <c r="R12" s="49" t="n">
        <v>70</v>
      </c>
      <c r="S12" s="49" t="n">
        <v>0.35</v>
      </c>
      <c r="T12" s="50" t="n">
        <v>0.1</v>
      </c>
      <c r="U12" s="49" t="n">
        <v>0.05</v>
      </c>
    </row>
    <row r="13">
      <c r="A13" s="49" t="inlineStr">
        <is>
          <t xml:space="preserve">U023 </t>
        </is>
      </c>
      <c r="B13" s="49" t="inlineStr">
        <is>
          <t xml:space="preserve">ADM. FACULTAD DE FILOSOFIA Y LETRAS </t>
        </is>
      </c>
      <c r="C13" s="49" t="inlineStr">
        <is>
          <t xml:space="preserve">DOCTORADO EN FILOSOFÍA Y LETRAS </t>
        </is>
      </c>
      <c r="D13" s="49" t="inlineStr">
        <is>
          <t xml:space="preserve">Gariano , Elvira </t>
        </is>
      </c>
      <c r="E13" s="49" t="inlineStr">
        <is>
          <t xml:space="preserve">La transposición legislativa europea en materia de enseñanza de idiomas en Italia y su repercusión en el español como lengua extanjera </t>
        </is>
      </c>
      <c r="F13" s="49" t="inlineStr">
        <is>
          <t xml:space="preserve">11/05/2022 </t>
        </is>
      </c>
      <c r="G13" s="49" t="inlineStr">
        <is>
          <t xml:space="preserve">05150725J </t>
        </is>
      </c>
      <c r="H13" s="49" t="inlineStr">
        <is>
          <t xml:space="preserve">Director de tesis </t>
        </is>
      </c>
      <c r="I13" s="49" t="inlineStr">
        <is>
          <t xml:space="preserve">B115 </t>
        </is>
      </c>
      <c r="J13" s="49" t="inlineStr">
        <is>
          <t xml:space="preserve">FILOL. ESPAÑOLA, LINGÜÍSTICA GENERAL Y TEORIA DE LA LITERATURA </t>
        </is>
      </c>
      <c r="K13" s="49" t="n">
        <v>1</v>
      </c>
      <c r="L13" s="49" t="inlineStr">
        <is>
          <t>B115</t>
        </is>
      </c>
      <c r="M13" s="49" t="n">
        <v>2021</v>
      </c>
      <c r="N13" s="49" t="inlineStr">
        <is>
          <t>10.15</t>
        </is>
      </c>
      <c r="O13" s="49" t="n">
        <v>10</v>
      </c>
      <c r="P13" s="49" t="inlineStr">
        <is>
          <t>10.25</t>
        </is>
      </c>
      <c r="Q13" s="49" t="n">
        <v>30</v>
      </c>
      <c r="R13" s="49" t="n">
        <v>60</v>
      </c>
      <c r="S13" s="49" t="n">
        <v>0.6</v>
      </c>
      <c r="T13" s="50" t="n">
        <v>0.1</v>
      </c>
      <c r="U13" s="49" t="n">
        <v>0.3</v>
      </c>
    </row>
    <row r="14">
      <c r="A14" s="49" t="inlineStr">
        <is>
          <t xml:space="preserve">U062 </t>
        </is>
      </c>
      <c r="B14" s="49" t="inlineStr">
        <is>
          <t xml:space="preserve">I.U. DE INVESTIGACIÓN INFORMÁTICA (10.19) </t>
        </is>
      </c>
      <c r="C14" s="49" t="inlineStr">
        <is>
          <t xml:space="preserve">DOCTORADO EN INFORMÁTICA </t>
        </is>
      </c>
      <c r="D14" s="49" t="inlineStr">
        <is>
          <t xml:space="preserve">Sánchez Torres, Fulgencio </t>
        </is>
      </c>
      <c r="E14" s="49" t="inlineStr">
        <is>
          <t xml:space="preserve">Data science como soporte al modelado del conocimiento para el análisis de costes en la empresa 4.0: la entidad turística </t>
        </is>
      </c>
      <c r="F14" s="49" t="inlineStr">
        <is>
          <t xml:space="preserve">22/09/2022 </t>
        </is>
      </c>
      <c r="G14" s="49" t="inlineStr">
        <is>
          <t xml:space="preserve">21964202F </t>
        </is>
      </c>
      <c r="H14" s="49" t="inlineStr">
        <is>
          <t xml:space="preserve">Codirector de tesis </t>
        </is>
      </c>
      <c r="I14" s="49" t="inlineStr">
        <is>
          <t xml:space="preserve">B148 </t>
        </is>
      </c>
      <c r="J14" s="49" t="inlineStr">
        <is>
          <t xml:space="preserve">TECNOLOGÍA INFORMÁTICA Y COMPUTACIÓN </t>
        </is>
      </c>
      <c r="K14" s="49" t="n">
        <v>0.5</v>
      </c>
      <c r="L14" s="49" t="inlineStr">
        <is>
          <t>B148</t>
        </is>
      </c>
      <c r="M14" s="49" t="n">
        <v>2021</v>
      </c>
      <c r="N14" s="49" t="inlineStr">
        <is>
          <t>10.19</t>
        </is>
      </c>
      <c r="O14" s="49" t="n">
        <v>20</v>
      </c>
      <c r="P14" s="49" t="inlineStr">
        <is>
          <t>10.25</t>
        </is>
      </c>
      <c r="Q14" s="49" t="n">
        <v>10</v>
      </c>
      <c r="R14" s="49" t="n">
        <v>70</v>
      </c>
      <c r="S14" s="49" t="n">
        <v>0.35</v>
      </c>
      <c r="T14" s="50" t="n">
        <v>0.1</v>
      </c>
      <c r="U14" s="49" t="n">
        <v>0.05</v>
      </c>
    </row>
    <row r="15">
      <c r="A15" s="49" t="inlineStr">
        <is>
          <t xml:space="preserve">B112 </t>
        </is>
      </c>
      <c r="B15" s="49" t="inlineStr">
        <is>
          <t xml:space="preserve">DIDACTICA GENERAL Y DIDÁCTICAS ESPECÍFICAS </t>
        </is>
      </c>
      <c r="C15" s="49" t="inlineStr">
        <is>
          <t xml:space="preserve">DOCTORADO EN INVESTIGACIÓN EDUCATIVA </t>
        </is>
      </c>
      <c r="D15" s="49" t="inlineStr">
        <is>
          <t>Martínez Loza, Rommel Esteban</t>
        </is>
      </c>
      <c r="E15" s="49" t="inlineStr">
        <is>
          <t xml:space="preserve">LA FORMACIÓN DEL PROFESORADO DE LA UNIVERSIDAD CENTRAL DEL ECUADOR Y SU REPERCUSIÓN EN LA DOCENCIA </t>
        </is>
      </c>
      <c r="F15" s="49" t="inlineStr">
        <is>
          <t xml:space="preserve">31/03/2023 </t>
        </is>
      </c>
      <c r="G15" s="49" t="inlineStr">
        <is>
          <t xml:space="preserve">48769418B </t>
        </is>
      </c>
      <c r="H15" s="49" t="inlineStr">
        <is>
          <t xml:space="preserve">Director de tesis </t>
        </is>
      </c>
      <c r="I15" s="49" t="inlineStr">
        <is>
          <t xml:space="preserve">B112 </t>
        </is>
      </c>
      <c r="J15" s="49" t="inlineStr">
        <is>
          <t xml:space="preserve">DIDACTICA GENERAL Y DIDÁCTICAS ESPECÍFICAS </t>
        </is>
      </c>
      <c r="K15" s="49" t="n">
        <v>1</v>
      </c>
      <c r="L15" s="49" t="inlineStr">
        <is>
          <t>B112</t>
        </is>
      </c>
      <c r="M15" s="49" t="n">
        <v>2022</v>
      </c>
      <c r="N15" s="49" t="inlineStr">
        <is>
          <t>10.23</t>
        </is>
      </c>
      <c r="O15" s="49" t="n">
        <v>30</v>
      </c>
      <c r="P15" s="49" t="inlineStr">
        <is>
          <t>10.25</t>
        </is>
      </c>
      <c r="Q15" s="49" t="n">
        <v>30</v>
      </c>
      <c r="R15" s="49" t="n">
        <v>40</v>
      </c>
      <c r="S15" s="49" t="n">
        <v>0.4</v>
      </c>
      <c r="T15" s="50" t="n">
        <v>0.3</v>
      </c>
      <c r="U15" s="49" t="n">
        <v>0.3</v>
      </c>
    </row>
    <row r="16">
      <c r="A16" s="49" t="inlineStr">
        <is>
          <t xml:space="preserve">B112 </t>
        </is>
      </c>
      <c r="B16" s="49" t="inlineStr">
        <is>
          <t xml:space="preserve">DIDACTICA GENERAL Y DIDÁCTICAS ESPECÍFICAS </t>
        </is>
      </c>
      <c r="C16" s="49" t="inlineStr">
        <is>
          <t xml:space="preserve">DOCTORADO EN INVESTIGACIÓN EDUCATIVA </t>
        </is>
      </c>
      <c r="D16" s="49" t="inlineStr">
        <is>
          <t>Soler Ortiz, Seila Aixa</t>
        </is>
      </c>
      <c r="E16" s="49" t="inlineStr">
        <is>
          <t xml:space="preserve">La educación en Alicante durante el primer tercio del siglo XX: las memorias técnicas como objeto de estudio en un período de transición hacia la graduación escolar. </t>
        </is>
      </c>
      <c r="F16" s="49" t="inlineStr">
        <is>
          <t xml:space="preserve">11/07/2023 </t>
        </is>
      </c>
      <c r="G16" s="49" t="inlineStr">
        <is>
          <t xml:space="preserve">48769418B </t>
        </is>
      </c>
      <c r="H16" s="49" t="inlineStr">
        <is>
          <t xml:space="preserve">Codirector de tesis </t>
        </is>
      </c>
      <c r="I16" s="49" t="inlineStr">
        <is>
          <t xml:space="preserve">B112 </t>
        </is>
      </c>
      <c r="J16" s="49" t="inlineStr">
        <is>
          <t xml:space="preserve">DIDACTICA GENERAL Y DIDÁCTICAS ESPECÍFICAS </t>
        </is>
      </c>
      <c r="K16" s="49" t="n">
        <v>0.5</v>
      </c>
      <c r="L16" s="49" t="inlineStr">
        <is>
          <t>B112</t>
        </is>
      </c>
      <c r="M16" s="49" t="n">
        <v>2022</v>
      </c>
      <c r="N16" s="49" t="inlineStr">
        <is>
          <t>10.23</t>
        </is>
      </c>
      <c r="O16" s="49" t="n">
        <v>30</v>
      </c>
      <c r="P16" s="49" t="inlineStr">
        <is>
          <t>10.25</t>
        </is>
      </c>
      <c r="Q16" s="49" t="n">
        <v>30</v>
      </c>
      <c r="R16" s="49" t="n">
        <v>40</v>
      </c>
      <c r="S16" s="49" t="n">
        <v>0.2</v>
      </c>
      <c r="T16" s="50" t="n">
        <v>0.15</v>
      </c>
      <c r="U16" s="49" t="n">
        <v>0.15</v>
      </c>
    </row>
    <row r="17">
      <c r="A17" s="49" t="inlineStr">
        <is>
          <t xml:space="preserve">B177 </t>
        </is>
      </c>
      <c r="B17" s="49" t="inlineStr">
        <is>
          <t xml:space="preserve">PSICOLOGÍA EVOLUTIVA Y DIDÁCTICA </t>
        </is>
      </c>
      <c r="C17" s="49" t="inlineStr">
        <is>
          <t xml:space="preserve">DOCTORADO EN INVESTIGACIÓN EDUCATIVA </t>
        </is>
      </c>
      <c r="D17" s="49" t="inlineStr">
        <is>
          <t>Borja Naranjo, Germania Maricela</t>
        </is>
      </c>
      <c r="E17" s="49" t="inlineStr">
        <is>
          <t xml:space="preserve">LOS ESTEREOTIPOS SEXISTAS EN EL LENGUAJE DEL ESTUDIANTADO Y DEL PROFESORADO DE LA CARRERA DE PEDAGOGÍA DE LA LENGUA Y LA LITERATURA DE LA UNIVERSIDAD CENTRAL DEL ECUADOR </t>
        </is>
      </c>
      <c r="F17" s="49" t="inlineStr">
        <is>
          <t xml:space="preserve">31/03/2023 </t>
        </is>
      </c>
      <c r="G17" s="49" t="inlineStr">
        <is>
          <t xml:space="preserve">48769418B </t>
        </is>
      </c>
      <c r="H17" s="49" t="inlineStr">
        <is>
          <t xml:space="preserve">Codirector de tesis </t>
        </is>
      </c>
      <c r="I17" s="49" t="inlineStr">
        <is>
          <t xml:space="preserve">B112 </t>
        </is>
      </c>
      <c r="J17" s="49" t="inlineStr">
        <is>
          <t xml:space="preserve">DIDACTICA GENERAL Y DIDÁCTICAS ESPECÍFICAS </t>
        </is>
      </c>
      <c r="K17" s="49" t="n">
        <v>0.5</v>
      </c>
      <c r="L17" s="49" t="inlineStr">
        <is>
          <t>B112</t>
        </is>
      </c>
      <c r="M17" s="49" t="n">
        <v>2022</v>
      </c>
      <c r="N17" s="49" t="inlineStr">
        <is>
          <t>10.23</t>
        </is>
      </c>
      <c r="O17" s="49" t="n">
        <v>30</v>
      </c>
      <c r="P17" s="49" t="inlineStr">
        <is>
          <t>10.25</t>
        </is>
      </c>
      <c r="Q17" s="49" t="n">
        <v>30</v>
      </c>
      <c r="R17" s="49" t="n">
        <v>40</v>
      </c>
      <c r="S17" s="49" t="n">
        <v>0.2</v>
      </c>
      <c r="T17" s="50" t="n">
        <v>0.15</v>
      </c>
      <c r="U17" s="49" t="n">
        <v>0.15</v>
      </c>
    </row>
    <row r="18">
      <c r="A18" s="49" t="inlineStr">
        <is>
          <t xml:space="preserve">U020 </t>
        </is>
      </c>
      <c r="B18" s="49" t="inlineStr">
        <is>
          <t xml:space="preserve">I.U. DEL AGUA Y DE LAS CIENCIAS AMBIENTALES (10.05) </t>
        </is>
      </c>
      <c r="C18" s="49" t="inlineStr">
        <is>
          <t xml:space="preserve">DOCTORADO EN AGUA Y DESARROLLO SOSTENIBLE </t>
        </is>
      </c>
      <c r="D18" s="49" t="inlineStr">
        <is>
          <t>Bernabeu Bautista, Álvaro</t>
        </is>
      </c>
      <c r="E18" s="49" t="inlineStr">
        <is>
          <t xml:space="preserve">PRESENCIA Y ACTIVIDAD URBANA EN LAS CIUDADES DE LA COMUNIDAD </t>
        </is>
      </c>
      <c r="F18" s="49" t="inlineStr">
        <is>
          <t xml:space="preserve">12/09/2023 </t>
        </is>
      </c>
      <c r="G18" s="49" t="inlineStr">
        <is>
          <t xml:space="preserve">46336900L </t>
        </is>
      </c>
      <c r="H18" s="49" t="inlineStr">
        <is>
          <t xml:space="preserve">Codirector de tesis </t>
        </is>
      </c>
      <c r="I18" s="49" t="inlineStr">
        <is>
          <t xml:space="preserve">B184 </t>
        </is>
      </c>
      <c r="J18" s="49" t="inlineStr">
        <is>
          <t xml:space="preserve">EDIFICACIÓN Y URBANISMO </t>
        </is>
      </c>
      <c r="K18" s="49" t="n">
        <v>0.5</v>
      </c>
      <c r="L18" s="49" t="inlineStr">
        <is>
          <t>B184</t>
        </is>
      </c>
      <c r="M18" s="49" t="n">
        <v>2022</v>
      </c>
      <c r="N18" s="49" t="inlineStr">
        <is>
          <t>10.05</t>
        </is>
      </c>
      <c r="O18" s="49" t="n">
        <v>20</v>
      </c>
      <c r="P18" s="49" t="inlineStr">
        <is>
          <t>10.25</t>
        </is>
      </c>
      <c r="Q18" s="49" t="n">
        <v>10</v>
      </c>
      <c r="R18" s="49" t="n">
        <v>70</v>
      </c>
      <c r="S18" s="49" t="n">
        <v>0.35</v>
      </c>
      <c r="T18" s="50" t="n">
        <v>0.1</v>
      </c>
      <c r="U18" s="49" t="n">
        <v>0.05</v>
      </c>
    </row>
    <row r="19">
      <c r="A19" s="49" t="inlineStr">
        <is>
          <t xml:space="preserve">U023 </t>
        </is>
      </c>
      <c r="B19" s="49" t="inlineStr">
        <is>
          <t xml:space="preserve">ADM. FACULTAD DE FILOSOFIA Y LETRAS </t>
        </is>
      </c>
      <c r="C19" s="49" t="inlineStr">
        <is>
          <t xml:space="preserve">DOCTORADO EN FILOSOFÍA Y LETRAS </t>
        </is>
      </c>
      <c r="D19" s="49" t="inlineStr">
        <is>
          <t>Lorenzo Álvarez, Carolina</t>
        </is>
      </c>
      <c r="E19" s="49" t="inlineStr">
        <is>
          <t xml:space="preserve">Estudio de la percepción social sobre comportamientos considerados corruptos y/o éticamente reprobables en la política desde una perspectiva de género. </t>
        </is>
      </c>
      <c r="F19" s="49" t="inlineStr">
        <is>
          <t xml:space="preserve">12/09/2023 </t>
        </is>
      </c>
      <c r="G19" s="49" t="inlineStr">
        <is>
          <t xml:space="preserve">21490870S </t>
        </is>
      </c>
      <c r="H19" s="49" t="inlineStr">
        <is>
          <t xml:space="preserve">Director de tesis </t>
        </is>
      </c>
      <c r="I19" s="49" t="inlineStr">
        <is>
          <t xml:space="preserve">B175 </t>
        </is>
      </c>
      <c r="J19" s="49" t="inlineStr">
        <is>
          <t xml:space="preserve">COMUNICACIÓN Y PSICOLOGÍA SOCIAL </t>
        </is>
      </c>
      <c r="K19" s="49" t="n">
        <v>1</v>
      </c>
      <c r="L19" s="49" t="inlineStr">
        <is>
          <t>B175</t>
        </is>
      </c>
      <c r="M19" s="49" t="n">
        <v>2022</v>
      </c>
      <c r="N19" s="49" t="inlineStr">
        <is>
          <t>10.23</t>
        </is>
      </c>
      <c r="O19" s="49" t="n">
        <v>20</v>
      </c>
      <c r="P19" s="49" t="inlineStr">
        <is>
          <t>10.25</t>
        </is>
      </c>
      <c r="Q19" s="49" t="n">
        <v>30</v>
      </c>
      <c r="R19" s="49" t="n">
        <v>50</v>
      </c>
      <c r="S19" s="49" t="n">
        <v>0.5</v>
      </c>
      <c r="T19" s="50" t="n">
        <v>0.2</v>
      </c>
      <c r="U19" s="49" t="n">
        <v>0.3</v>
      </c>
    </row>
    <row r="20">
      <c r="A20" s="49" t="inlineStr">
        <is>
          <t xml:space="preserve">U023 </t>
        </is>
      </c>
      <c r="B20" s="49" t="inlineStr">
        <is>
          <t>ADM. FACULTAD DE FILOSOFIA Y LETRAS</t>
        </is>
      </c>
      <c r="C20" s="49" t="inlineStr">
        <is>
          <t>DOCTORADO EN FILOSOFÍA Y LETRAS</t>
        </is>
      </c>
      <c r="D20" s="49" t="inlineStr">
        <is>
          <t>Robles Delgado, Alberto</t>
        </is>
      </c>
      <c r="E20" s="49" t="inlineStr">
        <is>
          <t>Épica y barbarie en la pantalla: Representación de la cultura vikinga a través de las ficciones del cine y la televisión</t>
        </is>
      </c>
      <c r="F20" s="49" t="inlineStr">
        <is>
          <t>21/09/2023</t>
        </is>
      </c>
      <c r="G20" s="49" t="inlineStr">
        <is>
          <t xml:space="preserve">21436046T </t>
        </is>
      </c>
      <c r="H20" s="49" t="inlineStr">
        <is>
          <t>Codirector de tesis</t>
        </is>
      </c>
      <c r="I20" s="49" t="inlineStr">
        <is>
          <t>B174</t>
        </is>
      </c>
      <c r="J20" s="49" t="inlineStr">
        <is>
          <t>HISTORIA MEDIEVAL, HISTORIA MODERNA Y CIENCIAS Y TÉCNICAS HISTORIOGRÀFICAS</t>
        </is>
      </c>
      <c r="K20" s="49" t="n">
        <v>0.5</v>
      </c>
      <c r="L20" s="49" t="inlineStr">
        <is>
          <t>B174</t>
        </is>
      </c>
      <c r="M20" s="49" t="n">
        <v>2022</v>
      </c>
      <c r="N20" s="49" t="inlineStr">
        <is>
          <t>10.23</t>
        </is>
      </c>
      <c r="O20" s="49" t="n">
        <v>10</v>
      </c>
      <c r="P20" s="49" t="inlineStr">
        <is>
          <t>10.25</t>
        </is>
      </c>
      <c r="Q20" s="49" t="n">
        <v>25</v>
      </c>
      <c r="R20" s="49" t="n">
        <v>65</v>
      </c>
      <c r="S20" s="49" t="n">
        <v>0.325</v>
      </c>
      <c r="T20" s="50" t="n">
        <v>0.05</v>
      </c>
      <c r="U20" s="49" t="n">
        <v>0.125</v>
      </c>
    </row>
    <row r="21">
      <c r="A21" s="49" t="inlineStr">
        <is>
          <t>B177</t>
        </is>
      </c>
      <c r="B21" s="49" t="inlineStr">
        <is>
          <t>PSICOLOGÍA EVOLUTIVA Y DIDÁCTICA</t>
        </is>
      </c>
      <c r="C21" s="49" t="inlineStr">
        <is>
          <t>DOCTORADO EN INVESTIGACIÓN EDUCATIVA</t>
        </is>
      </c>
      <c r="D21" s="49" t="inlineStr">
        <is>
          <t>Almeida Shapán, Rita</t>
        </is>
      </c>
      <c r="E21" s="49" t="inlineStr">
        <is>
          <t>Integración de la etnobotánica en la formación del futuro profesorado de la carrera de pedagogía de las ciencias experimentales química y biología de la universidad central del ecuador.</t>
        </is>
      </c>
      <c r="F21" s="49" t="inlineStr">
        <is>
          <t>23/10/2023</t>
        </is>
      </c>
      <c r="G21" s="49" t="inlineStr">
        <is>
          <t>48769418B</t>
        </is>
      </c>
      <c r="H21" s="49" t="inlineStr">
        <is>
          <t>Codirector de tesis</t>
        </is>
      </c>
      <c r="I21" s="49" t="inlineStr">
        <is>
          <t>B112</t>
        </is>
      </c>
      <c r="J21" s="49" t="inlineStr">
        <is>
          <t>DIDACTICA GENERAL Y DIDÁCTICAS ESPECÍFICAS</t>
        </is>
      </c>
      <c r="K21" s="49" t="n">
        <v>0.5</v>
      </c>
      <c r="L21" s="49" t="inlineStr">
        <is>
          <t>B112</t>
        </is>
      </c>
      <c r="M21" s="49" t="n">
        <v>2023</v>
      </c>
      <c r="N21" s="49" t="inlineStr">
        <is>
          <t>10.23</t>
        </is>
      </c>
      <c r="O21" s="49" t="inlineStr">
        <is>
          <t>30</t>
        </is>
      </c>
      <c r="P21" s="49" t="inlineStr">
        <is>
          <t>10.25</t>
        </is>
      </c>
      <c r="Q21" s="49" t="inlineStr">
        <is>
          <t>30</t>
        </is>
      </c>
      <c r="R21" s="49" t="n">
        <v>40</v>
      </c>
      <c r="S21" s="49" t="n">
        <v>0.2</v>
      </c>
      <c r="T21" s="50" t="n">
        <v>0.15</v>
      </c>
      <c r="U21" s="49" t="n">
        <v>0.15</v>
      </c>
    </row>
    <row r="22">
      <c r="A22" s="49" t="inlineStr">
        <is>
          <t>U036</t>
        </is>
      </c>
      <c r="B22" s="49" t="inlineStr">
        <is>
          <t>ADM. FACULTAD DE CIENCIAS ECONÓMICAS</t>
        </is>
      </c>
      <c r="C22" s="49" t="inlineStr">
        <is>
          <t>DOCTORADO EN EMPRESA, ECONOMÍA Y SOCIEDAD</t>
        </is>
      </c>
      <c r="D22" s="49" t="inlineStr">
        <is>
          <t>Escalona Sepúlveda, Paola Inés</t>
        </is>
      </c>
      <c r="E22" s="49" t="inlineStr">
        <is>
          <t>Análisis exploratorio sobre el estado y evolución de la Economía Naranja en Chile entre los años 2010-2020.Un estudio basado en estadísticas públicas.</t>
        </is>
      </c>
      <c r="F22" s="49" t="inlineStr">
        <is>
          <t>08/05/2024</t>
        </is>
      </c>
      <c r="G22" s="49" t="inlineStr">
        <is>
          <t>21456802X</t>
        </is>
      </c>
      <c r="H22" s="49" t="inlineStr">
        <is>
          <t>Director de tesis</t>
        </is>
      </c>
      <c r="I22" s="49" t="inlineStr">
        <is>
          <t>B139</t>
        </is>
      </c>
      <c r="J22" s="49" t="inlineStr">
        <is>
          <t>ECONOMÍA APLICADA Y POLITICA ECONÓMICA</t>
        </is>
      </c>
      <c r="K22" s="49" t="n">
        <v>1</v>
      </c>
      <c r="L22" s="49" t="inlineStr">
        <is>
          <t>B139</t>
        </is>
      </c>
      <c r="M22" s="49" t="n">
        <v>2023</v>
      </c>
      <c r="N22" s="49" t="inlineStr">
        <is>
          <t>10.23</t>
        </is>
      </c>
      <c r="O22" s="49" t="inlineStr">
        <is>
          <t>10</t>
        </is>
      </c>
      <c r="P22" s="49" t="inlineStr">
        <is>
          <t>10.25</t>
        </is>
      </c>
      <c r="Q22" s="49" t="inlineStr">
        <is>
          <t>20</t>
        </is>
      </c>
      <c r="R22" s="49" t="n">
        <v>70</v>
      </c>
      <c r="S22" s="49" t="n">
        <v>0.7</v>
      </c>
      <c r="T22" s="50" t="n">
        <v>0.1</v>
      </c>
      <c r="U22" s="49" t="n">
        <v>0.2</v>
      </c>
    </row>
    <row r="23">
      <c r="A23" s="49" t="inlineStr">
        <is>
          <t xml:space="preserve">U020 </t>
        </is>
      </c>
      <c r="B23" s="49" t="inlineStr">
        <is>
          <t xml:space="preserve">ADM. I.U. DEL AGUA Y DE LAS CIENCIAS AMBIENTALES </t>
        </is>
      </c>
      <c r="C23" s="49" t="inlineStr">
        <is>
          <t xml:space="preserve">DOCTORADO EN AGUA Y DESARROLLO SOSTENIBLE </t>
        </is>
      </c>
      <c r="D23" s="49" t="inlineStr">
        <is>
          <t xml:space="preserve">Céspedes López, María Francisca </t>
        </is>
      </c>
      <c r="E23" s="49" t="inlineStr">
        <is>
          <t xml:space="preserve">CALIFICACIÓN ENERGÉTICA Y PRECIO DE LA VIVIENDA. ANÁLISIS DE LOS PRECIOS DE VENTA EN LA PROVINCIA DE ALICANTE (ESPAÑA) </t>
        </is>
      </c>
      <c r="F23" s="49" t="inlineStr">
        <is>
          <t xml:space="preserve">10/07/2020 </t>
        </is>
      </c>
      <c r="G23" s="49" t="inlineStr">
        <is>
          <t xml:space="preserve">48375773B </t>
        </is>
      </c>
      <c r="H23" s="49" t="inlineStr">
        <is>
          <t xml:space="preserve">Codirector de tesis </t>
        </is>
      </c>
      <c r="I23" s="49" t="inlineStr">
        <is>
          <t xml:space="preserve">B184 </t>
        </is>
      </c>
      <c r="J23" s="49" t="inlineStr">
        <is>
          <t xml:space="preserve">EDIFICACIÓN Y URBANISMO </t>
        </is>
      </c>
      <c r="K23" s="49" t="n">
        <v>0.5</v>
      </c>
      <c r="L23" s="49" t="inlineStr">
        <is>
          <t>B184</t>
        </is>
      </c>
      <c r="M23" s="49" t="n">
        <v>2019</v>
      </c>
      <c r="N23" s="49" t="inlineStr">
        <is>
          <t>10.25</t>
        </is>
      </c>
      <c r="O23" s="49" t="inlineStr">
        <is>
          <t>10</t>
        </is>
      </c>
      <c r="P23" s="49" t="inlineStr"/>
      <c r="Q23" s="49" t="inlineStr"/>
      <c r="R23" s="49" t="n">
        <v>90</v>
      </c>
      <c r="S23" s="49" t="n">
        <v>0.45</v>
      </c>
      <c r="T23" s="50" t="n">
        <v>0.05</v>
      </c>
      <c r="U23" s="49" t="n">
        <v>0</v>
      </c>
    </row>
    <row r="24">
      <c r="A24" s="49" t="inlineStr">
        <is>
          <t xml:space="preserve">U023 </t>
        </is>
      </c>
      <c r="B24" s="49" t="inlineStr">
        <is>
          <t xml:space="preserve">ADM. FACULTAD DE FILOSOFIA Y LETRAS </t>
        </is>
      </c>
      <c r="C24" s="49" t="inlineStr">
        <is>
          <t xml:space="preserve">DOCTORADO EN FILOSOFÍA Y LETRAS </t>
        </is>
      </c>
      <c r="D24" s="49" t="inlineStr">
        <is>
          <t xml:space="preserve">Pin Figueroa, Walter Jesus </t>
        </is>
      </c>
      <c r="E24" s="49" t="inlineStr">
        <is>
          <t xml:space="preserve">Turismo rural en áreas cafetaleras en la zona sur de Manabí, Ecuador </t>
        </is>
      </c>
      <c r="F24" s="49" t="inlineStr">
        <is>
          <t xml:space="preserve">28/02/2020 </t>
        </is>
      </c>
      <c r="G24" s="49" t="inlineStr">
        <is>
          <t xml:space="preserve">74218386P </t>
        </is>
      </c>
      <c r="H24" s="49" t="inlineStr">
        <is>
          <t xml:space="preserve">Director de tesis </t>
        </is>
      </c>
      <c r="I24" s="49" t="inlineStr">
        <is>
          <t xml:space="preserve">B120 </t>
        </is>
      </c>
      <c r="J24" s="49" t="inlineStr">
        <is>
          <t xml:space="preserve">GEOGRAFIA HUMANA </t>
        </is>
      </c>
      <c r="K24" s="49" t="n">
        <v>1</v>
      </c>
      <c r="L24" s="49" t="inlineStr">
        <is>
          <t>B120</t>
        </is>
      </c>
      <c r="M24" s="49" t="n">
        <v>2019</v>
      </c>
      <c r="N24" s="49" t="inlineStr">
        <is>
          <t>10.25</t>
        </is>
      </c>
      <c r="O24" s="49" t="inlineStr">
        <is>
          <t>30</t>
        </is>
      </c>
      <c r="P24" s="49" t="inlineStr"/>
      <c r="Q24" s="49" t="inlineStr"/>
      <c r="R24" s="49" t="n">
        <v>70</v>
      </c>
      <c r="S24" s="49" t="n">
        <v>0.7</v>
      </c>
      <c r="T24" s="50" t="n">
        <v>0.3</v>
      </c>
      <c r="U24" s="49" t="n">
        <v>0</v>
      </c>
    </row>
    <row r="25">
      <c r="A25" s="49" t="inlineStr">
        <is>
          <t xml:space="preserve">U023 </t>
        </is>
      </c>
      <c r="B25" s="49" t="inlineStr">
        <is>
          <t xml:space="preserve">ADM. FACULTAD DE FILOSOFIA Y LETRAS </t>
        </is>
      </c>
      <c r="C25" s="49" t="inlineStr">
        <is>
          <t xml:space="preserve">DOCTORADO EN FILOSOFÍA Y LETRAS </t>
        </is>
      </c>
      <c r="D25" s="49" t="inlineStr">
        <is>
          <t xml:space="preserve">Aliaga Aguza, Laura María </t>
        </is>
      </c>
      <c r="E25" s="49" t="inlineStr">
        <is>
          <t xml:space="preserve">ANÁLISIS LINGÜÍSTICO DEL HUMOR EN EL MEDIO AUDIOVISUAL: LAS ESTRATEGIAS HUMORÍSTICAS DE LA COMEDIA DE SITUACIÓN </t>
        </is>
      </c>
      <c r="F25" s="49" t="inlineStr">
        <is>
          <t xml:space="preserve">29/01/2020 </t>
        </is>
      </c>
      <c r="G25" s="49" t="inlineStr">
        <is>
          <t xml:space="preserve">44752168X </t>
        </is>
      </c>
      <c r="H25" s="49" t="inlineStr">
        <is>
          <t xml:space="preserve">Codirector de tesis </t>
        </is>
      </c>
      <c r="I25" s="49" t="inlineStr">
        <is>
          <t xml:space="preserve">B115 </t>
        </is>
      </c>
      <c r="J25" s="49" t="inlineStr">
        <is>
          <t xml:space="preserve">FILOL. ESPAÑOLA, LINGÜÍSTICA GENERAL Y TEORIA DE LA LITERATURA </t>
        </is>
      </c>
      <c r="K25" s="49" t="n">
        <v>0.5</v>
      </c>
      <c r="L25" s="49" t="inlineStr">
        <is>
          <t>B115</t>
        </is>
      </c>
      <c r="M25" s="49" t="n">
        <v>2019</v>
      </c>
      <c r="N25" s="49" t="inlineStr">
        <is>
          <t>10.25</t>
        </is>
      </c>
      <c r="O25" s="49" t="inlineStr">
        <is>
          <t>10</t>
        </is>
      </c>
      <c r="P25" s="49" t="inlineStr">
        <is>
          <t>10.23</t>
        </is>
      </c>
      <c r="Q25" s="49" t="inlineStr">
        <is>
          <t>20</t>
        </is>
      </c>
      <c r="R25" s="49" t="n">
        <v>70</v>
      </c>
      <c r="S25" s="49" t="n">
        <v>0.35</v>
      </c>
      <c r="T25" s="50" t="n">
        <v>0.05</v>
      </c>
      <c r="U25" s="49" t="n">
        <v>0.1</v>
      </c>
    </row>
    <row r="26">
      <c r="A26" s="49" t="inlineStr">
        <is>
          <t xml:space="preserve">U023 </t>
        </is>
      </c>
      <c r="B26" s="49" t="inlineStr">
        <is>
          <t xml:space="preserve">ADM. FACULTAD DE FILOSOFIA Y LETRAS </t>
        </is>
      </c>
      <c r="C26" s="49" t="inlineStr">
        <is>
          <t xml:space="preserve">DOCTORADO EN FILOSOFÍA Y LETRAS </t>
        </is>
      </c>
      <c r="D26" s="49" t="inlineStr">
        <is>
          <t xml:space="preserve">Castro Carbonell, Ana Isabel </t>
        </is>
      </c>
      <c r="E26" s="49" t="inlineStr">
        <is>
          <t xml:space="preserve">MUERTE, ESPIRITUALIDAD Y MATERIALIDAD EN EL SUR DEL REINO DE VALENCIA (SIGLOS XIV-XVI) </t>
        </is>
      </c>
      <c r="F26" s="49" t="inlineStr">
        <is>
          <t xml:space="preserve">31/01/2020 </t>
        </is>
      </c>
      <c r="G26" s="49" t="inlineStr">
        <is>
          <t xml:space="preserve">22126836P </t>
        </is>
      </c>
      <c r="H26" s="49" t="inlineStr">
        <is>
          <t xml:space="preserve">Director de tesis </t>
        </is>
      </c>
      <c r="I26" s="49" t="inlineStr">
        <is>
          <t xml:space="preserve">B174 </t>
        </is>
      </c>
      <c r="J26" s="49" t="inlineStr">
        <is>
          <t xml:space="preserve">HISTORIA MEDIEVAL, HISTORIA MODERNA Y CIENCIAS Y TÉCNICAS HISTORIOGRÀFICAS </t>
        </is>
      </c>
      <c r="K26" s="49" t="n">
        <v>1</v>
      </c>
      <c r="L26" s="49" t="inlineStr">
        <is>
          <t>B174</t>
        </is>
      </c>
      <c r="M26" s="49" t="n">
        <v>2019</v>
      </c>
      <c r="N26" s="49" t="inlineStr">
        <is>
          <t>10.25</t>
        </is>
      </c>
      <c r="O26" s="49" t="inlineStr">
        <is>
          <t>50</t>
        </is>
      </c>
      <c r="P26" s="49" t="inlineStr"/>
      <c r="Q26" s="49" t="inlineStr"/>
      <c r="R26" s="49" t="n">
        <v>50</v>
      </c>
      <c r="S26" s="49" t="n">
        <v>0.5</v>
      </c>
      <c r="T26" s="50" t="n">
        <v>0.5</v>
      </c>
      <c r="U26" s="49" t="n">
        <v>0</v>
      </c>
    </row>
    <row r="27">
      <c r="A27" s="49" t="inlineStr">
        <is>
          <t xml:space="preserve">U025 </t>
        </is>
      </c>
      <c r="B27" s="49" t="inlineStr">
        <is>
          <t xml:space="preserve">ADM. FACULTAD DE DERECHO </t>
        </is>
      </c>
      <c r="C27" s="49" t="inlineStr">
        <is>
          <t xml:space="preserve">DOCTORADO EN DERECHO </t>
        </is>
      </c>
      <c r="D27" s="49" t="inlineStr">
        <is>
          <t xml:space="preserve">Fernández Álvaro, Alfonso </t>
        </is>
      </c>
      <c r="E27" s="49" t="inlineStr">
        <is>
          <t xml:space="preserve">EL TRATAMIENTO DE LA RELACIÓN BILATERAL ENTRE ESPAÑA Y ESTADOS UNIDOS POR EL PERIODISMO ESPAÑOL DURANTE EL PERIODO 1975-2005 (LOS CASOS DE LOS PERIÓDICOS, ABD, LA VANGUARDIA Y EL PAÍS) </t>
        </is>
      </c>
      <c r="F27" s="49" t="inlineStr">
        <is>
          <t xml:space="preserve">02/03/2020 </t>
        </is>
      </c>
      <c r="G27" s="49" t="inlineStr">
        <is>
          <t xml:space="preserve">21445733G </t>
        </is>
      </c>
      <c r="H27" s="49" t="inlineStr">
        <is>
          <t xml:space="preserve">Director de tesis </t>
        </is>
      </c>
      <c r="I27" s="49" t="inlineStr">
        <is>
          <t xml:space="preserve">B113 </t>
        </is>
      </c>
      <c r="J27" s="49" t="inlineStr">
        <is>
          <t xml:space="preserve">ESTUDIOS JURIDICOS DEL ESTADO </t>
        </is>
      </c>
      <c r="K27" s="49" t="n">
        <v>1</v>
      </c>
      <c r="L27" s="49" t="inlineStr">
        <is>
          <t>B113</t>
        </is>
      </c>
      <c r="M27" s="49" t="n">
        <v>2019</v>
      </c>
      <c r="N27" s="49" t="inlineStr">
        <is>
          <t>10.25</t>
        </is>
      </c>
      <c r="O27" s="49" t="inlineStr">
        <is>
          <t>10</t>
        </is>
      </c>
      <c r="P27" s="49" t="inlineStr"/>
      <c r="Q27" s="49" t="inlineStr"/>
      <c r="R27" s="49" t="n">
        <v>90</v>
      </c>
      <c r="S27" s="49" t="n">
        <v>0.9</v>
      </c>
      <c r="T27" s="50" t="n">
        <v>0.1</v>
      </c>
      <c r="U27" s="49" t="n">
        <v>0</v>
      </c>
    </row>
    <row r="28">
      <c r="A28" s="49" t="inlineStr">
        <is>
          <t xml:space="preserve">B138 </t>
        </is>
      </c>
      <c r="B28" s="49" t="inlineStr">
        <is>
          <t xml:space="preserve">ANALISIS ECONOMICO APLICADO </t>
        </is>
      </c>
      <c r="C28" s="49" t="inlineStr">
        <is>
          <t xml:space="preserve">DOCTORADO EN ECONOMÍA </t>
        </is>
      </c>
      <c r="D28" s="49" t="inlineStr">
        <is>
          <t xml:space="preserve">Su , Zhenyu </t>
        </is>
      </c>
      <c r="E28" s="49" t="inlineStr">
        <is>
          <t xml:space="preserve">REAL ESTATE INVESTMENTS: PRINCIPLES AND EVIDENCE -- THE CASES OF SPAIN AND CHINA </t>
        </is>
      </c>
      <c r="F28" s="49" t="inlineStr">
        <is>
          <t xml:space="preserve">30/09/2020 </t>
        </is>
      </c>
      <c r="G28" s="49" t="inlineStr">
        <is>
          <t xml:space="preserve">22529387J </t>
        </is>
      </c>
      <c r="H28" s="49" t="inlineStr">
        <is>
          <t xml:space="preserve">Director de tesis </t>
        </is>
      </c>
      <c r="I28" s="49" t="inlineStr">
        <is>
          <t>B138</t>
        </is>
      </c>
      <c r="J28" s="49" t="inlineStr">
        <is>
          <t xml:space="preserve">ANALISIS ECONOMICO APLICADO </t>
        </is>
      </c>
      <c r="K28" s="49" t="n">
        <v>1</v>
      </c>
      <c r="L28" s="49" t="inlineStr">
        <is>
          <t>B138</t>
        </is>
      </c>
      <c r="M28" s="49" t="n">
        <v>2019</v>
      </c>
      <c r="N28" s="49" t="inlineStr">
        <is>
          <t>10.25</t>
        </is>
      </c>
      <c r="O28" s="49" t="n">
        <v>50</v>
      </c>
      <c r="P28" s="49" t="inlineStr">
        <is>
          <t>10.17</t>
        </is>
      </c>
      <c r="Q28" s="49" t="n">
        <v>10</v>
      </c>
      <c r="R28" s="49" t="n">
        <v>40</v>
      </c>
      <c r="S28" s="49" t="n">
        <v>0.4</v>
      </c>
      <c r="T28" s="50" t="n">
        <v>0.5</v>
      </c>
      <c r="U28" s="49" t="n">
        <v>0.1</v>
      </c>
    </row>
    <row r="29" customFormat="1" s="19">
      <c r="A29" s="49" t="inlineStr">
        <is>
          <t xml:space="preserve">B177 </t>
        </is>
      </c>
      <c r="B29" s="49" t="inlineStr">
        <is>
          <t xml:space="preserve">PSICOLOGÍA EVOLUTIVA Y DIDÁCTICA </t>
        </is>
      </c>
      <c r="C29" s="49" t="inlineStr">
        <is>
          <t xml:space="preserve">DOCTORADO EN INVESTIGACIÓN EDUCATIVA </t>
        </is>
      </c>
      <c r="D29" s="49" t="inlineStr">
        <is>
          <t xml:space="preserve">Rojas Viteri, Juan Carlos </t>
        </is>
      </c>
      <c r="E29" s="49" t="inlineStr">
        <is>
          <t xml:space="preserve">MODELO FLIPPED LEARNING APLICADO A LA ASIGNATURA DE SISTEMAS OPERATIVOS II DE LA CARRERA DE INFORMÁTICA DE LA UCE: ESTUDIO DE CASO PARA MEDIR EL NIVEL DE MOTIVACIÓN Y SATISFACCIÓN TECNOLÓGICA EN EL USO DE LA PLATAFORMA MOODLE </t>
        </is>
      </c>
      <c r="F29" s="49" t="inlineStr">
        <is>
          <t xml:space="preserve">04/11/2020 </t>
        </is>
      </c>
      <c r="G29" s="49" t="inlineStr">
        <is>
          <t xml:space="preserve">25126858W </t>
        </is>
      </c>
      <c r="H29" s="49" t="inlineStr">
        <is>
          <t xml:space="preserve">Director de tesis </t>
        </is>
      </c>
      <c r="I29" s="49" t="inlineStr">
        <is>
          <t xml:space="preserve">B112 </t>
        </is>
      </c>
      <c r="J29" s="49" t="inlineStr">
        <is>
          <t xml:space="preserve">DIDACTICA GENERAL Y DIDÁCTICAS ESPECÍFICAS </t>
        </is>
      </c>
      <c r="K29" s="49" t="n">
        <v>1</v>
      </c>
      <c r="L29" s="49" t="inlineStr">
        <is>
          <t>B112</t>
        </is>
      </c>
      <c r="M29" s="49" t="n">
        <v>2019</v>
      </c>
      <c r="N29" s="49" t="inlineStr">
        <is>
          <t>10.25</t>
        </is>
      </c>
      <c r="O29" s="49" t="n">
        <v>30</v>
      </c>
      <c r="P29" s="49" t="inlineStr"/>
      <c r="Q29" s="49" t="n">
        <v>0</v>
      </c>
      <c r="R29" s="49" t="n">
        <v>70</v>
      </c>
      <c r="S29" s="49" t="n">
        <v>0.7</v>
      </c>
      <c r="T29" s="50" t="n">
        <v>0.3</v>
      </c>
      <c r="U29" s="49" t="n">
        <v>0</v>
      </c>
    </row>
    <row r="30">
      <c r="A30" s="49" t="inlineStr">
        <is>
          <t xml:space="preserve">B177 </t>
        </is>
      </c>
      <c r="B30" s="49" t="inlineStr">
        <is>
          <t xml:space="preserve">PSICOLOGÍA EVOLUTIVA Y DIDÁCTICA </t>
        </is>
      </c>
      <c r="C30" s="49" t="inlineStr">
        <is>
          <t xml:space="preserve">DOCTORADO EN INVESTIGACIÓN EDUCATIVA </t>
        </is>
      </c>
      <c r="D30" s="49" t="inlineStr">
        <is>
          <t xml:space="preserve">Blanco Reyes, Lidia </t>
        </is>
      </c>
      <c r="E30" s="49" t="inlineStr">
        <is>
          <t xml:space="preserve">EL DESARROLLO PROFESIONAL DOCENTE A TRAVÉS DEL PROGRAMA ERASMUS+: UN ESTUDIO DE CASOS </t>
        </is>
      </c>
      <c r="F30" s="49" t="inlineStr">
        <is>
          <t xml:space="preserve">15/12/2020 </t>
        </is>
      </c>
      <c r="G30" s="49" t="inlineStr">
        <is>
          <t xml:space="preserve">76941801Q </t>
        </is>
      </c>
      <c r="H30" s="49" t="inlineStr">
        <is>
          <t xml:space="preserve">Codirector de tesis </t>
        </is>
      </c>
      <c r="I30" s="49" t="inlineStr">
        <is>
          <t xml:space="preserve">B112 </t>
        </is>
      </c>
      <c r="J30" s="49" t="inlineStr">
        <is>
          <t xml:space="preserve">DIDACTICA GENERAL Y DIDÁCTICAS ESPECÍFICAS </t>
        </is>
      </c>
      <c r="K30" s="49" t="n">
        <v>0.5</v>
      </c>
      <c r="L30" s="49" t="inlineStr">
        <is>
          <t>B112</t>
        </is>
      </c>
      <c r="M30" s="49" t="n">
        <v>2019</v>
      </c>
      <c r="N30" s="49" t="inlineStr">
        <is>
          <t>10.25</t>
        </is>
      </c>
      <c r="O30" s="49" t="n">
        <v>30</v>
      </c>
      <c r="P30" s="49" t="inlineStr">
        <is>
          <t>10.23</t>
        </is>
      </c>
      <c r="Q30" s="49" t="n">
        <v>20</v>
      </c>
      <c r="R30" s="49" t="n">
        <v>50</v>
      </c>
      <c r="S30" s="49" t="n">
        <v>0.25</v>
      </c>
      <c r="T30" s="50" t="n">
        <v>0.15</v>
      </c>
      <c r="U30" s="49" t="n">
        <v>0.1</v>
      </c>
    </row>
    <row r="31">
      <c r="A31" s="49" t="inlineStr">
        <is>
          <t xml:space="preserve">B177 </t>
        </is>
      </c>
      <c r="B31" s="49" t="inlineStr">
        <is>
          <t xml:space="preserve">PSICOLOGÍA EVOLUTIVA Y DIDÁCTICA </t>
        </is>
      </c>
      <c r="C31" s="49" t="inlineStr">
        <is>
          <t xml:space="preserve">DOCTORADO EN INVESTIGACIÓN EDUCATIVA </t>
        </is>
      </c>
      <c r="D31" s="49" t="inlineStr">
        <is>
          <t xml:space="preserve">Blanco Reyes, Lidia </t>
        </is>
      </c>
      <c r="E31" s="49" t="inlineStr">
        <is>
          <t xml:space="preserve">EL DESARROLLO PROFESIONAL DOCENTE A TRAVÉS DEL PROGRAMA ERASMUS+: UN ESTUDIO DE CASOS </t>
        </is>
      </c>
      <c r="F31" s="49" t="inlineStr">
        <is>
          <t xml:space="preserve">15/12/2020 </t>
        </is>
      </c>
      <c r="G31" s="49" t="inlineStr">
        <is>
          <t xml:space="preserve">48379979P </t>
        </is>
      </c>
      <c r="H31" s="49" t="inlineStr">
        <is>
          <t xml:space="preserve">Codirector de tesis </t>
        </is>
      </c>
      <c r="I31" s="49" t="inlineStr">
        <is>
          <t xml:space="preserve">B112 </t>
        </is>
      </c>
      <c r="J31" s="49" t="inlineStr">
        <is>
          <t xml:space="preserve">DIDACTICA GENERAL Y DIDÁCTICAS ESPECÍFICAS </t>
        </is>
      </c>
      <c r="K31" s="49" t="n">
        <v>0.5</v>
      </c>
      <c r="L31" s="49" t="inlineStr">
        <is>
          <t>B112</t>
        </is>
      </c>
      <c r="M31" s="49" t="n">
        <v>2019</v>
      </c>
      <c r="N31" s="49" t="inlineStr">
        <is>
          <t>10.25</t>
        </is>
      </c>
      <c r="O31" s="49" t="n">
        <v>30</v>
      </c>
      <c r="P31" s="49" t="inlineStr">
        <is>
          <t>10.23</t>
        </is>
      </c>
      <c r="Q31" s="49" t="n">
        <v>20</v>
      </c>
      <c r="R31" s="49" t="n">
        <v>50</v>
      </c>
      <c r="S31" s="49" t="n">
        <v>0.25</v>
      </c>
      <c r="T31" s="50" t="n">
        <v>0.15</v>
      </c>
      <c r="U31" s="49" t="n">
        <v>0.1</v>
      </c>
    </row>
    <row r="32">
      <c r="A32" s="49" t="inlineStr">
        <is>
          <t xml:space="preserve">B177 </t>
        </is>
      </c>
      <c r="B32" s="49" t="inlineStr">
        <is>
          <t xml:space="preserve">PSICOLOGÍA EVOLUTIVA Y DIDÁCTICA </t>
        </is>
      </c>
      <c r="C32" s="49" t="inlineStr">
        <is>
          <t xml:space="preserve">DOCTORADO EN INVESTIGACIÓN EDUCATIVA </t>
        </is>
      </c>
      <c r="D32" s="49" t="inlineStr">
        <is>
          <t xml:space="preserve">Blanes Mora, Ruben </t>
        </is>
      </c>
      <c r="E32" s="49" t="inlineStr">
        <is>
          <t xml:space="preserve">EL GRUPO FOTOGRÁFICO AFAL. LA HISTORIA VISUAL DE ESPAÑA (1956-1963) </t>
        </is>
      </c>
      <c r="F32" s="49" t="inlineStr">
        <is>
          <t xml:space="preserve">05/10/2020 </t>
        </is>
      </c>
      <c r="G32" s="49" t="inlineStr">
        <is>
          <t xml:space="preserve">21457927P </t>
        </is>
      </c>
      <c r="H32" s="49" t="inlineStr">
        <is>
          <t xml:space="preserve">Director de tesis </t>
        </is>
      </c>
      <c r="I32" s="49" t="inlineStr">
        <is>
          <t xml:space="preserve">B112 </t>
        </is>
      </c>
      <c r="J32" s="49" t="inlineStr">
        <is>
          <t xml:space="preserve">DIDACTICA GENERAL Y DIDÁCTICAS ESPECÍFICAS </t>
        </is>
      </c>
      <c r="K32" s="49" t="n">
        <v>1</v>
      </c>
      <c r="L32" s="49" t="inlineStr">
        <is>
          <t>B112</t>
        </is>
      </c>
      <c r="M32" s="49" t="n">
        <v>2019</v>
      </c>
      <c r="N32" s="49" t="inlineStr">
        <is>
          <t>10.25</t>
        </is>
      </c>
      <c r="O32" s="49" t="n">
        <v>80</v>
      </c>
      <c r="P32" s="49" t="inlineStr"/>
      <c r="Q32" s="49" t="n">
        <v>0</v>
      </c>
      <c r="R32" s="49" t="n">
        <v>20</v>
      </c>
      <c r="S32" s="49" t="n">
        <v>0.2</v>
      </c>
      <c r="T32" s="50" t="n">
        <v>0.8</v>
      </c>
      <c r="U32" s="49" t="n">
        <v>0</v>
      </c>
    </row>
    <row r="33">
      <c r="A33" s="49" t="inlineStr">
        <is>
          <t xml:space="preserve">B177 </t>
        </is>
      </c>
      <c r="B33" s="49" t="inlineStr">
        <is>
          <t xml:space="preserve">PSICOLOGÍA EVOLUTIVA Y DIDÁCTICA </t>
        </is>
      </c>
      <c r="C33" s="49" t="inlineStr">
        <is>
          <t xml:space="preserve">DOCTORADO EN INVESTIGACIÓN EDUCATIVA </t>
        </is>
      </c>
      <c r="D33" s="49" t="inlineStr">
        <is>
          <t xml:space="preserve">Grau Barrera, Beatriz </t>
        </is>
      </c>
      <c r="E33" s="49" t="inlineStr">
        <is>
          <t xml:space="preserve">"Modelo de gestión para la innovación e integración digital progresiva en un centro educativo basado en la mejora continua y el liderazgo compartido" </t>
        </is>
      </c>
      <c r="F33" s="49" t="inlineStr">
        <is>
          <t xml:space="preserve">04/11/2020 </t>
        </is>
      </c>
      <c r="G33" s="49" t="inlineStr">
        <is>
          <t xml:space="preserve">25126858W </t>
        </is>
      </c>
      <c r="H33" s="49" t="inlineStr">
        <is>
          <t xml:space="preserve">Director de tesis </t>
        </is>
      </c>
      <c r="I33" s="49" t="inlineStr">
        <is>
          <t xml:space="preserve">B112 </t>
        </is>
      </c>
      <c r="J33" s="49" t="inlineStr">
        <is>
          <t xml:space="preserve">DIDACTICA GENERAL Y DIDÁCTICAS ESPECÍFICAS </t>
        </is>
      </c>
      <c r="K33" s="49" t="n">
        <v>1</v>
      </c>
      <c r="L33" s="49" t="inlineStr">
        <is>
          <t>B112</t>
        </is>
      </c>
      <c r="M33" s="49" t="n">
        <v>2019</v>
      </c>
      <c r="N33" s="49" t="inlineStr">
        <is>
          <t>10.25</t>
        </is>
      </c>
      <c r="O33" s="49" t="n">
        <v>30</v>
      </c>
      <c r="P33" s="49" t="inlineStr"/>
      <c r="Q33" s="49" t="n">
        <v>0</v>
      </c>
      <c r="R33" s="49" t="n">
        <v>70</v>
      </c>
      <c r="S33" s="49" t="n">
        <v>0.7</v>
      </c>
      <c r="T33" s="50" t="n">
        <v>0.3</v>
      </c>
      <c r="U33" s="49" t="n">
        <v>0</v>
      </c>
    </row>
    <row r="34">
      <c r="A34" s="49" t="inlineStr">
        <is>
          <t xml:space="preserve">U023 </t>
        </is>
      </c>
      <c r="B34" s="49" t="inlineStr">
        <is>
          <t xml:space="preserve">ADM. FACULTAD DE FILOSOFIA Y LETRAS </t>
        </is>
      </c>
      <c r="C34" s="49" t="inlineStr">
        <is>
          <t xml:space="preserve">DOCTORADO EN FILOSOFÍA Y LETRAS </t>
        </is>
      </c>
      <c r="D34" s="49" t="inlineStr">
        <is>
          <t xml:space="preserve">Ríos Pérez, Manuel </t>
        </is>
      </c>
      <c r="E34" s="49" t="inlineStr">
        <is>
          <t xml:space="preserve">Concesiones de transporte público regular de viajeros por carretera y su dependencia territorial. Evolución, contexto socioeconómico y modelo desarrollado en la provincia de Alicante </t>
        </is>
      </c>
      <c r="F34" s="49" t="inlineStr">
        <is>
          <t xml:space="preserve">05/11/2020 </t>
        </is>
      </c>
      <c r="G34" s="49" t="inlineStr">
        <is>
          <t xml:space="preserve">74218386P </t>
        </is>
      </c>
      <c r="H34" s="49" t="inlineStr">
        <is>
          <t xml:space="preserve">Codirector de tesis </t>
        </is>
      </c>
      <c r="I34" s="49" t="inlineStr">
        <is>
          <t xml:space="preserve">B120 </t>
        </is>
      </c>
      <c r="J34" s="49" t="inlineStr">
        <is>
          <t xml:space="preserve">GEOGRAFIA HUMANA </t>
        </is>
      </c>
      <c r="K34" s="49" t="n">
        <v>0.5</v>
      </c>
      <c r="L34" s="49" t="inlineStr">
        <is>
          <t>B120</t>
        </is>
      </c>
      <c r="M34" s="49" t="n">
        <v>2019</v>
      </c>
      <c r="N34" s="49" t="inlineStr">
        <is>
          <t>10.25</t>
        </is>
      </c>
      <c r="O34" s="49" t="n">
        <v>30</v>
      </c>
      <c r="P34" s="49" t="inlineStr">
        <is>
          <t>10.21</t>
        </is>
      </c>
      <c r="Q34" s="49" t="n">
        <v>30</v>
      </c>
      <c r="R34" s="49" t="n">
        <v>40</v>
      </c>
      <c r="S34" s="49" t="n">
        <v>0.2</v>
      </c>
      <c r="T34" s="50" t="n">
        <v>0.15</v>
      </c>
      <c r="U34" s="49" t="n">
        <v>0.15</v>
      </c>
    </row>
    <row r="35">
      <c r="A35" s="49" t="inlineStr">
        <is>
          <t xml:space="preserve">U023 </t>
        </is>
      </c>
      <c r="B35" s="49" t="inlineStr">
        <is>
          <t xml:space="preserve">ADM. FACULTAD DE FILOSOFIA Y LETRAS </t>
        </is>
      </c>
      <c r="C35" s="49" t="inlineStr">
        <is>
          <t xml:space="preserve">DOCTORADO EN FILOSOFÍA Y LETRAS </t>
        </is>
      </c>
      <c r="D35" s="49" t="inlineStr">
        <is>
          <t xml:space="preserve">Latorre Aizaga, Franklin Lenin </t>
        </is>
      </c>
      <c r="E35" s="49" t="inlineStr">
        <is>
          <t xml:space="preserve">IMPACTO DE LAS POLÍTICAS ECONOMICAS-LABORALES EN LAS CONDICIONES DE TRABAJO EN ECUADOR (2007-2017) </t>
        </is>
      </c>
      <c r="F35" s="49" t="inlineStr">
        <is>
          <t xml:space="preserve">23/10/2020 </t>
        </is>
      </c>
      <c r="G35" s="49" t="inlineStr">
        <is>
          <t xml:space="preserve">21457927P </t>
        </is>
      </c>
      <c r="H35" s="49" t="inlineStr">
        <is>
          <t xml:space="preserve">Codirector de tesis </t>
        </is>
      </c>
      <c r="I35" s="49" t="inlineStr">
        <is>
          <t xml:space="preserve">B112 </t>
        </is>
      </c>
      <c r="J35" s="49" t="inlineStr">
        <is>
          <t xml:space="preserve">DIDACTICA GENERAL Y DIDÁCTICAS ESPECÍFICAS </t>
        </is>
      </c>
      <c r="K35" s="49" t="n">
        <v>0.5</v>
      </c>
      <c r="L35" s="49" t="inlineStr">
        <is>
          <t>B112</t>
        </is>
      </c>
      <c r="M35" s="49" t="n">
        <v>2019</v>
      </c>
      <c r="N35" s="49" t="inlineStr">
        <is>
          <t>10.25</t>
        </is>
      </c>
      <c r="O35" s="49" t="n">
        <v>80</v>
      </c>
      <c r="P35" s="49" t="inlineStr"/>
      <c r="Q35" s="49" t="n">
        <v>0</v>
      </c>
      <c r="R35" s="49" t="n">
        <v>20</v>
      </c>
      <c r="S35" s="49" t="n">
        <v>0.1</v>
      </c>
      <c r="T35" s="50" t="n">
        <v>0.4</v>
      </c>
      <c r="U35" s="49" t="n">
        <v>0</v>
      </c>
    </row>
    <row r="36">
      <c r="A36" s="49" t="inlineStr">
        <is>
          <t xml:space="preserve">U023 </t>
        </is>
      </c>
      <c r="B36" s="49" t="inlineStr">
        <is>
          <t xml:space="preserve">ADM. FACULTAD DE FILOSOFIA Y LETRAS </t>
        </is>
      </c>
      <c r="C36" s="49" t="inlineStr">
        <is>
          <t xml:space="preserve">DOCTORADO EN FILOSOFÍA Y LETRAS </t>
        </is>
      </c>
      <c r="D36" s="49" t="inlineStr">
        <is>
          <t xml:space="preserve">Latorre Aizaga, Franklin Lenin </t>
        </is>
      </c>
      <c r="E36" s="49" t="inlineStr">
        <is>
          <t xml:space="preserve">IMPACTO DE LAS POLÍTICAS ECONOMICAS-LABORALES EN LAS CONDICIONES DE TRABAJO EN ECUADOR (2007-2017) </t>
        </is>
      </c>
      <c r="F36" s="49" t="inlineStr">
        <is>
          <t xml:space="preserve">23/10/2020 </t>
        </is>
      </c>
      <c r="G36" s="49" t="inlineStr">
        <is>
          <t xml:space="preserve">74218386P </t>
        </is>
      </c>
      <c r="H36" s="49" t="inlineStr">
        <is>
          <t xml:space="preserve">Codirector de tesis </t>
        </is>
      </c>
      <c r="I36" s="49" t="inlineStr">
        <is>
          <t xml:space="preserve">B120 </t>
        </is>
      </c>
      <c r="J36" s="49" t="inlineStr">
        <is>
          <t xml:space="preserve">GEOGRAFIA HUMANA </t>
        </is>
      </c>
      <c r="K36" s="49" t="n">
        <v>0.5</v>
      </c>
      <c r="L36" s="49" t="inlineStr">
        <is>
          <t>B120</t>
        </is>
      </c>
      <c r="M36" s="49" t="n">
        <v>2019</v>
      </c>
      <c r="N36" s="49" t="inlineStr">
        <is>
          <t>10.25</t>
        </is>
      </c>
      <c r="O36" s="49" t="n">
        <v>30</v>
      </c>
      <c r="P36" s="49" t="inlineStr">
        <is>
          <t>10.21</t>
        </is>
      </c>
      <c r="Q36" s="49" t="n">
        <v>30</v>
      </c>
      <c r="R36" s="49" t="n">
        <v>40</v>
      </c>
      <c r="S36" s="49" t="n">
        <v>0.2</v>
      </c>
      <c r="T36" s="50" t="n">
        <v>0.15</v>
      </c>
      <c r="U36" s="49" t="n">
        <v>0.15</v>
      </c>
    </row>
    <row r="37">
      <c r="A37" s="49" t="inlineStr">
        <is>
          <t xml:space="preserve">U023 </t>
        </is>
      </c>
      <c r="B37" s="49" t="inlineStr">
        <is>
          <t xml:space="preserve">ADM. FACULTAD DE FILOSOFIA Y LETRAS </t>
        </is>
      </c>
      <c r="C37" s="49" t="inlineStr">
        <is>
          <t xml:space="preserve">DOCTORADO EN FILOSOFÍA Y LETRAS </t>
        </is>
      </c>
      <c r="D37" s="49" t="inlineStr">
        <is>
          <t xml:space="preserve">Martínez Cánovas, Gonzalo José </t>
        </is>
      </c>
      <c r="E37" s="49" t="inlineStr">
        <is>
          <t xml:space="preserve">LUIS JIMÉNEZ DE ASÚA. EL PENALISTA DE LA RETAGUARDIA IMPOSIBLE </t>
        </is>
      </c>
      <c r="F37" s="49" t="inlineStr">
        <is>
          <t xml:space="preserve">16/10/2020 </t>
        </is>
      </c>
      <c r="G37" s="49" t="inlineStr">
        <is>
          <t xml:space="preserve">22133724L </t>
        </is>
      </c>
      <c r="H37" s="49" t="inlineStr">
        <is>
          <t xml:space="preserve">Director de tesis </t>
        </is>
      </c>
      <c r="I37" s="49" t="inlineStr">
        <is>
          <t xml:space="preserve">B122 </t>
        </is>
      </c>
      <c r="J37" s="49" t="inlineStr">
        <is>
          <t xml:space="preserve">HUMANIDADES CONTEMPORANEAS </t>
        </is>
      </c>
      <c r="K37" s="49" t="n">
        <v>1</v>
      </c>
      <c r="L37" s="49" t="inlineStr">
        <is>
          <t>B122</t>
        </is>
      </c>
      <c r="M37" s="49" t="n">
        <v>2019</v>
      </c>
      <c r="N37" s="49" t="inlineStr">
        <is>
          <t>10.25</t>
        </is>
      </c>
      <c r="O37" s="49" t="n">
        <v>50</v>
      </c>
      <c r="P37" s="49" t="inlineStr"/>
      <c r="Q37" s="49" t="n">
        <v>0</v>
      </c>
      <c r="R37" s="49" t="n">
        <v>50</v>
      </c>
      <c r="S37" s="49" t="n">
        <v>0.5</v>
      </c>
      <c r="T37" s="50" t="n">
        <v>0.5</v>
      </c>
      <c r="U37" s="49" t="n">
        <v>0</v>
      </c>
    </row>
    <row r="38">
      <c r="A38" s="49" t="inlineStr">
        <is>
          <t xml:space="preserve">B112 </t>
        </is>
      </c>
      <c r="B38" s="49" t="inlineStr">
        <is>
          <t xml:space="preserve">DIDACTICA GENERAL Y DIDÁCTICAS ESPECÍFICAS </t>
        </is>
      </c>
      <c r="C38" s="49" t="inlineStr">
        <is>
          <t xml:space="preserve">DOCTORADO EN INVESTIGACIÓN EDUCATIVA </t>
        </is>
      </c>
      <c r="D38" s="49" t="inlineStr">
        <is>
          <t xml:space="preserve">Ventura Romero, José Modesto </t>
        </is>
      </c>
      <c r="E38" s="49" t="inlineStr">
        <is>
          <t xml:space="preserve">Factores asociados a las causas de deserción estudiantil en instituciones de educación superior de El Salvador </t>
        </is>
      </c>
      <c r="F38" s="49" t="inlineStr">
        <is>
          <t xml:space="preserve">31/05/2021 </t>
        </is>
      </c>
      <c r="G38" s="49" t="inlineStr">
        <is>
          <t xml:space="preserve">22126836P </t>
        </is>
      </c>
      <c r="H38" s="49" t="inlineStr">
        <is>
          <t xml:space="preserve">Director de tesis </t>
        </is>
      </c>
      <c r="I38" s="49" t="inlineStr">
        <is>
          <t xml:space="preserve">B174 </t>
        </is>
      </c>
      <c r="J38" s="49" t="inlineStr">
        <is>
          <t xml:space="preserve">HISTORIA MEDIEVAL, HISTORIA MODERNA Y CIENCIAS Y TÉCNICAS HISTORIOGRÀFICAS </t>
        </is>
      </c>
      <c r="K38" s="49" t="n">
        <v>1</v>
      </c>
      <c r="L38" s="49" t="inlineStr">
        <is>
          <t>B174</t>
        </is>
      </c>
      <c r="M38" s="49" t="n">
        <v>2020</v>
      </c>
      <c r="N38" s="49" t="inlineStr">
        <is>
          <t>10.25</t>
        </is>
      </c>
      <c r="O38" s="49" t="n">
        <v>50</v>
      </c>
      <c r="P38" s="49" t="inlineStr"/>
      <c r="Q38" s="49" t="n">
        <v>0</v>
      </c>
      <c r="R38" s="49" t="n">
        <v>50</v>
      </c>
      <c r="S38" s="49" t="n">
        <v>0.5</v>
      </c>
      <c r="T38" s="50" t="n">
        <v>0.5</v>
      </c>
      <c r="U38" s="49" t="n">
        <v>0</v>
      </c>
    </row>
    <row r="39">
      <c r="A39" s="49" t="inlineStr">
        <is>
          <t xml:space="preserve">B112 </t>
        </is>
      </c>
      <c r="B39" s="49" t="inlineStr">
        <is>
          <t xml:space="preserve">DIDACTICA GENERAL Y DIDÁCTICAS ESPECÍFICAS </t>
        </is>
      </c>
      <c r="C39" s="49" t="inlineStr">
        <is>
          <t xml:space="preserve">DOCTORADO EN INVESTIGACIÓN EDUCATIVA </t>
        </is>
      </c>
      <c r="D39" s="49" t="inlineStr">
        <is>
          <t xml:space="preserve">Alas Trujillo, Norman Noel </t>
        </is>
      </c>
      <c r="E39" s="49" t="inlineStr">
        <is>
          <t xml:space="preserve">Fotoperiodismo y violencia en la prensa online de El Salvador. Estudio transversal desde una perspectiva profesional y universitaria </t>
        </is>
      </c>
      <c r="F39" s="49" t="inlineStr">
        <is>
          <t xml:space="preserve">25/05/2021 </t>
        </is>
      </c>
      <c r="G39" s="49" t="inlineStr">
        <is>
          <t xml:space="preserve">22455996S </t>
        </is>
      </c>
      <c r="H39" s="49" t="inlineStr">
        <is>
          <t xml:space="preserve">Director de tesis </t>
        </is>
      </c>
      <c r="I39" s="49" t="inlineStr">
        <is>
          <t xml:space="preserve">B175 </t>
        </is>
      </c>
      <c r="J39" s="49" t="inlineStr">
        <is>
          <t xml:space="preserve">COMUNICACIÓN Y PSICOLOGÍA SOCIAL </t>
        </is>
      </c>
      <c r="K39" s="49" t="n">
        <v>1</v>
      </c>
      <c r="L39" s="49" t="inlineStr">
        <is>
          <t>B175</t>
        </is>
      </c>
      <c r="M39" s="49" t="n">
        <v>2020</v>
      </c>
      <c r="N39" s="49" t="inlineStr">
        <is>
          <t>10.25</t>
        </is>
      </c>
      <c r="O39" s="49" t="n">
        <v>50</v>
      </c>
      <c r="P39" s="49" t="inlineStr"/>
      <c r="Q39" s="49" t="n">
        <v>0</v>
      </c>
      <c r="R39" s="49" t="n">
        <v>50</v>
      </c>
      <c r="S39" s="49" t="n">
        <v>0.5</v>
      </c>
      <c r="T39" s="50" t="n">
        <v>0.5</v>
      </c>
      <c r="U39" s="49" t="n">
        <v>0</v>
      </c>
    </row>
    <row r="40">
      <c r="A40" s="49" t="inlineStr">
        <is>
          <t xml:space="preserve">B112 </t>
        </is>
      </c>
      <c r="B40" s="49" t="inlineStr">
        <is>
          <t xml:space="preserve">DIDACTICA GENERAL Y DIDÁCTICAS ESPECÍFICAS </t>
        </is>
      </c>
      <c r="C40" s="49" t="inlineStr">
        <is>
          <t xml:space="preserve">DOCTORADO EN INVESTIGACIÓN EDUCATIVA </t>
        </is>
      </c>
      <c r="D40" s="49" t="inlineStr">
        <is>
          <t xml:space="preserve">Aparicio Pacheco, Rafael Orlando </t>
        </is>
      </c>
      <c r="E40" s="49" t="inlineStr">
        <is>
          <t xml:space="preserve">Las Radios Comunitarias y su influencia en el proceso de desarrollo local en las comunidades salvadoreñas </t>
        </is>
      </c>
      <c r="F40" s="49" t="inlineStr">
        <is>
          <t xml:space="preserve">08/07/2021 </t>
        </is>
      </c>
      <c r="G40" s="49" t="inlineStr">
        <is>
          <t xml:space="preserve">22455996S </t>
        </is>
      </c>
      <c r="H40" s="49" t="inlineStr">
        <is>
          <t xml:space="preserve">Director de tesis </t>
        </is>
      </c>
      <c r="I40" s="49" t="inlineStr">
        <is>
          <t xml:space="preserve">B175 </t>
        </is>
      </c>
      <c r="J40" s="49" t="inlineStr">
        <is>
          <t xml:space="preserve">COMUNICACIÓN Y PSICOLOGÍA SOCIAL </t>
        </is>
      </c>
      <c r="K40" s="49" t="n">
        <v>1</v>
      </c>
      <c r="L40" s="49" t="inlineStr">
        <is>
          <t>B175</t>
        </is>
      </c>
      <c r="M40" s="49" t="n">
        <v>2020</v>
      </c>
      <c r="N40" s="49" t="inlineStr">
        <is>
          <t>10.25</t>
        </is>
      </c>
      <c r="O40" s="49" t="n">
        <v>50</v>
      </c>
      <c r="P40" s="49" t="inlineStr"/>
      <c r="Q40" s="49" t="n">
        <v>0</v>
      </c>
      <c r="R40" s="49" t="n">
        <v>50</v>
      </c>
      <c r="S40" s="49" t="n">
        <v>0.5</v>
      </c>
      <c r="T40" s="50" t="n">
        <v>0.5</v>
      </c>
      <c r="U40" s="49" t="n">
        <v>0</v>
      </c>
    </row>
    <row r="41">
      <c r="A41" s="49" t="inlineStr">
        <is>
          <t xml:space="preserve">B112 </t>
        </is>
      </c>
      <c r="B41" s="49" t="inlineStr">
        <is>
          <t xml:space="preserve">DIDACTICA GENERAL Y DIDÁCTICAS ESPECÍFICAS </t>
        </is>
      </c>
      <c r="C41" s="49" t="inlineStr">
        <is>
          <t xml:space="preserve">DOCTORADO EN INVESTIGACIÓN EDUCATIVA </t>
        </is>
      </c>
      <c r="D41" s="49" t="inlineStr">
        <is>
          <t xml:space="preserve">Brenes Maltez, Perla Mayela </t>
        </is>
      </c>
      <c r="E41" s="49" t="inlineStr">
        <is>
          <t xml:space="preserve">Diseño y evaluación de un programa para el desarrollo de la competencia investigadora en la formación inicial de docentes: percepción de alumnado y profesorado </t>
        </is>
      </c>
      <c r="F41" s="49" t="inlineStr">
        <is>
          <t xml:space="preserve">30/09/2021 </t>
        </is>
      </c>
      <c r="G41" s="49" t="inlineStr">
        <is>
          <t xml:space="preserve">76941801Q </t>
        </is>
      </c>
      <c r="H41" s="49" t="inlineStr">
        <is>
          <t xml:space="preserve">Director de tesis </t>
        </is>
      </c>
      <c r="I41" s="49" t="inlineStr">
        <is>
          <t xml:space="preserve">B112 </t>
        </is>
      </c>
      <c r="J41" s="49" t="inlineStr">
        <is>
          <t xml:space="preserve">DIDACTICA GENERAL Y DIDÁCTICAS ESPECÍFICAS </t>
        </is>
      </c>
      <c r="K41" s="49" t="n">
        <v>1</v>
      </c>
      <c r="L41" s="49" t="inlineStr">
        <is>
          <t>B112</t>
        </is>
      </c>
      <c r="M41" s="49" t="n">
        <v>2020</v>
      </c>
      <c r="N41" s="49" t="inlineStr">
        <is>
          <t>10.25</t>
        </is>
      </c>
      <c r="O41" s="49" t="n">
        <v>30</v>
      </c>
      <c r="P41" s="49" t="inlineStr">
        <is>
          <t>10.23</t>
        </is>
      </c>
      <c r="Q41" s="49" t="n">
        <v>20</v>
      </c>
      <c r="R41" s="49" t="n">
        <v>50</v>
      </c>
      <c r="S41" s="49" t="n">
        <v>0.5</v>
      </c>
      <c r="T41" s="50" t="n">
        <v>0.3</v>
      </c>
      <c r="U41" s="49" t="n">
        <v>0.2</v>
      </c>
    </row>
    <row r="42">
      <c r="A42" s="49" t="inlineStr">
        <is>
          <t xml:space="preserve">B177 </t>
        </is>
      </c>
      <c r="B42" s="49" t="inlineStr">
        <is>
          <t xml:space="preserve">PSICOLOGÍA EVOLUTIVA Y DIDÁCTICA </t>
        </is>
      </c>
      <c r="C42" s="49" t="inlineStr">
        <is>
          <t xml:space="preserve">DOCTORADO EN INVESTIGACIÓN EDUCATIVA </t>
        </is>
      </c>
      <c r="D42" s="49" t="inlineStr">
        <is>
          <t xml:space="preserve">Cazarez Valdiviezo, José Luis </t>
        </is>
      </c>
      <c r="E42" s="49" t="inlineStr">
        <is>
          <t xml:space="preserve">Competencias del profesorado universitario en relación al uso de Tecnologías de la Información y Comunicación. Un estudio de caso en la Universidad Central de Ecuador </t>
        </is>
      </c>
      <c r="F42" s="49" t="inlineStr">
        <is>
          <t xml:space="preserve">18/02/2021 </t>
        </is>
      </c>
      <c r="G42" s="49" t="inlineStr">
        <is>
          <t xml:space="preserve">25126858W </t>
        </is>
      </c>
      <c r="H42" s="49" t="inlineStr">
        <is>
          <t xml:space="preserve">Director de tesis </t>
        </is>
      </c>
      <c r="I42" s="49" t="inlineStr">
        <is>
          <t xml:space="preserve">B112 </t>
        </is>
      </c>
      <c r="J42" s="49" t="inlineStr">
        <is>
          <t xml:space="preserve">DIDACTICA GENERAL Y DIDÁCTICAS ESPECÍFICAS </t>
        </is>
      </c>
      <c r="K42" s="49" t="n">
        <v>1</v>
      </c>
      <c r="L42" s="49" t="inlineStr">
        <is>
          <t>B112</t>
        </is>
      </c>
      <c r="M42" s="49" t="n">
        <v>2020</v>
      </c>
      <c r="N42" s="49" t="inlineStr">
        <is>
          <t>10.25</t>
        </is>
      </c>
      <c r="O42" s="49" t="n">
        <v>30</v>
      </c>
      <c r="P42" s="49" t="inlineStr"/>
      <c r="Q42" s="49" t="n">
        <v>0</v>
      </c>
      <c r="R42" s="49" t="n">
        <v>70</v>
      </c>
      <c r="S42" s="49" t="n">
        <v>0.7</v>
      </c>
      <c r="T42" s="50" t="n">
        <v>0.3</v>
      </c>
      <c r="U42" s="49" t="n">
        <v>0</v>
      </c>
    </row>
    <row r="43">
      <c r="A43" s="49" t="inlineStr">
        <is>
          <t xml:space="preserve">B177 </t>
        </is>
      </c>
      <c r="B43" s="49" t="inlineStr">
        <is>
          <t xml:space="preserve">PSICOLOGÍA EVOLUTIVA Y DIDÁCTICA </t>
        </is>
      </c>
      <c r="C43" s="49" t="inlineStr">
        <is>
          <t xml:space="preserve">DOCTORADO EN INVESTIGACIÓN EDUCATIVA </t>
        </is>
      </c>
      <c r="D43" s="49" t="inlineStr">
        <is>
          <t xml:space="preserve">Sánchez Almeida, Tarquino Fabián </t>
        </is>
      </c>
      <c r="E43" s="49" t="inlineStr">
        <is>
          <t xml:space="preserve">Validación de la escala de valoración de la docencia de la Escuela Politécnica Nacional del Ecuador. Un análisis de su relación con el rendimiento académico </t>
        </is>
      </c>
      <c r="F43" s="49" t="inlineStr">
        <is>
          <t xml:space="preserve">15/07/2021 </t>
        </is>
      </c>
      <c r="G43" s="49" t="inlineStr">
        <is>
          <t xml:space="preserve">22929043K </t>
        </is>
      </c>
      <c r="H43" s="49" t="inlineStr">
        <is>
          <t xml:space="preserve">Codirector de tesis </t>
        </is>
      </c>
      <c r="I43" s="49" t="inlineStr">
        <is>
          <t xml:space="preserve">B177 </t>
        </is>
      </c>
      <c r="J43" s="49" t="inlineStr">
        <is>
          <t xml:space="preserve">PSICOLOGÍA EVOLUTIVA Y DIDÁCTICA </t>
        </is>
      </c>
      <c r="K43" s="49" t="n">
        <v>0.5</v>
      </c>
      <c r="L43" s="49" t="inlineStr">
        <is>
          <t>B177</t>
        </is>
      </c>
      <c r="M43" s="49" t="n">
        <v>2020</v>
      </c>
      <c r="N43" s="49" t="inlineStr">
        <is>
          <t>10.25</t>
        </is>
      </c>
      <c r="O43" s="49" t="n">
        <v>10</v>
      </c>
      <c r="P43" s="49" t="inlineStr"/>
      <c r="Q43" s="49" t="n">
        <v>0</v>
      </c>
      <c r="R43" s="49" t="n">
        <v>90</v>
      </c>
      <c r="S43" s="49" t="n">
        <v>0.45</v>
      </c>
      <c r="T43" s="50" t="n">
        <v>0.05</v>
      </c>
      <c r="U43" s="49" t="n">
        <v>0</v>
      </c>
    </row>
    <row r="44">
      <c r="A44" s="49" t="inlineStr">
        <is>
          <t xml:space="preserve">B177 </t>
        </is>
      </c>
      <c r="B44" s="49" t="inlineStr">
        <is>
          <t xml:space="preserve">PSICOLOGÍA EVOLUTIVA Y DIDÁCTICA </t>
        </is>
      </c>
      <c r="C44" s="49" t="inlineStr">
        <is>
          <t xml:space="preserve">DOCTORADO EN INVESTIGACIÓN EDUCATIVA </t>
        </is>
      </c>
      <c r="D44" s="49" t="inlineStr">
        <is>
          <t xml:space="preserve">Silva Martínez, Gardenia </t>
        </is>
      </c>
      <c r="E44" s="49" t="inlineStr">
        <is>
          <t xml:space="preserve">Análisis de las dificultades de los estudiantes para desarrollar su carrera en al Universidad UTE Santo Domingo (Ecuador) </t>
        </is>
      </c>
      <c r="F44" s="49" t="inlineStr">
        <is>
          <t xml:space="preserve">19/02/2021 </t>
        </is>
      </c>
      <c r="G44" s="49" t="inlineStr">
        <is>
          <t xml:space="preserve">76941801Q </t>
        </is>
      </c>
      <c r="H44" s="49" t="inlineStr">
        <is>
          <t xml:space="preserve">Director de tesis </t>
        </is>
      </c>
      <c r="I44" s="49" t="inlineStr">
        <is>
          <t xml:space="preserve">B112 </t>
        </is>
      </c>
      <c r="J44" s="49" t="inlineStr">
        <is>
          <t xml:space="preserve">DIDACTICA GENERAL Y DIDÁCTICAS ESPECÍFICAS </t>
        </is>
      </c>
      <c r="K44" s="49" t="n">
        <v>1</v>
      </c>
      <c r="L44" s="49" t="inlineStr">
        <is>
          <t>B112</t>
        </is>
      </c>
      <c r="M44" s="49" t="n">
        <v>2020</v>
      </c>
      <c r="N44" s="49" t="inlineStr">
        <is>
          <t>10.25</t>
        </is>
      </c>
      <c r="O44" s="49" t="n">
        <v>30</v>
      </c>
      <c r="P44" s="49" t="inlineStr">
        <is>
          <t>10.23</t>
        </is>
      </c>
      <c r="Q44" s="49" t="n">
        <v>20</v>
      </c>
      <c r="R44" s="49" t="n">
        <v>50</v>
      </c>
      <c r="S44" s="49" t="n">
        <v>0.5</v>
      </c>
      <c r="T44" s="50" t="n">
        <v>0.3</v>
      </c>
      <c r="U44" s="49" t="n">
        <v>0.2</v>
      </c>
    </row>
    <row r="45">
      <c r="A45" s="49" t="inlineStr">
        <is>
          <t xml:space="preserve">B177 </t>
        </is>
      </c>
      <c r="B45" s="49" t="inlineStr">
        <is>
          <t xml:space="preserve">PSICOLOGÍA EVOLUTIVA Y DIDÁCTICA </t>
        </is>
      </c>
      <c r="C45" s="49" t="inlineStr">
        <is>
          <t xml:space="preserve">DOCTORADO EN INVESTIGACIÓN EDUCATIVA </t>
        </is>
      </c>
      <c r="D45" s="49" t="inlineStr">
        <is>
          <t xml:space="preserve">Sierra Pazmiño, Diego Xavier </t>
        </is>
      </c>
      <c r="E45" s="49" t="inlineStr">
        <is>
          <t xml:space="preserve">Evaluación de las competencias digitales en la formación inicial docente de los y las estudiantes de la Facultad de Filosofía y Letras y Ciencias de la Educación de la Universidad Central de Ecuador </t>
        </is>
      </c>
      <c r="F45" s="49" t="inlineStr">
        <is>
          <t xml:space="preserve">25/02/2021 </t>
        </is>
      </c>
      <c r="G45" s="49" t="inlineStr">
        <is>
          <t xml:space="preserve">25126858W </t>
        </is>
      </c>
      <c r="H45" s="49" t="inlineStr">
        <is>
          <t xml:space="preserve">Director de tesis </t>
        </is>
      </c>
      <c r="I45" s="49" t="inlineStr">
        <is>
          <t xml:space="preserve">B112 </t>
        </is>
      </c>
      <c r="J45" s="49" t="inlineStr">
        <is>
          <t xml:space="preserve">DIDACTICA GENERAL Y DIDÁCTICAS ESPECÍFICAS </t>
        </is>
      </c>
      <c r="K45" s="49" t="n">
        <v>1</v>
      </c>
      <c r="L45" s="49" t="inlineStr">
        <is>
          <t>B112</t>
        </is>
      </c>
      <c r="M45" s="49" t="n">
        <v>2020</v>
      </c>
      <c r="N45" s="49" t="inlineStr">
        <is>
          <t>10.25</t>
        </is>
      </c>
      <c r="O45" s="49" t="n">
        <v>30</v>
      </c>
      <c r="P45" s="49" t="inlineStr"/>
      <c r="Q45" s="49" t="n">
        <v>0</v>
      </c>
      <c r="R45" s="49" t="n">
        <v>70</v>
      </c>
      <c r="S45" s="49" t="n">
        <v>0.7</v>
      </c>
      <c r="T45" s="50" t="n">
        <v>0.3</v>
      </c>
      <c r="U45" s="49" t="n">
        <v>0</v>
      </c>
    </row>
    <row r="46">
      <c r="A46" s="49" t="inlineStr">
        <is>
          <t xml:space="preserve">B177 </t>
        </is>
      </c>
      <c r="B46" s="49" t="inlineStr">
        <is>
          <t xml:space="preserve">PSICOLOGÍA EVOLUTIVA Y DIDÁCTICA </t>
        </is>
      </c>
      <c r="C46" s="49" t="inlineStr">
        <is>
          <t xml:space="preserve">DOCTORADO EN INVESTIGACIÓN EDUCATIVA </t>
        </is>
      </c>
      <c r="D46" s="49" t="inlineStr">
        <is>
          <t xml:space="preserve">Fabra Brell, Eugenio </t>
        </is>
      </c>
      <c r="E46" s="49" t="inlineStr">
        <is>
          <t xml:space="preserve">Flipped Learning y Aprendizaje Musical: Un estudio colectivo de casos con estudiantes de Educación Secundaria Obligatoria en un entorno rural </t>
        </is>
      </c>
      <c r="F46" s="49" t="inlineStr">
        <is>
          <t xml:space="preserve">18/02/2021 </t>
        </is>
      </c>
      <c r="G46" s="49" t="inlineStr">
        <is>
          <t xml:space="preserve">25126858W </t>
        </is>
      </c>
      <c r="H46" s="49" t="inlineStr">
        <is>
          <t xml:space="preserve">Director de tesis </t>
        </is>
      </c>
      <c r="I46" s="49" t="inlineStr">
        <is>
          <t xml:space="preserve">B112 </t>
        </is>
      </c>
      <c r="J46" s="49" t="inlineStr">
        <is>
          <t xml:space="preserve">DIDACTICA GENERAL Y DIDÁCTICAS ESPECÍFICAS </t>
        </is>
      </c>
      <c r="K46" s="49" t="n">
        <v>1</v>
      </c>
      <c r="L46" s="49" t="inlineStr">
        <is>
          <t>B112</t>
        </is>
      </c>
      <c r="M46" s="49" t="n">
        <v>2020</v>
      </c>
      <c r="N46" s="49" t="inlineStr">
        <is>
          <t>10.25</t>
        </is>
      </c>
      <c r="O46" s="49" t="n">
        <v>30</v>
      </c>
      <c r="P46" s="49" t="inlineStr"/>
      <c r="Q46" s="49" t="n">
        <v>0</v>
      </c>
      <c r="R46" s="49" t="n">
        <v>70</v>
      </c>
      <c r="S46" s="49" t="n">
        <v>0.7</v>
      </c>
      <c r="T46" s="50" t="n">
        <v>0.3</v>
      </c>
      <c r="U46" s="49" t="n">
        <v>0</v>
      </c>
    </row>
    <row r="47">
      <c r="A47" s="49" t="inlineStr">
        <is>
          <t xml:space="preserve">B177 </t>
        </is>
      </c>
      <c r="B47" s="49" t="inlineStr">
        <is>
          <t xml:space="preserve">PSICOLOGÍA EVOLUTIVA Y DIDÁCTICA </t>
        </is>
      </c>
      <c r="C47" s="49" t="inlineStr">
        <is>
          <t xml:space="preserve">DOCTORADO EN INVESTIGACIÓN EDUCATIVA </t>
        </is>
      </c>
      <c r="D47" s="49" t="inlineStr">
        <is>
          <t xml:space="preserve">Alfaro Alfaro, Domingo Orlando </t>
        </is>
      </c>
      <c r="E47" s="49" t="inlineStr">
        <is>
          <t xml:space="preserve">TELEVISIÓN SALVADOREÑA DIRIGIDA A JÓVENES: EDUCACIÓN VERSUS ENTRETENIMIENTO </t>
        </is>
      </c>
      <c r="F47" s="49" t="inlineStr">
        <is>
          <t xml:space="preserve">15/01/2021 </t>
        </is>
      </c>
      <c r="G47" s="49" t="inlineStr">
        <is>
          <t xml:space="preserve">21463378P </t>
        </is>
      </c>
      <c r="H47" s="49" t="inlineStr">
        <is>
          <t xml:space="preserve">Director de tesis </t>
        </is>
      </c>
      <c r="I47" s="49" t="inlineStr">
        <is>
          <t xml:space="preserve">B175 </t>
        </is>
      </c>
      <c r="J47" s="49" t="inlineStr">
        <is>
          <t xml:space="preserve">COMUNICACIÓN Y PSICOLOGÍA SOCIAL </t>
        </is>
      </c>
      <c r="K47" s="49" t="n">
        <v>1</v>
      </c>
      <c r="L47" s="49" t="inlineStr">
        <is>
          <t>B175</t>
        </is>
      </c>
      <c r="M47" s="49" t="n">
        <v>2020</v>
      </c>
      <c r="N47" s="49" t="inlineStr">
        <is>
          <t>10.25</t>
        </is>
      </c>
      <c r="O47" s="49" t="n">
        <v>30</v>
      </c>
      <c r="P47" s="49" t="inlineStr"/>
      <c r="Q47" s="49" t="n">
        <v>0</v>
      </c>
      <c r="R47" s="49" t="n">
        <v>70</v>
      </c>
      <c r="S47" s="49" t="n">
        <v>0.7</v>
      </c>
      <c r="T47" s="50" t="n">
        <v>0.3</v>
      </c>
      <c r="U47" s="49" t="n">
        <v>0</v>
      </c>
    </row>
    <row r="48">
      <c r="A48" s="49" t="inlineStr">
        <is>
          <t xml:space="preserve">U023 </t>
        </is>
      </c>
      <c r="B48" s="49" t="inlineStr">
        <is>
          <t xml:space="preserve">ADM. FACULTAD DE FILOSOFIA Y LETRAS </t>
        </is>
      </c>
      <c r="C48" s="49" t="inlineStr">
        <is>
          <t xml:space="preserve">DOCTORADO EN FILOSOFÍA Y LETRAS </t>
        </is>
      </c>
      <c r="D48" s="49" t="inlineStr">
        <is>
          <t xml:space="preserve">García Serrano, Irma </t>
        </is>
      </c>
      <c r="E48" s="49" t="inlineStr">
        <is>
          <t xml:space="preserve">FACTORES SOCIOECONÓMICOS Y CULTURALES QUE EXPLICAN EL DESARROLLO COMUNITARIO EN ECUADOR. Incidencia de la cooperación internacional en comunidades de la parroquia de Cangahua, Cantón Cayambe, Provincia de Pichincha </t>
        </is>
      </c>
      <c r="F48" s="49" t="inlineStr">
        <is>
          <t xml:space="preserve">29/09/2021 </t>
        </is>
      </c>
      <c r="G48" s="49" t="inlineStr">
        <is>
          <t xml:space="preserve">74218386P </t>
        </is>
      </c>
      <c r="H48" s="49" t="inlineStr">
        <is>
          <t xml:space="preserve">Director de tesis </t>
        </is>
      </c>
      <c r="I48" s="49" t="inlineStr">
        <is>
          <t xml:space="preserve">B120 </t>
        </is>
      </c>
      <c r="J48" s="49" t="inlineStr">
        <is>
          <t xml:space="preserve">GEOGRAFIA HUMANA </t>
        </is>
      </c>
      <c r="K48" s="49" t="n">
        <v>1</v>
      </c>
      <c r="L48" s="49" t="inlineStr">
        <is>
          <t>B120</t>
        </is>
      </c>
      <c r="M48" s="49" t="n">
        <v>2020</v>
      </c>
      <c r="N48" s="49" t="inlineStr">
        <is>
          <t>10.25</t>
        </is>
      </c>
      <c r="O48" s="49" t="n">
        <v>30</v>
      </c>
      <c r="P48" s="49" t="inlineStr">
        <is>
          <t>10.21</t>
        </is>
      </c>
      <c r="Q48" s="49" t="n">
        <v>30</v>
      </c>
      <c r="R48" s="49" t="n">
        <v>40</v>
      </c>
      <c r="S48" s="49" t="n">
        <v>0.4</v>
      </c>
      <c r="T48" s="50" t="n">
        <v>0.3</v>
      </c>
      <c r="U48" s="49" t="n">
        <v>0.3</v>
      </c>
    </row>
    <row r="49">
      <c r="A49" s="49" t="inlineStr">
        <is>
          <t xml:space="preserve">U023 </t>
        </is>
      </c>
      <c r="B49" s="49" t="inlineStr">
        <is>
          <t xml:space="preserve">ADM. FACULTAD DE FILOSOFIA Y LETRAS </t>
        </is>
      </c>
      <c r="C49" s="49" t="inlineStr">
        <is>
          <t xml:space="preserve">DOCTORADO EN FILOSOFÍA Y LETRAS </t>
        </is>
      </c>
      <c r="D49" s="49" t="inlineStr">
        <is>
          <t xml:space="preserve">Morillo Revelo, Edgardo Javier </t>
        </is>
      </c>
      <c r="E49" s="49" t="inlineStr">
        <is>
          <t xml:space="preserve">Reducción de la pobreza en Ecuador (2007-2017). El caso del Cantón Pedro Moncayo </t>
        </is>
      </c>
      <c r="F49" s="49" t="inlineStr">
        <is>
          <t xml:space="preserve">27/04/2021 </t>
        </is>
      </c>
      <c r="G49" s="49" t="inlineStr">
        <is>
          <t xml:space="preserve">21457927P </t>
        </is>
      </c>
      <c r="H49" s="49" t="inlineStr">
        <is>
          <t xml:space="preserve">Director de tesis </t>
        </is>
      </c>
      <c r="I49" s="49" t="inlineStr">
        <is>
          <t xml:space="preserve">B112 </t>
        </is>
      </c>
      <c r="J49" s="49" t="inlineStr">
        <is>
          <t xml:space="preserve">DIDACTICA GENERAL Y DIDÁCTICAS ESPECÍFICAS </t>
        </is>
      </c>
      <c r="K49" s="49" t="n">
        <v>1</v>
      </c>
      <c r="L49" s="49" t="inlineStr">
        <is>
          <t>B112</t>
        </is>
      </c>
      <c r="M49" s="49" t="n">
        <v>2020</v>
      </c>
      <c r="N49" s="49" t="inlineStr">
        <is>
          <t>10.25</t>
        </is>
      </c>
      <c r="O49" s="49" t="n">
        <v>80</v>
      </c>
      <c r="P49" s="49" t="inlineStr"/>
      <c r="Q49" s="49" t="n">
        <v>0</v>
      </c>
      <c r="R49" s="49" t="n">
        <v>20</v>
      </c>
      <c r="S49" s="49" t="n">
        <v>0.2</v>
      </c>
      <c r="T49" s="50" t="n">
        <v>0.8</v>
      </c>
      <c r="U49" s="49" t="n">
        <v>0</v>
      </c>
    </row>
    <row r="50">
      <c r="A50" s="49" t="inlineStr">
        <is>
          <t xml:space="preserve">U023 </t>
        </is>
      </c>
      <c r="B50" s="49" t="inlineStr">
        <is>
          <t xml:space="preserve">ADM. FACULTAD DE FILOSOFIA Y LETRAS </t>
        </is>
      </c>
      <c r="C50" s="49" t="inlineStr">
        <is>
          <t xml:space="preserve">DOCTORADO EN FILOSOFÍA Y LETRAS </t>
        </is>
      </c>
      <c r="D50" s="49" t="inlineStr">
        <is>
          <t xml:space="preserve">Salinas Salinas, Carlos </t>
        </is>
      </c>
      <c r="E50" s="49" t="inlineStr">
        <is>
          <t xml:space="preserve">Pedro Zaragoza Orts, alcalde franquista i desenvolupista de Benidorm, 1951-1967" </t>
        </is>
      </c>
      <c r="F50" s="49" t="inlineStr">
        <is>
          <t xml:space="preserve">15/03/2021 </t>
        </is>
      </c>
      <c r="G50" s="49" t="inlineStr">
        <is>
          <t xml:space="preserve">21489543E </t>
        </is>
      </c>
      <c r="H50" s="49" t="inlineStr">
        <is>
          <t xml:space="preserve">Director de tesis </t>
        </is>
      </c>
      <c r="I50" s="49" t="inlineStr">
        <is>
          <t xml:space="preserve">B122 </t>
        </is>
      </c>
      <c r="J50" s="49" t="inlineStr">
        <is>
          <t xml:space="preserve">HUMANIDADES CONTEMPORANEAS </t>
        </is>
      </c>
      <c r="K50" s="49" t="n">
        <v>1</v>
      </c>
      <c r="L50" s="49" t="inlineStr">
        <is>
          <t>B122</t>
        </is>
      </c>
      <c r="M50" s="49" t="n">
        <v>2020</v>
      </c>
      <c r="N50" s="49" t="inlineStr">
        <is>
          <t>10.25</t>
        </is>
      </c>
      <c r="O50" s="49" t="n">
        <v>80</v>
      </c>
      <c r="P50" s="49" t="inlineStr"/>
      <c r="Q50" s="49" t="n">
        <v>0</v>
      </c>
      <c r="R50" s="49" t="n">
        <v>20</v>
      </c>
      <c r="S50" s="49" t="n">
        <v>0.2</v>
      </c>
      <c r="T50" s="50" t="n">
        <v>0.8</v>
      </c>
      <c r="U50" s="49" t="n">
        <v>0</v>
      </c>
    </row>
    <row r="51">
      <c r="A51" s="49" t="inlineStr">
        <is>
          <t xml:space="preserve">U023 </t>
        </is>
      </c>
      <c r="B51" s="49" t="inlineStr">
        <is>
          <t xml:space="preserve">ADM. FACULTAD DE FILOSOFIA Y LETRAS </t>
        </is>
      </c>
      <c r="C51" s="49" t="inlineStr">
        <is>
          <t xml:space="preserve">DOCTORADO EN FILOSOFÍA Y LETRAS </t>
        </is>
      </c>
      <c r="D51" s="49" t="inlineStr">
        <is>
          <t xml:space="preserve">Crespo Amat, Carlos </t>
        </is>
      </c>
      <c r="E51" s="49" t="inlineStr">
        <is>
          <t xml:space="preserve">Entre Castilla, la Corona de Aragón y el Mediterráneo: la formación de un mercado transnacional en el reino de Valencia durante la Baja Edad Media (1370-1430) </t>
        </is>
      </c>
      <c r="F51" s="49" t="inlineStr">
        <is>
          <t xml:space="preserve">30/09/2021 </t>
        </is>
      </c>
      <c r="G51" s="49" t="inlineStr">
        <is>
          <t xml:space="preserve">22126836P </t>
        </is>
      </c>
      <c r="H51" s="49" t="inlineStr">
        <is>
          <t xml:space="preserve">Codirector de tesis </t>
        </is>
      </c>
      <c r="I51" s="49" t="inlineStr">
        <is>
          <t xml:space="preserve">B174 </t>
        </is>
      </c>
      <c r="J51" s="49" t="inlineStr">
        <is>
          <t xml:space="preserve">HISTORIA MEDIEVAL, HISTORIA MODERNA Y CIENCIAS Y TÉCNICAS HISTORIOGRÀFICAS </t>
        </is>
      </c>
      <c r="K51" s="49" t="n">
        <v>0.5</v>
      </c>
      <c r="L51" s="49" t="inlineStr">
        <is>
          <t>B174</t>
        </is>
      </c>
      <c r="M51" s="49" t="n">
        <v>2020</v>
      </c>
      <c r="N51" s="49" t="inlineStr">
        <is>
          <t>10.25</t>
        </is>
      </c>
      <c r="O51" s="49" t="n">
        <v>50</v>
      </c>
      <c r="P51" s="49" t="inlineStr"/>
      <c r="Q51" s="49" t="n">
        <v>0</v>
      </c>
      <c r="R51" s="49" t="n">
        <v>50</v>
      </c>
      <c r="S51" s="49" t="n">
        <v>0.25</v>
      </c>
      <c r="T51" s="50" t="n">
        <v>0.25</v>
      </c>
      <c r="U51" s="49" t="n">
        <v>0</v>
      </c>
    </row>
    <row r="52">
      <c r="A52" s="49" t="inlineStr">
        <is>
          <t xml:space="preserve">U023 </t>
        </is>
      </c>
      <c r="B52" s="49" t="inlineStr">
        <is>
          <t xml:space="preserve">ADM. FACULTAD DE FILOSOFIA Y LETRAS </t>
        </is>
      </c>
      <c r="C52" s="49" t="inlineStr">
        <is>
          <t xml:space="preserve">DOCTORADO EN FILOSOFÍA Y LETRAS </t>
        </is>
      </c>
      <c r="D52" s="49" t="inlineStr">
        <is>
          <t xml:space="preserve">Cañizares Gómez, María José </t>
        </is>
      </c>
      <c r="E52" s="49" t="inlineStr">
        <is>
          <t xml:space="preserve">Iglesia, frontera y poder: el pleito del obispado de Orihuela entre la Corona de Castilla y la Corona de Aragón (siglos XIII y XVI) </t>
        </is>
      </c>
      <c r="F52" s="49" t="inlineStr">
        <is>
          <t xml:space="preserve">29/09/2021 </t>
        </is>
      </c>
      <c r="G52" s="49" t="inlineStr">
        <is>
          <t xml:space="preserve">22126836P </t>
        </is>
      </c>
      <c r="H52" s="49" t="inlineStr">
        <is>
          <t xml:space="preserve">Codirector de tesis </t>
        </is>
      </c>
      <c r="I52" s="49" t="inlineStr">
        <is>
          <t xml:space="preserve">B174 </t>
        </is>
      </c>
      <c r="J52" s="49" t="inlineStr">
        <is>
          <t xml:space="preserve">HISTORIA MEDIEVAL, HISTORIA MODERNA Y CIENCIAS Y TÉCNICAS HISTORIOGRÀFICAS </t>
        </is>
      </c>
      <c r="K52" s="49" t="n">
        <v>0.5</v>
      </c>
      <c r="L52" s="49" t="inlineStr">
        <is>
          <t>B174</t>
        </is>
      </c>
      <c r="M52" s="49" t="n">
        <v>2020</v>
      </c>
      <c r="N52" s="49" t="inlineStr">
        <is>
          <t>10.25</t>
        </is>
      </c>
      <c r="O52" s="49" t="n">
        <v>50</v>
      </c>
      <c r="P52" s="49" t="inlineStr"/>
      <c r="Q52" s="49" t="n">
        <v>0</v>
      </c>
      <c r="R52" s="49" t="n">
        <v>50</v>
      </c>
      <c r="S52" s="49" t="n">
        <v>0.25</v>
      </c>
      <c r="T52" s="50" t="n">
        <v>0.25</v>
      </c>
      <c r="U52" s="49" t="n">
        <v>0</v>
      </c>
    </row>
    <row r="53">
      <c r="A53" s="49" t="inlineStr">
        <is>
          <t xml:space="preserve">U023 </t>
        </is>
      </c>
      <c r="B53" s="49" t="inlineStr">
        <is>
          <t xml:space="preserve">ADM. FACULTAD DE FILOSOFIA Y LETRAS </t>
        </is>
      </c>
      <c r="C53" s="49" t="inlineStr">
        <is>
          <t xml:space="preserve">DOCTORADO EN TRANSFERENCIAS INTERCULTURALES E HISTÓRICAS EN LA EUROPA MEDIE </t>
        </is>
      </c>
      <c r="D53" s="49" t="inlineStr">
        <is>
          <t xml:space="preserve">Soler Molina, Joan Abel </t>
        </is>
      </c>
      <c r="E53" s="49" t="inlineStr">
        <is>
          <t xml:space="preserve">Intervenció senyorial i transformacions locals a la baronia de Rebollet-Comtat d'Oliva (segles XIII-XVI). Els Carròs i el Centelles </t>
        </is>
      </c>
      <c r="F53" s="49" t="inlineStr">
        <is>
          <t xml:space="preserve">04/03/2021 </t>
        </is>
      </c>
      <c r="G53" s="49" t="inlineStr">
        <is>
          <t xml:space="preserve">22126836P </t>
        </is>
      </c>
      <c r="H53" s="49" t="inlineStr">
        <is>
          <t xml:space="preserve">Codirector de tesis </t>
        </is>
      </c>
      <c r="I53" s="49" t="inlineStr">
        <is>
          <t xml:space="preserve">B174 </t>
        </is>
      </c>
      <c r="J53" s="49" t="inlineStr">
        <is>
          <t xml:space="preserve">HISTORIA MEDIEVAL, HISTORIA MODERNA Y CIENCIAS Y TÉCNICAS HISTORIOGRÀFICAS </t>
        </is>
      </c>
      <c r="K53" s="49" t="n">
        <v>0.5</v>
      </c>
      <c r="L53" s="49" t="inlineStr">
        <is>
          <t>B174</t>
        </is>
      </c>
      <c r="M53" s="49" t="n">
        <v>2020</v>
      </c>
      <c r="N53" s="49" t="inlineStr">
        <is>
          <t>10.25</t>
        </is>
      </c>
      <c r="O53" s="49" t="n">
        <v>50</v>
      </c>
      <c r="P53" s="49" t="inlineStr"/>
      <c r="Q53" s="49" t="n">
        <v>0</v>
      </c>
      <c r="R53" s="49" t="n">
        <v>50</v>
      </c>
      <c r="S53" s="49" t="n">
        <v>0.25</v>
      </c>
      <c r="T53" s="50" t="n">
        <v>0.25</v>
      </c>
      <c r="U53" s="49" t="n">
        <v>0</v>
      </c>
    </row>
    <row r="54">
      <c r="A54" s="49" t="inlineStr">
        <is>
          <t xml:space="preserve">U036 </t>
        </is>
      </c>
      <c r="B54" s="49" t="inlineStr">
        <is>
          <t xml:space="preserve">ADM. FACULTAD DE CIENCIAS ECONÓMICAS </t>
        </is>
      </c>
      <c r="C54" s="49" t="inlineStr">
        <is>
          <t xml:space="preserve">DOCTORADO EN EMPRESA, ECONOMÍA Y SOCIEDAD </t>
        </is>
      </c>
      <c r="D54" s="49" t="inlineStr">
        <is>
          <t xml:space="preserve">Canales de Ramírez, Lissette Cristalina </t>
        </is>
      </c>
      <c r="E54" s="49" t="inlineStr">
        <is>
          <t xml:space="preserve">Evolución y situación actual de las empresas familiares en El Salvador </t>
        </is>
      </c>
      <c r="F54" s="49" t="inlineStr">
        <is>
          <t xml:space="preserve">02/06/2021 </t>
        </is>
      </c>
      <c r="G54" s="49" t="inlineStr">
        <is>
          <t xml:space="preserve">21417350A </t>
        </is>
      </c>
      <c r="H54" s="49" t="inlineStr">
        <is>
          <t xml:space="preserve">Director de tesis </t>
        </is>
      </c>
      <c r="I54" s="49" t="inlineStr">
        <is>
          <t>B138</t>
        </is>
      </c>
      <c r="J54" s="49" t="inlineStr">
        <is>
          <t xml:space="preserve">ANALISIS ECONOMICO APLICADO </t>
        </is>
      </c>
      <c r="K54" s="49" t="n">
        <v>1</v>
      </c>
      <c r="L54" s="49" t="inlineStr">
        <is>
          <t>B138</t>
        </is>
      </c>
      <c r="M54" s="49" t="n">
        <v>2020</v>
      </c>
      <c r="N54" s="49" t="inlineStr">
        <is>
          <t>10.25</t>
        </is>
      </c>
      <c r="O54" s="49" t="n">
        <v>80</v>
      </c>
      <c r="P54" s="49" t="inlineStr"/>
      <c r="Q54" s="49" t="n">
        <v>0</v>
      </c>
      <c r="R54" s="49" t="n">
        <v>20</v>
      </c>
      <c r="S54" s="49" t="n">
        <v>0.2</v>
      </c>
      <c r="T54" s="50" t="n">
        <v>0.8</v>
      </c>
      <c r="U54" s="49" t="n">
        <v>0</v>
      </c>
    </row>
    <row r="55">
      <c r="A55" s="49" t="inlineStr">
        <is>
          <t xml:space="preserve">U062 </t>
        </is>
      </c>
      <c r="B55" s="49" t="inlineStr">
        <is>
          <t xml:space="preserve">ADM. I.U. DE INVESTIGACIÓN INFORMÁTICA </t>
        </is>
      </c>
      <c r="C55" s="49" t="inlineStr">
        <is>
          <t xml:space="preserve">DOCTORADO EN INFORMÁTICA </t>
        </is>
      </c>
      <c r="D55" s="49" t="inlineStr">
        <is>
          <t xml:space="preserve">Jiménez Álvarez, Luis Gonzalo </t>
        </is>
      </c>
      <c r="E55" s="49" t="inlineStr">
        <is>
          <t xml:space="preserve">Diseño y Especificación del ocio digital con fines de aprendizaje ODFA Subproblema: Ocio digital formativo en competencias ODFC para la UCE </t>
        </is>
      </c>
      <c r="F55" s="49" t="inlineStr">
        <is>
          <t xml:space="preserve">25/02/2021 </t>
        </is>
      </c>
      <c r="G55" s="49" t="inlineStr">
        <is>
          <t xml:space="preserve">21686601Q </t>
        </is>
      </c>
      <c r="H55" s="49" t="inlineStr">
        <is>
          <t xml:space="preserve">Codirector de tesis </t>
        </is>
      </c>
      <c r="I55" s="49" t="inlineStr">
        <is>
          <t xml:space="preserve">B112 </t>
        </is>
      </c>
      <c r="J55" s="49" t="inlineStr">
        <is>
          <t xml:space="preserve">DIDACTICA GENERAL Y DIDÁCTICAS ESPECÍFICAS </t>
        </is>
      </c>
      <c r="K55" s="49" t="n">
        <v>0.5</v>
      </c>
      <c r="L55" s="49" t="inlineStr">
        <is>
          <t>B112</t>
        </is>
      </c>
      <c r="M55" s="49" t="n">
        <v>2020</v>
      </c>
      <c r="N55" s="49" t="inlineStr">
        <is>
          <t>10.25</t>
        </is>
      </c>
      <c r="O55" s="49" t="n">
        <v>50</v>
      </c>
      <c r="P55" s="49" t="inlineStr"/>
      <c r="Q55" s="49" t="n">
        <v>0</v>
      </c>
      <c r="R55" s="49" t="n">
        <v>50</v>
      </c>
      <c r="S55" s="49" t="n">
        <v>0.25</v>
      </c>
      <c r="T55" s="50" t="n">
        <v>0.25</v>
      </c>
      <c r="U55" s="49" t="n">
        <v>0</v>
      </c>
    </row>
    <row r="56">
      <c r="A56" s="49" t="inlineStr">
        <is>
          <t xml:space="preserve">U062 </t>
        </is>
      </c>
      <c r="B56" s="49" t="inlineStr">
        <is>
          <t xml:space="preserve">ADM. I.U. DE INVESTIGACIÓN INFORMÁTICA </t>
        </is>
      </c>
      <c r="C56" s="49" t="inlineStr">
        <is>
          <t xml:space="preserve">DOCTORADO EN INFORMÁTICA </t>
        </is>
      </c>
      <c r="D56" s="49" t="inlineStr">
        <is>
          <t xml:space="preserve">Bravo Fuentes, Paloma </t>
        </is>
      </c>
      <c r="E56" s="49" t="inlineStr">
        <is>
          <t xml:space="preserve">Propuesta metodológica para la enseñanza de la flauta dulce en educación primaria mediante el soporte de complementos tecnológicos para el aprendizaje autónomo. </t>
        </is>
      </c>
      <c r="F56" s="49" t="inlineStr">
        <is>
          <t xml:space="preserve">29/07/2021 </t>
        </is>
      </c>
      <c r="G56" s="49" t="inlineStr">
        <is>
          <t xml:space="preserve">09371918Q </t>
        </is>
      </c>
      <c r="H56" s="49" t="inlineStr">
        <is>
          <t xml:space="preserve">Codirector de tesis </t>
        </is>
      </c>
      <c r="I56" s="49" t="inlineStr">
        <is>
          <t xml:space="preserve">B148 </t>
        </is>
      </c>
      <c r="J56" s="49" t="inlineStr">
        <is>
          <t xml:space="preserve">TECNOLOGÍA INFORMÁTICA Y COMPUTACIÓN </t>
        </is>
      </c>
      <c r="K56" s="49" t="n">
        <v>0.5</v>
      </c>
      <c r="L56" s="49" t="inlineStr">
        <is>
          <t>B148</t>
        </is>
      </c>
      <c r="M56" s="49" t="n">
        <v>2020</v>
      </c>
      <c r="N56" s="49" t="inlineStr">
        <is>
          <t>10.25</t>
        </is>
      </c>
      <c r="O56" s="49" t="n">
        <v>10</v>
      </c>
      <c r="P56" s="49" t="inlineStr">
        <is>
          <t>10.19</t>
        </is>
      </c>
      <c r="Q56" s="49" t="n">
        <v>10</v>
      </c>
      <c r="R56" s="49" t="n">
        <v>80</v>
      </c>
      <c r="S56" s="49" t="n">
        <v>0.4</v>
      </c>
      <c r="T56" s="50" t="n">
        <v>0.05</v>
      </c>
      <c r="U56" s="49" t="n">
        <v>0.05</v>
      </c>
    </row>
    <row r="57">
      <c r="A57" s="49" t="inlineStr">
        <is>
          <t xml:space="preserve">U075 </t>
        </is>
      </c>
      <c r="B57" s="49" t="inlineStr">
        <is>
          <t xml:space="preserve">ADM. I.U.INVESTIGACIÓN DE ESTUDIOS SOCIALES DE AMÉRICA LATINA </t>
        </is>
      </c>
      <c r="C57" s="49" t="inlineStr">
        <is>
          <t xml:space="preserve">DOCTORADO EN HUMANIDADES Y ESTUDIOS SOCIALES DE AMÉRICA LATINA </t>
        </is>
      </c>
      <c r="D57" s="49" t="inlineStr">
        <is>
          <t xml:space="preserve">Hoyos Londoño, María Carmenza </t>
        </is>
      </c>
      <c r="E57" s="49" t="inlineStr">
        <is>
          <t xml:space="preserve">Vida y obra del poeta colombiano Raúl Gómez Jattin: su indiscutible propensión a la poesía </t>
        </is>
      </c>
      <c r="F57" s="49" t="inlineStr">
        <is>
          <t xml:space="preserve">02/07/2021 </t>
        </is>
      </c>
      <c r="G57" s="49" t="inlineStr">
        <is>
          <t xml:space="preserve">21457927P </t>
        </is>
      </c>
      <c r="H57" s="49" t="inlineStr">
        <is>
          <t xml:space="preserve">Director de tesis </t>
        </is>
      </c>
      <c r="I57" s="49" t="inlineStr">
        <is>
          <t xml:space="preserve">B112 </t>
        </is>
      </c>
      <c r="J57" s="49" t="inlineStr">
        <is>
          <t xml:space="preserve">DIDACTICA GENERAL Y DIDÁCTICAS ESPECÍFICAS </t>
        </is>
      </c>
      <c r="K57" s="49" t="n">
        <v>1</v>
      </c>
      <c r="L57" s="49" t="inlineStr">
        <is>
          <t>B112</t>
        </is>
      </c>
      <c r="M57" s="49" t="n">
        <v>2020</v>
      </c>
      <c r="N57" s="49" t="inlineStr">
        <is>
          <t>10.25</t>
        </is>
      </c>
      <c r="O57" s="49" t="n">
        <v>80</v>
      </c>
      <c r="P57" s="49" t="inlineStr"/>
      <c r="Q57" s="49" t="n">
        <v>0</v>
      </c>
      <c r="R57" s="49" t="n">
        <v>20</v>
      </c>
      <c r="S57" s="49" t="n">
        <v>0.2</v>
      </c>
      <c r="T57" s="50" t="n">
        <v>0.8</v>
      </c>
      <c r="U57" s="49" t="n">
        <v>0</v>
      </c>
    </row>
    <row r="58">
      <c r="A58" s="49" t="inlineStr">
        <is>
          <t xml:space="preserve">B112 </t>
        </is>
      </c>
      <c r="B58" s="49" t="inlineStr">
        <is>
          <t xml:space="preserve">DIDACTICA GENERAL Y DIDÁCTICAS ESPECÍFICAS </t>
        </is>
      </c>
      <c r="C58" s="49" t="inlineStr">
        <is>
          <t xml:space="preserve">DOCTORADO EN INVESTIGACIÓN EDUCATIVA </t>
        </is>
      </c>
      <c r="D58" s="49" t="inlineStr">
        <is>
          <t xml:space="preserve">García del Castillo López, Fernando </t>
        </is>
      </c>
      <c r="E58" s="49" t="inlineStr">
        <is>
          <t xml:space="preserve">Estilos de vida, comportamiento digital, estado emocional y actividad física en situación de confinamiento por la COVID-19, en una muestra de estudiantes universitarios </t>
        </is>
      </c>
      <c r="F58" s="49" t="inlineStr">
        <is>
          <t xml:space="preserve">11/03/2022 </t>
        </is>
      </c>
      <c r="G58" s="49" t="inlineStr">
        <is>
          <t xml:space="preserve">21495354Z </t>
        </is>
      </c>
      <c r="H58" s="49" t="inlineStr">
        <is>
          <t xml:space="preserve">Codirector de tesis </t>
        </is>
      </c>
      <c r="I58" s="49" t="inlineStr">
        <is>
          <t xml:space="preserve">B175 </t>
        </is>
      </c>
      <c r="J58" s="49" t="inlineStr">
        <is>
          <t xml:space="preserve">COMUNICACIÓN Y PSICOLOGÍA SOCIAL </t>
        </is>
      </c>
      <c r="K58" s="49" t="n">
        <v>0.5</v>
      </c>
      <c r="L58" s="49" t="inlineStr">
        <is>
          <t>B175</t>
        </is>
      </c>
      <c r="M58" s="49" t="n">
        <v>2021</v>
      </c>
      <c r="N58" s="49" t="inlineStr">
        <is>
          <t>10.25</t>
        </is>
      </c>
      <c r="O58" s="49" t="n">
        <v>30</v>
      </c>
      <c r="P58" s="49" t="inlineStr"/>
      <c r="Q58" s="49" t="n">
        <v>0</v>
      </c>
      <c r="R58" s="49" t="n">
        <v>70</v>
      </c>
      <c r="S58" s="49" t="n">
        <v>0.35</v>
      </c>
      <c r="T58" s="50" t="n">
        <v>0.15</v>
      </c>
      <c r="U58" s="49" t="n">
        <v>0</v>
      </c>
    </row>
    <row r="59">
      <c r="A59" s="49" t="inlineStr">
        <is>
          <t xml:space="preserve">B119 </t>
        </is>
      </c>
      <c r="B59" s="49" t="inlineStr">
        <is>
          <t xml:space="preserve">FUNDAMENTOS DEL ANÁLISIS ECONÓMICO </t>
        </is>
      </c>
      <c r="C59" s="49" t="inlineStr">
        <is>
          <t xml:space="preserve">DOCTORADO EN ECONOMÍA </t>
        </is>
      </c>
      <c r="D59" s="49" t="inlineStr">
        <is>
          <t xml:space="preserve">Torres García de las Bayonas, Sonia María </t>
        </is>
      </c>
      <c r="E59" s="49" t="inlineStr">
        <is>
          <t xml:space="preserve">El crédito en los procesos de crecimiento y desarrollo económico. La experiencia española en las situaciones de crisis financieras. El papel de las instituciones y de los reguladores del sistema financiero. ¿Ha tenido efectos la desaparición de las c </t>
        </is>
      </c>
      <c r="F59" s="49" t="inlineStr">
        <is>
          <t xml:space="preserve">14/07/2022 </t>
        </is>
      </c>
      <c r="G59" s="49" t="inlineStr">
        <is>
          <t xml:space="preserve">22529387J </t>
        </is>
      </c>
      <c r="H59" s="49" t="inlineStr">
        <is>
          <t xml:space="preserve">Codirector de tesis </t>
        </is>
      </c>
      <c r="I59" s="49" t="inlineStr">
        <is>
          <t>B138</t>
        </is>
      </c>
      <c r="J59" s="49" t="inlineStr">
        <is>
          <t xml:space="preserve">ANALISIS ECONOMICO APLICADO </t>
        </is>
      </c>
      <c r="K59" s="49" t="n">
        <v>0.5</v>
      </c>
      <c r="L59" s="49" t="inlineStr">
        <is>
          <t>B138</t>
        </is>
      </c>
      <c r="M59" s="49" t="n">
        <v>2021</v>
      </c>
      <c r="N59" s="49" t="inlineStr">
        <is>
          <t>10.25</t>
        </is>
      </c>
      <c r="O59" s="49" t="n">
        <v>50</v>
      </c>
      <c r="P59" s="49" t="inlineStr">
        <is>
          <t>10.17</t>
        </is>
      </c>
      <c r="Q59" s="49" t="n">
        <v>10</v>
      </c>
      <c r="R59" s="49" t="n">
        <v>40</v>
      </c>
      <c r="S59" s="49" t="n">
        <v>0.2</v>
      </c>
      <c r="T59" s="50" t="n">
        <v>0.25</v>
      </c>
      <c r="U59" s="49" t="n">
        <v>0.05</v>
      </c>
    </row>
    <row r="60">
      <c r="A60" s="49" t="inlineStr">
        <is>
          <t xml:space="preserve">B138 </t>
        </is>
      </c>
      <c r="B60" s="49" t="inlineStr">
        <is>
          <t xml:space="preserve">ANALISIS ECONOMICO APLICADO </t>
        </is>
      </c>
      <c r="C60" s="49" t="inlineStr">
        <is>
          <t xml:space="preserve">DOCTORADO EN ECONOMÍA </t>
        </is>
      </c>
      <c r="D60" s="49" t="inlineStr">
        <is>
          <t xml:space="preserve">Pastor Pomares, Francisco </t>
        </is>
      </c>
      <c r="E60" s="49" t="inlineStr">
        <is>
          <t xml:space="preserve">Acuerdos comerciales regionales (Estudio de caso sobre sus impactos y efectos bajo un modelo gravitacional) </t>
        </is>
      </c>
      <c r="F60" s="49" t="inlineStr">
        <is>
          <t xml:space="preserve">18/07/2022 </t>
        </is>
      </c>
      <c r="G60" s="49" t="inlineStr">
        <is>
          <t xml:space="preserve">22529387J </t>
        </is>
      </c>
      <c r="H60" s="49" t="inlineStr">
        <is>
          <t xml:space="preserve">Codirector de tesis </t>
        </is>
      </c>
      <c r="I60" s="49" t="inlineStr">
        <is>
          <t>B138</t>
        </is>
      </c>
      <c r="J60" s="49" t="inlineStr">
        <is>
          <t xml:space="preserve">ANALISIS ECONOMICO APLICADO </t>
        </is>
      </c>
      <c r="K60" s="49" t="n">
        <v>0.5</v>
      </c>
      <c r="L60" s="49" t="inlineStr">
        <is>
          <t>B138</t>
        </is>
      </c>
      <c r="M60" s="49" t="n">
        <v>2021</v>
      </c>
      <c r="N60" s="49" t="inlineStr">
        <is>
          <t>10.25</t>
        </is>
      </c>
      <c r="O60" s="49" t="n">
        <v>50</v>
      </c>
      <c r="P60" s="49" t="inlineStr">
        <is>
          <t>10.17</t>
        </is>
      </c>
      <c r="Q60" s="49" t="n">
        <v>10</v>
      </c>
      <c r="R60" s="49" t="n">
        <v>40</v>
      </c>
      <c r="S60" s="49" t="n">
        <v>0.2</v>
      </c>
      <c r="T60" s="50" t="n">
        <v>0.25</v>
      </c>
      <c r="U60" s="49" t="n">
        <v>0.05</v>
      </c>
    </row>
    <row r="61">
      <c r="A61" s="49" t="inlineStr">
        <is>
          <t xml:space="preserve">B177 </t>
        </is>
      </c>
      <c r="B61" s="49" t="inlineStr">
        <is>
          <t xml:space="preserve">PSICOLOGÍA EVOLUTIVA Y DIDÁCTICA </t>
        </is>
      </c>
      <c r="C61" s="49" t="inlineStr">
        <is>
          <t xml:space="preserve">DOCTORADO EN INVESTIGACIÓN EDUCATIVA </t>
        </is>
      </c>
      <c r="D61" s="49" t="inlineStr">
        <is>
          <t xml:space="preserve">Olmedo Rodriguez, Carmen Marcela </t>
        </is>
      </c>
      <c r="E61" s="49" t="inlineStr">
        <is>
          <t xml:space="preserve">Evaluación de la eficiencia docente. Relaciones entre la nota ser bachiller, la evaluación de la docencia y el rendimiento académico de los estudiantes de la Universidad Central de Ecuador </t>
        </is>
      </c>
      <c r="F61" s="49" t="inlineStr">
        <is>
          <t xml:space="preserve">02/03/2022 </t>
        </is>
      </c>
      <c r="G61" s="49" t="inlineStr">
        <is>
          <t xml:space="preserve">22929043K </t>
        </is>
      </c>
      <c r="H61" s="49" t="inlineStr">
        <is>
          <t xml:space="preserve">Director de tesis </t>
        </is>
      </c>
      <c r="I61" s="49" t="inlineStr">
        <is>
          <t xml:space="preserve">B177 </t>
        </is>
      </c>
      <c r="J61" s="49" t="inlineStr">
        <is>
          <t xml:space="preserve">PSICOLOGÍA EVOLUTIVA Y DIDÁCTICA </t>
        </is>
      </c>
      <c r="K61" s="49" t="n">
        <v>1</v>
      </c>
      <c r="L61" s="49" t="inlineStr">
        <is>
          <t>B177</t>
        </is>
      </c>
      <c r="M61" s="49" t="n">
        <v>2021</v>
      </c>
      <c r="N61" s="49" t="inlineStr">
        <is>
          <t>10.25</t>
        </is>
      </c>
      <c r="O61" s="49" t="n">
        <v>10</v>
      </c>
      <c r="P61" s="49" t="inlineStr"/>
      <c r="Q61" s="49" t="n">
        <v>0</v>
      </c>
      <c r="R61" s="49" t="n">
        <v>90</v>
      </c>
      <c r="S61" s="49" t="n">
        <v>0.9</v>
      </c>
      <c r="T61" s="50" t="n">
        <v>0.1</v>
      </c>
      <c r="U61" s="49" t="n">
        <v>0</v>
      </c>
    </row>
    <row r="62">
      <c r="A62" s="49" t="inlineStr">
        <is>
          <t xml:space="preserve">B177 </t>
        </is>
      </c>
      <c r="B62" s="49" t="inlineStr">
        <is>
          <t xml:space="preserve">PSICOLOGÍA EVOLUTIVA Y DIDÁCTICA </t>
        </is>
      </c>
      <c r="C62" s="49" t="inlineStr">
        <is>
          <t xml:space="preserve">DOCTORADO EN INVESTIGACIÓN EDUCATIVA </t>
        </is>
      </c>
      <c r="D62" s="49" t="inlineStr">
        <is>
          <t xml:space="preserve">Martínez Rivera, Julio César </t>
        </is>
      </c>
      <c r="E62" s="49" t="inlineStr">
        <is>
          <t xml:space="preserve">LA FIESTA DE MOROS Y CRISTIANOS O "LOS HISTORIANTES" DE EL SALVADOR. UN CASO DE SINCRETISMO CULTURAL </t>
        </is>
      </c>
      <c r="F62" s="49" t="inlineStr">
        <is>
          <t xml:space="preserve">12/01/2022 </t>
        </is>
      </c>
      <c r="G62" s="49" t="inlineStr">
        <is>
          <t xml:space="preserve">21457927P </t>
        </is>
      </c>
      <c r="H62" s="49" t="inlineStr">
        <is>
          <t xml:space="preserve">Director de tesis </t>
        </is>
      </c>
      <c r="I62" s="49" t="inlineStr">
        <is>
          <t xml:space="preserve">B122 </t>
        </is>
      </c>
      <c r="J62" s="49" t="inlineStr">
        <is>
          <t xml:space="preserve">HUMANIDADES CONTEMPORANEAS </t>
        </is>
      </c>
      <c r="K62" s="49" t="n">
        <v>1</v>
      </c>
      <c r="L62" s="49" t="inlineStr">
        <is>
          <t>B122</t>
        </is>
      </c>
      <c r="M62" s="49" t="n">
        <v>2021</v>
      </c>
      <c r="N62" s="49" t="inlineStr">
        <is>
          <t>10.25</t>
        </is>
      </c>
      <c r="O62" s="49" t="n">
        <v>80</v>
      </c>
      <c r="P62" s="49" t="inlineStr"/>
      <c r="Q62" s="49" t="n">
        <v>0</v>
      </c>
      <c r="R62" s="49" t="n">
        <v>20</v>
      </c>
      <c r="S62" s="49" t="n">
        <v>0.2</v>
      </c>
      <c r="T62" s="50" t="n">
        <v>0.8</v>
      </c>
      <c r="U62" s="49" t="n">
        <v>0</v>
      </c>
    </row>
    <row r="63">
      <c r="A63" s="49" t="inlineStr">
        <is>
          <t xml:space="preserve">U020 </t>
        </is>
      </c>
      <c r="B63" s="49" t="inlineStr">
        <is>
          <t xml:space="preserve">ADM. I.U. DEL AGUA Y DE LAS CIENCIAS AMBIENTALES </t>
        </is>
      </c>
      <c r="C63" s="49" t="inlineStr">
        <is>
          <t xml:space="preserve">DOCTORADO EN AGUA Y DESARROLLO SOSTENIBLE </t>
        </is>
      </c>
      <c r="D63" s="49" t="inlineStr">
        <is>
          <t xml:space="preserve">López Davó, Joaquín Antonio </t>
        </is>
      </c>
      <c r="E63" s="49" t="inlineStr">
        <is>
          <t xml:space="preserve">La evolución del concepto de confort: el confort ambiental en edificios docentes y administrativos </t>
        </is>
      </c>
      <c r="F63" s="49" t="inlineStr">
        <is>
          <t xml:space="preserve">25/03/2022 </t>
        </is>
      </c>
      <c r="G63" s="49" t="inlineStr">
        <is>
          <t xml:space="preserve">22002559T </t>
        </is>
      </c>
      <c r="H63" s="49" t="inlineStr">
        <is>
          <t xml:space="preserve">Codirector de tesis </t>
        </is>
      </c>
      <c r="I63" s="49" t="inlineStr">
        <is>
          <t xml:space="preserve">B184 </t>
        </is>
      </c>
      <c r="J63" s="49" t="inlineStr">
        <is>
          <t xml:space="preserve">EDIFICACIÓN Y URBANISMO </t>
        </is>
      </c>
      <c r="K63" s="49" t="n">
        <v>0.5</v>
      </c>
      <c r="L63" s="49" t="inlineStr">
        <is>
          <t>B184</t>
        </is>
      </c>
      <c r="M63" s="49" t="n">
        <v>2021</v>
      </c>
      <c r="N63" s="49" t="inlineStr">
        <is>
          <t>10.25</t>
        </is>
      </c>
      <c r="O63" s="49" t="n">
        <v>10</v>
      </c>
      <c r="P63" s="49" t="inlineStr"/>
      <c r="Q63" s="49" t="n">
        <v>0</v>
      </c>
      <c r="R63" s="49" t="n">
        <v>90</v>
      </c>
      <c r="S63" s="49" t="n">
        <v>0.45</v>
      </c>
      <c r="T63" s="50" t="n">
        <v>0.05</v>
      </c>
      <c r="U63" s="49" t="n">
        <v>0</v>
      </c>
    </row>
    <row r="64">
      <c r="A64" s="49" t="inlineStr">
        <is>
          <t xml:space="preserve">U023 </t>
        </is>
      </c>
      <c r="B64" s="49" t="inlineStr">
        <is>
          <t xml:space="preserve">ADM. FACULTAD DE FILOSOFIA Y LETRAS </t>
        </is>
      </c>
      <c r="C64" s="49" t="inlineStr">
        <is>
          <t xml:space="preserve">DOCTORADO EN FILOSOFÍA Y LETRAS </t>
        </is>
      </c>
      <c r="D64" s="49" t="inlineStr">
        <is>
          <t xml:space="preserve">Ayón Villafuerte, Libia Soledad </t>
        </is>
      </c>
      <c r="E64" s="49" t="inlineStr">
        <is>
          <t xml:space="preserve">El ecoturismo en el perfil costero de Manabí (Ecuador). Estudio de caso Puerto López </t>
        </is>
      </c>
      <c r="F64" s="49" t="inlineStr">
        <is>
          <t xml:space="preserve">09/06/2022 </t>
        </is>
      </c>
      <c r="G64" s="49" t="inlineStr">
        <is>
          <t xml:space="preserve">74218386P </t>
        </is>
      </c>
      <c r="H64" s="49" t="inlineStr">
        <is>
          <t xml:space="preserve">Director de tesis </t>
        </is>
      </c>
      <c r="I64" s="49" t="inlineStr">
        <is>
          <t xml:space="preserve">B120 </t>
        </is>
      </c>
      <c r="J64" s="49" t="inlineStr">
        <is>
          <t xml:space="preserve">GEOGRAFIA HUMANA </t>
        </is>
      </c>
      <c r="K64" s="49" t="n">
        <v>1</v>
      </c>
      <c r="L64" s="49" t="inlineStr">
        <is>
          <t>B120</t>
        </is>
      </c>
      <c r="M64" s="49" t="n">
        <v>2021</v>
      </c>
      <c r="N64" s="49" t="inlineStr">
        <is>
          <t>10.25</t>
        </is>
      </c>
      <c r="O64" s="49" t="n">
        <v>30</v>
      </c>
      <c r="P64" s="49" t="inlineStr">
        <is>
          <t>10.21</t>
        </is>
      </c>
      <c r="Q64" s="49" t="n">
        <v>30</v>
      </c>
      <c r="R64" s="49" t="n">
        <v>40</v>
      </c>
      <c r="S64" s="49" t="n">
        <v>0.4</v>
      </c>
      <c r="T64" s="50" t="n">
        <v>0.3</v>
      </c>
      <c r="U64" s="49" t="n">
        <v>0.3</v>
      </c>
    </row>
    <row r="65">
      <c r="A65" s="49" t="inlineStr">
        <is>
          <t xml:space="preserve">U023 </t>
        </is>
      </c>
      <c r="B65" s="49" t="inlineStr">
        <is>
          <t xml:space="preserve">ADM. FACULTAD DE FILOSOFIA Y LETRAS </t>
        </is>
      </c>
      <c r="C65" s="49" t="inlineStr">
        <is>
          <t xml:space="preserve">DOCTORADO EN FILOSOFÍA Y LETRAS </t>
        </is>
      </c>
      <c r="D65" s="49" t="inlineStr">
        <is>
          <t xml:space="preserve">Silva Castillo, Vicente Xavier </t>
        </is>
      </c>
      <c r="E65" s="49" t="inlineStr">
        <is>
          <t xml:space="preserve">Los programas de posgrado en especialidad médica de Ecuador en el contexto andino y su relación con la economía El caso de la Universidad Central del Ecuador, 2000-2016 </t>
        </is>
      </c>
      <c r="F65" s="49" t="inlineStr">
        <is>
          <t xml:space="preserve">27/06/2022 </t>
        </is>
      </c>
      <c r="G65" s="49" t="inlineStr">
        <is>
          <t xml:space="preserve">21417350A </t>
        </is>
      </c>
      <c r="H65" s="49" t="inlineStr">
        <is>
          <t xml:space="preserve">Director de tesis </t>
        </is>
      </c>
      <c r="I65" s="49" t="inlineStr">
        <is>
          <t>B138</t>
        </is>
      </c>
      <c r="J65" s="49" t="inlineStr">
        <is>
          <t xml:space="preserve">ANALISIS ECONOMICO APLICADO </t>
        </is>
      </c>
      <c r="K65" s="49" t="n">
        <v>1</v>
      </c>
      <c r="L65" s="49" t="inlineStr">
        <is>
          <t>B138</t>
        </is>
      </c>
      <c r="M65" s="49" t="n">
        <v>2021</v>
      </c>
      <c r="N65" s="49" t="inlineStr">
        <is>
          <t>10.25</t>
        </is>
      </c>
      <c r="O65" s="49" t="n">
        <v>80</v>
      </c>
      <c r="P65" s="49" t="inlineStr"/>
      <c r="Q65" s="49" t="n">
        <v>0</v>
      </c>
      <c r="R65" s="49" t="n">
        <v>20</v>
      </c>
      <c r="S65" s="49" t="n">
        <v>0.2</v>
      </c>
      <c r="T65" s="50" t="n">
        <v>0.8</v>
      </c>
      <c r="U65" s="49" t="n">
        <v>0</v>
      </c>
    </row>
    <row r="66">
      <c r="A66" s="49" t="inlineStr">
        <is>
          <t xml:space="preserve">U023 </t>
        </is>
      </c>
      <c r="B66" s="49" t="inlineStr">
        <is>
          <t xml:space="preserve">ADM. FACULTAD DE FILOSOFIA Y LETRAS </t>
        </is>
      </c>
      <c r="C66" s="49" t="inlineStr">
        <is>
          <t xml:space="preserve">DOCTORADO EN FILOSOFÍA Y LETRAS </t>
        </is>
      </c>
      <c r="D66" s="49" t="inlineStr">
        <is>
          <t xml:space="preserve">Lázaro Pérez, Miguel Ángel </t>
        </is>
      </c>
      <c r="E66" s="49" t="inlineStr">
        <is>
          <t xml:space="preserve">Imperialismo y Teoría marxista de la dependencia </t>
        </is>
      </c>
      <c r="F66" s="49" t="inlineStr">
        <is>
          <t xml:space="preserve">22/03/2022 </t>
        </is>
      </c>
      <c r="G66" s="49" t="inlineStr">
        <is>
          <t xml:space="preserve">10078923R </t>
        </is>
      </c>
      <c r="H66" s="49" t="inlineStr">
        <is>
          <t xml:space="preserve">Director de tesis </t>
        </is>
      </c>
      <c r="I66" s="49" t="inlineStr">
        <is>
          <t xml:space="preserve">B120 </t>
        </is>
      </c>
      <c r="J66" s="49" t="inlineStr">
        <is>
          <t xml:space="preserve">GEOGRAFIA HUMANA </t>
        </is>
      </c>
      <c r="K66" s="49" t="n">
        <v>1</v>
      </c>
      <c r="L66" s="49" t="inlineStr">
        <is>
          <t>B120</t>
        </is>
      </c>
      <c r="M66" s="49" t="n">
        <v>2021</v>
      </c>
      <c r="N66" s="49" t="inlineStr">
        <is>
          <t>10.25</t>
        </is>
      </c>
      <c r="O66" s="49" t="n">
        <v>30</v>
      </c>
      <c r="P66" s="49" t="inlineStr"/>
      <c r="Q66" s="49" t="n">
        <v>0</v>
      </c>
      <c r="R66" s="49" t="n">
        <v>70</v>
      </c>
      <c r="S66" s="49" t="n">
        <v>0.7</v>
      </c>
      <c r="T66" s="50" t="n">
        <v>0.3</v>
      </c>
      <c r="U66" s="49" t="n">
        <v>0</v>
      </c>
    </row>
    <row r="67">
      <c r="A67" s="49" t="inlineStr">
        <is>
          <t xml:space="preserve">U025 </t>
        </is>
      </c>
      <c r="B67" s="49" t="inlineStr">
        <is>
          <t xml:space="preserve">ADM. FACULTAD DE DERECHO </t>
        </is>
      </c>
      <c r="C67" s="49" t="inlineStr">
        <is>
          <t xml:space="preserve">DOCTORADO EN DERECHO </t>
        </is>
      </c>
      <c r="D67" s="49" t="inlineStr">
        <is>
          <t xml:space="preserve">Villalba Clemente, Francisco Gabriel </t>
        </is>
      </c>
      <c r="E67" s="49" t="inlineStr">
        <is>
          <t xml:space="preserve">El modelo constitucional de organización y financiación territorial en la República Federal de Alemania: Aportaciones al modelo español </t>
        </is>
      </c>
      <c r="F67" s="49" t="inlineStr">
        <is>
          <t xml:space="preserve">17/06/2022 </t>
        </is>
      </c>
      <c r="G67" s="49" t="inlineStr">
        <is>
          <t xml:space="preserve">09019643D </t>
        </is>
      </c>
      <c r="H67" s="49" t="inlineStr">
        <is>
          <t xml:space="preserve">Codirector de tesis </t>
        </is>
      </c>
      <c r="I67" s="49" t="inlineStr">
        <is>
          <t xml:space="preserve">B113 </t>
        </is>
      </c>
      <c r="J67" s="49" t="inlineStr">
        <is>
          <t xml:space="preserve">ESTUDIOS JURIDICOS DEL ESTADO </t>
        </is>
      </c>
      <c r="K67" s="49" t="n">
        <v>0.5</v>
      </c>
      <c r="L67" s="49" t="inlineStr">
        <is>
          <t>B113</t>
        </is>
      </c>
      <c r="M67" s="49" t="n">
        <v>2021</v>
      </c>
      <c r="N67" s="49" t="inlineStr">
        <is>
          <t>10.25</t>
        </is>
      </c>
      <c r="O67" s="49" t="n">
        <v>30</v>
      </c>
      <c r="P67" s="49" t="inlineStr"/>
      <c r="Q67" s="49" t="n">
        <v>0</v>
      </c>
      <c r="R67" s="49" t="n">
        <v>70</v>
      </c>
      <c r="S67" s="49" t="n">
        <v>0.35</v>
      </c>
      <c r="T67" s="50" t="n">
        <v>0.15</v>
      </c>
      <c r="U67" s="49" t="n">
        <v>0</v>
      </c>
    </row>
    <row r="68">
      <c r="A68" s="49" t="inlineStr">
        <is>
          <t xml:space="preserve">U036 </t>
        </is>
      </c>
      <c r="B68" s="49" t="inlineStr">
        <is>
          <t xml:space="preserve">ADM. FACULTAD DE CIENCIAS ECONÓMICAS </t>
        </is>
      </c>
      <c r="C68" s="49" t="inlineStr">
        <is>
          <t xml:space="preserve">DOCTORADO EN EMPRESA, ECONOMÍA Y SOCIEDAD </t>
        </is>
      </c>
      <c r="D68" s="49" t="inlineStr">
        <is>
          <t xml:space="preserve">Igual Anton, Diego </t>
        </is>
      </c>
      <c r="E68" s="49" t="inlineStr">
        <is>
          <t xml:space="preserve">Modelo de gestión y comunicación de la RSC en las cooperativas eléctricas </t>
        </is>
      </c>
      <c r="F68" s="49" t="inlineStr">
        <is>
          <t xml:space="preserve">04/02/2022 </t>
        </is>
      </c>
      <c r="G68" s="49" t="inlineStr">
        <is>
          <t xml:space="preserve">33480107L </t>
        </is>
      </c>
      <c r="H68" s="49" t="inlineStr">
        <is>
          <t xml:space="preserve">Director de tesis </t>
        </is>
      </c>
      <c r="I68" s="49" t="inlineStr">
        <is>
          <t xml:space="preserve">B175 </t>
        </is>
      </c>
      <c r="J68" s="49" t="inlineStr">
        <is>
          <t xml:space="preserve">COMUNICACIÓN Y PSICOLOGÍA SOCIAL </t>
        </is>
      </c>
      <c r="K68" s="49" t="n">
        <v>1</v>
      </c>
      <c r="L68" s="49" t="inlineStr">
        <is>
          <t>B175</t>
        </is>
      </c>
      <c r="M68" s="49" t="n">
        <v>2021</v>
      </c>
      <c r="N68" s="49" t="inlineStr">
        <is>
          <t>10.25</t>
        </is>
      </c>
      <c r="O68" s="49" t="n">
        <v>30</v>
      </c>
      <c r="P68" s="49" t="inlineStr"/>
      <c r="Q68" s="49" t="n">
        <v>0</v>
      </c>
      <c r="R68" s="49" t="n">
        <v>70</v>
      </c>
      <c r="S68" s="49" t="n">
        <v>0.7</v>
      </c>
      <c r="T68" s="50" t="n">
        <v>0.3</v>
      </c>
      <c r="U68" s="49" t="n">
        <v>0</v>
      </c>
    </row>
    <row r="69">
      <c r="A69" s="49" t="inlineStr">
        <is>
          <t xml:space="preserve">U062 </t>
        </is>
      </c>
      <c r="B69" s="49" t="inlineStr">
        <is>
          <t xml:space="preserve">ADM. I.U. DE INVESTIGACIÓN INFORMÁTICA </t>
        </is>
      </c>
      <c r="C69" s="49" t="inlineStr">
        <is>
          <t xml:space="preserve">DOCTORADO EN INFORMÁTICA </t>
        </is>
      </c>
      <c r="D69" s="49" t="inlineStr">
        <is>
          <t xml:space="preserve">Arrebola Moreno, Clara </t>
        </is>
      </c>
      <c r="E69" s="49" t="inlineStr">
        <is>
          <t xml:space="preserve">Tecnologías aplicadas al proceso de enseñanza-aprendizaje del repertorio del Canto Lírico </t>
        </is>
      </c>
      <c r="F69" s="49" t="inlineStr">
        <is>
          <t xml:space="preserve">19/11/2021 </t>
        </is>
      </c>
      <c r="G69" s="49" t="inlineStr">
        <is>
          <t xml:space="preserve">09371918Q </t>
        </is>
      </c>
      <c r="H69" s="49" t="inlineStr">
        <is>
          <t xml:space="preserve">Codirector de tesis </t>
        </is>
      </c>
      <c r="I69" s="49" t="inlineStr">
        <is>
          <t xml:space="preserve">B148 </t>
        </is>
      </c>
      <c r="J69" s="49" t="inlineStr">
        <is>
          <t xml:space="preserve">TECNOLOGÍA INFORMÁTICA Y COMPUTACIÓN </t>
        </is>
      </c>
      <c r="K69" s="49" t="n">
        <v>0.5</v>
      </c>
      <c r="L69" s="49" t="inlineStr">
        <is>
          <t>B148</t>
        </is>
      </c>
      <c r="M69" s="49" t="n">
        <v>2021</v>
      </c>
      <c r="N69" s="49" t="inlineStr">
        <is>
          <t>10.25</t>
        </is>
      </c>
      <c r="O69" s="49" t="n">
        <v>10</v>
      </c>
      <c r="P69" s="49" t="inlineStr">
        <is>
          <t>10.19</t>
        </is>
      </c>
      <c r="Q69" s="49" t="n">
        <v>10</v>
      </c>
      <c r="R69" s="49" t="n">
        <v>80</v>
      </c>
      <c r="S69" s="49" t="n">
        <v>0.4</v>
      </c>
      <c r="T69" s="50" t="n">
        <v>0.05</v>
      </c>
      <c r="U69" s="49" t="n">
        <v>0.05</v>
      </c>
    </row>
    <row r="70">
      <c r="A70" s="49" t="inlineStr">
        <is>
          <t xml:space="preserve">U075 </t>
        </is>
      </c>
      <c r="B70" s="49" t="inlineStr">
        <is>
          <t xml:space="preserve">ADM. I.U.INVESTIGACIÓN DE ESTUDIOS SOCIALES DE AMÉRICA LATINA </t>
        </is>
      </c>
      <c r="C70" s="49" t="inlineStr">
        <is>
          <t xml:space="preserve">DOCTORADO EN HUMANIDADES Y ESTUDIOS SOCIALES DE AMÉRICA LATINA </t>
        </is>
      </c>
      <c r="D70" s="49" t="inlineStr">
        <is>
          <t xml:space="preserve">Demarchi Sánchez, Geydi Dahiana </t>
        </is>
      </c>
      <c r="E70" s="49" t="inlineStr">
        <is>
          <t xml:space="preserve">Gestión educativa y curricular en la educación superior. reflexiones desde las pruebas saber pro en Medellín ¿Colombia </t>
        </is>
      </c>
      <c r="F70" s="49" t="inlineStr">
        <is>
          <t xml:space="preserve">12/09/2022 </t>
        </is>
      </c>
      <c r="G70" s="49" t="inlineStr">
        <is>
          <t xml:space="preserve">74218386P </t>
        </is>
      </c>
      <c r="H70" s="49" t="inlineStr">
        <is>
          <t xml:space="preserve">Director de tesis </t>
        </is>
      </c>
      <c r="I70" s="49" t="inlineStr">
        <is>
          <t xml:space="preserve">B120 </t>
        </is>
      </c>
      <c r="J70" s="49" t="inlineStr">
        <is>
          <t xml:space="preserve">GEOGRAFIA HUMANA </t>
        </is>
      </c>
      <c r="K70" s="49" t="n">
        <v>1</v>
      </c>
      <c r="L70" s="49" t="inlineStr">
        <is>
          <t>B120</t>
        </is>
      </c>
      <c r="M70" s="49" t="n">
        <v>2021</v>
      </c>
      <c r="N70" s="49" t="inlineStr">
        <is>
          <t>10.25</t>
        </is>
      </c>
      <c r="O70" s="49" t="n">
        <v>30</v>
      </c>
      <c r="P70" s="49" t="inlineStr">
        <is>
          <t>10.21</t>
        </is>
      </c>
      <c r="Q70" s="49" t="n">
        <v>30</v>
      </c>
      <c r="R70" s="49" t="n">
        <v>40</v>
      </c>
      <c r="S70" s="49" t="n">
        <v>0.4</v>
      </c>
      <c r="T70" s="50" t="n">
        <v>0.3</v>
      </c>
      <c r="U70" s="49" t="n">
        <v>0.3</v>
      </c>
    </row>
    <row r="71">
      <c r="A71" s="49" t="inlineStr">
        <is>
          <t xml:space="preserve">U075 </t>
        </is>
      </c>
      <c r="B71" s="49" t="inlineStr">
        <is>
          <t xml:space="preserve">ADM. I.U.INVESTIGACIÓN DE ESTUDIOS SOCIALES DE AMÉRICA LATINA </t>
        </is>
      </c>
      <c r="C71" s="49" t="inlineStr">
        <is>
          <t xml:space="preserve">DOCTORADO EN HUMANIDADES Y ESTUDIOS SOCIALES DE AMÉRICA LATINA </t>
        </is>
      </c>
      <c r="D71" s="49" t="inlineStr">
        <is>
          <t xml:space="preserve">Martínez Ortega, Juan Iván </t>
        </is>
      </c>
      <c r="E71" s="49" t="inlineStr">
        <is>
          <t xml:space="preserve">La construcción de las mujeres como sujetos políticos: militantes partidistas, integrantes de Asociaciones Civiles y activistas </t>
        </is>
      </c>
      <c r="F71" s="49" t="inlineStr">
        <is>
          <t xml:space="preserve">03/06/2022 </t>
        </is>
      </c>
      <c r="G71" s="49" t="inlineStr">
        <is>
          <t xml:space="preserve">21419805C </t>
        </is>
      </c>
      <c r="H71" s="49" t="inlineStr">
        <is>
          <t xml:space="preserve">Codirector de tesis </t>
        </is>
      </c>
      <c r="I71" s="49" t="inlineStr">
        <is>
          <t>B138</t>
        </is>
      </c>
      <c r="J71" s="49" t="inlineStr">
        <is>
          <t xml:space="preserve">ANALISIS ECONOMICO APLICADO </t>
        </is>
      </c>
      <c r="K71" s="49" t="n">
        <v>0.5</v>
      </c>
      <c r="L71" s="49" t="inlineStr">
        <is>
          <t>B138</t>
        </is>
      </c>
      <c r="M71" s="49" t="n">
        <v>2021</v>
      </c>
      <c r="N71" s="49" t="inlineStr">
        <is>
          <t>10.25</t>
        </is>
      </c>
      <c r="O71" s="49" t="n">
        <v>80</v>
      </c>
      <c r="P71" s="49" t="inlineStr"/>
      <c r="Q71" s="49" t="n">
        <v>0</v>
      </c>
      <c r="R71" s="49" t="n">
        <v>20</v>
      </c>
      <c r="S71" s="49" t="n">
        <v>0.1</v>
      </c>
      <c r="T71" s="50" t="n">
        <v>0.4</v>
      </c>
      <c r="U71" s="49" t="n">
        <v>0</v>
      </c>
    </row>
    <row r="72">
      <c r="A72" s="49" t="inlineStr">
        <is>
          <t xml:space="preserve">U075 </t>
        </is>
      </c>
      <c r="B72" s="49" t="inlineStr">
        <is>
          <t xml:space="preserve">ADM. I.U.INVESTIGACIÓN DE ESTUDIOS SOCIALES DE AMÉRICA LATINA </t>
        </is>
      </c>
      <c r="C72" s="49" t="inlineStr">
        <is>
          <t xml:space="preserve">DOCTORADO EN HUMANIDADES Y ESTUDIOS SOCIALES DE AMÉRICA LATINA </t>
        </is>
      </c>
      <c r="D72" s="49" t="inlineStr">
        <is>
          <t xml:space="preserve">Cosh Pale, Manuel </t>
        </is>
      </c>
      <c r="E72" s="49" t="inlineStr">
        <is>
          <t xml:space="preserve">Contrademocracia en los Altos de Chiapas, México. Crisis de representación y respuestas sociales emergentes </t>
        </is>
      </c>
      <c r="F72" s="49" t="inlineStr">
        <is>
          <t xml:space="preserve">23/05/2022 </t>
        </is>
      </c>
      <c r="G72" s="49" t="inlineStr">
        <is>
          <t xml:space="preserve">21489543E </t>
        </is>
      </c>
      <c r="H72" s="49" t="inlineStr">
        <is>
          <t xml:space="preserve">Codirector de tesis </t>
        </is>
      </c>
      <c r="I72" s="49" t="inlineStr">
        <is>
          <t xml:space="preserve">B122 </t>
        </is>
      </c>
      <c r="J72" s="49" t="inlineStr">
        <is>
          <t xml:space="preserve">HUMANIDADES CONTEMPORANEAS </t>
        </is>
      </c>
      <c r="K72" s="49" t="n">
        <v>0.5</v>
      </c>
      <c r="L72" s="49" t="inlineStr">
        <is>
          <t>B122</t>
        </is>
      </c>
      <c r="M72" s="49" t="n">
        <v>2021</v>
      </c>
      <c r="N72" s="49" t="inlineStr">
        <is>
          <t>10.25</t>
        </is>
      </c>
      <c r="O72" s="49" t="n">
        <v>80</v>
      </c>
      <c r="P72" s="49" t="inlineStr"/>
      <c r="Q72" s="49" t="n">
        <v>0</v>
      </c>
      <c r="R72" s="49" t="n">
        <v>20</v>
      </c>
      <c r="S72" s="49" t="n">
        <v>0.1</v>
      </c>
      <c r="T72" s="50" t="n">
        <v>0.4</v>
      </c>
      <c r="U72" s="49" t="n">
        <v>0</v>
      </c>
    </row>
    <row r="73" customFormat="1" s="51">
      <c r="A73" s="49" t="inlineStr">
        <is>
          <t xml:space="preserve">B138 </t>
        </is>
      </c>
      <c r="B73" s="49" t="inlineStr">
        <is>
          <t xml:space="preserve">Análisis Económico Aplicado </t>
        </is>
      </c>
      <c r="C73" s="49" t="inlineStr">
        <is>
          <t xml:space="preserve">DOCTORADO EN ECONOMÍA </t>
        </is>
      </c>
      <c r="D73" s="49" t="inlineStr">
        <is>
          <t xml:space="preserve">Roldán Aráuz, Diego Francisco </t>
        </is>
      </c>
      <c r="E73" s="49" t="inlineStr">
        <is>
          <t xml:space="preserve">Evaluación de impacto de políticas públicas del Sumak Kawsay en el Ecuador </t>
        </is>
      </c>
      <c r="F73" s="49" t="inlineStr">
        <is>
          <t xml:space="preserve">09/09/2022 </t>
        </is>
      </c>
      <c r="G73" s="49" t="inlineStr">
        <is>
          <t xml:space="preserve">22529387J </t>
        </is>
      </c>
      <c r="H73" s="49" t="inlineStr">
        <is>
          <t xml:space="preserve">Codirector de tesis </t>
        </is>
      </c>
      <c r="I73" s="49" t="inlineStr">
        <is>
          <t xml:space="preserve">B138 </t>
        </is>
      </c>
      <c r="J73" s="49" t="inlineStr">
        <is>
          <t xml:space="preserve">Análisis Económico Aplicado </t>
        </is>
      </c>
      <c r="K73" s="52" t="n">
        <v>0.5</v>
      </c>
      <c r="L73" s="52" t="inlineStr">
        <is>
          <t>B138</t>
        </is>
      </c>
      <c r="M73" s="49" t="n">
        <v>2021</v>
      </c>
      <c r="N73" s="49" t="inlineStr">
        <is>
          <t>10.25</t>
        </is>
      </c>
      <c r="O73" s="53" t="n">
        <v>50</v>
      </c>
      <c r="P73" s="49" t="inlineStr">
        <is>
          <t>10.17</t>
        </is>
      </c>
      <c r="Q73" s="53" t="n">
        <v>10</v>
      </c>
      <c r="R73" s="49" t="n">
        <v>40</v>
      </c>
      <c r="S73" s="49" t="n">
        <v>0.2</v>
      </c>
      <c r="T73" s="49" t="n">
        <v>0.25</v>
      </c>
      <c r="U73" s="49" t="n">
        <v>0.05</v>
      </c>
    </row>
    <row r="74">
      <c r="A74" s="49" t="inlineStr">
        <is>
          <t xml:space="preserve">B177 </t>
        </is>
      </c>
      <c r="B74" s="49" t="inlineStr">
        <is>
          <t xml:space="preserve">PSICOLOGÍA EVOLUTIVA Y DIDÁCTICA </t>
        </is>
      </c>
      <c r="C74" s="49" t="inlineStr">
        <is>
          <t xml:space="preserve">DOCTORADO EN INVESTIGACIÓN EDUCATIVA </t>
        </is>
      </c>
      <c r="D74" s="49" t="inlineStr">
        <is>
          <t xml:space="preserve">Benavides Morales, Ana </t>
        </is>
      </c>
      <c r="E74" s="49" t="inlineStr">
        <is>
          <t xml:space="preserve">Cambio político en la izquierda. Democracia, neoliberalismo y lucha social en el Ecuador 1990-2005 </t>
        </is>
      </c>
      <c r="F74" s="49" t="inlineStr">
        <is>
          <t xml:space="preserve">26/09/2022 </t>
        </is>
      </c>
      <c r="G74" s="49" t="inlineStr">
        <is>
          <t xml:space="preserve">21457927P </t>
        </is>
      </c>
      <c r="H74" s="49" t="inlineStr">
        <is>
          <t xml:space="preserve">Director de tesis </t>
        </is>
      </c>
      <c r="I74" s="49" t="inlineStr">
        <is>
          <t xml:space="preserve">B122 </t>
        </is>
      </c>
      <c r="J74" s="49" t="inlineStr">
        <is>
          <t xml:space="preserve">HUMANIDADES CONTEMPORANEAS </t>
        </is>
      </c>
      <c r="K74" s="49" t="n">
        <v>1</v>
      </c>
      <c r="L74" s="49" t="inlineStr">
        <is>
          <t>B122</t>
        </is>
      </c>
      <c r="M74" s="49" t="n">
        <v>2021</v>
      </c>
      <c r="N74" s="49" t="inlineStr">
        <is>
          <t>10.25</t>
        </is>
      </c>
      <c r="O74" s="49" t="n">
        <v>80</v>
      </c>
      <c r="P74" s="49" t="inlineStr"/>
      <c r="Q74" s="49" t="n">
        <v>0</v>
      </c>
      <c r="R74" s="49" t="n">
        <v>20</v>
      </c>
      <c r="S74" s="49" t="n">
        <v>0.2</v>
      </c>
      <c r="T74" s="50" t="n">
        <v>0.8</v>
      </c>
      <c r="U74" s="49" t="n">
        <v>0</v>
      </c>
    </row>
    <row r="75">
      <c r="A75" s="49" t="inlineStr">
        <is>
          <t xml:space="preserve">B177 </t>
        </is>
      </c>
      <c r="B75" s="49" t="inlineStr">
        <is>
          <t xml:space="preserve">PSICOLOGÍA EVOLUTIVA Y DIDÁCTICA </t>
        </is>
      </c>
      <c r="C75" s="49" t="inlineStr">
        <is>
          <t xml:space="preserve">DOCTORADO EN INVESTIGACIÓN EDUCATIVA </t>
        </is>
      </c>
      <c r="D75" s="49" t="inlineStr">
        <is>
          <t xml:space="preserve">Ortiz Aldean, Víctor Fabricio </t>
        </is>
      </c>
      <c r="E75" s="49" t="inlineStr">
        <is>
          <t xml:space="preserve">La enseñanza directa activa en universitarios. Evaluación de su eficacia como modelo de enseñanza en los estudiantes de la Universidad Central de Ecuador. </t>
        </is>
      </c>
      <c r="F75" s="49" t="inlineStr">
        <is>
          <t xml:space="preserve">26/09/2022 </t>
        </is>
      </c>
      <c r="G75" s="49" t="inlineStr">
        <is>
          <t xml:space="preserve">22929043K </t>
        </is>
      </c>
      <c r="H75" s="49" t="inlineStr">
        <is>
          <t xml:space="preserve">Director de tesis </t>
        </is>
      </c>
      <c r="I75" s="49" t="inlineStr">
        <is>
          <t xml:space="preserve">B177 </t>
        </is>
      </c>
      <c r="J75" s="49" t="inlineStr">
        <is>
          <t xml:space="preserve">PSICOLOGÍA EVOLUTIVA Y DIDÁCTICA </t>
        </is>
      </c>
      <c r="K75" s="49" t="n">
        <v>1</v>
      </c>
      <c r="L75" s="49" t="inlineStr">
        <is>
          <t>B177</t>
        </is>
      </c>
      <c r="M75" s="49" t="n">
        <v>2021</v>
      </c>
      <c r="N75" s="49" t="inlineStr">
        <is>
          <t>10.25</t>
        </is>
      </c>
      <c r="O75" s="49" t="n">
        <v>10</v>
      </c>
      <c r="P75" s="49" t="inlineStr"/>
      <c r="Q75" s="49" t="n">
        <v>0</v>
      </c>
      <c r="R75" s="49" t="n">
        <v>90</v>
      </c>
      <c r="S75" s="49" t="n">
        <v>0.9</v>
      </c>
      <c r="T75" s="50" t="n">
        <v>0.1</v>
      </c>
      <c r="U75" s="49" t="n">
        <v>0</v>
      </c>
    </row>
    <row r="76">
      <c r="A76" s="49" t="inlineStr">
        <is>
          <t xml:space="preserve">U075 </t>
        </is>
      </c>
      <c r="B76" s="49" t="inlineStr">
        <is>
          <t xml:space="preserve">I.U.INVESTIGACIÓN DE ESTUDIOS SOCIALES DE AMÉRICA LATINA (10.25) </t>
        </is>
      </c>
      <c r="C76" s="49" t="inlineStr">
        <is>
          <t xml:space="preserve">DOCTORADO EN HUMANIDADES Y ESTUDIOS SOCIALES DE AMÉRICA LATINA </t>
        </is>
      </c>
      <c r="D76" s="49" t="inlineStr">
        <is>
          <t xml:space="preserve">Alcon Vila, Antonio </t>
        </is>
      </c>
      <c r="E76" s="49" t="inlineStr">
        <is>
          <t xml:space="preserve">Crecimiento, desarrollo sostenible e internacionalización de las PYMES latinoamericanas a través de la I+D+i: análisis comparado entre modelos de desarrollo de Pymes latinoamericanas y españolas </t>
        </is>
      </c>
      <c r="F76" s="49" t="inlineStr">
        <is>
          <t xml:space="preserve">27/09/2022 </t>
        </is>
      </c>
      <c r="G76" s="49" t="inlineStr">
        <is>
          <t xml:space="preserve">21417350A </t>
        </is>
      </c>
      <c r="H76" s="49" t="inlineStr">
        <is>
          <t xml:space="preserve">Director de tesis </t>
        </is>
      </c>
      <c r="I76" s="49" t="inlineStr">
        <is>
          <t>B138</t>
        </is>
      </c>
      <c r="J76" s="49" t="inlineStr">
        <is>
          <t xml:space="preserve">ANALISIS ECONOMICO APLICADO </t>
        </is>
      </c>
      <c r="K76" s="49" t="n">
        <v>1</v>
      </c>
      <c r="L76" s="49" t="inlineStr">
        <is>
          <t>B138</t>
        </is>
      </c>
      <c r="M76" s="49" t="n">
        <v>2021</v>
      </c>
      <c r="N76" s="49" t="inlineStr">
        <is>
          <t>10.25</t>
        </is>
      </c>
      <c r="O76" s="49" t="n">
        <v>80</v>
      </c>
      <c r="P76" s="49" t="inlineStr"/>
      <c r="Q76" s="49" t="n">
        <v>0</v>
      </c>
      <c r="R76" s="49" t="n">
        <v>20</v>
      </c>
      <c r="S76" s="49" t="n">
        <v>0.2</v>
      </c>
      <c r="T76" s="50" t="n">
        <v>0.8</v>
      </c>
      <c r="U76" s="49" t="n">
        <v>0</v>
      </c>
      <c r="V76" s="22" t="n"/>
    </row>
    <row r="77">
      <c r="A77" s="49" t="inlineStr">
        <is>
          <t xml:space="preserve">U075 </t>
        </is>
      </c>
      <c r="B77" s="49" t="inlineStr">
        <is>
          <t xml:space="preserve">I.U.INVESTIGACIÓN DE ESTUDIOS SOCIALES DE AMÉRICA LATINA (10.25) </t>
        </is>
      </c>
      <c r="C77" s="49" t="inlineStr">
        <is>
          <t xml:space="preserve">DOCTORADO EN HUMANIDADES Y ESTUDIOS SOCIALES DE AMÉRICA LATINA </t>
        </is>
      </c>
      <c r="D77" s="49" t="inlineStr">
        <is>
          <t xml:space="preserve">Baltazar Landeros, Edgar </t>
        </is>
      </c>
      <c r="E77" s="49" t="inlineStr">
        <is>
          <t xml:space="preserve">Mujeres docentes, formación profesional y condición laboral. Análisis interseccional en la Universidad Pedagógica Nacional </t>
        </is>
      </c>
      <c r="F77" s="49" t="inlineStr">
        <is>
          <t xml:space="preserve">30/09/2022 </t>
        </is>
      </c>
      <c r="G77" s="49" t="inlineStr">
        <is>
          <t xml:space="preserve">21457927P </t>
        </is>
      </c>
      <c r="H77" s="49" t="inlineStr">
        <is>
          <t xml:space="preserve">Codirector de tesis </t>
        </is>
      </c>
      <c r="I77" s="49" t="inlineStr">
        <is>
          <t xml:space="preserve">B122 </t>
        </is>
      </c>
      <c r="J77" s="49" t="inlineStr">
        <is>
          <t xml:space="preserve">HUMANIDADES CONTEMPORANEAS </t>
        </is>
      </c>
      <c r="K77" s="49" t="n">
        <v>0.5</v>
      </c>
      <c r="L77" s="49" t="inlineStr">
        <is>
          <t>B122</t>
        </is>
      </c>
      <c r="M77" s="49" t="n">
        <v>2021</v>
      </c>
      <c r="N77" s="49" t="inlineStr">
        <is>
          <t>10.25</t>
        </is>
      </c>
      <c r="O77" s="49" t="n">
        <v>80</v>
      </c>
      <c r="P77" s="49" t="inlineStr"/>
      <c r="Q77" s="49" t="n">
        <v>0</v>
      </c>
      <c r="R77" s="49" t="n">
        <v>20</v>
      </c>
      <c r="S77" s="49" t="n">
        <v>0.1</v>
      </c>
      <c r="T77" s="50" t="n">
        <v>0.4</v>
      </c>
      <c r="U77" s="49" t="n">
        <v>0</v>
      </c>
    </row>
    <row r="78">
      <c r="A78" s="49" t="inlineStr">
        <is>
          <t xml:space="preserve">B112 </t>
        </is>
      </c>
      <c r="B78" s="49" t="inlineStr">
        <is>
          <t xml:space="preserve">DIDACTICA GENERAL Y DIDÁCTICAS ESPECÍFICAS </t>
        </is>
      </c>
      <c r="C78" s="49" t="inlineStr">
        <is>
          <t xml:space="preserve">DOCTORADO EN INVESTIGACIÓN EDUCATIVA </t>
        </is>
      </c>
      <c r="D78" s="49" t="inlineStr">
        <is>
          <t>Soler Ortiz, Seila Aixa</t>
        </is>
      </c>
      <c r="E78" s="49" t="inlineStr">
        <is>
          <t xml:space="preserve">La educación en Alicante durante el primer tercio del siglo XX: las memorias técnicas como objeto de estudio en un período de transición hacia la graduación escolar. </t>
        </is>
      </c>
      <c r="F78" s="49" t="inlineStr">
        <is>
          <t xml:space="preserve">11/07/2023 </t>
        </is>
      </c>
      <c r="G78" s="49" t="inlineStr">
        <is>
          <t xml:space="preserve">21686601Q </t>
        </is>
      </c>
      <c r="H78" s="49" t="inlineStr">
        <is>
          <t xml:space="preserve">Codirector de tesis </t>
        </is>
      </c>
      <c r="I78" s="49" t="inlineStr">
        <is>
          <t xml:space="preserve">B112 </t>
        </is>
      </c>
      <c r="J78" s="49" t="inlineStr">
        <is>
          <t xml:space="preserve">DIDACTICA GENERAL Y DIDÁCTICAS ESPECÍFICAS </t>
        </is>
      </c>
      <c r="K78" s="49" t="n">
        <v>0.5</v>
      </c>
      <c r="L78" s="49" t="inlineStr">
        <is>
          <t>B112</t>
        </is>
      </c>
      <c r="M78" s="49" t="n">
        <v>2022</v>
      </c>
      <c r="N78" s="49" t="inlineStr">
        <is>
          <t>10.25</t>
        </is>
      </c>
      <c r="O78" s="49" t="n">
        <v>50</v>
      </c>
      <c r="P78" s="49" t="inlineStr"/>
      <c r="Q78" s="49" t="n">
        <v>0</v>
      </c>
      <c r="R78" s="49" t="n">
        <v>50</v>
      </c>
      <c r="S78" s="49" t="n">
        <v>0.25</v>
      </c>
      <c r="T78" s="50" t="n">
        <v>0.25</v>
      </c>
      <c r="U78" s="49" t="n">
        <v>0</v>
      </c>
    </row>
    <row r="79">
      <c r="A79" s="49" t="inlineStr">
        <is>
          <t xml:space="preserve">B138 </t>
        </is>
      </c>
      <c r="B79" s="49" t="inlineStr">
        <is>
          <t xml:space="preserve">ANALISIS ECONOMICO APLICADO </t>
        </is>
      </c>
      <c r="C79" s="49" t="inlineStr">
        <is>
          <t xml:space="preserve">DOCTORADO EN ECONOMÍA </t>
        </is>
      </c>
      <c r="D79" s="49" t="inlineStr">
        <is>
          <t>Leshinsky , Deborah</t>
        </is>
      </c>
      <c r="E79" s="49" t="inlineStr">
        <is>
          <t xml:space="preserve">Market and non-market determinants of property valuations decided through the court system in family law separation in Australia: developing a scientific approach. </t>
        </is>
      </c>
      <c r="F79" s="49" t="inlineStr">
        <is>
          <t xml:space="preserve">08/09/2023 </t>
        </is>
      </c>
      <c r="G79" s="49" t="inlineStr">
        <is>
          <t xml:space="preserve">22529387J </t>
        </is>
      </c>
      <c r="H79" s="49" t="inlineStr">
        <is>
          <t xml:space="preserve">Codirector de tesis </t>
        </is>
      </c>
      <c r="I79" s="49" t="inlineStr">
        <is>
          <t>B138</t>
        </is>
      </c>
      <c r="J79" s="49" t="inlineStr">
        <is>
          <t xml:space="preserve">ANALISIS ECONOMICO APLICADO </t>
        </is>
      </c>
      <c r="K79" s="49" t="n">
        <v>0.5</v>
      </c>
      <c r="L79" s="49" t="inlineStr">
        <is>
          <t>B138</t>
        </is>
      </c>
      <c r="M79" s="49" t="n">
        <v>2022</v>
      </c>
      <c r="N79" s="49" t="inlineStr">
        <is>
          <t>10.25</t>
        </is>
      </c>
      <c r="O79" s="49" t="n">
        <v>50</v>
      </c>
      <c r="P79" s="49" t="inlineStr">
        <is>
          <t>10.17</t>
        </is>
      </c>
      <c r="Q79" s="49" t="n">
        <v>10</v>
      </c>
      <c r="R79" s="49" t="n">
        <v>40</v>
      </c>
      <c r="S79" s="49" t="n">
        <v>0.2</v>
      </c>
      <c r="T79" s="50" t="n">
        <v>0.25</v>
      </c>
      <c r="U79" s="49" t="n">
        <v>0.05</v>
      </c>
    </row>
    <row r="80">
      <c r="A80" s="49" t="inlineStr">
        <is>
          <t xml:space="preserve">B177 </t>
        </is>
      </c>
      <c r="B80" s="49" t="inlineStr">
        <is>
          <t xml:space="preserve">PSICOLOGÍA EVOLUTIVA Y DIDÁCTICA </t>
        </is>
      </c>
      <c r="C80" s="49" t="inlineStr">
        <is>
          <t xml:space="preserve">DOCTORADO EN INVESTIGACIÓN EDUCATIVA </t>
        </is>
      </c>
      <c r="D80" s="49" t="inlineStr">
        <is>
          <t>Goyes Acaro, Franklin Otton</t>
        </is>
      </c>
      <c r="E80" s="49" t="inlineStr">
        <is>
          <t xml:space="preserve">SÍNDROME DE BURNOUT, AUTOEFICACIA Y SATISFACCIÓN LABORAL EN DOCENTES UNIVERSITARIOS </t>
        </is>
      </c>
      <c r="F80" s="49" t="inlineStr">
        <is>
          <t xml:space="preserve">18/05/2023 </t>
        </is>
      </c>
      <c r="G80" s="49" t="inlineStr">
        <is>
          <t xml:space="preserve">22929043K </t>
        </is>
      </c>
      <c r="H80" s="49" t="inlineStr">
        <is>
          <t xml:space="preserve">Director de tesis </t>
        </is>
      </c>
      <c r="I80" s="49" t="inlineStr">
        <is>
          <t xml:space="preserve">B177 </t>
        </is>
      </c>
      <c r="J80" s="49" t="inlineStr">
        <is>
          <t xml:space="preserve">PSICOLOGÍA EVOLUTIVA Y DIDÁCTICA </t>
        </is>
      </c>
      <c r="K80" s="49" t="n">
        <v>1</v>
      </c>
      <c r="L80" s="49" t="inlineStr">
        <is>
          <t>B177</t>
        </is>
      </c>
      <c r="M80" s="49" t="n">
        <v>2022</v>
      </c>
      <c r="N80" s="49" t="inlineStr">
        <is>
          <t>10.25</t>
        </is>
      </c>
      <c r="O80" s="49" t="n">
        <v>10</v>
      </c>
      <c r="P80" s="49" t="inlineStr"/>
      <c r="Q80" s="49" t="n">
        <v>0</v>
      </c>
      <c r="R80" s="49" t="n">
        <v>90</v>
      </c>
      <c r="S80" s="49" t="n">
        <v>0.9</v>
      </c>
      <c r="T80" s="50" t="n">
        <v>0.1</v>
      </c>
      <c r="U80" s="49" t="n">
        <v>0</v>
      </c>
    </row>
    <row r="81">
      <c r="A81" s="49" t="inlineStr">
        <is>
          <t xml:space="preserve">B177 </t>
        </is>
      </c>
      <c r="B81" s="49" t="inlineStr">
        <is>
          <t xml:space="preserve">PSICOLOGÍA EVOLUTIVA Y DIDÁCTICA </t>
        </is>
      </c>
      <c r="C81" s="49" t="inlineStr">
        <is>
          <t xml:space="preserve">DOCTORADO EN INVESTIGACIÓN EDUCATIVA </t>
        </is>
      </c>
      <c r="D81" s="49" t="inlineStr">
        <is>
          <t>Campra García De Viguera, Carmen</t>
        </is>
      </c>
      <c r="E81" s="49" t="inlineStr">
        <is>
          <t xml:space="preserve">Estudio del efecto de la Enseñanza Tradicional (transmisiva) frente al Aprendizaje Basado en Problemas, y detección de obstáculos de aprendizaje sobre el tema "Encuentro de la edificación con el terreno", en el alumnado del Grado en Arquitectura, par </t>
        </is>
      </c>
      <c r="F81" s="49" t="inlineStr">
        <is>
          <t xml:space="preserve">22/09/2023 </t>
        </is>
      </c>
      <c r="G81" s="49" t="inlineStr">
        <is>
          <t xml:space="preserve">21480784A </t>
        </is>
      </c>
      <c r="H81" s="49" t="inlineStr">
        <is>
          <t xml:space="preserve">Codirector de tesis </t>
        </is>
      </c>
      <c r="I81" s="49" t="inlineStr">
        <is>
          <t xml:space="preserve">B184 </t>
        </is>
      </c>
      <c r="J81" s="49" t="inlineStr">
        <is>
          <t xml:space="preserve">EDIFICACIÓN Y URBANISMO </t>
        </is>
      </c>
      <c r="K81" s="49" t="n">
        <v>0.5</v>
      </c>
      <c r="L81" s="49" t="inlineStr">
        <is>
          <t>B184</t>
        </is>
      </c>
      <c r="M81" s="49" t="n">
        <v>2022</v>
      </c>
      <c r="N81" s="49" t="inlineStr">
        <is>
          <t>10.25</t>
        </is>
      </c>
      <c r="O81" s="49" t="n">
        <v>10</v>
      </c>
      <c r="P81" s="49" t="inlineStr"/>
      <c r="Q81" s="49" t="n">
        <v>0</v>
      </c>
      <c r="R81" s="49" t="n">
        <v>90</v>
      </c>
      <c r="S81" s="49" t="n">
        <v>0.45</v>
      </c>
      <c r="T81" s="50" t="n">
        <v>0.05</v>
      </c>
      <c r="U81" s="49" t="n">
        <v>0</v>
      </c>
    </row>
    <row r="82">
      <c r="A82" s="49" t="inlineStr">
        <is>
          <t xml:space="preserve">B177 </t>
        </is>
      </c>
      <c r="B82" s="49" t="inlineStr">
        <is>
          <t xml:space="preserve">PSICOLOGÍA EVOLUTIVA Y DIDÁCTICA </t>
        </is>
      </c>
      <c r="C82" s="49" t="inlineStr">
        <is>
          <t xml:space="preserve">DOCTORADO EN INVESTIGACIÓN EDUCATIVA </t>
        </is>
      </c>
      <c r="D82" s="49" t="inlineStr">
        <is>
          <t>Univio Molano, Julio Esteban</t>
        </is>
      </c>
      <c r="E82" s="49" t="inlineStr">
        <is>
          <t xml:space="preserve">La formación pedagógica del docente de Filosofía para la educación media </t>
        </is>
      </c>
      <c r="F82" s="49" t="inlineStr">
        <is>
          <t xml:space="preserve">04/05/2023 </t>
        </is>
      </c>
      <c r="G82" s="49" t="inlineStr">
        <is>
          <t xml:space="preserve">76941801Q </t>
        </is>
      </c>
      <c r="H82" s="49" t="inlineStr">
        <is>
          <t xml:space="preserve">Director de tesis </t>
        </is>
      </c>
      <c r="I82" s="49" t="inlineStr">
        <is>
          <t xml:space="preserve">B112 </t>
        </is>
      </c>
      <c r="J82" s="49" t="inlineStr">
        <is>
          <t xml:space="preserve">DIDACTICA GENERAL Y DIDÁCTICAS ESPECÍFICAS </t>
        </is>
      </c>
      <c r="K82" s="49" t="n">
        <v>1</v>
      </c>
      <c r="L82" s="49" t="inlineStr">
        <is>
          <t>B112</t>
        </is>
      </c>
      <c r="M82" s="49" t="n">
        <v>2022</v>
      </c>
      <c r="N82" s="49" t="inlineStr">
        <is>
          <t>10.25</t>
        </is>
      </c>
      <c r="O82" s="49" t="n">
        <v>30</v>
      </c>
      <c r="P82" s="49" t="inlineStr">
        <is>
          <t>10.23</t>
        </is>
      </c>
      <c r="Q82" s="49" t="n">
        <v>20</v>
      </c>
      <c r="R82" s="49" t="n">
        <v>50</v>
      </c>
      <c r="S82" s="49" t="n">
        <v>0.5</v>
      </c>
      <c r="T82" s="50" t="n">
        <v>0.3</v>
      </c>
      <c r="U82" s="49" t="n">
        <v>0.2</v>
      </c>
    </row>
    <row r="83">
      <c r="A83" s="49" t="inlineStr">
        <is>
          <t xml:space="preserve">U023 </t>
        </is>
      </c>
      <c r="B83" s="49" t="inlineStr">
        <is>
          <t xml:space="preserve">ADM. FACULTAD DE FILOSOFIA Y LETRAS </t>
        </is>
      </c>
      <c r="C83" s="49" t="inlineStr">
        <is>
          <t xml:space="preserve">DOCTORADO EN TRANSFERENCIAS INTERCULTURALES E HISTÓRICAS EN LA EUROPA MEDIE </t>
        </is>
      </c>
      <c r="D83" s="49" t="inlineStr">
        <is>
          <t>Crescenza , Giorgio</t>
        </is>
      </c>
      <c r="E83" s="49" t="inlineStr">
        <is>
          <t xml:space="preserve">L¿ADOLESCENZA E L¿IMPREVEDIBILE NELL¿EDUCAZIONE. UN¿ANALISI SOCIOPEDAGOGICA SUL DISAGIO SCOLASTICO E FORMATIVO [[La adolescencia y lo imprevisible en la educación. Un análisis sociopedagógico del malestar escolar y educativo]. </t>
        </is>
      </c>
      <c r="F83" s="49" t="inlineStr">
        <is>
          <t xml:space="preserve">24/02/2023 </t>
        </is>
      </c>
      <c r="G83" s="49" t="inlineStr">
        <is>
          <t xml:space="preserve">25126858W </t>
        </is>
      </c>
      <c r="H83" s="49" t="inlineStr">
        <is>
          <t xml:space="preserve">Codirector de tesis </t>
        </is>
      </c>
      <c r="I83" s="49" t="inlineStr">
        <is>
          <t xml:space="preserve">B112 </t>
        </is>
      </c>
      <c r="J83" s="49" t="inlineStr">
        <is>
          <t xml:space="preserve">DIDACTICA GENERAL Y DIDÁCTICAS ESPECÍFICAS </t>
        </is>
      </c>
      <c r="K83" s="49" t="n">
        <v>0.5</v>
      </c>
      <c r="L83" s="49" t="inlineStr">
        <is>
          <t>B112</t>
        </is>
      </c>
      <c r="M83" s="49" t="n">
        <v>2022</v>
      </c>
      <c r="N83" s="49" t="inlineStr">
        <is>
          <t>10.25</t>
        </is>
      </c>
      <c r="O83" s="49" t="n">
        <v>30</v>
      </c>
      <c r="P83" s="49" t="inlineStr"/>
      <c r="Q83" s="49" t="n">
        <v>0</v>
      </c>
      <c r="R83" s="49" t="n">
        <v>70</v>
      </c>
      <c r="S83" s="49" t="n">
        <v>0.35</v>
      </c>
      <c r="T83" s="50" t="n">
        <v>0.15</v>
      </c>
      <c r="U83" s="49" t="n">
        <v>0</v>
      </c>
    </row>
    <row r="84">
      <c r="A84" s="49" t="inlineStr">
        <is>
          <t xml:space="preserve">U025 </t>
        </is>
      </c>
      <c r="B84" s="49" t="inlineStr">
        <is>
          <t xml:space="preserve">ADM. FACULTAD DE DERECHO </t>
        </is>
      </c>
      <c r="C84" s="49" t="inlineStr">
        <is>
          <t xml:space="preserve">DOCTORADO EN DERECHO </t>
        </is>
      </c>
      <c r="D84" s="49" t="inlineStr">
        <is>
          <t>Sánchez García de las Bayonas, Salvador</t>
        </is>
      </c>
      <c r="E84" s="49" t="inlineStr">
        <is>
          <t xml:space="preserve">Estudio comparado del impacto de las políticas de internacionalización de las universidades públicas de la Comunidad Valenciana. </t>
        </is>
      </c>
      <c r="F84" s="49" t="inlineStr">
        <is>
          <t xml:space="preserve">11/01/2023 </t>
        </is>
      </c>
      <c r="G84" s="49" t="inlineStr">
        <is>
          <t xml:space="preserve">03421922M </t>
        </is>
      </c>
      <c r="H84" s="49" t="inlineStr">
        <is>
          <t xml:space="preserve">Codirector de tesis </t>
        </is>
      </c>
      <c r="I84" s="49" t="inlineStr">
        <is>
          <t xml:space="preserve">B113 </t>
        </is>
      </c>
      <c r="J84" s="49" t="inlineStr">
        <is>
          <t xml:space="preserve">ESTUDIOS JURIDICOS DEL ESTADO </t>
        </is>
      </c>
      <c r="K84" s="49" t="n">
        <v>0.5</v>
      </c>
      <c r="L84" s="49" t="inlineStr">
        <is>
          <t>B113</t>
        </is>
      </c>
      <c r="M84" s="49" t="n">
        <v>2022</v>
      </c>
      <c r="N84" s="49" t="inlineStr">
        <is>
          <t>10.25</t>
        </is>
      </c>
      <c r="O84" s="49" t="n">
        <v>70</v>
      </c>
      <c r="P84" s="49" t="inlineStr"/>
      <c r="Q84" s="49" t="n">
        <v>0</v>
      </c>
      <c r="R84" s="49" t="n">
        <v>30</v>
      </c>
      <c r="S84" s="49" t="n">
        <v>0.15</v>
      </c>
      <c r="T84" s="50" t="n">
        <v>0.35</v>
      </c>
      <c r="U84" s="49" t="n">
        <v>0</v>
      </c>
    </row>
    <row r="85">
      <c r="A85" s="49" t="inlineStr">
        <is>
          <t xml:space="preserve">U036 </t>
        </is>
      </c>
      <c r="B85" s="49" t="inlineStr">
        <is>
          <t xml:space="preserve">ADM. FACULTAD DE CIENCIAS ECONÓMICAS </t>
        </is>
      </c>
      <c r="C85" s="49" t="inlineStr">
        <is>
          <t xml:space="preserve">DOCTORADO EN EMPRESA, ECONOMÍA Y SOCIEDAD </t>
        </is>
      </c>
      <c r="D85" s="49" t="inlineStr">
        <is>
          <t>Payá Pérez, Virginia Sofía</t>
        </is>
      </c>
      <c r="E85" s="49" t="inlineStr">
        <is>
          <t xml:space="preserve">Ecosistema Urbano de Emprendimiento: Factores Clave para la Innovación en los Centros Históricos a través de la Economía Creativa. </t>
        </is>
      </c>
      <c r="F85" s="49" t="inlineStr">
        <is>
          <t xml:space="preserve">15/09/2023 </t>
        </is>
      </c>
      <c r="G85" s="49" t="inlineStr">
        <is>
          <t xml:space="preserve">74218386P </t>
        </is>
      </c>
      <c r="H85" s="49" t="inlineStr">
        <is>
          <t xml:space="preserve">Codirector de tesis </t>
        </is>
      </c>
      <c r="I85" s="49" t="inlineStr">
        <is>
          <t xml:space="preserve">B120 </t>
        </is>
      </c>
      <c r="J85" s="49" t="inlineStr">
        <is>
          <t xml:space="preserve">GEOGRAFIA HUMANA </t>
        </is>
      </c>
      <c r="K85" s="49" t="n">
        <v>0.5</v>
      </c>
      <c r="L85" s="49" t="inlineStr">
        <is>
          <t>B120</t>
        </is>
      </c>
      <c r="M85" s="49" t="n">
        <v>2022</v>
      </c>
      <c r="N85" s="49" t="inlineStr">
        <is>
          <t>10.25</t>
        </is>
      </c>
      <c r="O85" s="49" t="n">
        <v>30</v>
      </c>
      <c r="P85" s="49" t="inlineStr">
        <is>
          <t>10.21</t>
        </is>
      </c>
      <c r="Q85" s="49" t="n">
        <v>30</v>
      </c>
      <c r="R85" s="49" t="n">
        <v>40</v>
      </c>
      <c r="S85" s="49" t="n">
        <v>0.2</v>
      </c>
      <c r="T85" s="50" t="n">
        <v>0.15</v>
      </c>
      <c r="U85" s="49" t="n">
        <v>0.15</v>
      </c>
    </row>
    <row r="86">
      <c r="A86" s="49" t="inlineStr">
        <is>
          <t xml:space="preserve">U036 </t>
        </is>
      </c>
      <c r="B86" s="49" t="inlineStr">
        <is>
          <t xml:space="preserve">ADM. FACULTAD DE CIENCIAS ECONÓMICAS </t>
        </is>
      </c>
      <c r="C86" s="49" t="inlineStr">
        <is>
          <t xml:space="preserve">DOCTORADO EN EMPRESA, ECONOMÍA Y SOCIEDAD </t>
        </is>
      </c>
      <c r="D86" s="49" t="inlineStr">
        <is>
          <t>González Ros, Ana</t>
        </is>
      </c>
      <c r="E86" s="49" t="inlineStr">
        <is>
          <t xml:space="preserve">Emprendimientos femeninos de moda en Nicaragua </t>
        </is>
      </c>
      <c r="F86" s="49" t="inlineStr">
        <is>
          <t xml:space="preserve">17/03/2023 </t>
        </is>
      </c>
      <c r="G86" s="49" t="inlineStr">
        <is>
          <t xml:space="preserve">21463378P </t>
        </is>
      </c>
      <c r="H86" s="49" t="inlineStr">
        <is>
          <t xml:space="preserve">Director de tesis </t>
        </is>
      </c>
      <c r="I86" s="49" t="inlineStr">
        <is>
          <t xml:space="preserve">B175 </t>
        </is>
      </c>
      <c r="J86" s="49" t="inlineStr">
        <is>
          <t xml:space="preserve">COMUNICACIÓN Y PSICOLOGÍA SOCIAL </t>
        </is>
      </c>
      <c r="K86" s="49" t="n">
        <v>1</v>
      </c>
      <c r="L86" s="49" t="inlineStr">
        <is>
          <t>B175</t>
        </is>
      </c>
      <c r="M86" s="49" t="n">
        <v>2022</v>
      </c>
      <c r="N86" s="49" t="inlineStr">
        <is>
          <t>10.25</t>
        </is>
      </c>
      <c r="O86" s="49" t="n">
        <v>30</v>
      </c>
      <c r="P86" s="49" t="inlineStr"/>
      <c r="Q86" s="49" t="n">
        <v>0</v>
      </c>
      <c r="R86" s="49" t="n">
        <v>70</v>
      </c>
      <c r="S86" s="49" t="n">
        <v>0.7</v>
      </c>
      <c r="T86" s="50" t="n">
        <v>0.3</v>
      </c>
      <c r="U86" s="49" t="n">
        <v>0</v>
      </c>
    </row>
    <row r="87">
      <c r="A87" s="49" t="inlineStr">
        <is>
          <t xml:space="preserve">U058 </t>
        </is>
      </c>
      <c r="B87" s="49" t="inlineStr">
        <is>
          <t xml:space="preserve">I.U. DE INVESTIGACIONES TURÍSTICAS (10.17) </t>
        </is>
      </c>
      <c r="C87" s="49" t="inlineStr">
        <is>
          <t xml:space="preserve">DOCTORADO EN TURISMO </t>
        </is>
      </c>
      <c r="D87" s="49" t="inlineStr">
        <is>
          <t>Garcia Reinoso, Nelson</t>
        </is>
      </c>
      <c r="E87" s="49" t="inlineStr">
        <is>
          <t xml:space="preserve">Desarrollo territorial sostenible del turismo en Manabí, Ecuador. Modelos y estrategias </t>
        </is>
      </c>
      <c r="F87" s="49" t="inlineStr">
        <is>
          <t xml:space="preserve">16/12/2022 </t>
        </is>
      </c>
      <c r="G87" s="49" t="inlineStr">
        <is>
          <t xml:space="preserve">74218386P </t>
        </is>
      </c>
      <c r="H87" s="49" t="inlineStr">
        <is>
          <t xml:space="preserve">Codirector de tesis </t>
        </is>
      </c>
      <c r="I87" s="49" t="inlineStr">
        <is>
          <t xml:space="preserve">B120 </t>
        </is>
      </c>
      <c r="J87" s="49" t="inlineStr">
        <is>
          <t xml:space="preserve">GEOGRAFIA HUMANA </t>
        </is>
      </c>
      <c r="K87" s="49" t="n">
        <v>0.5</v>
      </c>
      <c r="L87" s="49" t="inlineStr">
        <is>
          <t>B120</t>
        </is>
      </c>
      <c r="M87" s="49" t="n">
        <v>2022</v>
      </c>
      <c r="N87" s="49" t="inlineStr">
        <is>
          <t>10.25</t>
        </is>
      </c>
      <c r="O87" s="49" t="n">
        <v>30</v>
      </c>
      <c r="P87" s="49" t="inlineStr">
        <is>
          <t>10.21</t>
        </is>
      </c>
      <c r="Q87" s="49" t="n">
        <v>30</v>
      </c>
      <c r="R87" s="49" t="n">
        <v>40</v>
      </c>
      <c r="S87" s="49" t="n">
        <v>0.2</v>
      </c>
      <c r="T87" s="50" t="n">
        <v>0.15</v>
      </c>
      <c r="U87" s="49" t="n">
        <v>0.15</v>
      </c>
    </row>
    <row r="88">
      <c r="A88" s="49" t="inlineStr">
        <is>
          <t xml:space="preserve">U075 </t>
        </is>
      </c>
      <c r="B88" s="49" t="inlineStr">
        <is>
          <t xml:space="preserve">I.U.INVESTIGACIÓN DE ESTUDIOS SOCIALES DE AMÉRICA LATINA (10.25) </t>
        </is>
      </c>
      <c r="C88" s="49" t="inlineStr">
        <is>
          <t xml:space="preserve">DOCTORADO EN HUMANIDADES Y ESTUDIOS SOCIALES DE AMÉRICA LATINA </t>
        </is>
      </c>
      <c r="D88" s="49" t="inlineStr">
        <is>
          <t>Vásquez Peñafiel, María Stefanie</t>
        </is>
      </c>
      <c r="E88" s="49" t="inlineStr">
        <is>
          <t xml:space="preserve">Competencia Digital docente de las Instituciones de Educación Superior </t>
        </is>
      </c>
      <c r="F88" s="49" t="inlineStr">
        <is>
          <t xml:space="preserve">08/06/2023 </t>
        </is>
      </c>
      <c r="G88" s="49" t="inlineStr">
        <is>
          <t xml:space="preserve">25126858W </t>
        </is>
      </c>
      <c r="H88" s="49" t="inlineStr">
        <is>
          <t xml:space="preserve">Director de tesis </t>
        </is>
      </c>
      <c r="I88" s="49" t="inlineStr">
        <is>
          <t xml:space="preserve">B112 </t>
        </is>
      </c>
      <c r="J88" s="49" t="inlineStr">
        <is>
          <t xml:space="preserve">DIDACTICA GENERAL Y DIDÁCTICAS ESPECÍFICAS </t>
        </is>
      </c>
      <c r="K88" s="49" t="n">
        <v>1</v>
      </c>
      <c r="L88" s="49" t="inlineStr">
        <is>
          <t>B112</t>
        </is>
      </c>
      <c r="M88" s="49" t="n">
        <v>2022</v>
      </c>
      <c r="N88" s="49" t="inlineStr">
        <is>
          <t>10.25</t>
        </is>
      </c>
      <c r="O88" s="49" t="n">
        <v>30</v>
      </c>
      <c r="P88" s="49" t="inlineStr"/>
      <c r="Q88" s="49" t="n">
        <v>0</v>
      </c>
      <c r="R88" s="49" t="n">
        <v>70</v>
      </c>
      <c r="S88" s="49" t="n">
        <v>0.7</v>
      </c>
      <c r="T88" s="50" t="n">
        <v>0.3</v>
      </c>
      <c r="U88" s="49" t="n">
        <v>0</v>
      </c>
    </row>
    <row r="89">
      <c r="A89" s="49" t="inlineStr">
        <is>
          <t xml:space="preserve">U075 </t>
        </is>
      </c>
      <c r="B89" s="49" t="inlineStr">
        <is>
          <t xml:space="preserve">I.U.INVESTIGACIÓN DE ESTUDIOS SOCIALES DE AMÉRICA LATINA (10.25) </t>
        </is>
      </c>
      <c r="C89" s="49" t="inlineStr">
        <is>
          <t xml:space="preserve">DOCTORADO EN HUMANIDADES Y ESTUDIOS SOCIALES DE AMÉRICA LATINA </t>
        </is>
      </c>
      <c r="D89" s="49" t="inlineStr">
        <is>
          <t>Devesa Morcillo, Roberto</t>
        </is>
      </c>
      <c r="E89" s="49" t="inlineStr">
        <is>
          <t xml:space="preserve">Cine y turismo en la provincia de Alicante: las oportunidades perdidas para la creación de productos de turismo cinematográfico. </t>
        </is>
      </c>
      <c r="F89" s="49" t="inlineStr">
        <is>
          <t xml:space="preserve">01/02/2023 </t>
        </is>
      </c>
      <c r="G89" s="49" t="inlineStr">
        <is>
          <t xml:space="preserve">74218386P </t>
        </is>
      </c>
      <c r="H89" s="49" t="inlineStr">
        <is>
          <t xml:space="preserve">Director de tesis </t>
        </is>
      </c>
      <c r="I89" s="49" t="inlineStr">
        <is>
          <t xml:space="preserve">B120 </t>
        </is>
      </c>
      <c r="J89" s="49" t="inlineStr">
        <is>
          <t xml:space="preserve">GEOGRAFIA HUMANA </t>
        </is>
      </c>
      <c r="K89" s="49" t="n">
        <v>1</v>
      </c>
      <c r="L89" s="49" t="inlineStr">
        <is>
          <t>B120</t>
        </is>
      </c>
      <c r="M89" s="49" t="n">
        <v>2022</v>
      </c>
      <c r="N89" s="49" t="inlineStr">
        <is>
          <t>10.25</t>
        </is>
      </c>
      <c r="O89" s="49" t="n">
        <v>30</v>
      </c>
      <c r="P89" s="49" t="inlineStr">
        <is>
          <t>10.21</t>
        </is>
      </c>
      <c r="Q89" s="49" t="n">
        <v>30</v>
      </c>
      <c r="R89" s="49" t="n">
        <v>40</v>
      </c>
      <c r="S89" s="49" t="n">
        <v>0.4</v>
      </c>
      <c r="T89" s="50" t="n">
        <v>0.3</v>
      </c>
      <c r="U89" s="49" t="n">
        <v>0.3</v>
      </c>
    </row>
    <row r="90">
      <c r="A90" s="49" t="inlineStr">
        <is>
          <t xml:space="preserve">U075 </t>
        </is>
      </c>
      <c r="B90" s="49" t="inlineStr">
        <is>
          <t xml:space="preserve">I.U.INVESTIGACIÓN DE ESTUDIOS SOCIALES DE AMÉRICA LATINA (10.25) </t>
        </is>
      </c>
      <c r="C90" s="49" t="inlineStr">
        <is>
          <t xml:space="preserve">DOCTORADO EN HUMANIDADES Y ESTUDIOS SOCIALES DE AMÉRICA LATINA </t>
        </is>
      </c>
      <c r="D90" s="49" t="inlineStr">
        <is>
          <t>García Chamizo, Juan Manuel</t>
        </is>
      </c>
      <c r="E90" s="49" t="inlineStr">
        <is>
          <t xml:space="preserve">Cine y turismo en la provincia de Alicante: las oportunidades perdidas para la creación de productos de turismo cinematográfico. </t>
        </is>
      </c>
      <c r="F90" s="49" t="inlineStr">
        <is>
          <t xml:space="preserve">24/11/2022 </t>
        </is>
      </c>
      <c r="G90" s="49" t="inlineStr">
        <is>
          <t xml:space="preserve">09371918Q </t>
        </is>
      </c>
      <c r="H90" s="49" t="inlineStr">
        <is>
          <t xml:space="preserve">Codirector de tesis </t>
        </is>
      </c>
      <c r="I90" s="49" t="inlineStr">
        <is>
          <t xml:space="preserve">B148 </t>
        </is>
      </c>
      <c r="J90" s="49" t="inlineStr">
        <is>
          <t xml:space="preserve">TECNOLOGÍA INFORMÁTICA Y COMPUTACIÓN </t>
        </is>
      </c>
      <c r="K90" s="49" t="n">
        <v>0.5</v>
      </c>
      <c r="L90" s="49" t="inlineStr">
        <is>
          <t>B148</t>
        </is>
      </c>
      <c r="M90" s="49" t="n">
        <v>2022</v>
      </c>
      <c r="N90" s="49" t="inlineStr">
        <is>
          <t>10.25</t>
        </is>
      </c>
      <c r="O90" s="49" t="n">
        <v>10</v>
      </c>
      <c r="P90" s="49" t="inlineStr">
        <is>
          <t>10.19</t>
        </is>
      </c>
      <c r="Q90" s="49" t="n">
        <v>10</v>
      </c>
      <c r="R90" s="49" t="n">
        <v>80</v>
      </c>
      <c r="S90" s="49" t="n">
        <v>0.4</v>
      </c>
      <c r="T90" s="50" t="n">
        <v>0.05</v>
      </c>
      <c r="U90" s="49" t="n">
        <v>0.05</v>
      </c>
    </row>
    <row r="91">
      <c r="A91" s="49" t="inlineStr">
        <is>
          <t xml:space="preserve">U075 </t>
        </is>
      </c>
      <c r="B91" s="49" t="inlineStr">
        <is>
          <t xml:space="preserve">I.U.INVESTIGACIÓN DE ESTUDIOS SOCIALES DE AMÉRICA LATINA (10.25) </t>
        </is>
      </c>
      <c r="C91" s="49" t="inlineStr">
        <is>
          <t xml:space="preserve">DOCTORADO EN HUMANIDADES Y ESTUDIOS SOCIALES DE AMÉRICA LATINA </t>
        </is>
      </c>
      <c r="D91" s="49" t="inlineStr">
        <is>
          <t>Martínez de Ardón, Karla Patricia</t>
        </is>
      </c>
      <c r="E91" s="49" t="inlineStr">
        <is>
          <t xml:space="preserve">Desarrollo de competencias profesionales a través de Entornos Virtuales de Aprendizaje. El caso de la Universidad Tecnológica de El Salvador </t>
        </is>
      </c>
      <c r="F91" s="49" t="inlineStr">
        <is>
          <t xml:space="preserve">14/09/2023 </t>
        </is>
      </c>
      <c r="G91" s="49" t="inlineStr">
        <is>
          <t xml:space="preserve">21457927P </t>
        </is>
      </c>
      <c r="H91" s="49" t="inlineStr">
        <is>
          <t xml:space="preserve">Director de tesis </t>
        </is>
      </c>
      <c r="I91" s="49" t="inlineStr">
        <is>
          <t xml:space="preserve">B122 </t>
        </is>
      </c>
      <c r="J91" s="49" t="inlineStr">
        <is>
          <t xml:space="preserve">HUMANIDADES CONTEMPORANEAS </t>
        </is>
      </c>
      <c r="K91" s="49" t="n">
        <v>1</v>
      </c>
      <c r="L91" s="49" t="inlineStr">
        <is>
          <t>B122</t>
        </is>
      </c>
      <c r="M91" s="49" t="n">
        <v>2022</v>
      </c>
      <c r="N91" s="49" t="inlineStr">
        <is>
          <t>10.25</t>
        </is>
      </c>
      <c r="O91" s="49" t="n">
        <v>80</v>
      </c>
      <c r="P91" s="49" t="inlineStr"/>
      <c r="Q91" s="49" t="n">
        <v>0</v>
      </c>
      <c r="R91" s="49" t="n">
        <v>20</v>
      </c>
      <c r="S91" s="49" t="n">
        <v>0.2</v>
      </c>
      <c r="T91" s="50" t="n">
        <v>0.8</v>
      </c>
      <c r="U91" s="49" t="n">
        <v>0</v>
      </c>
    </row>
    <row r="92">
      <c r="A92" s="49" t="inlineStr">
        <is>
          <t xml:space="preserve">ZZ </t>
        </is>
      </c>
      <c r="B92" s="49" t="inlineStr">
        <is>
          <t xml:space="preserve">SIN ASIGNAR </t>
        </is>
      </c>
      <c r="C92" s="49" t="inlineStr">
        <is>
          <t xml:space="preserve">DOCTORADO EN EMPRESA, ECONOMÍA Y SOCIEDAD </t>
        </is>
      </c>
      <c r="D92" s="49" t="inlineStr">
        <is>
          <t>Llopis Ripoll, Carolina</t>
        </is>
      </c>
      <c r="E92" s="49" t="inlineStr">
        <is>
          <t xml:space="preserve">RESPONSABILIDAD CORPORATIVA Y SOSTENIBILIDAD COMO INTANGIBLES EN LA ESTRATEGIA DE COMUNICACIÓN. EL CASO DE LAS INDUSTRIAS CREATIVAS ESPAÑOLAS DE MODA Y COSMÉTICA </t>
        </is>
      </c>
      <c r="F92" s="49" t="inlineStr">
        <is>
          <t xml:space="preserve">08/09/2023 </t>
        </is>
      </c>
      <c r="G92" s="49" t="inlineStr">
        <is>
          <t xml:space="preserve">21463378P </t>
        </is>
      </c>
      <c r="H92" s="49" t="inlineStr">
        <is>
          <t xml:space="preserve">Codirector de tesis </t>
        </is>
      </c>
      <c r="I92" s="49" t="inlineStr">
        <is>
          <t xml:space="preserve">B175 </t>
        </is>
      </c>
      <c r="J92" s="49" t="inlineStr">
        <is>
          <t xml:space="preserve">COMUNICACIÓN Y PSICOLOGÍA SOCIAL </t>
        </is>
      </c>
      <c r="K92" s="49" t="n">
        <v>0.5</v>
      </c>
      <c r="L92" s="49" t="inlineStr">
        <is>
          <t>B175</t>
        </is>
      </c>
      <c r="M92" s="49" t="n">
        <v>2022</v>
      </c>
      <c r="N92" s="49" t="inlineStr">
        <is>
          <t>10.25</t>
        </is>
      </c>
      <c r="O92" s="49" t="n">
        <v>30</v>
      </c>
      <c r="P92" s="49" t="inlineStr"/>
      <c r="Q92" s="49" t="n">
        <v>0</v>
      </c>
      <c r="R92" s="49" t="n">
        <v>70</v>
      </c>
      <c r="S92" s="49" t="n">
        <v>0.35</v>
      </c>
      <c r="T92" s="50" t="n">
        <v>0.15</v>
      </c>
      <c r="U92" s="49" t="n">
        <v>0</v>
      </c>
    </row>
    <row r="93">
      <c r="A93" s="49" t="inlineStr">
        <is>
          <t xml:space="preserve">U023 </t>
        </is>
      </c>
      <c r="B93" s="49" t="inlineStr">
        <is>
          <t>ADM. FACULTAD DE FILOSOFIA Y LETRAS</t>
        </is>
      </c>
      <c r="C93" s="49" t="inlineStr">
        <is>
          <t>DOCTORADO EN FILOSOFÍA Y LETRAS</t>
        </is>
      </c>
      <c r="D93" s="49" t="inlineStr">
        <is>
          <t>Juárez Varón, Manuel Ángel</t>
        </is>
      </c>
      <c r="E93" s="49" t="inlineStr">
        <is>
          <t>POSICIONAMIENTO WEB VERSUS USABILIDAD WEB EMPLEANDO BIOMETRÍA DE NEUROCIENCIA. CASO DEL SECTOR DEL JUGUETE EN ESPAÑA</t>
        </is>
      </c>
      <c r="F93" s="49" t="inlineStr">
        <is>
          <t>27/09/2023</t>
        </is>
      </c>
      <c r="G93" s="49" t="inlineStr">
        <is>
          <t xml:space="preserve">21463378P </t>
        </is>
      </c>
      <c r="H93" s="49" t="inlineStr">
        <is>
          <t>Director de tesis</t>
        </is>
      </c>
      <c r="I93" s="49" t="inlineStr">
        <is>
          <t>B175</t>
        </is>
      </c>
      <c r="J93" s="49" t="inlineStr">
        <is>
          <t>COMUNICACIÓN Y PSICOLOGÍA SOCIAL</t>
        </is>
      </c>
      <c r="K93" s="49" t="n">
        <v>1</v>
      </c>
      <c r="L93" s="49" t="inlineStr">
        <is>
          <t>B175</t>
        </is>
      </c>
      <c r="M93" s="49" t="n">
        <v>2022</v>
      </c>
      <c r="N93" s="49" t="inlineStr">
        <is>
          <t>10.25</t>
        </is>
      </c>
      <c r="O93" s="49" t="n">
        <v>30</v>
      </c>
      <c r="P93" s="49" t="inlineStr"/>
      <c r="Q93" s="49" t="n">
        <v>0</v>
      </c>
      <c r="R93" s="49" t="n">
        <v>70</v>
      </c>
      <c r="S93" s="49" t="n">
        <v>0.7</v>
      </c>
      <c r="T93" s="50" t="n">
        <v>0.3</v>
      </c>
      <c r="U93" s="49" t="n">
        <v>0</v>
      </c>
    </row>
    <row r="94">
      <c r="A94" s="49" t="inlineStr">
        <is>
          <t>B112</t>
        </is>
      </c>
      <c r="B94" s="49" t="inlineStr">
        <is>
          <t>DIDACTICA GENERAL Y DIDÁCTICAS ESPECÍFICAS</t>
        </is>
      </c>
      <c r="C94" s="49" t="inlineStr">
        <is>
          <t>DOCTORADO EN INVESTIGACIÓN EDUCATIVA</t>
        </is>
      </c>
      <c r="D94" s="49" t="inlineStr">
        <is>
          <t>Oller Benítez, Alba</t>
        </is>
      </c>
      <c r="E94" s="49" t="inlineStr">
        <is>
          <t>Percepciones de los futuros docentes sobre la formación audiovisual en Educación Primaria</t>
        </is>
      </c>
      <c r="F94" s="49" t="inlineStr">
        <is>
          <t>22/03/2024</t>
        </is>
      </c>
      <c r="G94" s="49" t="inlineStr">
        <is>
          <t>73536751R</t>
        </is>
      </c>
      <c r="H94" s="49" t="inlineStr">
        <is>
          <t>Codirector de tesis</t>
        </is>
      </c>
      <c r="I94" s="49" t="inlineStr">
        <is>
          <t>B112</t>
        </is>
      </c>
      <c r="J94" s="49" t="inlineStr">
        <is>
          <t>DIDACTICA GENERAL Y DIDÁCTICAS ESPECÍFICAS</t>
        </is>
      </c>
      <c r="K94" s="49" t="n">
        <v>0.5</v>
      </c>
      <c r="L94" s="49" t="inlineStr">
        <is>
          <t>B112</t>
        </is>
      </c>
      <c r="M94" s="49" t="n">
        <v>2023</v>
      </c>
      <c r="N94" s="49" t="inlineStr">
        <is>
          <t>10.25</t>
        </is>
      </c>
      <c r="O94" s="49" t="inlineStr">
        <is>
          <t>50</t>
        </is>
      </c>
      <c r="P94" s="49" t="inlineStr"/>
      <c r="Q94" s="49" t="inlineStr"/>
      <c r="R94" s="49" t="n">
        <v>50</v>
      </c>
      <c r="S94" s="49" t="n">
        <v>0.25</v>
      </c>
      <c r="T94" s="50" t="n">
        <v>0.25</v>
      </c>
      <c r="U94" s="49" t="n">
        <v>0</v>
      </c>
    </row>
    <row r="95">
      <c r="A95" s="49" t="inlineStr">
        <is>
          <t>B177</t>
        </is>
      </c>
      <c r="B95" s="49" t="inlineStr">
        <is>
          <t>PSICOLOGÍA EVOLUTIVA Y DIDÁCTICA</t>
        </is>
      </c>
      <c r="C95" s="49" t="inlineStr">
        <is>
          <t>DOCTORADO EN INVESTIGACIÓN EDUCATIVA</t>
        </is>
      </c>
      <c r="D95" s="49" t="inlineStr">
        <is>
          <t>Bayas Vallejo, Alejandro</t>
        </is>
      </c>
      <c r="E95" s="49" t="inlineStr">
        <is>
          <t>Itinerario educativo ambiental en dos áreas protegidas del Ecuador para los estudiantes
de la carrera de pedagogía de las Ciencias Experimentales, Química y Biología, de la
Universidad Central de Educador.</t>
        </is>
      </c>
      <c r="F95" s="49" t="inlineStr">
        <is>
          <t>13/03/2024</t>
        </is>
      </c>
      <c r="G95" s="49" t="inlineStr">
        <is>
          <t>48379979P</t>
        </is>
      </c>
      <c r="H95" s="49" t="inlineStr">
        <is>
          <t>Codirector de tesis</t>
        </is>
      </c>
      <c r="I95" s="49" t="inlineStr">
        <is>
          <t>B112</t>
        </is>
      </c>
      <c r="J95" s="49" t="inlineStr">
        <is>
          <t>DIDACTICA GENERAL Y DIDÁCTICAS ESPECÍFICAS</t>
        </is>
      </c>
      <c r="K95" s="49" t="n">
        <v>0.5</v>
      </c>
      <c r="L95" s="49" t="inlineStr">
        <is>
          <t>B112</t>
        </is>
      </c>
      <c r="M95" s="49" t="n">
        <v>2023</v>
      </c>
      <c r="N95" s="49" t="inlineStr">
        <is>
          <t>10.25</t>
        </is>
      </c>
      <c r="O95" s="49" t="inlineStr">
        <is>
          <t>30</t>
        </is>
      </c>
      <c r="P95" s="49" t="inlineStr">
        <is>
          <t>10.23</t>
        </is>
      </c>
      <c r="Q95" s="49" t="inlineStr">
        <is>
          <t>20</t>
        </is>
      </c>
      <c r="R95" s="49" t="n">
        <v>50</v>
      </c>
      <c r="S95" s="49" t="n">
        <v>0.25</v>
      </c>
      <c r="T95" s="50" t="n">
        <v>0.15</v>
      </c>
      <c r="U95" s="49" t="n">
        <v>0.1</v>
      </c>
    </row>
    <row r="96">
      <c r="A96" s="49" t="inlineStr">
        <is>
          <t>B177</t>
        </is>
      </c>
      <c r="B96" s="49" t="inlineStr">
        <is>
          <t>PSICOLOGÍA EVOLUTIVA Y DIDÁCTICA</t>
        </is>
      </c>
      <c r="C96" s="49" t="inlineStr">
        <is>
          <t>DOCTORADO EN INVESTIGACIÓN EDUCATIVA</t>
        </is>
      </c>
      <c r="D96" s="49" t="inlineStr">
        <is>
          <t>Ordoñez Pizarro, Wilman</t>
        </is>
      </c>
      <c r="E96" s="49" t="inlineStr">
        <is>
          <t>Comparación de las características psicológicas de los estudiantes del
 nivel inicial y terminal de la carrera docente de la Facultad de Filosofía, Letras y Ciencias de la Educación de la Universidad Central del Ecuador.</t>
        </is>
      </c>
      <c r="F96" s="49" t="inlineStr">
        <is>
          <t>10/09/2024</t>
        </is>
      </c>
      <c r="G96" s="49" t="inlineStr">
        <is>
          <t>22929043K</t>
        </is>
      </c>
      <c r="H96" s="49" t="inlineStr">
        <is>
          <t>Director de tesis</t>
        </is>
      </c>
      <c r="I96" s="49" t="inlineStr">
        <is>
          <t>B177</t>
        </is>
      </c>
      <c r="J96" s="49" t="inlineStr">
        <is>
          <t>PSICOLOGÍA EVOLUTIVA Y DIDÁCTICA</t>
        </is>
      </c>
      <c r="K96" s="49" t="n">
        <v>1</v>
      </c>
      <c r="L96" s="49" t="inlineStr">
        <is>
          <t>B177</t>
        </is>
      </c>
      <c r="M96" s="49" t="n">
        <v>2023</v>
      </c>
      <c r="N96" s="49" t="inlineStr">
        <is>
          <t>10.25</t>
        </is>
      </c>
      <c r="O96" s="49" t="inlineStr">
        <is>
          <t>10</t>
        </is>
      </c>
      <c r="P96" s="49" t="inlineStr"/>
      <c r="Q96" s="49" t="inlineStr"/>
      <c r="R96" s="49" t="n">
        <v>90</v>
      </c>
      <c r="S96" s="49" t="n">
        <v>0.9</v>
      </c>
      <c r="T96" s="50" t="n">
        <v>0.1</v>
      </c>
      <c r="U96" s="49" t="n">
        <v>0</v>
      </c>
    </row>
    <row r="97">
      <c r="A97" s="49" t="inlineStr">
        <is>
          <t>B177</t>
        </is>
      </c>
      <c r="B97" s="49" t="inlineStr">
        <is>
          <t>PSICOLOGÍA EVOLUTIVA Y DIDÁCTICA</t>
        </is>
      </c>
      <c r="C97" s="49" t="inlineStr">
        <is>
          <t>DOCTORADO EN INVESTIGACIÓN EDUCATIVA</t>
        </is>
      </c>
      <c r="D97" s="49" t="inlineStr">
        <is>
          <t>Camús Ferri, María Del Mar</t>
        </is>
      </c>
      <c r="E97" s="49" t="inlineStr">
        <is>
          <t>La comunicación didáctica en la docencia universitaria: un estudio de caso en la
 Universidad de Alicante y en la Universidad de Valencia</t>
        </is>
      </c>
      <c r="F97" s="49" t="inlineStr">
        <is>
          <t>14/02/2024</t>
        </is>
      </c>
      <c r="G97" s="49" t="inlineStr">
        <is>
          <t>76941801Q</t>
        </is>
      </c>
      <c r="H97" s="49" t="inlineStr">
        <is>
          <t>Codirector de tesis</t>
        </is>
      </c>
      <c r="I97" s="49" t="inlineStr">
        <is>
          <t>B112</t>
        </is>
      </c>
      <c r="J97" s="49" t="inlineStr">
        <is>
          <t>DIDACTICA GENERAL Y DIDÁCTICAS ESPECÍFICAS</t>
        </is>
      </c>
      <c r="K97" s="49" t="n">
        <v>0.5</v>
      </c>
      <c r="L97" s="49" t="inlineStr">
        <is>
          <t>B112</t>
        </is>
      </c>
      <c r="M97" s="49" t="n">
        <v>2023</v>
      </c>
      <c r="N97" s="49" t="inlineStr">
        <is>
          <t>10.25</t>
        </is>
      </c>
      <c r="O97" s="49" t="inlineStr">
        <is>
          <t>30</t>
        </is>
      </c>
      <c r="P97" s="49" t="inlineStr">
        <is>
          <t>10.23</t>
        </is>
      </c>
      <c r="Q97" s="49" t="inlineStr">
        <is>
          <t>20</t>
        </is>
      </c>
      <c r="R97" s="49" t="n">
        <v>50</v>
      </c>
      <c r="S97" s="49" t="n">
        <v>0.25</v>
      </c>
      <c r="T97" s="50" t="n">
        <v>0.15</v>
      </c>
      <c r="U97" s="49" t="n">
        <v>0.1</v>
      </c>
    </row>
    <row r="98">
      <c r="A98" s="49" t="inlineStr">
        <is>
          <t>B177</t>
        </is>
      </c>
      <c r="B98" s="49" t="inlineStr">
        <is>
          <t>PSICOLOGÍA EVOLUTIVA Y DIDÁCTICA</t>
        </is>
      </c>
      <c r="C98" s="49" t="inlineStr">
        <is>
          <t>DOCTORADO EN INVESTIGACIÓN EDUCATIVA</t>
        </is>
      </c>
      <c r="D98" s="49" t="inlineStr">
        <is>
          <t>Camús Ferri, María Del Mar</t>
        </is>
      </c>
      <c r="E98" s="49" t="inlineStr">
        <is>
          <t>La comunicación didáctica en la docencia universitaria: un estudio de caso en la
 Universidad de Alicante y en la Universidad de Valencia</t>
        </is>
      </c>
      <c r="F98" s="49" t="inlineStr">
        <is>
          <t>14/02/2024</t>
        </is>
      </c>
      <c r="G98" s="49" t="inlineStr">
        <is>
          <t>48379979P</t>
        </is>
      </c>
      <c r="H98" s="49" t="inlineStr">
        <is>
          <t>Codirector de tesis</t>
        </is>
      </c>
      <c r="I98" s="49" t="inlineStr">
        <is>
          <t>B112</t>
        </is>
      </c>
      <c r="J98" s="49" t="inlineStr">
        <is>
          <t>DIDACTICA GENERAL Y DIDÁCTICAS ESPECÍFICAS</t>
        </is>
      </c>
      <c r="K98" s="49" t="n">
        <v>0.5</v>
      </c>
      <c r="L98" s="49" t="inlineStr">
        <is>
          <t>B112</t>
        </is>
      </c>
      <c r="M98" s="49" t="n">
        <v>2023</v>
      </c>
      <c r="N98" s="49" t="inlineStr">
        <is>
          <t>10.25</t>
        </is>
      </c>
      <c r="O98" s="49" t="inlineStr">
        <is>
          <t>30</t>
        </is>
      </c>
      <c r="P98" s="49" t="inlineStr">
        <is>
          <t>10.23</t>
        </is>
      </c>
      <c r="Q98" s="49" t="inlineStr">
        <is>
          <t>20</t>
        </is>
      </c>
      <c r="R98" s="49" t="n">
        <v>50</v>
      </c>
      <c r="S98" s="49" t="n">
        <v>0.25</v>
      </c>
      <c r="T98" s="50" t="n">
        <v>0.15</v>
      </c>
      <c r="U98" s="49" t="n">
        <v>0.1</v>
      </c>
    </row>
    <row r="99">
      <c r="A99" s="49" t="inlineStr">
        <is>
          <t>B177</t>
        </is>
      </c>
      <c r="B99" s="49" t="inlineStr">
        <is>
          <t>PSICOLOGÍA EVOLUTIVA Y DIDÁCTICA</t>
        </is>
      </c>
      <c r="C99" s="49" t="inlineStr">
        <is>
          <t>DOCTORADO EN INVESTIGACIÓN EDUCATIVA</t>
        </is>
      </c>
      <c r="D99" s="49" t="inlineStr">
        <is>
          <t>Arroyo Salgueira, Sandra</t>
        </is>
      </c>
      <c r="E99" s="49" t="inlineStr">
        <is>
          <t>La movilidad académica en el desarrollo profesional docente: un estudio de caso en la Universidad de Alicante</t>
        </is>
      </c>
      <c r="F99" s="49" t="inlineStr">
        <is>
          <t>15/02/2024</t>
        </is>
      </c>
      <c r="G99" s="49" t="inlineStr">
        <is>
          <t>76941801Q</t>
        </is>
      </c>
      <c r="H99" s="49" t="inlineStr">
        <is>
          <t>Codirector de tesis</t>
        </is>
      </c>
      <c r="I99" s="49" t="inlineStr">
        <is>
          <t>B112</t>
        </is>
      </c>
      <c r="J99" s="49" t="inlineStr">
        <is>
          <t>DIDACTICA GENERAL Y DIDÁCTICAS ESPECÍFICAS</t>
        </is>
      </c>
      <c r="K99" s="49" t="n">
        <v>0.5</v>
      </c>
      <c r="L99" s="49" t="inlineStr">
        <is>
          <t>B112</t>
        </is>
      </c>
      <c r="M99" s="49" t="n">
        <v>2023</v>
      </c>
      <c r="N99" s="49" t="inlineStr">
        <is>
          <t>10.25</t>
        </is>
      </c>
      <c r="O99" s="49" t="inlineStr">
        <is>
          <t>30</t>
        </is>
      </c>
      <c r="P99" s="49" t="inlineStr">
        <is>
          <t>10.23</t>
        </is>
      </c>
      <c r="Q99" s="49" t="inlineStr">
        <is>
          <t>20</t>
        </is>
      </c>
      <c r="R99" s="49" t="n">
        <v>50</v>
      </c>
      <c r="S99" s="49" t="n">
        <v>0.25</v>
      </c>
      <c r="T99" s="50" t="n">
        <v>0.15</v>
      </c>
      <c r="U99" s="49" t="n">
        <v>0.1</v>
      </c>
    </row>
    <row r="100">
      <c r="A100" s="49" t="inlineStr">
        <is>
          <t>B177</t>
        </is>
      </c>
      <c r="B100" s="49" t="inlineStr">
        <is>
          <t>PSICOLOGÍA EVOLUTIVA Y DIDÁCTICA</t>
        </is>
      </c>
      <c r="C100" s="49" t="inlineStr">
        <is>
          <t>DOCTORADO EN INVESTIGACIÓN EDUCATIVA</t>
        </is>
      </c>
      <c r="D100" s="49" t="inlineStr">
        <is>
          <t>Arroyo Salgueira, Sandra</t>
        </is>
      </c>
      <c r="E100" s="49" t="inlineStr">
        <is>
          <t>La movilidad académica en el desarrollo profesional docente: un estudio de caso en la Universidad de Alicante</t>
        </is>
      </c>
      <c r="F100" s="49" t="inlineStr">
        <is>
          <t>15/02/2024</t>
        </is>
      </c>
      <c r="G100" s="49" t="inlineStr">
        <is>
          <t>48379979P</t>
        </is>
      </c>
      <c r="H100" s="49" t="inlineStr">
        <is>
          <t>Codirector de tesis</t>
        </is>
      </c>
      <c r="I100" s="49" t="inlineStr">
        <is>
          <t>B112</t>
        </is>
      </c>
      <c r="J100" s="49" t="inlineStr">
        <is>
          <t>DIDACTICA GENERAL Y DIDÁCTICAS ESPECÍFICAS</t>
        </is>
      </c>
      <c r="K100" s="49" t="n">
        <v>0.5</v>
      </c>
      <c r="L100" s="49" t="inlineStr">
        <is>
          <t>B112</t>
        </is>
      </c>
      <c r="M100" s="49" t="n">
        <v>2023</v>
      </c>
      <c r="N100" s="49" t="inlineStr">
        <is>
          <t>10.25</t>
        </is>
      </c>
      <c r="O100" s="49" t="inlineStr">
        <is>
          <t>30</t>
        </is>
      </c>
      <c r="P100" s="49" t="inlineStr">
        <is>
          <t>10.23</t>
        </is>
      </c>
      <c r="Q100" s="49" t="inlineStr">
        <is>
          <t>20</t>
        </is>
      </c>
      <c r="R100" s="49" t="n">
        <v>50</v>
      </c>
      <c r="S100" s="49" t="n">
        <v>0.25</v>
      </c>
      <c r="T100" s="50" t="n">
        <v>0.15</v>
      </c>
      <c r="U100" s="49" t="n">
        <v>0.1</v>
      </c>
    </row>
    <row r="101">
      <c r="A101" s="49" t="inlineStr">
        <is>
          <t>B177</t>
        </is>
      </c>
      <c r="B101" s="49" t="inlineStr">
        <is>
          <t>PSICOLOGÍA EVOLUTIVA Y DIDÁCTICA</t>
        </is>
      </c>
      <c r="C101" s="49" t="inlineStr">
        <is>
          <t>DOCTORADO EN INVESTIGACIÓN EDUCATIVA</t>
        </is>
      </c>
      <c r="D101" s="49" t="inlineStr">
        <is>
          <t>Martínez Roig, Rosabel</t>
        </is>
      </c>
      <c r="E101" s="49" t="inlineStr">
        <is>
          <t>La integración de la robótica social y la Música como elemento transversal en los procesos de enseñanza-aprendizaje en el contexto de la Inteligencia Artificial</t>
        </is>
      </c>
      <c r="F101" s="49" t="inlineStr">
        <is>
          <t>28/06/2024</t>
        </is>
      </c>
      <c r="G101" s="49" t="inlineStr">
        <is>
          <t>73536751R</t>
        </is>
      </c>
      <c r="H101" s="49" t="inlineStr">
        <is>
          <t>Codirector de tesis</t>
        </is>
      </c>
      <c r="I101" s="49" t="inlineStr">
        <is>
          <t>B112</t>
        </is>
      </c>
      <c r="J101" s="49" t="inlineStr">
        <is>
          <t>DIDACTICA GENERAL Y DIDÁCTICAS ESPECÍFICAS</t>
        </is>
      </c>
      <c r="K101" s="49" t="n">
        <v>0.5</v>
      </c>
      <c r="L101" s="49" t="inlineStr">
        <is>
          <t>B112</t>
        </is>
      </c>
      <c r="M101" s="49" t="n">
        <v>2023</v>
      </c>
      <c r="N101" s="49" t="inlineStr">
        <is>
          <t>10.25</t>
        </is>
      </c>
      <c r="O101" s="49" t="inlineStr">
        <is>
          <t>50</t>
        </is>
      </c>
      <c r="P101" s="49" t="inlineStr"/>
      <c r="Q101" s="49" t="inlineStr"/>
      <c r="R101" s="49" t="n">
        <v>50</v>
      </c>
      <c r="S101" s="49" t="n">
        <v>0.25</v>
      </c>
      <c r="T101" s="50" t="n">
        <v>0.25</v>
      </c>
      <c r="U101" s="49" t="n">
        <v>0</v>
      </c>
    </row>
    <row r="102">
      <c r="A102" s="49" t="inlineStr">
        <is>
          <t>B177</t>
        </is>
      </c>
      <c r="B102" s="49" t="inlineStr">
        <is>
          <t>PSICOLOGÍA EVOLUTIVA Y DIDÁCTICA</t>
        </is>
      </c>
      <c r="C102" s="49" t="inlineStr">
        <is>
          <t>DOCTORADO EN INVESTIGACIÓN EDUCATIVA</t>
        </is>
      </c>
      <c r="D102" s="49" t="inlineStr">
        <is>
          <t>Chasi Solórzano, Byron</t>
        </is>
      </c>
      <c r="E102" s="49" t="inlineStr">
        <is>
          <t xml:space="preserve"> Efectos de un diseño instruccional soportado por tecnología sobre el 
rendimiento de los estudiantes en la Facultad de Filosofía, Letras y Ciencias de la Educación de la Universidad Central del Ecuador.</t>
        </is>
      </c>
      <c r="F102" s="49" t="inlineStr">
        <is>
          <t>10/09/2024</t>
        </is>
      </c>
      <c r="G102" s="49" t="inlineStr">
        <is>
          <t>22929043K</t>
        </is>
      </c>
      <c r="H102" s="49" t="inlineStr">
        <is>
          <t>Director de tesis</t>
        </is>
      </c>
      <c r="I102" s="49" t="inlineStr">
        <is>
          <t>B177</t>
        </is>
      </c>
      <c r="J102" s="49" t="inlineStr">
        <is>
          <t>PSICOLOGÍA EVOLUTIVA Y DIDÁCTICA</t>
        </is>
      </c>
      <c r="K102" s="49" t="n">
        <v>1</v>
      </c>
      <c r="L102" s="49" t="inlineStr">
        <is>
          <t>B177</t>
        </is>
      </c>
      <c r="M102" s="49" t="n">
        <v>2023</v>
      </c>
      <c r="N102" s="49" t="inlineStr">
        <is>
          <t>10.25</t>
        </is>
      </c>
      <c r="O102" s="49" t="inlineStr">
        <is>
          <t>10</t>
        </is>
      </c>
      <c r="P102" s="49" t="inlineStr"/>
      <c r="Q102" s="49" t="inlineStr"/>
      <c r="R102" s="49" t="n">
        <v>90</v>
      </c>
      <c r="S102" s="49" t="n">
        <v>0.9</v>
      </c>
      <c r="T102" s="50" t="n">
        <v>0.1</v>
      </c>
      <c r="U102" s="49" t="n">
        <v>0</v>
      </c>
    </row>
    <row r="103">
      <c r="A103" s="49" t="inlineStr">
        <is>
          <t>U023</t>
        </is>
      </c>
      <c r="B103" s="49" t="inlineStr">
        <is>
          <t>ADM. FACULTAD DE FILOSOFIA Y LETRAS</t>
        </is>
      </c>
      <c r="C103" s="49" t="inlineStr">
        <is>
          <t>DOCTORADO EN TRANSFERENCIAS INTERCULTURALES E HISTÓRICAS EN LA EUROPA MEDIE</t>
        </is>
      </c>
      <c r="D103" s="49" t="inlineStr">
        <is>
          <t>dourgounoglou , antonios</t>
        </is>
      </c>
      <c r="E103" s="49" t="inlineStr">
        <is>
          <t>The role of the school nurse in organizing health education programs in special schools - The mental health of children with disabilities and the development of their skills on issues related to public health</t>
        </is>
      </c>
      <c r="F103" s="49" t="inlineStr">
        <is>
          <t>01/07/2024</t>
        </is>
      </c>
      <c r="G103" s="49" t="inlineStr">
        <is>
          <t>25126858W</t>
        </is>
      </c>
      <c r="H103" s="49" t="inlineStr">
        <is>
          <t>Director de tesis</t>
        </is>
      </c>
      <c r="I103" s="49" t="inlineStr">
        <is>
          <t>B112</t>
        </is>
      </c>
      <c r="J103" s="49" t="inlineStr">
        <is>
          <t>DIDACTICA GENERAL Y DIDÁCTICAS ESPECÍFICAS</t>
        </is>
      </c>
      <c r="K103" s="49" t="n">
        <v>1</v>
      </c>
      <c r="L103" s="49" t="inlineStr">
        <is>
          <t>B112</t>
        </is>
      </c>
      <c r="M103" s="49" t="n">
        <v>2023</v>
      </c>
      <c r="N103" s="49" t="inlineStr">
        <is>
          <t>10.25</t>
        </is>
      </c>
      <c r="O103" s="49" t="inlineStr">
        <is>
          <t>30</t>
        </is>
      </c>
      <c r="P103" s="49" t="inlineStr"/>
      <c r="Q103" s="49" t="inlineStr"/>
      <c r="R103" s="49" t="n">
        <v>70</v>
      </c>
      <c r="S103" s="49" t="n">
        <v>0.7</v>
      </c>
      <c r="T103" s="50" t="n">
        <v>0.3</v>
      </c>
      <c r="U103" s="49" t="n">
        <v>0</v>
      </c>
    </row>
    <row r="104">
      <c r="A104" s="49" t="inlineStr">
        <is>
          <t>U025</t>
        </is>
      </c>
      <c r="B104" s="49" t="inlineStr">
        <is>
          <t>ADM. FACULTAD DE DERECHO</t>
        </is>
      </c>
      <c r="C104" s="49" t="inlineStr">
        <is>
          <t>DOCTORADO EN DERECHO</t>
        </is>
      </c>
      <c r="D104" s="49" t="inlineStr">
        <is>
          <t>Zambrano Yépez, René Alejandro</t>
        </is>
      </c>
      <c r="E104" s="49" t="inlineStr">
        <is>
          <t>La responsabilidad extracontractual del estado en El Ecuador</t>
        </is>
      </c>
      <c r="F104" s="49" t="inlineStr">
        <is>
          <t>23/11/2023</t>
        </is>
      </c>
      <c r="G104" s="49" t="inlineStr">
        <is>
          <t>21450008R</t>
        </is>
      </c>
      <c r="H104" s="49" t="inlineStr">
        <is>
          <t>Codirector de tesis</t>
        </is>
      </c>
      <c r="I104" s="49" t="inlineStr">
        <is>
          <t>B113</t>
        </is>
      </c>
      <c r="J104" s="49" t="inlineStr">
        <is>
          <t>ESTUDIOS JURIDICOS DEL ESTADO</t>
        </is>
      </c>
      <c r="K104" s="49" t="n">
        <v>0.5</v>
      </c>
      <c r="L104" s="49" t="inlineStr">
        <is>
          <t>B113</t>
        </is>
      </c>
      <c r="M104" s="49" t="n">
        <v>2023</v>
      </c>
      <c r="N104" s="49" t="inlineStr">
        <is>
          <t>10.25</t>
        </is>
      </c>
      <c r="O104" s="49" t="inlineStr">
        <is>
          <t>50</t>
        </is>
      </c>
      <c r="P104" s="49" t="inlineStr"/>
      <c r="Q104" s="49" t="inlineStr"/>
      <c r="R104" s="49" t="n">
        <v>50</v>
      </c>
      <c r="S104" s="49" t="n">
        <v>0.25</v>
      </c>
      <c r="T104" s="50" t="n">
        <v>0.25</v>
      </c>
      <c r="U104" s="49" t="n">
        <v>0</v>
      </c>
    </row>
    <row r="105">
      <c r="A105" s="49" t="inlineStr">
        <is>
          <t>U025</t>
        </is>
      </c>
      <c r="B105" s="49" t="inlineStr">
        <is>
          <t>ADM. FACULTAD DE DERECHO</t>
        </is>
      </c>
      <c r="C105" s="49" t="inlineStr">
        <is>
          <t>DOCTORADO EN DERECHO</t>
        </is>
      </c>
      <c r="D105" s="49" t="inlineStr">
        <is>
          <t>Barbera Bustos, José Luis</t>
        </is>
      </c>
      <c r="E105" s="49" t="inlineStr">
        <is>
          <t>Disciplina urbanística: configuración normativa y análisis jurisprudencial</t>
        </is>
      </c>
      <c r="F105" s="49" t="inlineStr">
        <is>
          <t>06/11/2023</t>
        </is>
      </c>
      <c r="G105" s="49" t="inlineStr">
        <is>
          <t>09753530N</t>
        </is>
      </c>
      <c r="H105" s="49" t="inlineStr">
        <is>
          <t>Director de tesis</t>
        </is>
      </c>
      <c r="I105" s="49" t="inlineStr">
        <is>
          <t>B113</t>
        </is>
      </c>
      <c r="J105" s="49" t="inlineStr">
        <is>
          <t>ESTUDIOS JURIDICOS DEL ESTADO</t>
        </is>
      </c>
      <c r="K105" s="49" t="n">
        <v>1</v>
      </c>
      <c r="L105" s="49" t="inlineStr">
        <is>
          <t>B113</t>
        </is>
      </c>
      <c r="M105" s="49" t="n">
        <v>2023</v>
      </c>
      <c r="N105" s="49" t="inlineStr">
        <is>
          <t>10.25</t>
        </is>
      </c>
      <c r="O105" s="49" t="inlineStr">
        <is>
          <t>30</t>
        </is>
      </c>
      <c r="P105" s="49" t="inlineStr"/>
      <c r="Q105" s="49" t="inlineStr"/>
      <c r="R105" s="49" t="n">
        <v>70</v>
      </c>
      <c r="S105" s="49" t="n">
        <v>0.7</v>
      </c>
      <c r="T105" s="50" t="n">
        <v>0.3</v>
      </c>
      <c r="U105" s="49" t="n">
        <v>0</v>
      </c>
    </row>
    <row r="106">
      <c r="A106" s="49" t="inlineStr">
        <is>
          <t>U025</t>
        </is>
      </c>
      <c r="B106" s="49" t="inlineStr">
        <is>
          <t>ADM. FACULTAD DE DERECHO</t>
        </is>
      </c>
      <c r="C106" s="49" t="inlineStr">
        <is>
          <t>DOCTORADO EN DERECHO</t>
        </is>
      </c>
      <c r="D106" s="49" t="inlineStr">
        <is>
          <t>Retamal Valenzuela, Jorge Roberto</t>
        </is>
      </c>
      <c r="E106" s="49" t="inlineStr">
        <is>
          <t>Tribunales ambientales y medidas cautelares en el proceso ambiental chileno (descripción y estándares mínimos de admisibilidad)</t>
        </is>
      </c>
      <c r="F106" s="49" t="inlineStr">
        <is>
          <t>23/11/2023</t>
        </is>
      </c>
      <c r="G106" s="49" t="inlineStr">
        <is>
          <t>21450008R</t>
        </is>
      </c>
      <c r="H106" s="49" t="inlineStr">
        <is>
          <t>Codirector de tesis</t>
        </is>
      </c>
      <c r="I106" s="49" t="inlineStr">
        <is>
          <t>B113</t>
        </is>
      </c>
      <c r="J106" s="49" t="inlineStr">
        <is>
          <t>ESTUDIOS JURIDICOS DEL ESTADO</t>
        </is>
      </c>
      <c r="K106" s="49" t="n">
        <v>0.5</v>
      </c>
      <c r="L106" s="49" t="inlineStr">
        <is>
          <t>B113</t>
        </is>
      </c>
      <c r="M106" s="49" t="n">
        <v>2023</v>
      </c>
      <c r="N106" s="49" t="inlineStr">
        <is>
          <t>10.25</t>
        </is>
      </c>
      <c r="O106" s="49" t="inlineStr">
        <is>
          <t>50</t>
        </is>
      </c>
      <c r="P106" s="49" t="inlineStr"/>
      <c r="Q106" s="49" t="inlineStr"/>
      <c r="R106" s="49" t="n">
        <v>50</v>
      </c>
      <c r="S106" s="49" t="n">
        <v>0.25</v>
      </c>
      <c r="T106" s="50" t="n">
        <v>0.25</v>
      </c>
      <c r="U106" s="49" t="n">
        <v>0</v>
      </c>
    </row>
    <row r="107">
      <c r="A107" s="49" t="inlineStr">
        <is>
          <t>U036</t>
        </is>
      </c>
      <c r="B107" s="49" t="inlineStr">
        <is>
          <t>ADM. FACULTAD DE CIENCIAS ECONÓMICAS</t>
        </is>
      </c>
      <c r="C107" s="49" t="inlineStr">
        <is>
          <t>DOCTORADO EN EMPRESA, ECONOMÍA Y SOCIEDAD</t>
        </is>
      </c>
      <c r="D107" s="49" t="inlineStr">
        <is>
          <t>Ibañez Hernández, Ana Isabel</t>
        </is>
      </c>
      <c r="E107" s="49" t="inlineStr">
        <is>
          <t>Enfoque crítico de la comunicación responsable en el sector farmacéutico</t>
        </is>
      </c>
      <c r="F107" s="49" t="inlineStr">
        <is>
          <t>26/07/2024</t>
        </is>
      </c>
      <c r="G107" s="49" t="inlineStr">
        <is>
          <t>52772110J</t>
        </is>
      </c>
      <c r="H107" s="49" t="inlineStr">
        <is>
          <t>Codirector de tesis</t>
        </is>
      </c>
      <c r="I107" s="49" t="inlineStr">
        <is>
          <t>B175</t>
        </is>
      </c>
      <c r="J107" s="49" t="inlineStr">
        <is>
          <t>COMUNICACIÓN Y PSICOLOGÍA SOCIAL</t>
        </is>
      </c>
      <c r="K107" s="49" t="n">
        <v>0.5</v>
      </c>
      <c r="L107" s="49" t="inlineStr">
        <is>
          <t>B175</t>
        </is>
      </c>
      <c r="M107" s="49" t="n">
        <v>2023</v>
      </c>
      <c r="N107" s="49" t="inlineStr">
        <is>
          <t>10.25</t>
        </is>
      </c>
      <c r="O107" s="49" t="inlineStr">
        <is>
          <t>30</t>
        </is>
      </c>
      <c r="P107" s="49" t="inlineStr"/>
      <c r="Q107" s="49" t="inlineStr"/>
      <c r="R107" s="49" t="n">
        <v>70</v>
      </c>
      <c r="S107" s="49" t="n">
        <v>0.35</v>
      </c>
      <c r="T107" s="50" t="n">
        <v>0.15</v>
      </c>
      <c r="U107" s="49" t="n">
        <v>0</v>
      </c>
    </row>
    <row r="108">
      <c r="A108" s="49" t="inlineStr">
        <is>
          <t>U036</t>
        </is>
      </c>
      <c r="B108" s="49" t="inlineStr">
        <is>
          <t>ADM. FACULTAD DE CIENCIAS ECONÓMICAS</t>
        </is>
      </c>
      <c r="C108" s="49" t="inlineStr">
        <is>
          <t>DOCTORADO EN EMPRESA, ECONOMÍA Y SOCIEDAD</t>
        </is>
      </c>
      <c r="D108" s="49" t="inlineStr">
        <is>
          <t>García Martínez, María Ester</t>
        </is>
      </c>
      <c r="E108" s="49" t="inlineStr">
        <is>
          <t>ANALÍTICA DE LOS PROCESOS DE OPTIMIZACIÓN DE LA CONVERSIÓN WEB: INFLUENCIA DE LA VARIABLE TIPOGRÁFICA</t>
        </is>
      </c>
      <c r="F108" s="49" t="inlineStr">
        <is>
          <t>05/07/2024</t>
        </is>
      </c>
      <c r="G108" s="49" t="inlineStr">
        <is>
          <t>52773057V</t>
        </is>
      </c>
      <c r="H108" s="49" t="inlineStr">
        <is>
          <t>Codirector de tesis</t>
        </is>
      </c>
      <c r="I108" s="49" t="inlineStr">
        <is>
          <t>B175</t>
        </is>
      </c>
      <c r="J108" s="49" t="inlineStr">
        <is>
          <t>COMUNICACIÓN Y PSICOLOGÍA SOCIAL</t>
        </is>
      </c>
      <c r="K108" s="49" t="n">
        <v>0.5</v>
      </c>
      <c r="L108" s="49" t="inlineStr">
        <is>
          <t>B175</t>
        </is>
      </c>
      <c r="M108" s="49" t="n">
        <v>2023</v>
      </c>
      <c r="N108" s="49" t="inlineStr">
        <is>
          <t>10.25</t>
        </is>
      </c>
      <c r="O108" s="49" t="inlineStr">
        <is>
          <t>30</t>
        </is>
      </c>
      <c r="P108" s="49" t="inlineStr"/>
      <c r="Q108" s="49" t="inlineStr"/>
      <c r="R108" s="49" t="n">
        <v>70</v>
      </c>
      <c r="S108" s="49" t="n">
        <v>0.35</v>
      </c>
      <c r="T108" s="50" t="n">
        <v>0.15</v>
      </c>
      <c r="U108" s="49" t="n">
        <v>0</v>
      </c>
    </row>
    <row r="109">
      <c r="A109" s="49" t="inlineStr">
        <is>
          <t>U075</t>
        </is>
      </c>
      <c r="B109" s="49" t="inlineStr">
        <is>
          <t>I.U.INVESTIGACIÓN DE ESTUDIOS SOCIALES DE AMÉRICA LATINA (10.25)</t>
        </is>
      </c>
      <c r="C109" s="49" t="inlineStr">
        <is>
          <t>DOCTORADO EN HUMANIDADES Y ESTUDIOS SOCIALES DE AMÉRICA LATINA</t>
        </is>
      </c>
      <c r="D109" s="49" t="inlineStr">
        <is>
          <t>Saez Menchacatorre, Pedro Ignacio</t>
        </is>
      </c>
      <c r="E109" s="49" t="inlineStr">
        <is>
          <t>Arqueología Vertical. Seguridad en la utilización de cuerdas para la investigación científica de culturas andinas precolombinas</t>
        </is>
      </c>
      <c r="F109" s="49" t="inlineStr">
        <is>
          <t>19/04/2024</t>
        </is>
      </c>
      <c r="G109" s="49" t="inlineStr">
        <is>
          <t>21480784A</t>
        </is>
      </c>
      <c r="H109" s="49" t="inlineStr">
        <is>
          <t>Codirector de tesis</t>
        </is>
      </c>
      <c r="I109" s="49" t="inlineStr">
        <is>
          <t>B184</t>
        </is>
      </c>
      <c r="J109" s="49" t="inlineStr">
        <is>
          <t>EDIFICACIÓN Y URBANISMO</t>
        </is>
      </c>
      <c r="K109" s="49" t="n">
        <v>0.5</v>
      </c>
      <c r="L109" s="49" t="inlineStr">
        <is>
          <t>B184</t>
        </is>
      </c>
      <c r="M109" s="49" t="n">
        <v>2023</v>
      </c>
      <c r="N109" s="49" t="inlineStr">
        <is>
          <t>10.25</t>
        </is>
      </c>
      <c r="O109" s="49" t="inlineStr">
        <is>
          <t>10</t>
        </is>
      </c>
      <c r="P109" s="49" t="inlineStr"/>
      <c r="Q109" s="49" t="inlineStr"/>
      <c r="R109" s="49" t="n">
        <v>90</v>
      </c>
      <c r="S109" s="49" t="n">
        <v>0.45</v>
      </c>
      <c r="T109" s="50" t="n">
        <v>0.05</v>
      </c>
      <c r="U109" s="49" t="n">
        <v>0</v>
      </c>
    </row>
    <row r="110">
      <c r="A110" s="49" t="inlineStr">
        <is>
          <t>U075</t>
        </is>
      </c>
      <c r="B110" s="49" t="inlineStr">
        <is>
          <t>I.U.INVESTIGACIÓN DE ESTUDIOS SOCIALES DE AMÉRICA LATINA (10.25)</t>
        </is>
      </c>
      <c r="C110" s="49" t="inlineStr">
        <is>
          <t>DOCTORADO EN HUMANIDADES Y ESTUDIOS SOCIALES DE AMÉRICA LATINA</t>
        </is>
      </c>
      <c r="D110" s="49" t="inlineStr">
        <is>
          <t>Sierra Urrego, Alejandro</t>
        </is>
      </c>
      <c r="E110" s="49" t="inlineStr">
        <is>
          <t>EL EXTERMINIO COMO PRÁCTICA SOCIAL. EL CASO DEL MOVIMIENTO CÍVICO DEL ORIENTE ANTIOQUEÑO, 1979 - 1996</t>
        </is>
      </c>
      <c r="F110" s="49" t="inlineStr">
        <is>
          <t>17/07/2024</t>
        </is>
      </c>
      <c r="G110" s="49" t="inlineStr">
        <is>
          <t>21489543E</t>
        </is>
      </c>
      <c r="H110" s="49" t="inlineStr">
        <is>
          <t>Director de tesis</t>
        </is>
      </c>
      <c r="I110" s="49" t="inlineStr">
        <is>
          <t>B122</t>
        </is>
      </c>
      <c r="J110" s="49" t="inlineStr">
        <is>
          <t>HUMANIDADES CONTEMPORANEAS</t>
        </is>
      </c>
      <c r="K110" s="49" t="n">
        <v>1</v>
      </c>
      <c r="L110" s="49" t="inlineStr">
        <is>
          <t>B122</t>
        </is>
      </c>
      <c r="M110" s="49" t="n">
        <v>2023</v>
      </c>
      <c r="N110" s="49" t="inlineStr">
        <is>
          <t>10.25</t>
        </is>
      </c>
      <c r="O110" s="49" t="inlineStr">
        <is>
          <t>50</t>
        </is>
      </c>
      <c r="P110" s="49" t="inlineStr"/>
      <c r="Q110" s="49" t="inlineStr"/>
      <c r="R110" s="49" t="n">
        <v>50</v>
      </c>
      <c r="S110" s="49" t="n">
        <v>0.5</v>
      </c>
      <c r="T110" s="50" t="n">
        <v>0.5</v>
      </c>
      <c r="U110" s="49" t="n">
        <v>0</v>
      </c>
    </row>
    <row r="111">
      <c r="A111" s="49" t="inlineStr">
        <is>
          <t>U075</t>
        </is>
      </c>
      <c r="B111" s="49" t="inlineStr">
        <is>
          <t>I.U.INVESTIGACIÓN DE ESTUDIOS SOCIALES DE AMÉRICA LATINA (10.25)</t>
        </is>
      </c>
      <c r="C111" s="49" t="inlineStr">
        <is>
          <t>DOCTORADO EN HUMANIDADES Y ESTUDIOS SOCIALES DE AMÉRICA LATINA</t>
        </is>
      </c>
      <c r="D111" s="49" t="inlineStr">
        <is>
          <t>Parada Giraldo, Daryeny</t>
        </is>
      </c>
      <c r="E111" s="49" t="inlineStr">
        <is>
          <t>CARTOGRAFÍA TEATRAL-CULTURAL A PARTIR DEL ANÁLISIS DE LA DANZA RITUAL</t>
        </is>
      </c>
      <c r="F111" s="49" t="inlineStr">
        <is>
          <t>14/11/2023</t>
        </is>
      </c>
      <c r="G111" s="49" t="inlineStr">
        <is>
          <t>22126836P</t>
        </is>
      </c>
      <c r="H111" s="49" t="inlineStr">
        <is>
          <t>Director de tesis</t>
        </is>
      </c>
      <c r="I111" s="49" t="inlineStr">
        <is>
          <t>B174</t>
        </is>
      </c>
      <c r="J111" s="49" t="inlineStr">
        <is>
          <t>HISTORIA MEDIEVAL, HISTORIA MODERNA Y CIENCIAS Y TÉCNICAS HISTORIOGRÀFICAS</t>
        </is>
      </c>
      <c r="K111" s="49" t="n">
        <v>1</v>
      </c>
      <c r="L111" s="49" t="inlineStr">
        <is>
          <t>B174</t>
        </is>
      </c>
      <c r="M111" s="49" t="n">
        <v>2023</v>
      </c>
      <c r="N111" s="49" t="inlineStr">
        <is>
          <t>10.25</t>
        </is>
      </c>
      <c r="O111" s="49" t="inlineStr">
        <is>
          <t>50</t>
        </is>
      </c>
      <c r="P111" s="49" t="inlineStr"/>
      <c r="Q111" s="49" t="inlineStr"/>
      <c r="R111" s="49" t="n">
        <v>50</v>
      </c>
      <c r="S111" s="49" t="n">
        <v>0.5</v>
      </c>
      <c r="T111" s="50" t="n">
        <v>0.5</v>
      </c>
      <c r="U111" s="49" t="n">
        <v>0</v>
      </c>
    </row>
    <row r="112">
      <c r="A112" s="49" t="inlineStr">
        <is>
          <t>U075</t>
        </is>
      </c>
      <c r="B112" s="49" t="inlineStr">
        <is>
          <t>I.U.INVESTIGACIÓN DE ESTUDIOS SOCIALES DE AMÉRICA LATINA (10.25)</t>
        </is>
      </c>
      <c r="C112" s="49" t="inlineStr">
        <is>
          <t>DOCTORADO EN HUMANIDADES Y ESTUDIOS SOCIALES DE AMÉRICA LATINA</t>
        </is>
      </c>
      <c r="D112" s="49" t="inlineStr">
        <is>
          <t>Osorio Lema, Edwin Alexis</t>
        </is>
      </c>
      <c r="E112" s="49" t="inlineStr">
        <is>
          <t>NICANOR RESTREPO SANTAMARÍA Y EL MODELO GERENCIAL DEL GRUPO EMPRESARIAL ANTIOQUEÑO (GEA) COLOMBIA. EFICIENCIA ECONÓMICA. PENSAMIENTO EMPRESARIAL Y COMPROMISO SOCIAL</t>
        </is>
      </c>
      <c r="F112" s="49" t="inlineStr">
        <is>
          <t>05/02/2024</t>
        </is>
      </c>
      <c r="G112" s="49" t="inlineStr">
        <is>
          <t>15852799A</t>
        </is>
      </c>
      <c r="H112" s="49" t="inlineStr">
        <is>
          <t>Director de tesis</t>
        </is>
      </c>
      <c r="I112" s="49" t="inlineStr">
        <is>
          <t>B138</t>
        </is>
      </c>
      <c r="J112" s="49" t="inlineStr">
        <is>
          <t>ANALISIS ECONOMICO APLICADO</t>
        </is>
      </c>
      <c r="K112" s="49" t="n">
        <v>1</v>
      </c>
      <c r="L112" s="49" t="inlineStr">
        <is>
          <t>B138</t>
        </is>
      </c>
      <c r="M112" s="49" t="n">
        <v>2023</v>
      </c>
      <c r="N112" s="49" t="inlineStr">
        <is>
          <t>10.25</t>
        </is>
      </c>
      <c r="O112" s="49" t="inlineStr">
        <is>
          <t>50</t>
        </is>
      </c>
      <c r="P112" s="49" t="inlineStr"/>
      <c r="Q112" s="49" t="inlineStr"/>
      <c r="R112" s="49" t="n">
        <v>50</v>
      </c>
      <c r="S112" s="49" t="n">
        <v>0.5</v>
      </c>
      <c r="T112" s="50" t="n">
        <v>0.5</v>
      </c>
      <c r="U112" s="49" t="n">
        <v>0</v>
      </c>
    </row>
    <row r="113">
      <c r="A113" s="49" t="inlineStr">
        <is>
          <t>U075</t>
        </is>
      </c>
      <c r="B113" s="49" t="inlineStr">
        <is>
          <t>I.U.INVESTIGACIÓN DE ESTUDIOS SOCIALES DE AMÉRICA LATINA (10.25)</t>
        </is>
      </c>
      <c r="C113" s="49" t="inlineStr">
        <is>
          <t>DOCTORADO EN HUMANIDADES Y ESTUDIOS SOCIALES DE AMÉRICA LATINA</t>
        </is>
      </c>
      <c r="D113" s="49" t="inlineStr">
        <is>
          <t>Muñoz Londoño, Andrés David</t>
        </is>
      </c>
      <c r="E113" s="49" t="inlineStr">
        <is>
          <t>VIVIENDA Y BIENESTAR: UN MODELO ESTRATÉGICO PARA EL DESARROLLO DE LA POLÍTICA DE VIVIENDA 100% SUBSIDIADA (GRATUITA) EN COLOMBIA 2010 - 2018</t>
        </is>
      </c>
      <c r="F113" s="49" t="inlineStr">
        <is>
          <t>15/03/2024</t>
        </is>
      </c>
      <c r="G113" s="49" t="inlineStr">
        <is>
          <t>21489543E</t>
        </is>
      </c>
      <c r="H113" s="49" t="inlineStr">
        <is>
          <t>Director de tesis</t>
        </is>
      </c>
      <c r="I113" s="49" t="inlineStr">
        <is>
          <t>B122</t>
        </is>
      </c>
      <c r="J113" s="49" t="inlineStr">
        <is>
          <t>HUMANIDADES CONTEMPORANEAS</t>
        </is>
      </c>
      <c r="K113" s="49" t="n">
        <v>1</v>
      </c>
      <c r="L113" s="49" t="inlineStr">
        <is>
          <t>B122</t>
        </is>
      </c>
      <c r="M113" s="49" t="n">
        <v>2023</v>
      </c>
      <c r="N113" s="49" t="inlineStr">
        <is>
          <t>10.25</t>
        </is>
      </c>
      <c r="O113" s="49" t="inlineStr">
        <is>
          <t>50</t>
        </is>
      </c>
      <c r="P113" s="49" t="inlineStr"/>
      <c r="Q113" s="49" t="inlineStr"/>
      <c r="R113" s="49" t="n">
        <v>50</v>
      </c>
      <c r="S113" s="49" t="n">
        <v>0.5</v>
      </c>
      <c r="T113" s="50" t="n">
        <v>0.5</v>
      </c>
      <c r="U113" s="49" t="n">
        <v>0</v>
      </c>
    </row>
    <row r="114">
      <c r="A114" s="49" t="inlineStr">
        <is>
          <t>U075</t>
        </is>
      </c>
      <c r="B114" s="49" t="inlineStr">
        <is>
          <t>I.U.INVESTIGACIÓN DE ESTUDIOS SOCIALES DE AMÉRICA LATINA (10.25)</t>
        </is>
      </c>
      <c r="C114" s="49" t="inlineStr">
        <is>
          <t>DOCTORADO EN HUMANIDADES Y ESTUDIOS SOCIALES DE AMÉRICA LATINA</t>
        </is>
      </c>
      <c r="D114" s="49" t="inlineStr">
        <is>
          <t>Albuja Rivadeneira, Zoila Karina</t>
        </is>
      </c>
      <c r="E114" s="49" t="inlineStr">
        <is>
          <t>EL COOPERATIVISMO MODERNO ALIADO ESTRATÉGICO DEL DESARROLLO RURAL: De productor a empresario con visión social</t>
        </is>
      </c>
      <c r="F114" s="49" t="inlineStr">
        <is>
          <t>11/06/2024</t>
        </is>
      </c>
      <c r="G114" s="49" t="inlineStr">
        <is>
          <t>10078923R</t>
        </is>
      </c>
      <c r="H114" s="49" t="inlineStr">
        <is>
          <t>Director de tesis</t>
        </is>
      </c>
      <c r="I114" s="49" t="inlineStr">
        <is>
          <t>B120</t>
        </is>
      </c>
      <c r="J114" s="49" t="inlineStr">
        <is>
          <t>GEOGRAFIA HUMANA</t>
        </is>
      </c>
      <c r="K114" s="49" t="n">
        <v>1</v>
      </c>
      <c r="L114" s="49" t="inlineStr">
        <is>
          <t>B120</t>
        </is>
      </c>
      <c r="M114" s="49" t="n">
        <v>2023</v>
      </c>
      <c r="N114" s="49" t="inlineStr">
        <is>
          <t>10.25</t>
        </is>
      </c>
      <c r="O114" s="49" t="inlineStr">
        <is>
          <t>30</t>
        </is>
      </c>
      <c r="P114" s="49" t="inlineStr"/>
      <c r="Q114" s="49" t="inlineStr"/>
      <c r="R114" s="49" t="n">
        <v>70</v>
      </c>
      <c r="S114" s="49" t="n">
        <v>0.7</v>
      </c>
      <c r="T114" s="50" t="n">
        <v>0.3</v>
      </c>
      <c r="U114" s="49" t="n">
        <v>0</v>
      </c>
    </row>
    <row r="115">
      <c r="A115" s="49" t="inlineStr">
        <is>
          <t>U075</t>
        </is>
      </c>
      <c r="B115" s="49" t="inlineStr">
        <is>
          <t>I.U.INVESTIGACIÓN DE ESTUDIOS SOCIALES DE AMÉRICA LATINA (10.25)</t>
        </is>
      </c>
      <c r="C115" s="49" t="inlineStr">
        <is>
          <t>DOCTORADO EN HUMANIDADES Y ESTUDIOS SOCIALES DE AMÉRICA LATINA</t>
        </is>
      </c>
      <c r="D115" s="49" t="inlineStr">
        <is>
          <t>Sánchez Albuja, Lourdes Lucía</t>
        </is>
      </c>
      <c r="E115" s="49" t="inlineStr">
        <is>
          <t>La gestión ambiental  de las Pymes industriales en la provincia ecuatoriana de Pichincha. Análisis y propuesta de modelos sostenibles</t>
        </is>
      </c>
      <c r="F115" s="49" t="inlineStr">
        <is>
          <t>17/11/2023</t>
        </is>
      </c>
      <c r="G115" s="49" t="inlineStr">
        <is>
          <t>15852799A</t>
        </is>
      </c>
      <c r="H115" s="49" t="inlineStr">
        <is>
          <t>Director de tesis</t>
        </is>
      </c>
      <c r="I115" s="49" t="inlineStr">
        <is>
          <t>B138</t>
        </is>
      </c>
      <c r="J115" s="49" t="inlineStr">
        <is>
          <t>ANALISIS ECONOMICO APLICADO</t>
        </is>
      </c>
      <c r="K115" s="49" t="n">
        <v>1</v>
      </c>
      <c r="L115" s="49" t="inlineStr">
        <is>
          <t>B138</t>
        </is>
      </c>
      <c r="M115" s="49" t="n">
        <v>2023</v>
      </c>
      <c r="N115" s="49" t="inlineStr">
        <is>
          <t>10.25</t>
        </is>
      </c>
      <c r="O115" s="49" t="inlineStr">
        <is>
          <t>50</t>
        </is>
      </c>
      <c r="P115" s="49" t="inlineStr"/>
      <c r="Q115" s="49" t="inlineStr"/>
      <c r="R115" s="49" t="n">
        <v>50</v>
      </c>
      <c r="S115" s="49" t="n">
        <v>0.5</v>
      </c>
      <c r="T115" s="50" t="n">
        <v>0.5</v>
      </c>
      <c r="U115" s="49" t="n">
        <v>0</v>
      </c>
    </row>
    <row r="116">
      <c r="A116" s="49" t="inlineStr">
        <is>
          <t xml:space="preserve">U075 </t>
        </is>
      </c>
      <c r="B116" s="49" t="inlineStr">
        <is>
          <t xml:space="preserve">ADM. I.U.INVESTIGACIÓN DE ESTUDIOS SOCIALES DE AMÉRICA LATINA </t>
        </is>
      </c>
      <c r="C116" s="49" t="inlineStr">
        <is>
          <t xml:space="preserve">DOCTORADO EN HUMANIDADES Y ESTUDIOS SOCIALES DE AMÉRICA LATINA </t>
        </is>
      </c>
      <c r="D116" s="49" t="inlineStr">
        <is>
          <t xml:space="preserve">Solís Calvo, Ana Magdalena </t>
        </is>
      </c>
      <c r="E116" s="49" t="inlineStr">
        <is>
          <t xml:space="preserve">Mujeres docentes, formación profesional y condición laboral. Análisis interseccional en la Universidad Pedagógica Nacional </t>
        </is>
      </c>
      <c r="F116" s="49" t="inlineStr">
        <is>
          <t xml:space="preserve">30/11/2021 </t>
        </is>
      </c>
      <c r="G116" s="49" t="inlineStr">
        <is>
          <t xml:space="preserve">39104667K </t>
        </is>
      </c>
      <c r="H116" s="49" t="inlineStr">
        <is>
          <t xml:space="preserve">Codirector de tesis </t>
        </is>
      </c>
      <c r="I116" s="49" t="inlineStr">
        <is>
          <t xml:space="preserve">U075 </t>
        </is>
      </c>
      <c r="J116" s="49" t="inlineStr">
        <is>
          <t xml:space="preserve">ADM. I.U.INVESTIGACIÓN DE ESTUDIOS SOCIALES DE AMÉRICA LATINA </t>
        </is>
      </c>
      <c r="K116" s="49" t="n">
        <v>0.5</v>
      </c>
      <c r="L116" s="49" t="inlineStr">
        <is>
          <t>10.25</t>
        </is>
      </c>
      <c r="M116" s="49" t="n">
        <v>2021</v>
      </c>
      <c r="N116" s="49" t="inlineStr"/>
      <c r="O116" s="49" t="inlineStr"/>
      <c r="P116" s="49" t="inlineStr"/>
      <c r="Q116" s="49" t="inlineStr"/>
      <c r="R116" s="49" t="n">
        <v>100</v>
      </c>
      <c r="S116" s="49" t="n">
        <v>0.5</v>
      </c>
      <c r="T116" s="50" t="n">
        <v>0</v>
      </c>
      <c r="U116" s="49" t="n">
        <v>0</v>
      </c>
    </row>
    <row r="117">
      <c r="A117" s="49" t="inlineStr">
        <is>
          <t xml:space="preserve">U075 </t>
        </is>
      </c>
      <c r="B117" s="49" t="inlineStr">
        <is>
          <t xml:space="preserve">ADM. I.U.INVESTIGACIÓN DE ESTUDIOS SOCIALES DE AMÉRICA LATINA </t>
        </is>
      </c>
      <c r="C117" s="49" t="inlineStr">
        <is>
          <t xml:space="preserve">DOCTORADO EN HUMANIDADES Y ESTUDIOS SOCIALES DE AMÉRICA LATINA </t>
        </is>
      </c>
      <c r="D117" s="49" t="inlineStr">
        <is>
          <t xml:space="preserve">Solís Calvo, Ana Magdalena </t>
        </is>
      </c>
      <c r="E117" s="49" t="inlineStr">
        <is>
          <t xml:space="preserve">Mujeres docentes, formación profesional y condición laboral. Análisis interseccional en la Universidad Pedagógica Nacional </t>
        </is>
      </c>
      <c r="F117" s="49" t="inlineStr">
        <is>
          <t xml:space="preserve">30/11/2021 </t>
        </is>
      </c>
      <c r="G117" s="49" t="inlineStr">
        <is>
          <t xml:space="preserve">- </t>
        </is>
      </c>
      <c r="H117" s="49" t="inlineStr">
        <is>
          <t xml:space="preserve">Codirector de tesis </t>
        </is>
      </c>
      <c r="I117" s="49" t="inlineStr">
        <is>
          <t xml:space="preserve">U075 </t>
        </is>
      </c>
      <c r="J117" s="49" t="inlineStr">
        <is>
          <t xml:space="preserve">ADM. I.U.INVESTIGACIÓN DE ESTUDIOS SOCIALES DE AMÉRICA LATINA </t>
        </is>
      </c>
      <c r="K117" s="49" t="n">
        <v>0.5</v>
      </c>
      <c r="L117" s="49" t="inlineStr">
        <is>
          <t>10.25</t>
        </is>
      </c>
      <c r="M117" s="49" t="n">
        <v>2021</v>
      </c>
      <c r="N117" s="49" t="inlineStr"/>
      <c r="O117" s="49" t="inlineStr"/>
      <c r="P117" s="49" t="inlineStr"/>
      <c r="Q117" s="49" t="inlineStr"/>
      <c r="R117" s="49" t="n">
        <v>100</v>
      </c>
      <c r="S117" s="49" t="n">
        <v>0.5</v>
      </c>
      <c r="T117" s="50" t="n">
        <v>0</v>
      </c>
      <c r="U117" s="49" t="n">
        <v>0</v>
      </c>
    </row>
    <row r="118">
      <c r="A118" s="49" t="inlineStr">
        <is>
          <t xml:space="preserve">U075 </t>
        </is>
      </c>
      <c r="B118" s="49" t="inlineStr">
        <is>
          <t xml:space="preserve">ADM. I.U.INVESTIGACIÓN DE ESTUDIOS SOCIALES DE AMÉRICA LATINA </t>
        </is>
      </c>
      <c r="C118" s="49" t="inlineStr">
        <is>
          <t xml:space="preserve">DOCTORADO EN HUMANIDADES Y ESTUDIOS SOCIALES DE AMÉRICA LATINA </t>
        </is>
      </c>
      <c r="D118" s="49" t="inlineStr">
        <is>
          <t xml:space="preserve">Martínez Ortega, Juan Iván </t>
        </is>
      </c>
      <c r="E118" s="49" t="inlineStr">
        <is>
          <t xml:space="preserve">La construcción de las mujeres como sujetos políticos: militantes partidistas, integrantes de Asociaciones Civiles y activistas </t>
        </is>
      </c>
      <c r="F118" s="49" t="inlineStr">
        <is>
          <t xml:space="preserve">03/06/2022 </t>
        </is>
      </c>
      <c r="G118" s="49" t="inlineStr">
        <is>
          <t xml:space="preserve">- </t>
        </is>
      </c>
      <c r="H118" s="49" t="inlineStr">
        <is>
          <t xml:space="preserve">Codirector de tesis </t>
        </is>
      </c>
      <c r="I118" s="49" t="inlineStr">
        <is>
          <t xml:space="preserve">U075 </t>
        </is>
      </c>
      <c r="J118" s="49" t="inlineStr">
        <is>
          <t xml:space="preserve">ADM. I.U.INVESTIGACIÓN DE ESTUDIOS SOCIALES DE AMÉRICA LATINA </t>
        </is>
      </c>
      <c r="K118" s="49" t="n">
        <v>0.5</v>
      </c>
      <c r="L118" s="49" t="inlineStr">
        <is>
          <t>10.25</t>
        </is>
      </c>
      <c r="M118" s="49" t="n">
        <v>2021</v>
      </c>
      <c r="N118" s="49" t="inlineStr"/>
      <c r="O118" s="49" t="inlineStr"/>
      <c r="P118" s="49" t="inlineStr"/>
      <c r="Q118" s="49" t="inlineStr"/>
      <c r="R118" s="49" t="n">
        <v>100</v>
      </c>
      <c r="S118" s="49" t="n">
        <v>0.5</v>
      </c>
      <c r="T118" s="50" t="n">
        <v>0</v>
      </c>
      <c r="U118" s="49" t="n">
        <v>0</v>
      </c>
    </row>
    <row r="119">
      <c r="A119" s="49" t="inlineStr">
        <is>
          <t xml:space="preserve">U075 </t>
        </is>
      </c>
      <c r="B119" s="49" t="inlineStr">
        <is>
          <t xml:space="preserve">ADM. I.U.INVESTIGACIÓN DE ESTUDIOS SOCIALES DE AMÉRICA LATINA </t>
        </is>
      </c>
      <c r="C119" s="49" t="inlineStr">
        <is>
          <t xml:space="preserve">DOCTORADO EN HUMANIDADES Y ESTUDIOS SOCIALES DE AMÉRICA LATINA </t>
        </is>
      </c>
      <c r="D119" s="49" t="inlineStr">
        <is>
          <t xml:space="preserve">Cosh Pale, Manuel </t>
        </is>
      </c>
      <c r="E119" s="49" t="inlineStr">
        <is>
          <t xml:space="preserve">Contrademocracia en los Altos de Chiapas, México. Crisis de representación y respuestas sociales emergentes </t>
        </is>
      </c>
      <c r="F119" s="49" t="inlineStr">
        <is>
          <t xml:space="preserve">23/05/2022 </t>
        </is>
      </c>
      <c r="G119" s="49" t="inlineStr">
        <is>
          <t xml:space="preserve">- </t>
        </is>
      </c>
      <c r="H119" s="49" t="inlineStr">
        <is>
          <t xml:space="preserve">Codirector de tesis </t>
        </is>
      </c>
      <c r="I119" s="49" t="inlineStr">
        <is>
          <t xml:space="preserve">U075 </t>
        </is>
      </c>
      <c r="J119" s="49" t="inlineStr">
        <is>
          <t xml:space="preserve">ADM. I.U.INVESTIGACIÓN DE ESTUDIOS SOCIALES DE AMÉRICA LATINA </t>
        </is>
      </c>
      <c r="K119" s="49" t="n">
        <v>0.5</v>
      </c>
      <c r="L119" s="49" t="inlineStr">
        <is>
          <t>10.25</t>
        </is>
      </c>
      <c r="M119" s="49" t="n">
        <v>2021</v>
      </c>
      <c r="N119" s="49" t="inlineStr"/>
      <c r="O119" s="49" t="inlineStr"/>
      <c r="P119" s="49" t="inlineStr"/>
      <c r="Q119" s="49" t="inlineStr"/>
      <c r="R119" s="49" t="n">
        <v>100</v>
      </c>
      <c r="S119" s="49" t="n">
        <v>0.5</v>
      </c>
      <c r="T119" s="50" t="n">
        <v>0</v>
      </c>
      <c r="U119" s="49" t="n">
        <v>0</v>
      </c>
    </row>
    <row r="120">
      <c r="A120" s="49" t="inlineStr">
        <is>
          <t xml:space="preserve">U075 </t>
        </is>
      </c>
      <c r="B120" s="49" t="inlineStr">
        <is>
          <t xml:space="preserve">I.U.INVESTIGACIÓN DE ESTUDIOS SOCIALES DE AMÉRICA LATINA (10.25) </t>
        </is>
      </c>
      <c r="C120" s="49" t="inlineStr">
        <is>
          <t xml:space="preserve">DOCTORADO EN HUMANIDADES Y ESTUDIOS SOCIALES DE AMÉRICA LATINA </t>
        </is>
      </c>
      <c r="D120" s="49" t="inlineStr">
        <is>
          <t xml:space="preserve">Escortell Crespo, Jordi </t>
        </is>
      </c>
      <c r="E120" s="49" t="inlineStr">
        <is>
          <t xml:space="preserve">L'exili cultural republicà espanyol a Mèxic: línies interpretatives en la historiografia espanyola (1975-2010) </t>
        </is>
      </c>
      <c r="F120" s="49" t="inlineStr">
        <is>
          <t xml:space="preserve">19/09/2022 </t>
        </is>
      </c>
      <c r="G120" s="49" t="inlineStr">
        <is>
          <t xml:space="preserve">- </t>
        </is>
      </c>
      <c r="H120" s="49" t="inlineStr">
        <is>
          <t xml:space="preserve">Codirector de tesis </t>
        </is>
      </c>
      <c r="I120" s="49" t="inlineStr">
        <is>
          <t xml:space="preserve">U075 </t>
        </is>
      </c>
      <c r="J120" s="49" t="inlineStr">
        <is>
          <t xml:space="preserve">I.U.INVESTIGACIÓN DE ESTUDIOS SOCIALES DE AMÉRICA LATINA (10.25) </t>
        </is>
      </c>
      <c r="K120" s="49" t="n">
        <v>0.5</v>
      </c>
      <c r="L120" s="49" t="inlineStr">
        <is>
          <t>10.25</t>
        </is>
      </c>
      <c r="M120" s="49" t="n">
        <v>2021</v>
      </c>
      <c r="N120" s="49" t="inlineStr"/>
      <c r="O120" s="49" t="inlineStr"/>
      <c r="P120" s="49" t="inlineStr"/>
      <c r="Q120" s="49" t="inlineStr"/>
      <c r="R120" s="49" t="n">
        <v>100</v>
      </c>
      <c r="S120" s="49" t="n">
        <v>0.5</v>
      </c>
      <c r="T120" s="50" t="n">
        <v>0</v>
      </c>
      <c r="U120" s="49" t="n">
        <v>0</v>
      </c>
    </row>
    <row r="121">
      <c r="A121" s="49" t="inlineStr">
        <is>
          <t xml:space="preserve">U075 </t>
        </is>
      </c>
      <c r="B121" s="49" t="inlineStr">
        <is>
          <t xml:space="preserve">I.U.INVESTIGACIÓN DE ESTUDIOS SOCIALES DE AMÉRICA LATINA (10.25) </t>
        </is>
      </c>
      <c r="C121" s="49" t="inlineStr">
        <is>
          <t xml:space="preserve">DOCTORADO EN HUMANIDADES Y ESTUDIOS SOCIALES DE AMÉRICA LATINA </t>
        </is>
      </c>
      <c r="D121" s="49" t="inlineStr">
        <is>
          <t xml:space="preserve">Baltazar Landeros, Edgar </t>
        </is>
      </c>
      <c r="E121" s="49" t="inlineStr">
        <is>
          <t xml:space="preserve">Mujeres docentes, formación profesional y condición laboral. Análisis interseccional en la Universidad Pedagógica Nacional </t>
        </is>
      </c>
      <c r="F121" s="49" t="inlineStr">
        <is>
          <t xml:space="preserve">30/09/2022 </t>
        </is>
      </c>
      <c r="G121" s="49" t="inlineStr">
        <is>
          <t xml:space="preserve">- </t>
        </is>
      </c>
      <c r="H121" s="49" t="inlineStr">
        <is>
          <t xml:space="preserve">Codirector de tesis </t>
        </is>
      </c>
      <c r="I121" s="49" t="inlineStr">
        <is>
          <t xml:space="preserve">U075 </t>
        </is>
      </c>
      <c r="J121" s="49" t="inlineStr">
        <is>
          <t xml:space="preserve">I.U.INVESTIGACIÓN DE ESTUDIOS SOCIALES DE AMÉRICA LATINA (10.25) </t>
        </is>
      </c>
      <c r="K121" s="49" t="n">
        <v>0.5</v>
      </c>
      <c r="L121" s="49" t="inlineStr">
        <is>
          <t>10.25</t>
        </is>
      </c>
      <c r="M121" s="49" t="n">
        <v>2021</v>
      </c>
      <c r="N121" s="49" t="inlineStr"/>
      <c r="O121" s="49" t="inlineStr"/>
      <c r="P121" s="49" t="inlineStr"/>
      <c r="Q121" s="49" t="inlineStr"/>
      <c r="R121" s="49" t="n">
        <v>100</v>
      </c>
      <c r="S121" s="49" t="n">
        <v>0.5</v>
      </c>
      <c r="T121" s="50" t="n">
        <v>0</v>
      </c>
      <c r="U121" s="49" t="n">
        <v>0</v>
      </c>
    </row>
    <row r="122">
      <c r="A122" s="49" t="inlineStr">
        <is>
          <t xml:space="preserve">U075 </t>
        </is>
      </c>
      <c r="B122" s="49" t="inlineStr">
        <is>
          <t xml:space="preserve">I.U.INVESTIGACIÓN DE ESTUDIOS SOCIALES DE AMÉRICA LATINA (10.25) </t>
        </is>
      </c>
      <c r="C122" s="49" t="inlineStr">
        <is>
          <t xml:space="preserve">DOCTORADO EN HUMANIDADES Y ESTUDIOS SOCIALES DE AMÉRICA LATINA </t>
        </is>
      </c>
      <c r="D122" s="49" t="inlineStr">
        <is>
          <t>Flores Ruiz, María Isabel</t>
        </is>
      </c>
      <c r="E122" s="49" t="inlineStr">
        <is>
          <t xml:space="preserve">La Gobernanza de Océanos y la Plataforma de Gobernanza para las Pesquerias: ¿una oportunidad para el sector pesquero del Ecuador? </t>
        </is>
      </c>
      <c r="F122" s="49" t="inlineStr">
        <is>
          <t xml:space="preserve">13/01/2023 </t>
        </is>
      </c>
      <c r="G122" s="49" t="inlineStr">
        <is>
          <t xml:space="preserve">21357027D </t>
        </is>
      </c>
      <c r="H122" s="49" t="inlineStr">
        <is>
          <t xml:space="preserve">Director de tesis </t>
        </is>
      </c>
      <c r="I122" s="49" t="inlineStr">
        <is>
          <t xml:space="preserve">U075 </t>
        </is>
      </c>
      <c r="J122" s="49" t="inlineStr">
        <is>
          <t xml:space="preserve">I.U.INVESTIGACIÓN DE ESTUDIOS SOCIALES DE AMÉRICA LATINA (10.25) </t>
        </is>
      </c>
      <c r="K122" s="49" t="n">
        <v>1</v>
      </c>
      <c r="L122" s="49" t="inlineStr">
        <is>
          <t>10.25</t>
        </is>
      </c>
      <c r="M122" s="49" t="n">
        <v>2022</v>
      </c>
      <c r="N122" s="49" t="inlineStr"/>
      <c r="O122" s="49" t="inlineStr"/>
      <c r="P122" s="49" t="inlineStr"/>
      <c r="Q122" s="49" t="inlineStr"/>
      <c r="R122" s="49" t="n">
        <v>100</v>
      </c>
      <c r="S122" s="49" t="n">
        <v>1</v>
      </c>
      <c r="T122" s="50" t="n">
        <v>0</v>
      </c>
      <c r="U122" s="49" t="n">
        <v>0</v>
      </c>
    </row>
    <row r="123">
      <c r="A123" s="49" t="inlineStr">
        <is>
          <t xml:space="preserve">U075 </t>
        </is>
      </c>
      <c r="B123" s="49" t="inlineStr">
        <is>
          <t xml:space="preserve">I.U.INVESTIGACIÓN DE ESTUDIOS SOCIALES DE AMÉRICA LATINA (10.25) </t>
        </is>
      </c>
      <c r="C123" s="49" t="inlineStr">
        <is>
          <t xml:space="preserve">DOCTORADO EN HUMANIDADES Y ESTUDIOS SOCIALES DE AMÉRICA LATINA </t>
        </is>
      </c>
      <c r="D123" s="49" t="inlineStr">
        <is>
          <t>Gómez García, Natalia Elena</t>
        </is>
      </c>
      <c r="E123" s="49" t="inlineStr">
        <is>
          <t xml:space="preserve">Concepción del desarrollo desde las prácticas cotidianas como instrumento para el empoderamiento y progreso de comunidades rurales: caso de San Francisco, Antioquia, Colombia </t>
        </is>
      </c>
      <c r="F123" s="49" t="inlineStr">
        <is>
          <t xml:space="preserve">25/07/2023 </t>
        </is>
      </c>
      <c r="G123" s="49" t="inlineStr">
        <is>
          <t xml:space="preserve">- </t>
        </is>
      </c>
      <c r="H123" s="49" t="inlineStr">
        <is>
          <t xml:space="preserve">Director de tesis </t>
        </is>
      </c>
      <c r="I123" s="49" t="inlineStr">
        <is>
          <t xml:space="preserve">U075 </t>
        </is>
      </c>
      <c r="J123" s="49" t="inlineStr">
        <is>
          <t xml:space="preserve">I.U.INVESTIGACIÓN DE ESTUDIOS SOCIALES DE AMÉRICA LATINA (10.25) </t>
        </is>
      </c>
      <c r="K123" s="49" t="n">
        <v>1</v>
      </c>
      <c r="L123" s="49" t="inlineStr">
        <is>
          <t>10.25</t>
        </is>
      </c>
      <c r="M123" s="49" t="n">
        <v>2022</v>
      </c>
      <c r="N123" s="49" t="inlineStr"/>
      <c r="O123" s="49" t="inlineStr"/>
      <c r="P123" s="49" t="inlineStr"/>
      <c r="Q123" s="49" t="inlineStr"/>
      <c r="R123" s="49" t="n">
        <v>100</v>
      </c>
      <c r="S123" s="49" t="n">
        <v>1</v>
      </c>
      <c r="T123" s="50" t="n">
        <v>0</v>
      </c>
      <c r="U123" s="49" t="n">
        <v>0</v>
      </c>
    </row>
    <row r="124">
      <c r="A124" s="49" t="inlineStr">
        <is>
          <t>U075</t>
        </is>
      </c>
      <c r="B124" s="49" t="inlineStr">
        <is>
          <t>I.U.INVESTIGACIÓN DE ESTUDIOS SOCIALES DE AMÉRICA LATINA (10.25)</t>
        </is>
      </c>
      <c r="C124" s="49" t="inlineStr">
        <is>
          <t>DOCTORADO EN HUMANIDADES Y ESTUDIOS SOCIALES DE AMÉRICA LATINA</t>
        </is>
      </c>
      <c r="D124" s="49" t="inlineStr">
        <is>
          <t>Saez Menchacatorre, Pedro Ignacio</t>
        </is>
      </c>
      <c r="E124" s="49" t="inlineStr">
        <is>
          <t>Arqueología Vertical. Seguridad en la utilización de cuerdas para la investigación científica de culturas andinas precolombinas</t>
        </is>
      </c>
      <c r="F124" s="49" t="inlineStr">
        <is>
          <t>19/04/2024</t>
        </is>
      </c>
      <c r="G124" s="49" t="inlineStr">
        <is>
          <t>21515186C</t>
        </is>
      </c>
      <c r="H124" s="49" t="inlineStr">
        <is>
          <t>Codirector de tesis</t>
        </is>
      </c>
      <c r="I124" s="49" t="inlineStr">
        <is>
          <t>ZZ</t>
        </is>
      </c>
      <c r="J124" s="49" t="inlineStr">
        <is>
          <t>SIN ASIGNAR</t>
        </is>
      </c>
      <c r="K124" s="49" t="n">
        <v>0.5</v>
      </c>
      <c r="L124" s="49" t="inlineStr">
        <is>
          <t>10.25</t>
        </is>
      </c>
      <c r="M124" s="49" t="n">
        <v>2023</v>
      </c>
      <c r="N124" s="49" t="inlineStr"/>
      <c r="O124" s="49" t="inlineStr"/>
      <c r="P124" s="49" t="inlineStr"/>
      <c r="Q124" s="49" t="inlineStr"/>
      <c r="R124" s="49" t="n">
        <v>100</v>
      </c>
      <c r="S124" s="49" t="n">
        <v>0.5</v>
      </c>
      <c r="T124" s="50" t="n">
        <v>0</v>
      </c>
      <c r="U124" s="49" t="n">
        <v>0</v>
      </c>
    </row>
    <row r="125">
      <c r="A125" s="49" t="inlineStr">
        <is>
          <t>U075</t>
        </is>
      </c>
      <c r="B125" s="49" t="inlineStr">
        <is>
          <t>I.U.INVESTIGACIÓN DE ESTUDIOS SOCIALES DE AMÉRICA LATINA (10.25)</t>
        </is>
      </c>
      <c r="C125" s="49" t="inlineStr">
        <is>
          <t>DOCTORADO EN HUMANIDADES Y ESTUDIOS SOCIALES DE AMÉRICA LATINA</t>
        </is>
      </c>
      <c r="D125" s="49" t="inlineStr">
        <is>
          <t>Gómez Pulgarin, Dora</t>
        </is>
      </c>
      <c r="E125" s="49" t="inlineStr">
        <is>
          <t>Impacto de la Educación para el Desarrollo Sostenible en las Universidades de Alta Calidad asociadas a la Corporación de Universidades del Centro de Bogotá y su alineación con el Plan Distrital de Desarrollo 2020-2024</t>
        </is>
      </c>
      <c r="F125" s="49" t="inlineStr">
        <is>
          <t>29/07/2024</t>
        </is>
      </c>
      <c r="G125" s="49" t="inlineStr">
        <is>
          <t>'-</t>
        </is>
      </c>
      <c r="H125" s="49" t="inlineStr">
        <is>
          <t>Codirector de tesis</t>
        </is>
      </c>
      <c r="I125" s="49" t="inlineStr">
        <is>
          <t>U075</t>
        </is>
      </c>
      <c r="J125" s="49" t="inlineStr">
        <is>
          <t>I.U.INVESTIGACIÓN DE ESTUDIOS SOCIALES DE AMÉRICA LATINA (10.25)</t>
        </is>
      </c>
      <c r="K125" s="49" t="n">
        <v>0.5</v>
      </c>
      <c r="L125" s="49" t="inlineStr">
        <is>
          <t>10.25</t>
        </is>
      </c>
      <c r="M125" s="49" t="n">
        <v>2023</v>
      </c>
      <c r="N125" s="49" t="inlineStr"/>
      <c r="O125" s="49" t="inlineStr"/>
      <c r="P125" s="49" t="inlineStr"/>
      <c r="Q125" s="49" t="inlineStr"/>
      <c r="R125" s="49" t="n">
        <v>100</v>
      </c>
      <c r="S125" s="49" t="n">
        <v>0.5</v>
      </c>
      <c r="T125" s="50" t="n">
        <v>0</v>
      </c>
      <c r="U125" s="49" t="n">
        <v>0</v>
      </c>
    </row>
    <row r="126" customFormat="1" s="51">
      <c r="A126" s="49" t="inlineStr">
        <is>
          <t>U075</t>
        </is>
      </c>
      <c r="B126" s="49" t="inlineStr">
        <is>
          <t>I.U.INVESTIGACIÓN DE ESTUDIOS SOCIALES DE AMÉRICA LATINA (10.25)</t>
        </is>
      </c>
      <c r="C126" s="49" t="inlineStr">
        <is>
          <t>DOCTORADO EN HUMANIDADES Y ESTUDIOS SOCIALES DE AMÉRICA LATINA</t>
        </is>
      </c>
      <c r="D126" s="49" t="inlineStr">
        <is>
          <t>Medina Romero, Raúl Andrés</t>
        </is>
      </c>
      <c r="E126" s="49" t="inlineStr">
        <is>
          <t>Liderazgo organizacional y mistagogía ignaciana. Integración de los Ejercicios Espirituales a la figura del líder-servidor</t>
        </is>
      </c>
      <c r="F126" s="49" t="inlineStr">
        <is>
          <t>20/09/2024</t>
        </is>
      </c>
      <c r="G126" s="49" t="inlineStr">
        <is>
          <t>52773764B</t>
        </is>
      </c>
      <c r="H126" s="49" t="inlineStr">
        <is>
          <t>Codirector de tesis</t>
        </is>
      </c>
      <c r="I126" s="49" t="inlineStr">
        <is>
          <t>B112</t>
        </is>
      </c>
      <c r="J126" s="49" t="inlineStr">
        <is>
          <t>DIDACTICA GENERAL Y DIDÁCTICAS ESPECÍFICAS</t>
        </is>
      </c>
      <c r="K126" s="49" t="n">
        <v>0.5</v>
      </c>
      <c r="L126" s="49" t="inlineStr">
        <is>
          <t>B112</t>
        </is>
      </c>
      <c r="M126" s="49" t="n">
        <v>2023</v>
      </c>
      <c r="N126" s="49" t="inlineStr">
        <is>
          <t>10.25</t>
        </is>
      </c>
      <c r="O126" s="49" t="inlineStr">
        <is>
          <t>30</t>
        </is>
      </c>
      <c r="P126" s="49" t="inlineStr">
        <is>
          <t>10.23</t>
        </is>
      </c>
      <c r="Q126" s="49" t="inlineStr">
        <is>
          <t>20</t>
        </is>
      </c>
      <c r="R126" s="49" t="n">
        <v>50</v>
      </c>
      <c r="S126" s="49" t="n">
        <v>0.25</v>
      </c>
      <c r="T126" s="50" t="n">
        <v>0.15</v>
      </c>
      <c r="U126" s="49" t="n">
        <v>0.1</v>
      </c>
    </row>
    <row r="127" customFormat="1" s="51">
      <c r="A127" s="49" t="inlineStr">
        <is>
          <t>U075</t>
        </is>
      </c>
      <c r="B127" s="49" t="inlineStr">
        <is>
          <t>I.U.INVESTIGACIÓN DE ESTUDIOS SOCIALES DE AMÉRICA LATINA (10.25)</t>
        </is>
      </c>
      <c r="C127" s="49" t="inlineStr">
        <is>
          <t>DOCTORADO EN HUMANIDADES Y ESTUDIOS SOCIALES DE AMÉRICA LATINA</t>
        </is>
      </c>
      <c r="D127" s="49" t="inlineStr">
        <is>
          <t>Medina Romero, Raúl Andrés</t>
        </is>
      </c>
      <c r="E127" s="49" t="inlineStr">
        <is>
          <t>Liderazgo organizacional y mistagogía ignaciana. Integración de los Ejercicios Espirituales a la figura del líder-servidor</t>
        </is>
      </c>
      <c r="F127" s="49" t="inlineStr">
        <is>
          <t>20/09/2024</t>
        </is>
      </c>
      <c r="G127" s="49" t="inlineStr">
        <is>
          <t>'-</t>
        </is>
      </c>
      <c r="H127" s="49" t="inlineStr">
        <is>
          <t>Codirector de tesis</t>
        </is>
      </c>
      <c r="I127" s="49" t="inlineStr">
        <is>
          <t>U075</t>
        </is>
      </c>
      <c r="J127" s="49" t="inlineStr">
        <is>
          <t>I.U.INVESTIGACIÓN DE ESTUDIOS SOCIALES DE AMÉRICA LATINA (10.25)</t>
        </is>
      </c>
      <c r="K127" s="49" t="n">
        <v>0.5</v>
      </c>
      <c r="L127" s="49" t="inlineStr">
        <is>
          <t>10.25</t>
        </is>
      </c>
      <c r="M127" s="49" t="n">
        <v>2023</v>
      </c>
      <c r="N127" s="49" t="inlineStr"/>
      <c r="O127" s="49" t="inlineStr"/>
      <c r="P127" s="49" t="inlineStr"/>
      <c r="Q127" s="49" t="inlineStr"/>
      <c r="R127" s="49" t="n">
        <v>100</v>
      </c>
      <c r="S127" s="49" t="n">
        <v>0.5</v>
      </c>
      <c r="T127" s="50" t="n">
        <v>0</v>
      </c>
      <c r="U127" s="49" t="n">
        <v>0</v>
      </c>
    </row>
    <row r="128" customFormat="1" s="51">
      <c r="A128" s="49" t="inlineStr">
        <is>
          <t>U023</t>
        </is>
      </c>
      <c r="B128" s="49" t="inlineStr">
        <is>
          <t>ADM. FACULTAD DE FILOSOFIA Y LETRAS</t>
        </is>
      </c>
      <c r="C128" s="49" t="inlineStr">
        <is>
          <t>DOCTORADO EN FILOSOFÍA Y LETRAS</t>
        </is>
      </c>
      <c r="D128" s="49" t="inlineStr">
        <is>
          <t>Sánchez Gallardo, Francisco Javier</t>
        </is>
      </c>
      <c r="E128" s="49" t="inlineStr">
        <is>
          <t>Diálogo sobre Desarrollo Local y Empleo. Estudio del mercado de empleo de Torrevieja</t>
        </is>
      </c>
      <c r="F128" s="49" t="inlineStr">
        <is>
          <t>24/09/2024</t>
        </is>
      </c>
      <c r="G128" s="49" t="inlineStr">
        <is>
          <t>74218386P</t>
        </is>
      </c>
      <c r="H128" s="49" t="inlineStr">
        <is>
          <t>Director de tesis</t>
        </is>
      </c>
      <c r="I128" s="49" t="inlineStr">
        <is>
          <t>B120</t>
        </is>
      </c>
      <c r="J128" s="49" t="inlineStr">
        <is>
          <t>GEOGRAFIA HUMANA</t>
        </is>
      </c>
      <c r="K128" s="49" t="n">
        <v>1</v>
      </c>
      <c r="L128" s="49" t="inlineStr">
        <is>
          <t>B120</t>
        </is>
      </c>
      <c r="M128" s="49" t="n">
        <v>2023</v>
      </c>
      <c r="N128" s="49" t="inlineStr">
        <is>
          <t>10.25</t>
        </is>
      </c>
      <c r="O128" s="49" t="inlineStr">
        <is>
          <t>30</t>
        </is>
      </c>
      <c r="P128" s="49" t="inlineStr">
        <is>
          <t>10.21</t>
        </is>
      </c>
      <c r="Q128" s="49" t="inlineStr">
        <is>
          <t>30</t>
        </is>
      </c>
      <c r="R128" s="49" t="n">
        <v>40</v>
      </c>
      <c r="S128" s="49" t="n">
        <v>0.4</v>
      </c>
      <c r="T128" s="50" t="n">
        <v>0.3</v>
      </c>
      <c r="U128" s="49" t="n">
        <v>0.3</v>
      </c>
    </row>
    <row r="129" customFormat="1" s="51">
      <c r="A129" s="49" t="inlineStr">
        <is>
          <t>U075</t>
        </is>
      </c>
      <c r="B129" s="49" t="inlineStr">
        <is>
          <t>I.U.INVESTIGACIÓN DE ESTUDIOS SOCIALES DE AMÉRICA LATINA (10.25)</t>
        </is>
      </c>
      <c r="C129" s="49" t="inlineStr">
        <is>
          <t>DOCTORADO EN HUMANIDADES Y ESTUDIOS SOCIALES DE AMÉRICA LATINA</t>
        </is>
      </c>
      <c r="D129" s="49" t="inlineStr">
        <is>
          <t>Rodríguez Sánchez, Dolores Amparito</t>
        </is>
      </c>
      <c r="E129" s="49" t="inlineStr">
        <is>
          <t>CONSUMO DE DROGAS Y SUS CONSECUENCIAS PSICOLÓGICAS EN PACIENTES INTERNOS EN COMUNIDADES TERAPÉUTICAS DE ECUADOR</t>
        </is>
      </c>
      <c r="F129" s="49" t="inlineStr">
        <is>
          <t>26/09/2024</t>
        </is>
      </c>
      <c r="G129" s="49" t="inlineStr">
        <is>
          <t>22455996S</t>
        </is>
      </c>
      <c r="H129" s="49" t="inlineStr">
        <is>
          <t>Codirector de tesis</t>
        </is>
      </c>
      <c r="I129" s="49" t="inlineStr">
        <is>
          <t>B175</t>
        </is>
      </c>
      <c r="J129" s="49" t="inlineStr">
        <is>
          <t>COMUNICACIÓN Y PSICOLOGÍA SOCIAL</t>
        </is>
      </c>
      <c r="K129" s="49" t="n">
        <v>0.5</v>
      </c>
      <c r="L129" s="49" t="inlineStr">
        <is>
          <t>B175</t>
        </is>
      </c>
      <c r="M129" s="49" t="n">
        <v>2023</v>
      </c>
      <c r="N129" s="49" t="inlineStr">
        <is>
          <t>10.25</t>
        </is>
      </c>
      <c r="O129" s="49" t="inlineStr">
        <is>
          <t>50</t>
        </is>
      </c>
      <c r="P129" s="49" t="inlineStr"/>
      <c r="Q129" s="49" t="inlineStr"/>
      <c r="R129" s="49" t="n">
        <v>50</v>
      </c>
      <c r="S129" s="49" t="n">
        <v>0.25</v>
      </c>
      <c r="T129" s="50" t="n">
        <v>0.25</v>
      </c>
      <c r="U129" s="49" t="n">
        <v>0</v>
      </c>
    </row>
    <row r="130" customFormat="1" s="51">
      <c r="A130" s="49" t="inlineStr">
        <is>
          <t>U075</t>
        </is>
      </c>
      <c r="B130" s="49" t="inlineStr">
        <is>
          <t>I.U.INVESTIGACIÓN DE ESTUDIOS SOCIALES DE AMÉRICA LATINA (10.25)</t>
        </is>
      </c>
      <c r="C130" s="49" t="inlineStr">
        <is>
          <t>DOCTORADO EN HUMANIDADES Y ESTUDIOS SOCIALES DE AMÉRICA LATINA</t>
        </is>
      </c>
      <c r="D130" s="49" t="inlineStr">
        <is>
          <t>Rodríguez Sánchez, Dolores Amparito</t>
        </is>
      </c>
      <c r="E130" s="49" t="inlineStr">
        <is>
          <t>CONSUMO DE DROGAS Y SUS CONSECUENCIAS PSICOLÓGICAS EN PACIENTES INTERNOS EN COMUNIDADES TERAPÉUTICAS DE ECUADOR</t>
        </is>
      </c>
      <c r="F130" s="49" t="inlineStr">
        <is>
          <t>26/09/2024</t>
        </is>
      </c>
      <c r="G130" s="49" t="inlineStr">
        <is>
          <t>74241126R</t>
        </is>
      </c>
      <c r="H130" s="49" t="inlineStr">
        <is>
          <t>Codirector de tesis</t>
        </is>
      </c>
      <c r="I130" s="49" t="inlineStr">
        <is>
          <t>B112</t>
        </is>
      </c>
      <c r="J130" s="49" t="inlineStr">
        <is>
          <t>DIDACTICA GENERAL Y DIDÁCTICAS ESPECÍFICAS</t>
        </is>
      </c>
      <c r="K130" s="49" t="n">
        <v>0.5</v>
      </c>
      <c r="L130" s="49" t="inlineStr">
        <is>
          <t>B112</t>
        </is>
      </c>
      <c r="M130" s="49" t="n">
        <v>2023</v>
      </c>
      <c r="N130" s="49" t="inlineStr">
        <is>
          <t>10.25</t>
        </is>
      </c>
      <c r="O130" s="49" t="inlineStr">
        <is>
          <t>30</t>
        </is>
      </c>
      <c r="P130" s="49" t="inlineStr"/>
      <c r="Q130" s="49" t="inlineStr"/>
      <c r="R130" s="49" t="n">
        <v>70</v>
      </c>
      <c r="S130" s="50" t="n">
        <v>0.35</v>
      </c>
      <c r="T130" s="49" t="n">
        <v>0.15</v>
      </c>
      <c r="U130" s="49" t="n">
        <v>0</v>
      </c>
    </row>
    <row r="131" customFormat="1" s="51">
      <c r="A131" s="49" t="inlineStr">
        <is>
          <t>U075</t>
        </is>
      </c>
      <c r="B131" s="49" t="inlineStr">
        <is>
          <t>I.U.INVESTIGACIÓN DE ESTUDIOS SOCIALES DE AMÉRICA LATINA (10.25)</t>
        </is>
      </c>
      <c r="C131" s="49" t="inlineStr">
        <is>
          <t>DOCTORADO EN HUMANIDADES Y ESTUDIOS SOCIALES DE AMÉRICA LATINA</t>
        </is>
      </c>
      <c r="D131" s="49" t="inlineStr">
        <is>
          <t>Londoño Arias, José Albán</t>
        </is>
      </c>
      <c r="E131" s="49" t="inlineStr">
        <is>
          <t>La integración económica latinoamericana y su impacto en el comercio exterior colombiano</t>
        </is>
      </c>
      <c r="F131" s="49" t="inlineStr">
        <is>
          <t>20/09/2024</t>
        </is>
      </c>
      <c r="G131" s="49" t="inlineStr">
        <is>
          <t>21417350A</t>
        </is>
      </c>
      <c r="H131" s="49" t="inlineStr">
        <is>
          <t>Director de tesis</t>
        </is>
      </c>
      <c r="I131" s="49" t="inlineStr">
        <is>
          <t>B138</t>
        </is>
      </c>
      <c r="J131" s="49" t="inlineStr">
        <is>
          <t>ANALISIS ECONOMICO APLICADO</t>
        </is>
      </c>
      <c r="K131" s="49" t="n">
        <v>1</v>
      </c>
      <c r="L131" s="49" t="inlineStr">
        <is>
          <t>B138</t>
        </is>
      </c>
      <c r="M131" s="49" t="n">
        <v>2023</v>
      </c>
      <c r="N131" s="49" t="inlineStr">
        <is>
          <t>10.25</t>
        </is>
      </c>
      <c r="O131" s="49" t="inlineStr">
        <is>
          <t>80</t>
        </is>
      </c>
      <c r="P131" s="49" t="inlineStr"/>
      <c r="Q131" s="49" t="inlineStr"/>
      <c r="R131" s="49" t="n">
        <v>20</v>
      </c>
      <c r="S131" s="49" t="n">
        <v>0.2</v>
      </c>
      <c r="T131" s="50" t="n">
        <v>0.8</v>
      </c>
      <c r="U131" s="49" t="n">
        <v>0</v>
      </c>
    </row>
    <row r="132" customFormat="1" s="51">
      <c r="A132" s="49" t="inlineStr">
        <is>
          <t>U075</t>
        </is>
      </c>
      <c r="B132" s="49" t="inlineStr">
        <is>
          <t>I.U.INVESTIGACIÓN DE ESTUDIOS SOCIALES DE AMÉRICA LATINA (10.25)</t>
        </is>
      </c>
      <c r="C132" s="49" t="inlineStr">
        <is>
          <t>DOCTORADO EN HUMANIDADES Y ESTUDIOS SOCIALES DE AMÉRICA LATINA</t>
        </is>
      </c>
      <c r="D132" s="49" t="inlineStr">
        <is>
          <t>Quevedo Reyes, Yanisleidy</t>
        </is>
      </c>
      <c r="E132" s="49" t="inlineStr">
        <is>
          <t>CONTRIBUCIÓN DE LAS CADENAS AGROPRODUCTIVAS AL DESARROLLO SOSTENIBLE. PROPUESTA METODOLÓGICA PARA SU EVALUACIÓN</t>
        </is>
      </c>
      <c r="F132" s="49" t="inlineStr">
        <is>
          <t>19/09/2024</t>
        </is>
      </c>
      <c r="G132" s="49" t="inlineStr">
        <is>
          <t>21417350A</t>
        </is>
      </c>
      <c r="H132" s="49" t="inlineStr">
        <is>
          <t>Codirector de tesis</t>
        </is>
      </c>
      <c r="I132" s="49" t="inlineStr">
        <is>
          <t>B138</t>
        </is>
      </c>
      <c r="J132" s="49" t="inlineStr">
        <is>
          <t>ANALISIS ECONOMICO APLICADO</t>
        </is>
      </c>
      <c r="K132" s="49" t="n">
        <v>0.3333333333333333</v>
      </c>
      <c r="L132" s="49" t="inlineStr">
        <is>
          <t>B138</t>
        </is>
      </c>
      <c r="M132" s="49" t="n">
        <v>2023</v>
      </c>
      <c r="N132" s="49" t="inlineStr">
        <is>
          <t>10.25</t>
        </is>
      </c>
      <c r="O132" s="49" t="inlineStr">
        <is>
          <t>80</t>
        </is>
      </c>
      <c r="P132" s="49" t="inlineStr"/>
      <c r="Q132" s="49" t="inlineStr"/>
      <c r="R132" s="49" t="n">
        <v>20</v>
      </c>
      <c r="S132" s="49" t="n">
        <v>0.06666666666666667</v>
      </c>
      <c r="T132" s="50" t="n">
        <v>0.2666666666666667</v>
      </c>
      <c r="U132" s="49" t="n">
        <v>0</v>
      </c>
    </row>
    <row r="133" customFormat="1" s="51">
      <c r="A133" s="49" t="inlineStr">
        <is>
          <t>U075</t>
        </is>
      </c>
      <c r="B133" s="49" t="inlineStr">
        <is>
          <t>I.U.INVESTIGACIÓN DE ESTUDIOS SOCIALES DE AMÉRICA LATINA (10.25)</t>
        </is>
      </c>
      <c r="C133" s="49" t="inlineStr">
        <is>
          <t>DOCTORADO EN HUMANIDADES Y ESTUDIOS SOCIALES DE AMÉRICA LATINA</t>
        </is>
      </c>
      <c r="D133" s="49" t="inlineStr">
        <is>
          <t>Quevedo Reyes, Yanisleidy</t>
        </is>
      </c>
      <c r="E133" s="49" t="inlineStr">
        <is>
          <t>CONTRIBUCIÓN DE LAS CADENAS AGROPRODUCTIVAS AL DESARROLLO SOSTENIBLE. PROPUESTA METODOLÓGICA PARA SU EVALUACIÓN</t>
        </is>
      </c>
      <c r="F133" s="49" t="inlineStr">
        <is>
          <t>19/09/2024</t>
        </is>
      </c>
      <c r="G133" s="49" t="inlineStr">
        <is>
          <t>-</t>
        </is>
      </c>
      <c r="H133" s="49" t="inlineStr">
        <is>
          <t>Codirector de tesis</t>
        </is>
      </c>
      <c r="I133" s="49" t="inlineStr">
        <is>
          <t>U075</t>
        </is>
      </c>
      <c r="J133" s="49" t="inlineStr">
        <is>
          <t>I.U.INVESTIGACIÓN DE ESTUDIOS SOCIALES DE AMÉRICA LATINA (10.25)</t>
        </is>
      </c>
      <c r="K133" s="49" t="n">
        <v>0.3333333333333333</v>
      </c>
      <c r="L133" s="49" t="inlineStr">
        <is>
          <t>10.25</t>
        </is>
      </c>
      <c r="M133" s="49" t="n">
        <v>2023</v>
      </c>
      <c r="N133" s="49" t="n"/>
      <c r="O133" s="49" t="n"/>
      <c r="P133" s="49" t="n"/>
      <c r="Q133" s="49" t="n"/>
      <c r="R133" s="49" t="n">
        <v>100</v>
      </c>
      <c r="S133" s="49" t="n">
        <v>0.3333333333333333</v>
      </c>
      <c r="T133" s="50" t="n">
        <v>0</v>
      </c>
      <c r="U133" s="49" t="n">
        <v>0</v>
      </c>
    </row>
    <row r="134" customFormat="1" s="51">
      <c r="A134" s="49" t="inlineStr">
        <is>
          <t>U075</t>
        </is>
      </c>
      <c r="B134" s="49" t="inlineStr">
        <is>
          <t>I.U.INVESTIGACIÓN DE ESTUDIOS SOCIALES DE AMÉRICA LATINA (10.25)</t>
        </is>
      </c>
      <c r="C134" s="49" t="inlineStr">
        <is>
          <t>DOCTORADO EN HUMANIDADES Y ESTUDIOS SOCIALES DE AMÉRICA LATINA</t>
        </is>
      </c>
      <c r="D134" s="49" t="inlineStr">
        <is>
          <t>Quevedo Reyes, Yanisleidy</t>
        </is>
      </c>
      <c r="E134" s="49" t="inlineStr">
        <is>
          <t>CONTRIBUCIÓN DE LAS CADENAS AGROPRODUCTIVAS AL DESARROLLO SOSTENIBLE. PROPUESTA METODOLÓGICA PARA SU EVALUACIÓN</t>
        </is>
      </c>
      <c r="F134" s="49" t="inlineStr">
        <is>
          <t>19/09/2024</t>
        </is>
      </c>
      <c r="G134" s="49" t="inlineStr">
        <is>
          <t>-</t>
        </is>
      </c>
      <c r="H134" s="49" t="inlineStr">
        <is>
          <t>Codirector de tesis</t>
        </is>
      </c>
      <c r="I134" s="49" t="inlineStr">
        <is>
          <t>U075</t>
        </is>
      </c>
      <c r="J134" s="49" t="inlineStr">
        <is>
          <t>I.U.INVESTIGACIÓN DE ESTUDIOS SOCIALES DE AMÉRICA LATINA (10.25)</t>
        </is>
      </c>
      <c r="K134" s="49" t="n">
        <v>0.3333333333333333</v>
      </c>
      <c r="L134" s="49" t="inlineStr">
        <is>
          <t>10.25</t>
        </is>
      </c>
      <c r="M134" s="49" t="n">
        <v>2023</v>
      </c>
      <c r="N134" s="49" t="n"/>
      <c r="O134" s="49" t="n"/>
      <c r="P134" s="49" t="n"/>
      <c r="Q134" s="49" t="n"/>
      <c r="R134" s="49" t="n">
        <v>100</v>
      </c>
      <c r="S134" s="49" t="n">
        <v>0.3333333333333333</v>
      </c>
      <c r="T134" s="50" t="n">
        <v>0</v>
      </c>
      <c r="U134" s="49" t="n">
        <v>0</v>
      </c>
    </row>
    <row r="135">
      <c r="A135" s="49" t="inlineStr">
        <is>
          <t>U075</t>
        </is>
      </c>
      <c r="B135" s="49" t="inlineStr">
        <is>
          <t>I.U.INVESTIGACIÓN DE ESTUDIOS SOCIALES DE AMÉRICA LATINA (10.25)</t>
        </is>
      </c>
      <c r="C135" s="49" t="inlineStr">
        <is>
          <t>DOCTORADO EN HUMANIDADES Y ESTUDIOS SOCIALES DE AMÉRICA LATINA</t>
        </is>
      </c>
      <c r="D135" s="49" t="inlineStr">
        <is>
          <t>Piedrahita , Ernesto Jose</t>
        </is>
      </c>
      <c r="E135" s="49" t="inlineStr">
        <is>
          <t>Los Distritos Especiales en Colombia: avances, retos y oportunidades para una descentralización efectiva. El caso de Santiago de Cali</t>
        </is>
      </c>
      <c r="F135" s="49" t="inlineStr">
        <is>
          <t>26/04/2024</t>
        </is>
      </c>
      <c r="G135" s="49" t="inlineStr">
        <is>
          <t>21357027D</t>
        </is>
      </c>
      <c r="H135" s="49" t="inlineStr">
        <is>
          <t>Director de tesis</t>
        </is>
      </c>
      <c r="I135" s="49" t="inlineStr">
        <is>
          <t>U075</t>
        </is>
      </c>
      <c r="J135" s="49" t="inlineStr">
        <is>
          <t>I.U.INVESTIGACIÓN DE ESTUDIOS SOCIALES DE AMÉRICA LATINA (10.25)</t>
        </is>
      </c>
      <c r="K135" s="49" t="n">
        <v>1</v>
      </c>
      <c r="L135" s="49" t="inlineStr">
        <is>
          <t>10.25</t>
        </is>
      </c>
      <c r="M135" s="49" t="n">
        <v>2023</v>
      </c>
      <c r="N135" s="49" t="inlineStr"/>
      <c r="O135" s="49" t="inlineStr"/>
      <c r="P135" s="49" t="inlineStr"/>
      <c r="Q135" s="49" t="inlineStr"/>
      <c r="R135" s="49" t="n">
        <v>100</v>
      </c>
      <c r="S135" s="49" t="n">
        <v>1</v>
      </c>
      <c r="T135" s="50" t="n">
        <v>0</v>
      </c>
      <c r="U135" s="49" t="n">
        <v>0</v>
      </c>
    </row>
    <row r="136" customFormat="1" s="51">
      <c r="A136" s="49" t="inlineStr">
        <is>
          <t>U075</t>
        </is>
      </c>
      <c r="B136" s="49" t="inlineStr">
        <is>
          <t>Instituto Universitario Investigación de Estudios Sociales de América Latina (10</t>
        </is>
      </c>
      <c r="C136" s="49" t="inlineStr">
        <is>
          <t>DOCTORADO EN HUMANIDADES Y ESTUDIOS SOCIALES DE AMÉRICA LATINA</t>
        </is>
      </c>
      <c r="D136" s="49" t="inlineStr">
        <is>
          <t>Verdecia Marin, Marleys</t>
        </is>
      </c>
      <c r="E136" s="49" t="inlineStr">
        <is>
          <t>LA OBRA EDUCATIVA DE ALITA CABRERA MARCAIDA Y SU CONTRIBUCIÓN ESTÉTICA A LA ACADEMIA DE BALLET EN CIENFUEGOS</t>
        </is>
      </c>
      <c r="F136" s="49" t="inlineStr">
        <is>
          <t>13/03/2025</t>
        </is>
      </c>
      <c r="G136" s="49" t="inlineStr">
        <is>
          <t>'-</t>
        </is>
      </c>
      <c r="H136" s="49" t="inlineStr">
        <is>
          <t>Codirector de tesis</t>
        </is>
      </c>
      <c r="I136" s="49" t="inlineStr">
        <is>
          <t>ZZ</t>
        </is>
      </c>
      <c r="J136" s="49" t="inlineStr">
        <is>
          <t>SIN ASIGNAR</t>
        </is>
      </c>
      <c r="K136" s="49" t="n">
        <v>0.3333333333333333</v>
      </c>
      <c r="L136" s="49" t="inlineStr">
        <is>
          <t>10.25</t>
        </is>
      </c>
      <c r="M136" s="49" t="n">
        <v>2024</v>
      </c>
      <c r="N136" s="49" t="inlineStr"/>
      <c r="O136" s="49" t="inlineStr"/>
      <c r="P136" s="49" t="inlineStr"/>
      <c r="Q136" s="49" t="inlineStr"/>
      <c r="R136" s="49" t="n">
        <v>100</v>
      </c>
      <c r="S136" s="49" t="n">
        <v>0.3333333333333333</v>
      </c>
      <c r="T136" s="50" t="n">
        <v>0</v>
      </c>
      <c r="U136" s="49" t="n">
        <v>0</v>
      </c>
    </row>
    <row r="137" customFormat="1" s="51">
      <c r="A137" s="49" t="inlineStr">
        <is>
          <t>U075</t>
        </is>
      </c>
      <c r="B137" s="49" t="inlineStr">
        <is>
          <t>Instituto Universitario Investigación de Estudios Sociales de América Latina (10</t>
        </is>
      </c>
      <c r="C137" s="49" t="inlineStr">
        <is>
          <t>DOCTORADO EN HUMANIDADES Y ESTUDIOS SOCIALES DE AMÉRICA LATINA</t>
        </is>
      </c>
      <c r="D137" s="49" t="inlineStr">
        <is>
          <t>Pérez Guevara, David Anacleto</t>
        </is>
      </c>
      <c r="E137" s="49" t="inlineStr">
        <is>
          <t>Metodología para la evaluación del potencial turístico de una localidad</t>
        </is>
      </c>
      <c r="F137" s="49" t="inlineStr">
        <is>
          <t>16/09/2025</t>
        </is>
      </c>
      <c r="G137" s="49" t="inlineStr">
        <is>
          <t>'-</t>
        </is>
      </c>
      <c r="H137" s="49" t="inlineStr">
        <is>
          <t>Codirector de tesis</t>
        </is>
      </c>
      <c r="I137" s="49" t="inlineStr">
        <is>
          <t>U075</t>
        </is>
      </c>
      <c r="J137" s="49" t="inlineStr">
        <is>
          <t>Instituto Universitario Investigación de Estudios Sociales de América Latina (10</t>
        </is>
      </c>
      <c r="K137" s="49" t="n">
        <v>0.5</v>
      </c>
      <c r="L137" s="49" t="inlineStr">
        <is>
          <t>10.25</t>
        </is>
      </c>
      <c r="M137" s="49" t="n">
        <v>2024</v>
      </c>
      <c r="N137" s="49" t="inlineStr"/>
      <c r="O137" s="49" t="inlineStr"/>
      <c r="P137" s="49" t="inlineStr"/>
      <c r="Q137" s="49" t="inlineStr"/>
      <c r="R137" s="49" t="n">
        <v>100</v>
      </c>
      <c r="S137" s="49" t="n">
        <v>0.5</v>
      </c>
      <c r="T137" s="50" t="n">
        <v>0</v>
      </c>
      <c r="U137" s="49" t="n">
        <v>0</v>
      </c>
    </row>
    <row r="138" customFormat="1" s="51">
      <c r="A138" s="49" t="inlineStr">
        <is>
          <t>U075</t>
        </is>
      </c>
      <c r="B138" s="49" t="inlineStr">
        <is>
          <t>Instituto Universitario Investigación de Estudios Sociales de América Latina (10</t>
        </is>
      </c>
      <c r="C138" s="49" t="inlineStr">
        <is>
          <t>DOCTORADO EN HUMANIDADES Y ESTUDIOS SOCIALES DE AMÉRICA LATINA</t>
        </is>
      </c>
      <c r="D138" s="49" t="inlineStr">
        <is>
          <t>Garcia Rodriguez, Anicel</t>
        </is>
      </c>
      <c r="E138" s="49" t="inlineStr">
        <is>
          <t>Modelo de comunicación de la ciencia y la innovación para el sistema institucional de gobierno en Cuba</t>
        </is>
      </c>
      <c r="F138" s="49" t="inlineStr">
        <is>
          <t>27/02/2025</t>
        </is>
      </c>
      <c r="G138" s="49" t="inlineStr">
        <is>
          <t>'-</t>
        </is>
      </c>
      <c r="H138" s="49" t="inlineStr">
        <is>
          <t>Codirector de tesis</t>
        </is>
      </c>
      <c r="I138" s="49" t="inlineStr">
        <is>
          <t>U075</t>
        </is>
      </c>
      <c r="J138" s="49" t="inlineStr">
        <is>
          <t>Instituto Universitario Investigación de Estudios Sociales de América Latina (10</t>
        </is>
      </c>
      <c r="K138" s="49" t="n">
        <v>0.5</v>
      </c>
      <c r="L138" s="49" t="inlineStr">
        <is>
          <t>10.25</t>
        </is>
      </c>
      <c r="M138" s="49" t="n">
        <v>2024</v>
      </c>
      <c r="N138" s="49" t="inlineStr"/>
      <c r="O138" s="49" t="inlineStr"/>
      <c r="P138" s="49" t="inlineStr"/>
      <c r="Q138" s="49" t="inlineStr"/>
      <c r="R138" s="49" t="n">
        <v>100</v>
      </c>
      <c r="S138" s="49" t="n">
        <v>0.5</v>
      </c>
      <c r="T138" s="50" t="n">
        <v>0</v>
      </c>
      <c r="U138" s="49" t="n">
        <v>0</v>
      </c>
    </row>
    <row r="139">
      <c r="A139" s="49" t="inlineStr">
        <is>
          <t>U075</t>
        </is>
      </c>
      <c r="B139" s="49" t="inlineStr">
        <is>
          <t>Instituto Universitario Investigación de Estudios Sociales de América Latina (10</t>
        </is>
      </c>
      <c r="C139" s="49" t="inlineStr">
        <is>
          <t>DOCTORADO EN HUMANIDADES Y ESTUDIOS SOCIALES DE AMÉRICA LATINA</t>
        </is>
      </c>
      <c r="D139" s="49" t="inlineStr">
        <is>
          <t>Barceló Hidalgo, Mayre</t>
        </is>
      </c>
      <c r="E139" s="49" t="inlineStr">
        <is>
          <t>Modelo de gestión de la comunicación pública de la ciencia para universidades adscritas al Ministerio de Educación Superior de Cuba</t>
        </is>
      </c>
      <c r="F139" s="49" t="inlineStr">
        <is>
          <t>17/06/2025</t>
        </is>
      </c>
      <c r="G139" s="49" t="inlineStr">
        <is>
          <t>'-</t>
        </is>
      </c>
      <c r="H139" s="49" t="inlineStr">
        <is>
          <t>Codirector de tesis</t>
        </is>
      </c>
      <c r="I139" s="49" t="inlineStr">
        <is>
          <t>U075</t>
        </is>
      </c>
      <c r="J139" s="49" t="inlineStr">
        <is>
          <t>Instituto Universitario Investigación de Estudios Sociales de América Latina (10</t>
        </is>
      </c>
      <c r="K139" s="49" t="n">
        <v>0.5</v>
      </c>
      <c r="L139" s="49" t="inlineStr">
        <is>
          <t>10.25</t>
        </is>
      </c>
      <c r="M139" s="49" t="n">
        <v>2024</v>
      </c>
      <c r="N139" s="49" t="inlineStr"/>
      <c r="O139" s="49" t="inlineStr"/>
      <c r="P139" s="49" t="inlineStr"/>
      <c r="Q139" s="49" t="inlineStr"/>
      <c r="R139" s="49" t="n">
        <v>100</v>
      </c>
      <c r="S139" s="49" t="n">
        <v>0.5</v>
      </c>
      <c r="T139" s="50" t="n">
        <v>0</v>
      </c>
      <c r="U139" s="49" t="n">
        <v>0</v>
      </c>
    </row>
    <row r="140">
      <c r="A140" s="49" t="inlineStr">
        <is>
          <t>B166</t>
        </is>
      </c>
      <c r="B140" s="49" t="inlineStr">
        <is>
          <t>Innovación y Formación Didáctica</t>
        </is>
      </c>
      <c r="C140" s="49" t="inlineStr">
        <is>
          <t>DOCTORADO EN INVESTIGACIÓN EDUCATIVA</t>
        </is>
      </c>
      <c r="D140" s="49" t="inlineStr">
        <is>
          <t>Chaveco Asin, Kirenia</t>
        </is>
      </c>
      <c r="E140" s="49" t="inlineStr">
        <is>
          <t>La integración del enfoque de género en la docencia: las necesidades formativas del profesorado de la Universidad de Oriente (Cuba)</t>
        </is>
      </c>
      <c r="F140" s="49" t="inlineStr">
        <is>
          <t>09/12/2024</t>
        </is>
      </c>
      <c r="G140" s="49" t="inlineStr">
        <is>
          <t>48769418B</t>
        </is>
      </c>
      <c r="H140" s="49" t="inlineStr">
        <is>
          <t>Codirector de tesis</t>
        </is>
      </c>
      <c r="I140" s="49" t="inlineStr">
        <is>
          <t>B112</t>
        </is>
      </c>
      <c r="J140" s="49" t="inlineStr">
        <is>
          <t>Didáctica General y Didácticas específicas</t>
        </is>
      </c>
      <c r="K140" s="49" t="n">
        <v>0.5</v>
      </c>
      <c r="L140" s="49" t="inlineStr">
        <is>
          <t>B112</t>
        </is>
      </c>
      <c r="M140" s="49" t="n">
        <v>2024</v>
      </c>
      <c r="N140" s="49" t="inlineStr">
        <is>
          <t>10.25</t>
        </is>
      </c>
      <c r="O140" s="49" t="inlineStr">
        <is>
          <t>30</t>
        </is>
      </c>
      <c r="P140" s="49" t="inlineStr">
        <is>
          <t>10.23</t>
        </is>
      </c>
      <c r="Q140" s="49" t="inlineStr">
        <is>
          <t>30</t>
        </is>
      </c>
      <c r="R140" s="49" t="n">
        <v>40</v>
      </c>
      <c r="S140" s="49" t="n">
        <v>0.2</v>
      </c>
      <c r="T140" s="50" t="n">
        <v>0.15</v>
      </c>
      <c r="U140" s="49" t="n">
        <v>0.15</v>
      </c>
    </row>
    <row r="141">
      <c r="A141" s="49" t="inlineStr">
        <is>
          <t>B177</t>
        </is>
      </c>
      <c r="B141" s="49" t="inlineStr">
        <is>
          <t>Psicología Evolutiva y Didáctica</t>
        </is>
      </c>
      <c r="C141" s="49" t="inlineStr">
        <is>
          <t>DOCTORADO EN INVESTIGACIÓN EDUCATIVA</t>
        </is>
      </c>
      <c r="D141" s="49" t="inlineStr">
        <is>
          <t>García Martínez, Ana Isabel</t>
        </is>
      </c>
      <c r="E141" s="49" t="inlineStr">
        <is>
          <t>Evaluación cognitiva dinámica: caracterización y capacidad predictiva de las curvas de aprendizaje.</t>
        </is>
      </c>
      <c r="F141" s="49" t="inlineStr">
        <is>
          <t>04/09/2025</t>
        </is>
      </c>
      <c r="G141" s="49" t="inlineStr">
        <is>
          <t>22929043K</t>
        </is>
      </c>
      <c r="H141" s="49" t="inlineStr">
        <is>
          <t>Director de tesis</t>
        </is>
      </c>
      <c r="I141" s="49" t="inlineStr">
        <is>
          <t>B177</t>
        </is>
      </c>
      <c r="J141" s="49" t="inlineStr">
        <is>
          <t>Psicología Evolutiva y Didáctica</t>
        </is>
      </c>
      <c r="K141" s="49" t="n">
        <v>1</v>
      </c>
      <c r="L141" s="49" t="inlineStr">
        <is>
          <t>B177</t>
        </is>
      </c>
      <c r="M141" s="49" t="n">
        <v>2024</v>
      </c>
      <c r="N141" s="49" t="inlineStr">
        <is>
          <t>10.25</t>
        </is>
      </c>
      <c r="O141" s="49" t="inlineStr">
        <is>
          <t>10</t>
        </is>
      </c>
      <c r="P141" s="49" t="inlineStr"/>
      <c r="Q141" s="49" t="inlineStr"/>
      <c r="R141" s="49" t="n">
        <v>90</v>
      </c>
      <c r="S141" s="49" t="n">
        <v>0.9</v>
      </c>
      <c r="T141" s="50" t="n">
        <v>0.1</v>
      </c>
      <c r="U141" s="49" t="n">
        <v>0</v>
      </c>
    </row>
    <row r="142">
      <c r="A142" s="49" t="inlineStr">
        <is>
          <t>U023</t>
        </is>
      </c>
      <c r="B142" s="49" t="inlineStr">
        <is>
          <t>Administración Facultad de Filosofía y Letras</t>
        </is>
      </c>
      <c r="C142" s="49" t="inlineStr">
        <is>
          <t>DOCTORADO EN FILOSOFÍA Y LETRAS</t>
        </is>
      </c>
      <c r="D142" s="49" t="inlineStr">
        <is>
          <t>Angelino Pardo, Maria Alejandra</t>
        </is>
      </c>
      <c r="E142" s="49" t="inlineStr">
        <is>
          <t>Leonor Francès ante el Tribunal de la Inquisición de Valencia. La biografía de una conversa valenciana entre finales del siglo XV y principios del siglo XVI</t>
        </is>
      </c>
      <c r="F142" s="49" t="inlineStr">
        <is>
          <t>24/01/2025</t>
        </is>
      </c>
      <c r="G142" s="49" t="inlineStr">
        <is>
          <t>21436046T</t>
        </is>
      </c>
      <c r="H142" s="49" t="inlineStr">
        <is>
          <t>Director de tesis</t>
        </is>
      </c>
      <c r="I142" s="49" t="inlineStr">
        <is>
          <t>B174</t>
        </is>
      </c>
      <c r="J142" s="49" t="inlineStr">
        <is>
          <t>Historia Medieval, Historia Moderna y Ciencias y Técnicas Historiográficas</t>
        </is>
      </c>
      <c r="K142" s="49" t="n">
        <v>1</v>
      </c>
      <c r="L142" s="49" t="inlineStr">
        <is>
          <t>B174</t>
        </is>
      </c>
      <c r="M142" s="49" t="n">
        <v>2024</v>
      </c>
      <c r="N142" s="49" t="inlineStr">
        <is>
          <t>10.25</t>
        </is>
      </c>
      <c r="O142" s="49" t="inlineStr">
        <is>
          <t>25</t>
        </is>
      </c>
      <c r="P142" s="49" t="inlineStr">
        <is>
          <t>10.23</t>
        </is>
      </c>
      <c r="Q142" s="49" t="inlineStr">
        <is>
          <t>10</t>
        </is>
      </c>
      <c r="R142" s="49" t="n">
        <v>65</v>
      </c>
      <c r="S142" s="49" t="n">
        <v>0.65</v>
      </c>
      <c r="T142" s="50" t="n">
        <v>0.25</v>
      </c>
      <c r="U142" s="49" t="n">
        <v>0.1</v>
      </c>
    </row>
    <row r="143">
      <c r="A143" s="49" t="inlineStr">
        <is>
          <t>U023</t>
        </is>
      </c>
      <c r="B143" s="49" t="inlineStr">
        <is>
          <t>Administración Facultad de Filosofía y Letras</t>
        </is>
      </c>
      <c r="C143" s="49" t="inlineStr">
        <is>
          <t>DOCTORADO EN FILOSOFÍA Y LETRAS</t>
        </is>
      </c>
      <c r="D143" s="49" t="inlineStr">
        <is>
          <t>Torres Soler, Julio</t>
        </is>
      </c>
      <c r="E143" s="49" t="inlineStr">
        <is>
          <t>Evolución semántica y gramaticalización de los verbos llevar y traer</t>
        </is>
      </c>
      <c r="F143" s="49" t="inlineStr">
        <is>
          <t>09/12/2024</t>
        </is>
      </c>
      <c r="G143" s="49" t="inlineStr">
        <is>
          <t>33496411Q</t>
        </is>
      </c>
      <c r="H143" s="49" t="inlineStr">
        <is>
          <t>Codirector de tesis</t>
        </is>
      </c>
      <c r="I143" s="49" t="inlineStr">
        <is>
          <t>B115</t>
        </is>
      </c>
      <c r="J143" s="49" t="inlineStr">
        <is>
          <t>Filología Española, Lingüística General y Teoría de la Literatura</t>
        </is>
      </c>
      <c r="K143" s="49" t="n">
        <v>0.5</v>
      </c>
      <c r="L143" s="49" t="inlineStr">
        <is>
          <t>B115</t>
        </is>
      </c>
      <c r="M143" s="49" t="n">
        <v>2024</v>
      </c>
      <c r="N143" s="49" t="inlineStr">
        <is>
          <t>10.25</t>
        </is>
      </c>
      <c r="O143" s="49" t="inlineStr">
        <is>
          <t>30</t>
        </is>
      </c>
      <c r="P143" s="49" t="inlineStr"/>
      <c r="Q143" s="49" t="inlineStr"/>
      <c r="R143" s="49" t="n">
        <v>70</v>
      </c>
      <c r="S143" s="49" t="n">
        <v>0.35</v>
      </c>
      <c r="T143" s="50" t="n">
        <v>0.15</v>
      </c>
      <c r="U143" s="49" t="n">
        <v>0</v>
      </c>
    </row>
    <row r="144">
      <c r="A144" s="49" t="inlineStr">
        <is>
          <t>U023</t>
        </is>
      </c>
      <c r="B144" s="49" t="inlineStr">
        <is>
          <t>Administración Facultad de Filosofía y Letras</t>
        </is>
      </c>
      <c r="C144" s="49" t="inlineStr">
        <is>
          <t>DOCTORADO EN FILOSOFÍA Y LETRAS</t>
        </is>
      </c>
      <c r="D144" s="49" t="inlineStr">
        <is>
          <t>Torres Soler, Julio</t>
        </is>
      </c>
      <c r="E144" s="49" t="inlineStr">
        <is>
          <t>Evolución semántica y gramaticalización de los verbos llevar y traer</t>
        </is>
      </c>
      <c r="F144" s="49" t="inlineStr">
        <is>
          <t>09/12/2024</t>
        </is>
      </c>
      <c r="G144" s="49" t="inlineStr">
        <is>
          <t>05150725J</t>
        </is>
      </c>
      <c r="H144" s="49" t="inlineStr">
        <is>
          <t>Codirector de tesis</t>
        </is>
      </c>
      <c r="I144" s="49" t="inlineStr">
        <is>
          <t>B115</t>
        </is>
      </c>
      <c r="J144" s="49" t="inlineStr">
        <is>
          <t>Filología Española, Lingüística General y Teoría de la Literatura</t>
        </is>
      </c>
      <c r="K144" s="49" t="n">
        <v>0.5</v>
      </c>
      <c r="L144" s="49" t="inlineStr">
        <is>
          <t>B115</t>
        </is>
      </c>
      <c r="M144" s="49" t="n">
        <v>2024</v>
      </c>
      <c r="N144" s="49" t="inlineStr">
        <is>
          <t>10.25</t>
        </is>
      </c>
      <c r="O144" s="49" t="inlineStr">
        <is>
          <t>30</t>
        </is>
      </c>
      <c r="P144" s="49" t="inlineStr">
        <is>
          <t>10.15</t>
        </is>
      </c>
      <c r="Q144" s="49" t="inlineStr">
        <is>
          <t>10</t>
        </is>
      </c>
      <c r="R144" s="49" t="n">
        <v>60</v>
      </c>
      <c r="S144" s="49" t="n">
        <v>0.3</v>
      </c>
      <c r="T144" s="50" t="n">
        <v>0.15</v>
      </c>
      <c r="U144" s="49" t="n">
        <v>0.05</v>
      </c>
    </row>
    <row r="145">
      <c r="A145" s="49" t="inlineStr">
        <is>
          <t>U025</t>
        </is>
      </c>
      <c r="B145" s="49" t="inlineStr">
        <is>
          <t>Administración Facultad de Derecho</t>
        </is>
      </c>
      <c r="C145" s="49" t="inlineStr">
        <is>
          <t>DOCTORADO EN DERECHO</t>
        </is>
      </c>
      <c r="D145" s="49" t="inlineStr">
        <is>
          <t>Fresno Llopis, Francisco</t>
        </is>
      </c>
      <c r="E145" s="49" t="inlineStr">
        <is>
          <t>Sociedades y deporte profesional. Régimen jurídico, Derecho de la Competencia y control económico</t>
        </is>
      </c>
      <c r="F145" s="49" t="inlineStr">
        <is>
          <t>30/06/2025</t>
        </is>
      </c>
      <c r="G145" s="49" t="inlineStr">
        <is>
          <t>21474106H</t>
        </is>
      </c>
      <c r="H145" s="49" t="inlineStr">
        <is>
          <t>Director de tesis</t>
        </is>
      </c>
      <c r="I145" s="49" t="inlineStr">
        <is>
          <t>B113</t>
        </is>
      </c>
      <c r="J145" s="49" t="inlineStr">
        <is>
          <t>Estudios Jurídicos del Estado</t>
        </is>
      </c>
      <c r="K145" s="49" t="n">
        <v>1</v>
      </c>
      <c r="L145" s="49" t="inlineStr">
        <is>
          <t>B113</t>
        </is>
      </c>
      <c r="M145" s="49" t="n">
        <v>2024</v>
      </c>
      <c r="N145" s="49" t="inlineStr">
        <is>
          <t>10.25</t>
        </is>
      </c>
      <c r="O145" s="49" t="inlineStr">
        <is>
          <t>50</t>
        </is>
      </c>
      <c r="P145" s="49" t="inlineStr"/>
      <c r="Q145" s="49" t="inlineStr"/>
      <c r="R145" s="49" t="n">
        <v>50</v>
      </c>
      <c r="S145" s="49" t="n">
        <v>0.5</v>
      </c>
      <c r="T145" s="50" t="n">
        <v>0.5</v>
      </c>
      <c r="U145" s="49" t="n">
        <v>0</v>
      </c>
    </row>
    <row r="146">
      <c r="A146" s="49" t="inlineStr">
        <is>
          <t>U025</t>
        </is>
      </c>
      <c r="B146" s="49" t="inlineStr">
        <is>
          <t>Administración Facultad de Derecho</t>
        </is>
      </c>
      <c r="C146" s="49" t="inlineStr">
        <is>
          <t>DOCTORADO EN DERECHO</t>
        </is>
      </c>
      <c r="D146" s="49" t="inlineStr">
        <is>
          <t>Guardiola Lohmüller, Ana Victoria</t>
        </is>
      </c>
      <c r="E146" s="49" t="inlineStr">
        <is>
          <t>El Derecho de Asilo ante el Tribunal de Justicia de la Unión Europea: entre la Soberanía del Estado y los Derechos Humanos</t>
        </is>
      </c>
      <c r="F146" s="49" t="inlineStr">
        <is>
          <t>26/11/2024</t>
        </is>
      </c>
      <c r="G146" s="49" t="inlineStr">
        <is>
          <t>25126587F</t>
        </is>
      </c>
      <c r="H146" s="49" t="inlineStr">
        <is>
          <t>Director de tesis</t>
        </is>
      </c>
      <c r="I146" s="49" t="inlineStr">
        <is>
          <t>B108</t>
        </is>
      </c>
      <c r="J146" s="49" t="inlineStr">
        <is>
          <t>Derecho Internacional Público y Derecho Penal</t>
        </is>
      </c>
      <c r="K146" s="49" t="n">
        <v>1</v>
      </c>
      <c r="L146" s="49" t="inlineStr">
        <is>
          <t>B108</t>
        </is>
      </c>
      <c r="M146" s="49" t="n">
        <v>2024</v>
      </c>
      <c r="N146" s="49" t="inlineStr">
        <is>
          <t>10.25</t>
        </is>
      </c>
      <c r="O146" s="49" t="inlineStr">
        <is>
          <t>10</t>
        </is>
      </c>
      <c r="P146" s="49" t="inlineStr"/>
      <c r="Q146" s="49" t="inlineStr"/>
      <c r="R146" s="49" t="n">
        <v>90</v>
      </c>
      <c r="S146" s="49" t="n">
        <v>0.9</v>
      </c>
      <c r="T146" s="50" t="n">
        <v>0.1</v>
      </c>
      <c r="U146" s="49" t="n">
        <v>0</v>
      </c>
    </row>
    <row r="147">
      <c r="A147" s="49" t="inlineStr">
        <is>
          <t>U025</t>
        </is>
      </c>
      <c r="B147" s="49" t="inlineStr">
        <is>
          <t>Administración Facultad de Derecho</t>
        </is>
      </c>
      <c r="C147" s="49" t="inlineStr">
        <is>
          <t>DOCTORADO EN DERECHO</t>
        </is>
      </c>
      <c r="D147" s="49" t="inlineStr">
        <is>
          <t>Williams García, Mario</t>
        </is>
      </c>
      <c r="E147" s="49" t="inlineStr">
        <is>
          <t>Régimen jurídico de la minería aurífera en Colombia. Impactos en su ejecución</t>
        </is>
      </c>
      <c r="F147" s="49" t="inlineStr">
        <is>
          <t>29/11/2024</t>
        </is>
      </c>
      <c r="G147" s="49" t="inlineStr">
        <is>
          <t>21474106H</t>
        </is>
      </c>
      <c r="H147" s="49" t="inlineStr">
        <is>
          <t>Director de tesis</t>
        </is>
      </c>
      <c r="I147" s="49" t="inlineStr">
        <is>
          <t>B113</t>
        </is>
      </c>
      <c r="J147" s="49" t="inlineStr">
        <is>
          <t>Estudios Jurídicos del Estado</t>
        </is>
      </c>
      <c r="K147" s="49" t="n">
        <v>1</v>
      </c>
      <c r="L147" s="49" t="inlineStr">
        <is>
          <t>B113</t>
        </is>
      </c>
      <c r="M147" s="49" t="n">
        <v>2024</v>
      </c>
      <c r="N147" s="49" t="inlineStr">
        <is>
          <t>10.25</t>
        </is>
      </c>
      <c r="O147" s="49" t="inlineStr">
        <is>
          <t>50</t>
        </is>
      </c>
      <c r="P147" s="49" t="inlineStr"/>
      <c r="Q147" s="49" t="inlineStr"/>
      <c r="R147" s="49" t="n">
        <v>50</v>
      </c>
      <c r="S147" s="49" t="n">
        <v>0.5</v>
      </c>
      <c r="T147" s="50" t="n">
        <v>0.5</v>
      </c>
      <c r="U147" s="49" t="n">
        <v>0</v>
      </c>
    </row>
    <row r="148">
      <c r="A148" s="49" t="inlineStr">
        <is>
          <t>U036</t>
        </is>
      </c>
      <c r="B148" s="49" t="inlineStr">
        <is>
          <t>Administración Facultad de Ciencias Económicas</t>
        </is>
      </c>
      <c r="C148" s="49" t="inlineStr">
        <is>
          <t>DOCTORADO EN EMPRESA, ECONOMÍA Y SOCIEDAD</t>
        </is>
      </c>
      <c r="D148" s="49" t="inlineStr">
        <is>
          <t>Quispe Fernandez, Gabith Miriam</t>
        </is>
      </c>
      <c r="E148" s="49" t="inlineStr">
        <is>
          <t>LOS DETERMINANTES DEL ÉXITO Y FRACASO DE LOS EMPRENDIMIENTOS EN
ENTORNOS RURALES CON ENFOQUE DE GÉNERO EN LA PROVINCIA CHIMBORAZO,
ECUADOR</t>
        </is>
      </c>
      <c r="F148" s="49" t="inlineStr">
        <is>
          <t>30/06/2025</t>
        </is>
      </c>
      <c r="G148" s="49" t="inlineStr">
        <is>
          <t>21456802X</t>
        </is>
      </c>
      <c r="H148" s="49" t="inlineStr">
        <is>
          <t>Director de tesis</t>
        </is>
      </c>
      <c r="I148" s="49" t="inlineStr">
        <is>
          <t>B139</t>
        </is>
      </c>
      <c r="J148" s="49" t="inlineStr">
        <is>
          <t>Economía Aplicada y Política Económica</t>
        </is>
      </c>
      <c r="K148" s="49" t="n">
        <v>1</v>
      </c>
      <c r="L148" s="49" t="inlineStr">
        <is>
          <t>B139</t>
        </is>
      </c>
      <c r="M148" s="49" t="n">
        <v>2024</v>
      </c>
      <c r="N148" s="49" t="inlineStr">
        <is>
          <t>10.25</t>
        </is>
      </c>
      <c r="O148" s="49" t="inlineStr">
        <is>
          <t>20</t>
        </is>
      </c>
      <c r="P148" s="49" t="inlineStr">
        <is>
          <t>10.23</t>
        </is>
      </c>
      <c r="Q148" s="49" t="inlineStr">
        <is>
          <t>10</t>
        </is>
      </c>
      <c r="R148" s="49" t="n">
        <v>70</v>
      </c>
      <c r="S148" s="49" t="n">
        <v>0.7</v>
      </c>
      <c r="T148" s="50" t="n">
        <v>0.2</v>
      </c>
      <c r="U148" s="49" t="n">
        <v>0.1</v>
      </c>
    </row>
    <row r="149">
      <c r="A149" s="49" t="inlineStr">
        <is>
          <t>U036</t>
        </is>
      </c>
      <c r="B149" s="49" t="inlineStr">
        <is>
          <t>Administración Facultad de Ciencias Económicas</t>
        </is>
      </c>
      <c r="C149" s="49" t="inlineStr">
        <is>
          <t>DOCTORADO EN EMPRESA, ECONOMÍA Y SOCIEDAD</t>
        </is>
      </c>
      <c r="D149" s="49" t="inlineStr">
        <is>
          <t>Ayaviri Nina, Victor Dante</t>
        </is>
      </c>
      <c r="E149" s="49" t="inlineStr">
        <is>
          <t>PLANIFICACIÓN DEL DESARROLLO EN COMUNIDADES RURALES DE BOLIVIA</t>
        </is>
      </c>
      <c r="F149" s="49" t="inlineStr">
        <is>
          <t>30/06/2025</t>
        </is>
      </c>
      <c r="G149" s="49" t="inlineStr">
        <is>
          <t>21456802X</t>
        </is>
      </c>
      <c r="H149" s="49" t="inlineStr">
        <is>
          <t>Director de tesis</t>
        </is>
      </c>
      <c r="I149" s="49" t="inlineStr">
        <is>
          <t>B139</t>
        </is>
      </c>
      <c r="J149" s="49" t="inlineStr">
        <is>
          <t>Economía Aplicada y Política Económica</t>
        </is>
      </c>
      <c r="K149" s="49" t="n">
        <v>1</v>
      </c>
      <c r="L149" s="49" t="inlineStr">
        <is>
          <t>B139</t>
        </is>
      </c>
      <c r="M149" s="49" t="n">
        <v>2024</v>
      </c>
      <c r="N149" s="49" t="inlineStr">
        <is>
          <t>10.25</t>
        </is>
      </c>
      <c r="O149" s="49" t="inlineStr">
        <is>
          <t>20</t>
        </is>
      </c>
      <c r="P149" s="49" t="inlineStr">
        <is>
          <t>10.23</t>
        </is>
      </c>
      <c r="Q149" s="49" t="inlineStr">
        <is>
          <t>10</t>
        </is>
      </c>
      <c r="R149" s="49" t="n">
        <v>70</v>
      </c>
      <c r="S149" s="49" t="n">
        <v>0.7</v>
      </c>
      <c r="T149" s="50" t="n">
        <v>0.2</v>
      </c>
      <c r="U149" s="49" t="n">
        <v>0.1</v>
      </c>
    </row>
    <row r="150">
      <c r="A150" s="49" t="inlineStr">
        <is>
          <t>U036</t>
        </is>
      </c>
      <c r="B150" s="49" t="inlineStr">
        <is>
          <t>Administración Facultad de Ciencias Económicas</t>
        </is>
      </c>
      <c r="C150" s="49" t="inlineStr">
        <is>
          <t>DOCTORADO EN EMPRESA, ECONOMÍA Y SOCIEDAD</t>
        </is>
      </c>
      <c r="D150" s="49" t="inlineStr">
        <is>
          <t>De Juanes Rodríguez, Álvaro</t>
        </is>
      </c>
      <c r="E150" s="49" t="inlineStr">
        <is>
          <t>DIVERSIDAD Y ACCESIBILIDAD EN LAS CIUDADES: LA COMPLEJIDAD URBANA COMO 
CLAVE DEL ANÁLISIS TERRITORIAL Y ECONÓMICO</t>
        </is>
      </c>
      <c r="F150" s="49" t="inlineStr">
        <is>
          <t>07/07/2025</t>
        </is>
      </c>
      <c r="G150" s="49" t="inlineStr">
        <is>
          <t>21456802X</t>
        </is>
      </c>
      <c r="H150" s="49" t="inlineStr">
        <is>
          <t>Director de tesis</t>
        </is>
      </c>
      <c r="I150" s="49" t="inlineStr">
        <is>
          <t>B139</t>
        </is>
      </c>
      <c r="J150" s="49" t="inlineStr">
        <is>
          <t>Economía Aplicada y Política Económica</t>
        </is>
      </c>
      <c r="K150" s="49" t="n">
        <v>1</v>
      </c>
      <c r="L150" s="49" t="inlineStr">
        <is>
          <t>B139</t>
        </is>
      </c>
      <c r="M150" s="49" t="n">
        <v>2024</v>
      </c>
      <c r="N150" s="49" t="inlineStr">
        <is>
          <t>10.25</t>
        </is>
      </c>
      <c r="O150" s="49" t="inlineStr">
        <is>
          <t>20</t>
        </is>
      </c>
      <c r="P150" s="49" t="inlineStr">
        <is>
          <t>10.23</t>
        </is>
      </c>
      <c r="Q150" s="49" t="inlineStr">
        <is>
          <t>10</t>
        </is>
      </c>
      <c r="R150" s="49" t="n">
        <v>70</v>
      </c>
      <c r="S150" s="49" t="n">
        <v>0.7</v>
      </c>
      <c r="T150" s="50" t="n">
        <v>0.2</v>
      </c>
      <c r="U150" s="49" t="n">
        <v>0.1</v>
      </c>
    </row>
    <row r="151">
      <c r="A151" s="49" t="inlineStr">
        <is>
          <t>U073</t>
        </is>
      </c>
      <c r="B151" s="49" t="inlineStr">
        <is>
          <t>Instituto Universitario Investigación de Estudios de Género (10.23)</t>
        </is>
      </c>
      <c r="C151" s="49" t="inlineStr">
        <is>
          <t>DOCTORADO EN ESTUDIOS INTERDISCIPLINARES DE GÉNERO</t>
        </is>
      </c>
      <c r="D151" s="49" t="inlineStr">
        <is>
          <t>SAMANIEGO GISBERT, Juan Andres</t>
        </is>
      </c>
      <c r="E151" s="49" t="inlineStr">
        <is>
          <t>VULNERABILIDAD FEMENINA EN ACTIVIDADES LÚDICAS: ANÁLISIS DE JUEGOS Y APUESTAS ONLINE EN UNA MUESTRA UNIVERSITARIA</t>
        </is>
      </c>
      <c r="F151" s="49" t="inlineStr">
        <is>
          <t>16/12/2024</t>
        </is>
      </c>
      <c r="G151" s="49" t="inlineStr">
        <is>
          <t>52777601F</t>
        </is>
      </c>
      <c r="H151" s="49" t="inlineStr">
        <is>
          <t>Director de tesis</t>
        </is>
      </c>
      <c r="I151" s="49" t="inlineStr">
        <is>
          <t>B175</t>
        </is>
      </c>
      <c r="J151" s="49" t="inlineStr">
        <is>
          <t>Comunicación y Psicología Social</t>
        </is>
      </c>
      <c r="K151" s="49" t="n">
        <v>1</v>
      </c>
      <c r="L151" s="49" t="inlineStr">
        <is>
          <t>B175</t>
        </is>
      </c>
      <c r="M151" s="49" t="n">
        <v>2024</v>
      </c>
      <c r="N151" s="49" t="inlineStr">
        <is>
          <t>10.25</t>
        </is>
      </c>
      <c r="O151" s="49" t="inlineStr">
        <is>
          <t>30</t>
        </is>
      </c>
      <c r="P151" s="49" t="inlineStr">
        <is>
          <t>10.23</t>
        </is>
      </c>
      <c r="Q151" s="49" t="inlineStr">
        <is>
          <t>20</t>
        </is>
      </c>
      <c r="R151" s="49" t="n">
        <v>50</v>
      </c>
      <c r="S151" s="49" t="n">
        <v>0.5</v>
      </c>
      <c r="T151" s="50" t="n">
        <v>0.3</v>
      </c>
      <c r="U151" s="49" t="n">
        <v>0.2</v>
      </c>
    </row>
    <row r="152">
      <c r="A152" s="49" t="inlineStr">
        <is>
          <t>U073</t>
        </is>
      </c>
      <c r="B152" s="49" t="inlineStr">
        <is>
          <t>Instituto Universitario Investigación de Estudios de Género (10.23)</t>
        </is>
      </c>
      <c r="C152" s="49" t="inlineStr">
        <is>
          <t>DOCTORADO EN ESTUDIOS INTERDISCIPLINARES DE GÉNERO</t>
        </is>
      </c>
      <c r="D152" s="49" t="inlineStr">
        <is>
          <t>Ibañez Torres, Nerea</t>
        </is>
      </c>
      <c r="E152" s="49" t="inlineStr">
        <is>
          <t>Más Allá de los Límites: empoderamiento Sexual y Asistencia para Mujeres con Discapacidad Motora</t>
        </is>
      </c>
      <c r="F152" s="49" t="inlineStr">
        <is>
          <t>15/04/2025</t>
        </is>
      </c>
      <c r="G152" s="49" t="inlineStr">
        <is>
          <t>52777601F</t>
        </is>
      </c>
      <c r="H152" s="49" t="inlineStr">
        <is>
          <t>Director de tesis</t>
        </is>
      </c>
      <c r="I152" s="49" t="inlineStr">
        <is>
          <t>B175</t>
        </is>
      </c>
      <c r="J152" s="49" t="inlineStr">
        <is>
          <t>Comunicación y Psicología Social</t>
        </is>
      </c>
      <c r="K152" s="49" t="n">
        <v>1</v>
      </c>
      <c r="L152" s="49" t="inlineStr">
        <is>
          <t>B175</t>
        </is>
      </c>
      <c r="M152" s="49" t="n">
        <v>2024</v>
      </c>
      <c r="N152" s="49" t="inlineStr">
        <is>
          <t>10.25</t>
        </is>
      </c>
      <c r="O152" s="49" t="inlineStr">
        <is>
          <t>30</t>
        </is>
      </c>
      <c r="P152" s="49" t="inlineStr">
        <is>
          <t>10.23</t>
        </is>
      </c>
      <c r="Q152" s="49" t="inlineStr">
        <is>
          <t>20</t>
        </is>
      </c>
      <c r="R152" s="49" t="n">
        <v>50</v>
      </c>
      <c r="S152" s="49" t="n">
        <v>0.5</v>
      </c>
      <c r="T152" s="50" t="n">
        <v>0.3</v>
      </c>
      <c r="U152" s="49" t="n">
        <v>0.2</v>
      </c>
    </row>
    <row r="153">
      <c r="A153" s="49" t="inlineStr">
        <is>
          <t>U075</t>
        </is>
      </c>
      <c r="B153" s="49" t="inlineStr">
        <is>
          <t>Instituto Universitario Investigación de Estudios Sociales de América Latina (10</t>
        </is>
      </c>
      <c r="C153" s="49" t="inlineStr">
        <is>
          <t>DOCTORADO EN HUMANIDADES Y ESTUDIOS SOCIALES DE AMÉRICA LATINA</t>
        </is>
      </c>
      <c r="D153" s="49" t="inlineStr">
        <is>
          <t>Medina Vásquez, Carlem Hade</t>
        </is>
      </c>
      <c r="E153" s="49" t="inlineStr">
        <is>
          <t>Fisuras para la Autorrealización de la persona que migra desde América Latina y el Caribe a Chile</t>
        </is>
      </c>
      <c r="F153" s="49" t="inlineStr">
        <is>
          <t>23/07/2025</t>
        </is>
      </c>
      <c r="G153" s="49" t="inlineStr">
        <is>
          <t>33486240B</t>
        </is>
      </c>
      <c r="H153" s="49" t="inlineStr">
        <is>
          <t>Director de tesis</t>
        </is>
      </c>
      <c r="I153" s="49" t="inlineStr">
        <is>
          <t>B108</t>
        </is>
      </c>
      <c r="J153" s="49" t="inlineStr">
        <is>
          <t>Derecho Internacional Público y Derecho Penal</t>
        </is>
      </c>
      <c r="K153" s="49" t="n">
        <v>1</v>
      </c>
      <c r="L153" s="49" t="inlineStr">
        <is>
          <t>B108</t>
        </is>
      </c>
      <c r="M153" s="49" t="n">
        <v>2024</v>
      </c>
      <c r="N153" s="49" t="inlineStr">
        <is>
          <t>10.25</t>
        </is>
      </c>
      <c r="O153" s="49" t="inlineStr">
        <is>
          <t>10</t>
        </is>
      </c>
      <c r="P153" s="49" t="inlineStr"/>
      <c r="Q153" s="49" t="inlineStr"/>
      <c r="R153" s="49" t="n">
        <v>90</v>
      </c>
      <c r="S153" s="49" t="n">
        <v>0.9</v>
      </c>
      <c r="T153" s="50" t="n">
        <v>0.1</v>
      </c>
      <c r="U153" s="49" t="n">
        <v>0</v>
      </c>
    </row>
    <row r="154">
      <c r="A154" s="49" t="inlineStr">
        <is>
          <t>U075</t>
        </is>
      </c>
      <c r="B154" s="49" t="inlineStr">
        <is>
          <t>Instituto Universitario Investigación de Estudios Sociales de América Latina (10</t>
        </is>
      </c>
      <c r="C154" s="49" t="inlineStr">
        <is>
          <t>DOCTORADO EN HUMANIDADES Y ESTUDIOS SOCIALES DE AMÉRICA LATINA</t>
        </is>
      </c>
      <c r="D154" s="49" t="inlineStr">
        <is>
          <t>Serrano Ávila, Ana María</t>
        </is>
      </c>
      <c r="E154" s="49" t="inlineStr">
        <is>
          <t>El desarrollo del territorio en tensión con la construcción de la paz. Sentipensando la influencia de las mujeres campesinas y su aporte al buen vivir y a la paz. El caso del municipio de Moniquirá-Bocayá (Colombia)</t>
        </is>
      </c>
      <c r="F154" s="49" t="inlineStr">
        <is>
          <t>06/03/2025</t>
        </is>
      </c>
      <c r="G154" s="49" t="inlineStr">
        <is>
          <t>21489543E</t>
        </is>
      </c>
      <c r="H154" s="49" t="inlineStr">
        <is>
          <t>Director de tesis</t>
        </is>
      </c>
      <c r="I154" s="49" t="inlineStr">
        <is>
          <t>B122</t>
        </is>
      </c>
      <c r="J154" s="49" t="inlineStr">
        <is>
          <t>Humanidades Contemporáneas</t>
        </is>
      </c>
      <c r="K154" s="49" t="n">
        <v>1</v>
      </c>
      <c r="L154" s="49" t="inlineStr">
        <is>
          <t>B122</t>
        </is>
      </c>
      <c r="M154" s="49" t="n">
        <v>2024</v>
      </c>
      <c r="N154" s="49" t="inlineStr">
        <is>
          <t>10.25</t>
        </is>
      </c>
      <c r="O154" s="49" t="inlineStr">
        <is>
          <t>50</t>
        </is>
      </c>
      <c r="P154" s="49" t="inlineStr"/>
      <c r="Q154" s="49" t="inlineStr"/>
      <c r="R154" s="49" t="n">
        <v>50</v>
      </c>
      <c r="S154" s="49" t="n">
        <v>0.5</v>
      </c>
      <c r="T154" s="50" t="n">
        <v>0.5</v>
      </c>
      <c r="U154" s="49" t="n">
        <v>0</v>
      </c>
    </row>
    <row r="155">
      <c r="A155" s="49" t="inlineStr">
        <is>
          <t>U075</t>
        </is>
      </c>
      <c r="B155" s="49" t="inlineStr">
        <is>
          <t>Instituto Universitario Investigación de Estudios Sociales de América Latina (10</t>
        </is>
      </c>
      <c r="C155" s="49" t="inlineStr">
        <is>
          <t>DOCTORADO EN HUMANIDADES Y ESTUDIOS SOCIALES DE AMÉRICA LATINA</t>
        </is>
      </c>
      <c r="D155" s="49" t="inlineStr">
        <is>
          <t>Verdecia Marin, Marleys</t>
        </is>
      </c>
      <c r="E155" s="49" t="inlineStr">
        <is>
          <t>LA OBRA EDUCATIVA DE ALITA CABRERA MARCAIDA Y SU CONTRIBUCIÓN ESTÉTICA A LA ACADEMIA DE BALLET EN CIENFUEGOS</t>
        </is>
      </c>
      <c r="F155" s="49" t="inlineStr">
        <is>
          <t>13/03/2025</t>
        </is>
      </c>
      <c r="G155" s="49" t="inlineStr">
        <is>
          <t>21457927P</t>
        </is>
      </c>
      <c r="H155" s="49" t="inlineStr">
        <is>
          <t>Codirector de tesis</t>
        </is>
      </c>
      <c r="I155" s="49" t="inlineStr">
        <is>
          <t>B122</t>
        </is>
      </c>
      <c r="J155" s="49" t="inlineStr">
        <is>
          <t>Humanidades Contemporáneas</t>
        </is>
      </c>
      <c r="K155" s="49" t="n">
        <v>0.3333333333333333</v>
      </c>
      <c r="L155" s="49" t="inlineStr">
        <is>
          <t>B122</t>
        </is>
      </c>
      <c r="M155" s="49" t="n">
        <v>2024</v>
      </c>
      <c r="N155" s="49" t="inlineStr">
        <is>
          <t>10.25</t>
        </is>
      </c>
      <c r="O155" s="49" t="inlineStr">
        <is>
          <t>80</t>
        </is>
      </c>
      <c r="P155" s="49" t="inlineStr"/>
      <c r="Q155" s="49" t="inlineStr"/>
      <c r="R155" s="49" t="n">
        <v>20</v>
      </c>
      <c r="S155" s="49" t="n">
        <v>0.06666666666666667</v>
      </c>
      <c r="T155" s="50" t="n">
        <v>0.2666666666666667</v>
      </c>
      <c r="U155" s="49" t="n">
        <v>0</v>
      </c>
    </row>
    <row r="156">
      <c r="A156" s="49" t="inlineStr">
        <is>
          <t>U075</t>
        </is>
      </c>
      <c r="B156" s="49" t="inlineStr">
        <is>
          <t>Instituto Universitario Investigación de Estudios Sociales de América Latina (10</t>
        </is>
      </c>
      <c r="C156" s="49" t="inlineStr">
        <is>
          <t>DOCTORADO EN HUMANIDADES Y ESTUDIOS SOCIALES DE AMÉRICA LATINA</t>
        </is>
      </c>
      <c r="D156" s="49" t="inlineStr">
        <is>
          <t>Restrepo Marín, Janeth Del Carmen</t>
        </is>
      </c>
      <c r="E156" s="49" t="inlineStr">
        <is>
          <t>El proceso de configuración de los agentes estatales como perpetradores de falsos positivos en el Catatumbo, Colombia (2007-2008). Acercamiento analítico desde los estudios sobre perpetradores</t>
        </is>
      </c>
      <c r="F156" s="49" t="inlineStr">
        <is>
          <t>21/02/2025</t>
        </is>
      </c>
      <c r="G156" s="49" t="inlineStr">
        <is>
          <t>22133724L</t>
        </is>
      </c>
      <c r="H156" s="49" t="inlineStr">
        <is>
          <t>Director de tesis</t>
        </is>
      </c>
      <c r="I156" s="49" t="inlineStr">
        <is>
          <t>B122</t>
        </is>
      </c>
      <c r="J156" s="49" t="inlineStr">
        <is>
          <t>Humanidades Contemporáneas</t>
        </is>
      </c>
      <c r="K156" s="49" t="n">
        <v>1</v>
      </c>
      <c r="L156" s="49" t="inlineStr">
        <is>
          <t>B122</t>
        </is>
      </c>
      <c r="M156" s="49" t="n">
        <v>2024</v>
      </c>
      <c r="N156" s="49" t="inlineStr">
        <is>
          <t>10.25</t>
        </is>
      </c>
      <c r="O156" s="49" t="inlineStr">
        <is>
          <t>50</t>
        </is>
      </c>
      <c r="P156" s="49" t="inlineStr"/>
      <c r="Q156" s="49" t="inlineStr"/>
      <c r="R156" s="49" t="n">
        <v>50</v>
      </c>
      <c r="S156" s="49" t="n">
        <v>0.5</v>
      </c>
      <c r="T156" s="50" t="n">
        <v>0.5</v>
      </c>
      <c r="U156" s="49" t="n">
        <v>0</v>
      </c>
    </row>
    <row r="157">
      <c r="A157" s="49" t="inlineStr">
        <is>
          <t>U075</t>
        </is>
      </c>
      <c r="B157" s="49" t="inlineStr">
        <is>
          <t>Instituto Universitario Investigación de Estudios Sociales de América Latina (10</t>
        </is>
      </c>
      <c r="C157" s="49" t="inlineStr">
        <is>
          <t>DOCTORADO EN HUMANIDADES Y ESTUDIOS SOCIALES DE AMÉRICA LATINA</t>
        </is>
      </c>
      <c r="D157" s="49" t="inlineStr">
        <is>
          <t>Garcia Rodriguez, Anicel</t>
        </is>
      </c>
      <c r="E157" s="49" t="inlineStr">
        <is>
          <t>Modelo de comunicación de la ciencia y la innovación para el sistema institucional de gobierno en Cuba</t>
        </is>
      </c>
      <c r="F157" s="49" t="inlineStr">
        <is>
          <t>27/02/2025</t>
        </is>
      </c>
      <c r="G157" s="49" t="inlineStr">
        <is>
          <t>21457927P</t>
        </is>
      </c>
      <c r="H157" s="49" t="inlineStr">
        <is>
          <t>Codirector de tesis</t>
        </is>
      </c>
      <c r="I157" s="49" t="inlineStr">
        <is>
          <t>B122</t>
        </is>
      </c>
      <c r="J157" s="49" t="inlineStr">
        <is>
          <t>Humanidades Contemporáneas</t>
        </is>
      </c>
      <c r="K157" s="49" t="n">
        <v>0.5</v>
      </c>
      <c r="L157" s="49" t="inlineStr">
        <is>
          <t>B122</t>
        </is>
      </c>
      <c r="M157" s="49" t="n">
        <v>2024</v>
      </c>
      <c r="N157" s="49" t="inlineStr">
        <is>
          <t>10.25</t>
        </is>
      </c>
      <c r="O157" s="49" t="inlineStr">
        <is>
          <t>80</t>
        </is>
      </c>
      <c r="P157" s="49" t="inlineStr"/>
      <c r="Q157" s="49" t="inlineStr"/>
      <c r="R157" s="49" t="n">
        <v>20</v>
      </c>
      <c r="S157" s="49" t="n">
        <v>0.1</v>
      </c>
      <c r="T157" s="50" t="n">
        <v>0.4</v>
      </c>
      <c r="U157" s="49" t="n">
        <v>0</v>
      </c>
    </row>
    <row r="158">
      <c r="A158" s="49" t="inlineStr">
        <is>
          <t>U075</t>
        </is>
      </c>
      <c r="B158" s="49" t="inlineStr">
        <is>
          <t>Instituto Universitario Investigación de Estudios Sociales de América Latina (10</t>
        </is>
      </c>
      <c r="C158" s="49" t="inlineStr">
        <is>
          <t>DOCTORADO EN HUMANIDADES Y ESTUDIOS SOCIALES DE AMÉRICA LATINA</t>
        </is>
      </c>
      <c r="D158" s="49" t="inlineStr">
        <is>
          <t>Barceló Hidalgo, Mayre</t>
        </is>
      </c>
      <c r="E158" s="49" t="inlineStr">
        <is>
          <t>Modelo de gestión de la comunicación pública de la ciencia para universidades adscritas al Ministerio de Educación Superior de Cuba</t>
        </is>
      </c>
      <c r="F158" s="49" t="inlineStr">
        <is>
          <t>17/06/2025</t>
        </is>
      </c>
      <c r="G158" s="49" t="inlineStr">
        <is>
          <t>21463378P</t>
        </is>
      </c>
      <c r="H158" s="49" t="inlineStr">
        <is>
          <t>Codirector de tesis</t>
        </is>
      </c>
      <c r="I158" s="49" t="inlineStr">
        <is>
          <t>B175</t>
        </is>
      </c>
      <c r="J158" s="49" t="inlineStr">
        <is>
          <t>Comunicación y Psicología Social</t>
        </is>
      </c>
      <c r="K158" s="49" t="n">
        <v>0.5</v>
      </c>
      <c r="L158" s="49" t="inlineStr">
        <is>
          <t>B175</t>
        </is>
      </c>
      <c r="M158" s="49" t="n">
        <v>2024</v>
      </c>
      <c r="N158" s="49" t="inlineStr">
        <is>
          <t>10.25</t>
        </is>
      </c>
      <c r="O158" s="49" t="inlineStr">
        <is>
          <t>30</t>
        </is>
      </c>
      <c r="P158" s="49" t="inlineStr"/>
      <c r="Q158" s="49" t="inlineStr"/>
      <c r="R158" s="49" t="n">
        <v>70</v>
      </c>
      <c r="S158" s="49" t="n">
        <v>0.35</v>
      </c>
      <c r="T158" s="50" t="n">
        <v>0.15</v>
      </c>
      <c r="U158" s="49" t="n">
        <v>0</v>
      </c>
    </row>
    <row r="159">
      <c r="A159" s="49" t="inlineStr">
        <is>
          <t>B177</t>
        </is>
      </c>
      <c r="B159" s="49" t="inlineStr">
        <is>
          <t>Psicología Evolutiva y Didáctica</t>
        </is>
      </c>
      <c r="C159" s="49" t="inlineStr">
        <is>
          <t>DOCTORADO EN INVESTIGACIÓN EDUCATIVA</t>
        </is>
      </c>
      <c r="D159" s="49" t="inlineStr">
        <is>
          <t>Giner Samper, Pilar</t>
        </is>
      </c>
      <c r="E159" s="49" t="inlineStr">
        <is>
          <t>Educadoras y educadores museísticos: contribución de sus historias de vida a la experiencia educativa del Museo Arqueológico Provincial de Alicante.</t>
        </is>
      </c>
      <c r="F159" s="49" t="inlineStr">
        <is>
          <t>23/07/2025</t>
        </is>
      </c>
      <c r="G159" s="49" t="inlineStr">
        <is>
          <t>76941801Q</t>
        </is>
      </c>
      <c r="H159" s="49" t="inlineStr">
        <is>
          <t>Director de tesis</t>
        </is>
      </c>
      <c r="I159" s="49" t="inlineStr">
        <is>
          <t>B112</t>
        </is>
      </c>
      <c r="J159" s="49" t="inlineStr">
        <is>
          <t>Didáctica General y Didácticas específicas</t>
        </is>
      </c>
      <c r="K159" s="49" t="n">
        <v>1</v>
      </c>
      <c r="L159" s="49" t="inlineStr">
        <is>
          <t>B112</t>
        </is>
      </c>
      <c r="M159" s="49" t="n">
        <v>2024</v>
      </c>
      <c r="N159" s="49" t="inlineStr">
        <is>
          <t>10.23</t>
        </is>
      </c>
      <c r="O159" s="49" t="inlineStr">
        <is>
          <t>20</t>
        </is>
      </c>
      <c r="P159" s="49" t="inlineStr">
        <is>
          <t>10.25</t>
        </is>
      </c>
      <c r="Q159" s="49" t="inlineStr">
        <is>
          <t>30</t>
        </is>
      </c>
      <c r="R159" s="49" t="n">
        <v>50</v>
      </c>
      <c r="S159" s="49" t="n">
        <v>0.5</v>
      </c>
      <c r="T159" s="50" t="n">
        <v>0.2</v>
      </c>
      <c r="U159" s="49" t="n">
        <v>0.3</v>
      </c>
    </row>
    <row r="160">
      <c r="A160" s="49" t="inlineStr">
        <is>
          <t>U062</t>
        </is>
      </c>
      <c r="B160" s="49" t="inlineStr">
        <is>
          <t>Instituto Universitario de Investigación Informática (10.19)</t>
        </is>
      </c>
      <c r="C160" s="49" t="inlineStr">
        <is>
          <t>DOCTORADO EN INFORMÁTICA</t>
        </is>
      </c>
      <c r="D160" s="49" t="inlineStr">
        <is>
          <t>Brenes Carranza, José Antonio</t>
        </is>
      </c>
      <c r="E160" s="49" t="inlineStr">
        <is>
          <t>ARQUITECTURA PARA MONITORIZACIÓN, CONTROL Y NOTIFICACIÓN PERSONALIZADA
PARA AGRICULTURA DE PRECISIÓN DIRIGIDA A PEQUEÑOS Y MEDIANOS
AGRICULTORES</t>
        </is>
      </c>
      <c r="F160" s="49" t="inlineStr">
        <is>
          <t>11/06/2025</t>
        </is>
      </c>
      <c r="G160" s="49" t="inlineStr">
        <is>
          <t>09371918Q</t>
        </is>
      </c>
      <c r="H160" s="49" t="inlineStr">
        <is>
          <t>Codirector de tesis</t>
        </is>
      </c>
      <c r="I160" s="49" t="inlineStr">
        <is>
          <t>B148</t>
        </is>
      </c>
      <c r="J160" s="49" t="inlineStr">
        <is>
          <t>Tecnología Informática y Computación</t>
        </is>
      </c>
      <c r="K160" s="49" t="n">
        <v>0.5</v>
      </c>
      <c r="L160" s="49" t="inlineStr">
        <is>
          <t>B148</t>
        </is>
      </c>
      <c r="M160" s="49" t="n">
        <v>2024</v>
      </c>
      <c r="N160" s="49" t="inlineStr">
        <is>
          <t>10.19</t>
        </is>
      </c>
      <c r="O160" s="49" t="inlineStr">
        <is>
          <t>10</t>
        </is>
      </c>
      <c r="P160" s="49" t="inlineStr">
        <is>
          <t>10.25</t>
        </is>
      </c>
      <c r="Q160" s="49" t="inlineStr">
        <is>
          <t>10</t>
        </is>
      </c>
      <c r="R160" s="49" t="n">
        <v>80</v>
      </c>
      <c r="S160" s="49" t="n">
        <v>0.4</v>
      </c>
      <c r="T160" s="50" t="n">
        <v>0.05</v>
      </c>
      <c r="U160" s="49" t="n">
        <v>0.05</v>
      </c>
    </row>
    <row r="161">
      <c r="A161" s="49" t="inlineStr">
        <is>
          <t>U075</t>
        </is>
      </c>
      <c r="B161" s="49" t="inlineStr">
        <is>
          <t>Instituto Universitario Investigación de Estudios Sociales de América Latina (10</t>
        </is>
      </c>
      <c r="C161" s="49" t="inlineStr">
        <is>
          <t>DOCTORADO EN HUMANIDADES Y ESTUDIOS SOCIALES DE AMÉRICA LATINA</t>
        </is>
      </c>
      <c r="D161" s="49" t="inlineStr">
        <is>
          <t>Pérez Guevara, David Anacleto</t>
        </is>
      </c>
      <c r="E161" s="49" t="inlineStr">
        <is>
          <t>Metodología para la evaluación del potencial turístico de una localidad</t>
        </is>
      </c>
      <c r="F161" s="49" t="inlineStr">
        <is>
          <t>16/09/2025</t>
        </is>
      </c>
      <c r="G161" s="49" t="inlineStr">
        <is>
          <t>74218386P</t>
        </is>
      </c>
      <c r="H161" s="49" t="inlineStr">
        <is>
          <t>Codirector de tesis</t>
        </is>
      </c>
      <c r="I161" s="49" t="inlineStr">
        <is>
          <t>B120</t>
        </is>
      </c>
      <c r="J161" s="49" t="inlineStr">
        <is>
          <t>Geografía Humana</t>
        </is>
      </c>
      <c r="K161" s="49" t="n">
        <v>0.5</v>
      </c>
      <c r="L161" s="49" t="inlineStr">
        <is>
          <t>B120</t>
        </is>
      </c>
      <c r="M161" s="49" t="n">
        <v>2024</v>
      </c>
      <c r="N161" s="49" t="inlineStr">
        <is>
          <t>10.21</t>
        </is>
      </c>
      <c r="O161" s="49" t="inlineStr">
        <is>
          <t>30</t>
        </is>
      </c>
      <c r="P161" s="49" t="inlineStr">
        <is>
          <t>10.25</t>
        </is>
      </c>
      <c r="Q161" s="49" t="inlineStr">
        <is>
          <t>30</t>
        </is>
      </c>
      <c r="R161" s="49" t="n">
        <v>40</v>
      </c>
      <c r="S161" s="49" t="n">
        <v>0.2</v>
      </c>
      <c r="T161" s="50" t="n">
        <v>0.15</v>
      </c>
      <c r="U161" s="49" t="n">
        <v>0.15</v>
      </c>
    </row>
    <row r="162">
      <c r="A162" s="28" t="n"/>
      <c r="B162" s="28" t="n"/>
      <c r="C162" s="28" t="n"/>
      <c r="D162" s="28" t="n"/>
      <c r="E162" s="28" t="n"/>
      <c r="F162" s="28" t="n"/>
      <c r="G162" s="28" t="n"/>
      <c r="H162" s="28" t="n"/>
      <c r="I162" s="28" t="n"/>
      <c r="J162" s="28" t="n"/>
      <c r="K162" s="28" t="n"/>
      <c r="L162" s="29" t="n"/>
      <c r="M162" s="28" t="n"/>
      <c r="N162" s="29" t="n"/>
      <c r="O162" s="28" t="n"/>
      <c r="P162" s="29" t="n"/>
      <c r="Q162" s="28" t="n"/>
      <c r="R162" s="28" t="n"/>
      <c r="S162" s="67">
        <f>SUM(S116:S125,T23:T115,U2:U22,T126,S127,T128:T132,S133:S139,T140:T158,U159:U161)</f>
        <v/>
      </c>
      <c r="T162" s="70" t="n"/>
      <c r="U162" s="70" t="n"/>
    </row>
  </sheetData>
  <autoFilter ref="A1:T162"/>
  <mergeCells count="1">
    <mergeCell ref="S162:U162"/>
  </mergeCells>
  <printOptions horizontalCentered="1"/>
  <pageMargins left="0.1968503937007874" right="0.1968503937007874" top="0.3937007874015748" bottom="0.3937007874015748" header="0.7874015748031497" footer="0"/>
  <pageSetup orientation="landscape" paperSize="9" scale="92" fitToHeight="22" fitToWidth="2"/>
</worksheet>
</file>

<file path=xl/worksheets/sheet2.xml><?xml version="1.0" encoding="utf-8"?>
<worksheet xmlns="http://schemas.openxmlformats.org/spreadsheetml/2006/main">
  <sheetPr>
    <outlinePr summaryBelow="1" summaryRight="1"/>
    <pageSetUpPr fitToPage="1"/>
  </sheetPr>
  <dimension ref="A1:S80"/>
  <sheetViews>
    <sheetView topLeftCell="A68" zoomScaleNormal="100" workbookViewId="0">
      <selection activeCell="W64" sqref="W64"/>
    </sheetView>
  </sheetViews>
  <sheetFormatPr baseColWidth="10" defaultColWidth="11.42578125" defaultRowHeight="12.75"/>
  <cols>
    <col width="10.85546875" bestFit="1" customWidth="1" style="9" min="1" max="1"/>
    <col width="39.85546875" bestFit="1" customWidth="1" style="9" min="2" max="2"/>
    <col width="17" bestFit="1" customWidth="1" style="9" min="3" max="3"/>
    <col width="3.28515625" bestFit="1" customWidth="1" style="9" min="4" max="9"/>
    <col width="13.140625" bestFit="1" customWidth="1" style="9" min="10" max="10"/>
    <col width="5.28515625" bestFit="1" customWidth="1" style="9" min="11" max="11"/>
    <col width="5.7109375" bestFit="1" customWidth="1" style="9" min="12" max="12"/>
    <col width="5.7109375" bestFit="1" customWidth="1" style="10" min="13" max="14"/>
    <col width="5.7109375" bestFit="1" customWidth="1" style="9" min="15" max="15"/>
    <col width="5.7109375" bestFit="1" customWidth="1" style="10" min="16" max="16"/>
    <col width="5.7109375" bestFit="1" customWidth="1" style="9" min="17" max="19"/>
    <col width="11.42578125" customWidth="1" style="9" min="20" max="16384"/>
  </cols>
  <sheetData>
    <row r="1" ht="30" customHeight="1">
      <c r="A1" s="11" t="inlineStr">
        <is>
          <t>NIF</t>
        </is>
      </c>
      <c r="B1" s="11" t="inlineStr">
        <is>
          <t>NOMBRE_COMPLETO</t>
        </is>
      </c>
      <c r="C1" s="11" t="inlineStr">
        <is>
          <t>TIPO_SEXENIO</t>
        </is>
      </c>
      <c r="D1" s="12" t="inlineStr">
        <is>
          <t>2020</t>
        </is>
      </c>
      <c r="E1" s="12" t="inlineStr">
        <is>
          <t>2021</t>
        </is>
      </c>
      <c r="F1" s="12" t="inlineStr">
        <is>
          <t>2022</t>
        </is>
      </c>
      <c r="G1" s="12" t="inlineStr">
        <is>
          <t>2023</t>
        </is>
      </c>
      <c r="H1" s="12" t="inlineStr">
        <is>
          <t>2024</t>
        </is>
      </c>
      <c r="I1" s="12" t="inlineStr">
        <is>
          <t>2025</t>
        </is>
      </c>
      <c r="J1" s="11" t="inlineStr">
        <is>
          <t>Total general</t>
        </is>
      </c>
      <c r="K1" s="13" t="inlineStr">
        <is>
          <t>COD DEP</t>
        </is>
      </c>
      <c r="L1" s="7" t="inlineStr">
        <is>
          <t>INS
1</t>
        </is>
      </c>
      <c r="M1" s="7" t="inlineStr">
        <is>
          <t>DED
INS 1</t>
        </is>
      </c>
      <c r="N1" s="7" t="inlineStr">
        <is>
          <t>INS
2</t>
        </is>
      </c>
      <c r="O1" s="7" t="inlineStr">
        <is>
          <t>DED
INS 2</t>
        </is>
      </c>
      <c r="P1" s="8" t="inlineStr">
        <is>
          <t>DED
DEP</t>
        </is>
      </c>
      <c r="Q1" s="8" t="inlineStr">
        <is>
          <t>SEX
INS 1</t>
        </is>
      </c>
      <c r="R1" s="8" t="inlineStr">
        <is>
          <t>SEX
INS 2</t>
        </is>
      </c>
      <c r="S1" s="8" t="inlineStr">
        <is>
          <t>SEX
DEP</t>
        </is>
      </c>
    </row>
    <row r="2" ht="15" customHeight="1">
      <c r="A2" s="14" t="inlineStr">
        <is>
          <t>05150725J</t>
        </is>
      </c>
      <c r="B2" s="14" t="inlineStr">
        <is>
          <t>Cifuentes Honrubia, José Luis</t>
        </is>
      </c>
      <c r="C2" s="14" t="inlineStr">
        <is>
          <t>FUNCIONARIO</t>
        </is>
      </c>
      <c r="D2" s="14" t="n"/>
      <c r="E2" s="14" t="n"/>
      <c r="F2" s="14" t="n"/>
      <c r="G2" s="14" t="n">
        <v>1</v>
      </c>
      <c r="H2" s="14" t="n"/>
      <c r="I2" s="14" t="n"/>
      <c r="J2" s="14" t="n">
        <v>1</v>
      </c>
      <c r="K2" s="14" t="inlineStr">
        <is>
          <t>B115</t>
        </is>
      </c>
      <c r="L2" s="15" t="inlineStr">
        <is>
          <t>10.25</t>
        </is>
      </c>
      <c r="M2" s="15" t="inlineStr">
        <is>
          <t>30</t>
        </is>
      </c>
      <c r="N2" s="15" t="inlineStr">
        <is>
          <t>10.15</t>
        </is>
      </c>
      <c r="O2" s="15" t="inlineStr">
        <is>
          <t>10</t>
        </is>
      </c>
      <c r="P2" s="15" t="n">
        <v>60</v>
      </c>
      <c r="Q2" s="15" t="n">
        <v>0.3</v>
      </c>
      <c r="R2" s="15" t="n">
        <v>0.1</v>
      </c>
      <c r="S2" s="15" t="n">
        <v>0.6</v>
      </c>
    </row>
    <row r="3" ht="15" customHeight="1">
      <c r="A3" s="14" t="inlineStr">
        <is>
          <t>05413313X</t>
        </is>
      </c>
      <c r="B3" s="14" t="inlineStr">
        <is>
          <t>Ullan De la Rosa, Francisco Javier</t>
        </is>
      </c>
      <c r="C3" s="14" t="inlineStr">
        <is>
          <t>FUNCIONARIO</t>
        </is>
      </c>
      <c r="D3" s="14" t="n"/>
      <c r="E3" s="14" t="n">
        <v>1</v>
      </c>
      <c r="F3" s="14" t="n"/>
      <c r="G3" s="14" t="n"/>
      <c r="H3" s="14" t="n"/>
      <c r="I3" s="14" t="n"/>
      <c r="J3" s="14" t="n">
        <v>1</v>
      </c>
      <c r="K3" s="14" t="inlineStr">
        <is>
          <t>B176</t>
        </is>
      </c>
      <c r="L3" s="15" t="inlineStr">
        <is>
          <t>10.25</t>
        </is>
      </c>
      <c r="M3" s="15" t="inlineStr">
        <is>
          <t>30</t>
        </is>
      </c>
      <c r="N3" s="15" t="inlineStr"/>
      <c r="O3" s="15" t="inlineStr"/>
      <c r="P3" s="15" t="n">
        <v>70</v>
      </c>
      <c r="Q3" s="15" t="n">
        <v>0.3</v>
      </c>
      <c r="R3" s="15" t="n">
        <v>0</v>
      </c>
      <c r="S3" s="15" t="n">
        <v>0.7</v>
      </c>
    </row>
    <row r="4" ht="15" customHeight="1">
      <c r="A4" s="14" t="inlineStr">
        <is>
          <t>09019643D</t>
        </is>
      </c>
      <c r="B4" s="14" t="inlineStr">
        <is>
          <t>Camisón Yagüe, Jose Ángel</t>
        </is>
      </c>
      <c r="C4" s="14" t="inlineStr">
        <is>
          <t>FUNCIONARIO</t>
        </is>
      </c>
      <c r="D4" s="14" t="n">
        <v>2</v>
      </c>
      <c r="E4" s="14" t="n"/>
      <c r="F4" s="14" t="n"/>
      <c r="G4" s="14" t="n"/>
      <c r="H4" s="14" t="n"/>
      <c r="I4" s="14" t="n">
        <v>1</v>
      </c>
      <c r="J4" s="14" t="n">
        <v>3</v>
      </c>
      <c r="K4" s="14" t="inlineStr">
        <is>
          <t>B113</t>
        </is>
      </c>
      <c r="L4" s="15" t="inlineStr">
        <is>
          <t>10.25</t>
        </is>
      </c>
      <c r="M4" s="15" t="inlineStr">
        <is>
          <t>30</t>
        </is>
      </c>
      <c r="N4" s="15" t="inlineStr"/>
      <c r="O4" s="15" t="inlineStr"/>
      <c r="P4" s="15" t="n">
        <v>70</v>
      </c>
      <c r="Q4" s="15" t="n">
        <v>0.9</v>
      </c>
      <c r="R4" s="15" t="n">
        <v>0</v>
      </c>
      <c r="S4" s="15" t="n">
        <v>2.1</v>
      </c>
    </row>
    <row r="5" ht="15" customHeight="1">
      <c r="A5" s="20" t="inlineStr">
        <is>
          <t>09753530N</t>
        </is>
      </c>
      <c r="B5" s="20" t="inlineStr">
        <is>
          <t>González-Varas Ibáñez, Santiago</t>
        </is>
      </c>
      <c r="C5" s="21" t="inlineStr">
        <is>
          <t>FUNCIONARIO</t>
        </is>
      </c>
      <c r="D5" s="20" t="n">
        <v>1</v>
      </c>
      <c r="E5" s="20" t="n"/>
      <c r="F5" s="20" t="n"/>
      <c r="G5" s="20" t="n"/>
      <c r="H5" s="20" t="n"/>
      <c r="I5" s="20" t="n"/>
      <c r="J5" s="14" t="n">
        <v>1</v>
      </c>
      <c r="K5" s="14" t="inlineStr">
        <is>
          <t>B113</t>
        </is>
      </c>
      <c r="L5" s="15" t="inlineStr">
        <is>
          <t>10.25</t>
        </is>
      </c>
      <c r="M5" s="15" t="inlineStr">
        <is>
          <t>80</t>
        </is>
      </c>
      <c r="N5" s="15" t="inlineStr"/>
      <c r="O5" s="15" t="inlineStr"/>
      <c r="P5" s="15" t="n">
        <v>20</v>
      </c>
      <c r="Q5" s="15" t="n">
        <v>0.8</v>
      </c>
      <c r="R5" s="15" t="n">
        <v>0</v>
      </c>
      <c r="S5" s="15" t="n">
        <v>0.2</v>
      </c>
    </row>
    <row r="6" ht="15" customHeight="1">
      <c r="A6" s="14" t="inlineStr">
        <is>
          <t>10078923R</t>
        </is>
      </c>
      <c r="B6" s="14" t="inlineStr">
        <is>
          <t>Gómez López, José Daniel</t>
        </is>
      </c>
      <c r="C6" s="14" t="inlineStr">
        <is>
          <t>Vivos</t>
        </is>
      </c>
      <c r="D6" s="14" t="n"/>
      <c r="E6" s="14" t="n"/>
      <c r="F6" s="14" t="n"/>
      <c r="G6" s="14" t="n"/>
      <c r="H6" s="14" t="n"/>
      <c r="I6" s="14" t="n">
        <v>1</v>
      </c>
      <c r="J6" s="14" t="n">
        <v>1</v>
      </c>
      <c r="K6" s="14" t="inlineStr">
        <is>
          <t>B120</t>
        </is>
      </c>
      <c r="L6" s="15" t="inlineStr">
        <is>
          <t>10.25</t>
        </is>
      </c>
      <c r="M6" s="15" t="inlineStr">
        <is>
          <t>30</t>
        </is>
      </c>
      <c r="N6" s="15" t="inlineStr"/>
      <c r="O6" s="15" t="inlineStr"/>
      <c r="P6" s="15" t="n">
        <v>70</v>
      </c>
      <c r="Q6" s="15" t="n">
        <v>0.3</v>
      </c>
      <c r="R6" s="15" t="n">
        <v>0</v>
      </c>
      <c r="S6" s="15" t="n">
        <v>0.7</v>
      </c>
    </row>
    <row r="7" ht="15" customHeight="1">
      <c r="A7" s="14" t="inlineStr">
        <is>
          <t>15852799A</t>
        </is>
      </c>
      <c r="B7" s="14" t="inlineStr">
        <is>
          <t>Zabalza Arbizu, Juan Ángel</t>
        </is>
      </c>
      <c r="C7" s="14" t="inlineStr">
        <is>
          <t>FUNCIONARIO</t>
        </is>
      </c>
      <c r="D7" s="14" t="n"/>
      <c r="E7" s="14" t="n"/>
      <c r="F7" s="14" t="n"/>
      <c r="G7" s="14" t="n"/>
      <c r="H7" s="14" t="n">
        <v>1</v>
      </c>
      <c r="I7" s="14" t="n"/>
      <c r="J7" s="14" t="n">
        <v>1</v>
      </c>
      <c r="K7" s="14" t="inlineStr">
        <is>
          <t>B138</t>
        </is>
      </c>
      <c r="L7" s="15" t="inlineStr">
        <is>
          <t>10.25</t>
        </is>
      </c>
      <c r="M7" s="15" t="inlineStr">
        <is>
          <t>50</t>
        </is>
      </c>
      <c r="N7" s="15" t="inlineStr"/>
      <c r="O7" s="15" t="inlineStr"/>
      <c r="P7" s="15" t="n">
        <v>50</v>
      </c>
      <c r="Q7" s="15" t="n">
        <v>0.5</v>
      </c>
      <c r="R7" s="15" t="n">
        <v>0</v>
      </c>
      <c r="S7" s="15" t="n">
        <v>0.5</v>
      </c>
    </row>
    <row r="8" ht="15" customHeight="1">
      <c r="A8" s="14" t="inlineStr">
        <is>
          <t>21417350A</t>
        </is>
      </c>
      <c r="B8" s="14" t="inlineStr">
        <is>
          <t>Vidal Olivares, Francisco Javier</t>
        </is>
      </c>
      <c r="C8" s="14" t="inlineStr">
        <is>
          <t>FUNCIONARIO</t>
        </is>
      </c>
      <c r="D8" s="14" t="n">
        <v>1</v>
      </c>
      <c r="E8" s="14" t="n"/>
      <c r="F8" s="14" t="n"/>
      <c r="G8" s="14" t="n"/>
      <c r="H8" s="14" t="n"/>
      <c r="I8" s="14" t="n"/>
      <c r="J8" s="14" t="n">
        <v>1</v>
      </c>
      <c r="K8" s="14" t="inlineStr">
        <is>
          <t>B138</t>
        </is>
      </c>
      <c r="L8" s="15" t="inlineStr">
        <is>
          <t>10.25</t>
        </is>
      </c>
      <c r="M8" s="15" t="inlineStr">
        <is>
          <t>80</t>
        </is>
      </c>
      <c r="N8" s="15" t="inlineStr"/>
      <c r="O8" s="15" t="inlineStr"/>
      <c r="P8" s="15" t="n">
        <v>20</v>
      </c>
      <c r="Q8" s="15" t="n">
        <v>0.8</v>
      </c>
      <c r="R8" s="15" t="n">
        <v>0</v>
      </c>
      <c r="S8" s="15" t="n">
        <v>0.2</v>
      </c>
    </row>
    <row r="9" ht="15" customHeight="1">
      <c r="A9" s="14" t="inlineStr">
        <is>
          <t>21419805C</t>
        </is>
      </c>
      <c r="B9" s="14" t="inlineStr">
        <is>
          <t>Saiz Pastor, Candelaria</t>
        </is>
      </c>
      <c r="C9" s="14" t="inlineStr">
        <is>
          <t>FUNCIONARIO</t>
        </is>
      </c>
      <c r="D9" s="14" t="n"/>
      <c r="E9" s="14" t="n"/>
      <c r="F9" s="14" t="n"/>
      <c r="G9" s="14" t="n"/>
      <c r="H9" s="14" t="n">
        <v>1</v>
      </c>
      <c r="I9" s="14" t="n"/>
      <c r="J9" s="14" t="n">
        <v>1</v>
      </c>
      <c r="K9" s="14" t="inlineStr">
        <is>
          <t>B138</t>
        </is>
      </c>
      <c r="L9" s="15" t="inlineStr">
        <is>
          <t>10.25</t>
        </is>
      </c>
      <c r="M9" s="15" t="inlineStr">
        <is>
          <t>80</t>
        </is>
      </c>
      <c r="N9" s="15" t="inlineStr"/>
      <c r="O9" s="15" t="inlineStr"/>
      <c r="P9" s="15" t="n">
        <v>20</v>
      </c>
      <c r="Q9" s="15" t="n">
        <v>0.8</v>
      </c>
      <c r="R9" s="15" t="n">
        <v>0</v>
      </c>
      <c r="S9" s="15" t="n">
        <v>0.2</v>
      </c>
    </row>
    <row r="10" ht="15" customHeight="1">
      <c r="A10" s="14" t="inlineStr">
        <is>
          <t>21420390F</t>
        </is>
      </c>
      <c r="B10" s="14" t="inlineStr">
        <is>
          <t>Roche Cárcel, Juan Antonio</t>
        </is>
      </c>
      <c r="C10" s="14" t="inlineStr">
        <is>
          <t>FUNCIONARIO</t>
        </is>
      </c>
      <c r="D10" s="14" t="n"/>
      <c r="E10" s="14" t="n"/>
      <c r="F10" s="14" t="n"/>
      <c r="G10" s="14" t="n">
        <v>1</v>
      </c>
      <c r="H10" s="14" t="n"/>
      <c r="I10" s="14" t="n"/>
      <c r="J10" s="14" t="n">
        <v>1</v>
      </c>
      <c r="K10" s="14" t="inlineStr">
        <is>
          <t>B179</t>
        </is>
      </c>
      <c r="L10" s="15" t="inlineStr">
        <is>
          <t>10.25</t>
        </is>
      </c>
      <c r="M10" s="15" t="inlineStr">
        <is>
          <t>30</t>
        </is>
      </c>
      <c r="N10" s="15" t="inlineStr"/>
      <c r="O10" s="15" t="inlineStr"/>
      <c r="P10" s="15" t="n">
        <v>70</v>
      </c>
      <c r="Q10" s="15" t="n">
        <v>0.3</v>
      </c>
      <c r="R10" s="15" t="n">
        <v>0</v>
      </c>
      <c r="S10" s="15" t="n">
        <v>0.7</v>
      </c>
    </row>
    <row r="11" ht="15" customHeight="1">
      <c r="A11" s="14" t="inlineStr">
        <is>
          <t>21436046T</t>
        </is>
      </c>
      <c r="B11" s="14" t="inlineStr">
        <is>
          <t>Barrio Barrio, Juan Antonio</t>
        </is>
      </c>
      <c r="C11" s="14" t="inlineStr">
        <is>
          <t>FUNCIONARIO</t>
        </is>
      </c>
      <c r="D11" s="14" t="n"/>
      <c r="E11" s="14" t="n"/>
      <c r="F11" s="14" t="n"/>
      <c r="G11" s="14" t="n">
        <v>1</v>
      </c>
      <c r="H11" s="14" t="n"/>
      <c r="I11" s="14" t="n"/>
      <c r="J11" s="14" t="n">
        <v>1</v>
      </c>
      <c r="K11" s="14" t="inlineStr">
        <is>
          <t>B174</t>
        </is>
      </c>
      <c r="L11" s="15" t="inlineStr">
        <is>
          <t>10.25</t>
        </is>
      </c>
      <c r="M11" s="15" t="inlineStr">
        <is>
          <t>25</t>
        </is>
      </c>
      <c r="N11" s="15" t="inlineStr">
        <is>
          <t>10.23</t>
        </is>
      </c>
      <c r="O11" s="15" t="inlineStr">
        <is>
          <t>10</t>
        </is>
      </c>
      <c r="P11" s="15" t="n">
        <v>65</v>
      </c>
      <c r="Q11" s="15" t="n">
        <v>0.25</v>
      </c>
      <c r="R11" s="15" t="n">
        <v>0.1</v>
      </c>
      <c r="S11" s="15" t="n">
        <v>0.65</v>
      </c>
    </row>
    <row r="12" ht="15" customHeight="1">
      <c r="A12" s="14" t="inlineStr">
        <is>
          <t>21445733G</t>
        </is>
      </c>
      <c r="B12" s="14" t="inlineStr">
        <is>
          <t>Menéndez Alzamora, Manuel</t>
        </is>
      </c>
      <c r="C12" s="14" t="inlineStr">
        <is>
          <t>FUNCIONARIO</t>
        </is>
      </c>
      <c r="D12" s="14" t="n"/>
      <c r="E12" s="14" t="n"/>
      <c r="F12" s="14" t="n"/>
      <c r="G12" s="14" t="n"/>
      <c r="H12" s="14" t="n">
        <v>1</v>
      </c>
      <c r="I12" s="14" t="n">
        <v>1</v>
      </c>
      <c r="J12" s="14" t="n">
        <v>2</v>
      </c>
      <c r="K12" s="14" t="inlineStr">
        <is>
          <t>B113</t>
        </is>
      </c>
      <c r="L12" s="15" t="inlineStr">
        <is>
          <t>10.25</t>
        </is>
      </c>
      <c r="M12" s="15" t="inlineStr">
        <is>
          <t>10</t>
        </is>
      </c>
      <c r="N12" s="15" t="inlineStr"/>
      <c r="O12" s="15" t="inlineStr"/>
      <c r="P12" s="15" t="n">
        <v>90</v>
      </c>
      <c r="Q12" s="15" t="n">
        <v>0.2</v>
      </c>
      <c r="R12" s="15" t="n">
        <v>0</v>
      </c>
      <c r="S12" s="15" t="n">
        <v>1.8</v>
      </c>
    </row>
    <row r="13" ht="15" customHeight="1">
      <c r="A13" s="14" t="inlineStr">
        <is>
          <t>21450008R</t>
        </is>
      </c>
      <c r="B13" s="14" t="inlineStr">
        <is>
          <t>Rosa Moreno, Juan</t>
        </is>
      </c>
      <c r="C13" s="14" t="inlineStr">
        <is>
          <t>Vivos</t>
        </is>
      </c>
      <c r="D13" s="14" t="n"/>
      <c r="E13" s="14" t="n"/>
      <c r="F13" s="14" t="n"/>
      <c r="G13" s="14" t="n"/>
      <c r="H13" s="14" t="n"/>
      <c r="I13" s="14" t="n">
        <v>1</v>
      </c>
      <c r="J13" s="14" t="n">
        <v>1</v>
      </c>
      <c r="K13" s="14" t="inlineStr">
        <is>
          <t>B113</t>
        </is>
      </c>
      <c r="L13" s="15" t="inlineStr">
        <is>
          <t>10.25</t>
        </is>
      </c>
      <c r="M13" s="15" t="inlineStr">
        <is>
          <t>50</t>
        </is>
      </c>
      <c r="N13" s="15" t="inlineStr"/>
      <c r="O13" s="15" t="inlineStr"/>
      <c r="P13" s="15" t="n">
        <v>50</v>
      </c>
      <c r="Q13" s="15" t="n">
        <v>0.5</v>
      </c>
      <c r="R13" s="15" t="n">
        <v>0</v>
      </c>
      <c r="S13" s="15" t="n">
        <v>0.5</v>
      </c>
    </row>
    <row r="14" ht="15" customHeight="1">
      <c r="A14" s="14" t="inlineStr">
        <is>
          <t>21455665T</t>
        </is>
      </c>
      <c r="B14" s="14" t="inlineStr">
        <is>
          <t>Rivera Sánchez, Juan Ramón</t>
        </is>
      </c>
      <c r="C14" s="14" t="inlineStr">
        <is>
          <t>FUNCIONARIO</t>
        </is>
      </c>
      <c r="D14" s="14" t="n"/>
      <c r="E14" s="14" t="n">
        <v>1</v>
      </c>
      <c r="F14" s="14" t="n"/>
      <c r="G14" s="14" t="n"/>
      <c r="H14" s="14" t="n"/>
      <c r="I14" s="14" t="n"/>
      <c r="J14" s="14" t="n">
        <v>1</v>
      </c>
      <c r="K14" s="14" t="inlineStr">
        <is>
          <t>B140</t>
        </is>
      </c>
      <c r="L14" s="15" t="inlineStr">
        <is>
          <t>10.25</t>
        </is>
      </c>
      <c r="M14" s="15" t="inlineStr">
        <is>
          <t>50</t>
        </is>
      </c>
      <c r="N14" s="15" t="inlineStr"/>
      <c r="O14" s="15" t="inlineStr"/>
      <c r="P14" s="15" t="n">
        <v>50</v>
      </c>
      <c r="Q14" s="15" t="n">
        <v>0.5</v>
      </c>
      <c r="R14" s="15" t="n">
        <v>0</v>
      </c>
      <c r="S14" s="15" t="n">
        <v>0.5</v>
      </c>
    </row>
    <row r="15" ht="15" customHeight="1">
      <c r="A15" s="14" t="inlineStr">
        <is>
          <t>21456802X</t>
        </is>
      </c>
      <c r="B15" s="14" t="inlineStr">
        <is>
          <t>Giner Pérez, Jose Miguel</t>
        </is>
      </c>
      <c r="C15" s="14" t="inlineStr">
        <is>
          <t>FUNCIONARIO</t>
        </is>
      </c>
      <c r="D15" s="14" t="n"/>
      <c r="E15" s="14" t="n"/>
      <c r="F15" s="14" t="n"/>
      <c r="G15" s="14" t="n"/>
      <c r="H15" s="14" t="n"/>
      <c r="I15" s="14" t="n">
        <v>1</v>
      </c>
      <c r="J15" s="14" t="n">
        <v>1</v>
      </c>
      <c r="K15" s="14" t="inlineStr">
        <is>
          <t>B139</t>
        </is>
      </c>
      <c r="L15" s="15" t="inlineStr">
        <is>
          <t>10.25</t>
        </is>
      </c>
      <c r="M15" s="15" t="inlineStr">
        <is>
          <t>20</t>
        </is>
      </c>
      <c r="N15" s="15" t="inlineStr">
        <is>
          <t>10.23</t>
        </is>
      </c>
      <c r="O15" s="15" t="inlineStr">
        <is>
          <t>10</t>
        </is>
      </c>
      <c r="P15" s="15" t="n">
        <v>70</v>
      </c>
      <c r="Q15" s="15" t="n">
        <v>0.2</v>
      </c>
      <c r="R15" s="15" t="n">
        <v>0.1</v>
      </c>
      <c r="S15" s="15" t="n">
        <v>0.7</v>
      </c>
    </row>
    <row r="16" ht="15" customHeight="1">
      <c r="A16" s="14" t="inlineStr">
        <is>
          <t>21457927P</t>
        </is>
      </c>
      <c r="B16" s="14" t="inlineStr">
        <is>
          <t>Moreno Fonseret, Roque</t>
        </is>
      </c>
      <c r="C16" s="16" t="inlineStr">
        <is>
          <t>FUNCIONARIO</t>
        </is>
      </c>
      <c r="D16" s="14" t="n"/>
      <c r="E16" s="14" t="n"/>
      <c r="F16" s="14" t="n"/>
      <c r="G16" s="14" t="n">
        <v>1</v>
      </c>
      <c r="H16" s="14" t="n"/>
      <c r="I16" s="14" t="n"/>
      <c r="J16" s="14" t="n">
        <v>1</v>
      </c>
      <c r="K16" s="14" t="inlineStr">
        <is>
          <t>B122</t>
        </is>
      </c>
      <c r="L16" s="15" t="inlineStr">
        <is>
          <t>10.25</t>
        </is>
      </c>
      <c r="M16" s="15" t="inlineStr">
        <is>
          <t>80</t>
        </is>
      </c>
      <c r="N16" s="15" t="inlineStr"/>
      <c r="O16" s="15" t="inlineStr"/>
      <c r="P16" s="15" t="n">
        <v>20</v>
      </c>
      <c r="Q16" s="15" t="n">
        <v>0.8</v>
      </c>
      <c r="R16" s="15" t="n">
        <v>0</v>
      </c>
      <c r="S16" s="15" t="n">
        <v>0.2</v>
      </c>
    </row>
    <row r="17" ht="15" customHeight="1">
      <c r="A17" s="14" t="inlineStr">
        <is>
          <t>21463378P</t>
        </is>
      </c>
      <c r="B17" s="14" t="inlineStr">
        <is>
          <t>Tur Viñes, Maria Victoria</t>
        </is>
      </c>
      <c r="C17" s="14" t="inlineStr">
        <is>
          <t>FUNCIONARIO</t>
        </is>
      </c>
      <c r="D17" s="14" t="n"/>
      <c r="E17" s="14" t="n"/>
      <c r="F17" s="14" t="n">
        <v>1</v>
      </c>
      <c r="G17" s="14" t="n"/>
      <c r="H17" s="14" t="n"/>
      <c r="I17" s="14" t="n"/>
      <c r="J17" s="14" t="n">
        <v>1</v>
      </c>
      <c r="K17" s="14" t="inlineStr">
        <is>
          <t>B175</t>
        </is>
      </c>
      <c r="L17" s="15" t="inlineStr">
        <is>
          <t>10.25</t>
        </is>
      </c>
      <c r="M17" s="15" t="inlineStr">
        <is>
          <t>30</t>
        </is>
      </c>
      <c r="N17" s="15" t="inlineStr"/>
      <c r="O17" s="15" t="inlineStr"/>
      <c r="P17" s="15" t="n">
        <v>70</v>
      </c>
      <c r="Q17" s="15" t="n">
        <v>0.3</v>
      </c>
      <c r="R17" s="15" t="n">
        <v>0</v>
      </c>
      <c r="S17" s="15" t="n">
        <v>0.7</v>
      </c>
    </row>
    <row r="18" ht="15" customHeight="1">
      <c r="A18" s="14" t="inlineStr">
        <is>
          <t>21474106H</t>
        </is>
      </c>
      <c r="B18" s="14" t="inlineStr">
        <is>
          <t>Terol Gómez, Ramón</t>
        </is>
      </c>
      <c r="C18" s="14" t="inlineStr">
        <is>
          <t>FUNCIONARIO</t>
        </is>
      </c>
      <c r="D18" s="14" t="n"/>
      <c r="E18" s="14" t="n"/>
      <c r="F18" s="14" t="n"/>
      <c r="G18" s="14" t="n"/>
      <c r="H18" s="14" t="n">
        <v>1</v>
      </c>
      <c r="I18" s="14" t="n"/>
      <c r="J18" s="14" t="n">
        <v>1</v>
      </c>
      <c r="K18" s="14" t="inlineStr">
        <is>
          <t>B113</t>
        </is>
      </c>
      <c r="L18" s="15" t="inlineStr">
        <is>
          <t>10.25</t>
        </is>
      </c>
      <c r="M18" s="15" t="inlineStr">
        <is>
          <t>50</t>
        </is>
      </c>
      <c r="N18" s="15" t="inlineStr"/>
      <c r="O18" s="15" t="inlineStr"/>
      <c r="P18" s="15" t="n">
        <v>50</v>
      </c>
      <c r="Q18" s="15" t="n">
        <v>0.5</v>
      </c>
      <c r="R18" s="15" t="n">
        <v>0</v>
      </c>
      <c r="S18" s="15" t="n">
        <v>0.5</v>
      </c>
    </row>
    <row r="19" ht="15" customHeight="1">
      <c r="A19" s="14" t="inlineStr">
        <is>
          <t>21478237D</t>
        </is>
      </c>
      <c r="B19" s="14" t="inlineStr">
        <is>
          <t>Santa María Beneyto, María Jesús</t>
        </is>
      </c>
      <c r="C19" s="14" t="inlineStr">
        <is>
          <t>FUNCIONARIO</t>
        </is>
      </c>
      <c r="D19" s="14" t="n"/>
      <c r="E19" s="14" t="n"/>
      <c r="F19" s="14" t="n"/>
      <c r="G19" s="14" t="n"/>
      <c r="H19" s="14" t="n">
        <v>1</v>
      </c>
      <c r="I19" s="14" t="n"/>
      <c r="J19" s="14" t="n">
        <v>1</v>
      </c>
      <c r="K19" s="14" t="inlineStr">
        <is>
          <t>B139</t>
        </is>
      </c>
      <c r="L19" s="15" t="inlineStr">
        <is>
          <t>10.25</t>
        </is>
      </c>
      <c r="M19" s="15" t="inlineStr">
        <is>
          <t>30</t>
        </is>
      </c>
      <c r="N19" s="15" t="inlineStr"/>
      <c r="O19" s="15" t="inlineStr"/>
      <c r="P19" s="15" t="n">
        <v>70</v>
      </c>
      <c r="Q19" s="15" t="n">
        <v>0.3</v>
      </c>
      <c r="R19" s="15" t="n">
        <v>0</v>
      </c>
      <c r="S19" s="15" t="n">
        <v>0.7</v>
      </c>
    </row>
    <row r="20" ht="15" customHeight="1">
      <c r="A20" s="14" t="inlineStr">
        <is>
          <t>21480784A</t>
        </is>
      </c>
      <c r="B20" s="14" t="inlineStr">
        <is>
          <t>Jiménez Delgado, Antonio</t>
        </is>
      </c>
      <c r="C20" s="14" t="inlineStr">
        <is>
          <t>FUNCIONARIO</t>
        </is>
      </c>
      <c r="D20" s="14" t="n"/>
      <c r="E20" s="14" t="n"/>
      <c r="F20" s="14" t="n">
        <v>1</v>
      </c>
      <c r="G20" s="14" t="n"/>
      <c r="H20" s="14" t="n"/>
      <c r="I20" s="14" t="n"/>
      <c r="J20" s="14" t="n">
        <v>1</v>
      </c>
      <c r="K20" s="14" t="inlineStr">
        <is>
          <t>B184</t>
        </is>
      </c>
      <c r="L20" s="15" t="inlineStr">
        <is>
          <t>10.25</t>
        </is>
      </c>
      <c r="M20" s="15" t="inlineStr">
        <is>
          <t>10</t>
        </is>
      </c>
      <c r="N20" s="15" t="inlineStr"/>
      <c r="O20" s="15" t="inlineStr"/>
      <c r="P20" s="15" t="n">
        <v>90</v>
      </c>
      <c r="Q20" s="15" t="n">
        <v>0.1</v>
      </c>
      <c r="R20" s="15" t="n">
        <v>0</v>
      </c>
      <c r="S20" s="15" t="n">
        <v>0.9</v>
      </c>
    </row>
    <row r="21" ht="15" customHeight="1">
      <c r="A21" s="14" t="inlineStr">
        <is>
          <t>21489543E</t>
        </is>
      </c>
      <c r="B21" s="14" t="inlineStr">
        <is>
          <t>Sevillano Calero, Francisco</t>
        </is>
      </c>
      <c r="C21" s="14" t="inlineStr">
        <is>
          <t>FUNCIONARIO</t>
        </is>
      </c>
      <c r="D21" s="14" t="n"/>
      <c r="E21" s="14" t="n"/>
      <c r="F21" s="14" t="n"/>
      <c r="G21" s="14" t="n"/>
      <c r="H21" s="14" t="n">
        <v>1</v>
      </c>
      <c r="I21" s="14" t="n"/>
      <c r="J21" s="14" t="n">
        <v>1</v>
      </c>
      <c r="K21" s="14" t="inlineStr">
        <is>
          <t>B122</t>
        </is>
      </c>
      <c r="L21" s="15" t="inlineStr">
        <is>
          <t>10.25</t>
        </is>
      </c>
      <c r="M21" s="15" t="inlineStr">
        <is>
          <t>50</t>
        </is>
      </c>
      <c r="N21" s="15" t="inlineStr"/>
      <c r="O21" s="15" t="inlineStr"/>
      <c r="P21" s="15" t="n">
        <v>50</v>
      </c>
      <c r="Q21" s="15" t="n">
        <v>0.5</v>
      </c>
      <c r="R21" s="15" t="n">
        <v>0</v>
      </c>
      <c r="S21" s="15" t="n">
        <v>0.5</v>
      </c>
    </row>
    <row r="22" ht="15" customHeight="1">
      <c r="A22" s="14" t="inlineStr">
        <is>
          <t>21490870S</t>
        </is>
      </c>
      <c r="B22" s="14" t="inlineStr">
        <is>
          <t>Torres Valdés, Rosa Mª</t>
        </is>
      </c>
      <c r="C22" s="14" t="inlineStr">
        <is>
          <t>FUNCIONARIO</t>
        </is>
      </c>
      <c r="D22" s="14" t="n"/>
      <c r="E22" s="14" t="n">
        <v>1</v>
      </c>
      <c r="F22" s="14" t="n">
        <v>1</v>
      </c>
      <c r="G22" s="14" t="n"/>
      <c r="H22" s="14" t="n"/>
      <c r="I22" s="14" t="n"/>
      <c r="J22" s="14" t="n">
        <v>2</v>
      </c>
      <c r="K22" s="14" t="inlineStr">
        <is>
          <t>B175</t>
        </is>
      </c>
      <c r="L22" s="15" t="inlineStr">
        <is>
          <t>10.25</t>
        </is>
      </c>
      <c r="M22" s="15" t="inlineStr">
        <is>
          <t>30</t>
        </is>
      </c>
      <c r="N22" s="15" t="inlineStr">
        <is>
          <t>10.23</t>
        </is>
      </c>
      <c r="O22" s="15" t="inlineStr">
        <is>
          <t>20</t>
        </is>
      </c>
      <c r="P22" s="15" t="n">
        <v>50</v>
      </c>
      <c r="Q22" s="15" t="n">
        <v>0.6</v>
      </c>
      <c r="R22" s="15" t="n">
        <v>0.4</v>
      </c>
      <c r="S22" s="15" t="n">
        <v>1</v>
      </c>
    </row>
    <row r="23" ht="15" customHeight="1">
      <c r="A23" s="14" t="inlineStr">
        <is>
          <t>21491812Z</t>
        </is>
      </c>
      <c r="B23" s="14" t="inlineStr">
        <is>
          <t>Martínez Sala, Alba María</t>
        </is>
      </c>
      <c r="C23" s="14" t="inlineStr">
        <is>
          <t>FUNCIONARIO</t>
        </is>
      </c>
      <c r="D23" s="14" t="n"/>
      <c r="E23" s="14" t="n"/>
      <c r="F23" s="14" t="n">
        <v>1</v>
      </c>
      <c r="G23" s="14" t="n"/>
      <c r="H23" s="14" t="n"/>
      <c r="I23" s="14" t="n"/>
      <c r="J23" s="14" t="n">
        <v>1</v>
      </c>
      <c r="K23" s="14" t="inlineStr">
        <is>
          <t>B175</t>
        </is>
      </c>
      <c r="L23" s="15" t="inlineStr">
        <is>
          <t>10.25</t>
        </is>
      </c>
      <c r="M23" s="15" t="inlineStr">
        <is>
          <t>30</t>
        </is>
      </c>
      <c r="N23" s="15" t="inlineStr"/>
      <c r="O23" s="15" t="inlineStr"/>
      <c r="P23" s="15" t="n">
        <v>70</v>
      </c>
      <c r="Q23" s="15" t="n">
        <v>0.3</v>
      </c>
      <c r="R23" s="15" t="n">
        <v>0</v>
      </c>
      <c r="S23" s="15" t="n">
        <v>0.7</v>
      </c>
    </row>
    <row r="24" ht="15" customHeight="1">
      <c r="A24" s="14" t="inlineStr">
        <is>
          <t>21495354Z</t>
        </is>
      </c>
      <c r="B24" s="14" t="inlineStr">
        <is>
          <t>Ramos Soler, Irene</t>
        </is>
      </c>
      <c r="C24" s="14" t="inlineStr">
        <is>
          <t>FUNCIONARIO</t>
        </is>
      </c>
      <c r="D24" s="14" t="n">
        <v>1</v>
      </c>
      <c r="E24" s="14" t="n"/>
      <c r="F24" s="14" t="n"/>
      <c r="G24" s="14" t="n"/>
      <c r="H24" s="14" t="n"/>
      <c r="I24" s="14" t="n"/>
      <c r="J24" s="14" t="n">
        <v>1</v>
      </c>
      <c r="K24" s="14" t="inlineStr">
        <is>
          <t>B175</t>
        </is>
      </c>
      <c r="L24" s="15" t="inlineStr">
        <is>
          <t>10.25</t>
        </is>
      </c>
      <c r="M24" s="15" t="inlineStr">
        <is>
          <t>30</t>
        </is>
      </c>
      <c r="N24" s="15" t="inlineStr"/>
      <c r="O24" s="15" t="inlineStr"/>
      <c r="P24" s="15" t="n">
        <v>70</v>
      </c>
      <c r="Q24" s="15" t="n">
        <v>0.3</v>
      </c>
      <c r="R24" s="15" t="n">
        <v>0</v>
      </c>
      <c r="S24" s="15" t="n">
        <v>0.7</v>
      </c>
    </row>
    <row r="25" ht="15" customHeight="1">
      <c r="A25" s="14" t="inlineStr">
        <is>
          <t>21501071G</t>
        </is>
      </c>
      <c r="B25" s="14" t="inlineStr">
        <is>
          <t>López Simó, Mireia</t>
        </is>
      </c>
      <c r="C25" s="14" t="inlineStr">
        <is>
          <t>NO FUNCIONARIO</t>
        </is>
      </c>
      <c r="D25" s="14" t="n"/>
      <c r="E25" s="14" t="n"/>
      <c r="F25" s="14" t="n">
        <v>1</v>
      </c>
      <c r="G25" s="14" t="n"/>
      <c r="H25" s="14" t="n"/>
      <c r="I25" s="14" t="n"/>
      <c r="J25" s="14" t="n">
        <v>1</v>
      </c>
      <c r="K25" s="14" t="inlineStr">
        <is>
          <t>B114</t>
        </is>
      </c>
      <c r="L25" s="15" t="inlineStr">
        <is>
          <t>10.25</t>
        </is>
      </c>
      <c r="M25" s="15" t="inlineStr">
        <is>
          <t>30</t>
        </is>
      </c>
      <c r="N25" s="15" t="inlineStr"/>
      <c r="O25" s="15" t="inlineStr"/>
      <c r="P25" s="15" t="n">
        <v>70</v>
      </c>
      <c r="Q25" s="15" t="n">
        <v>0.3</v>
      </c>
      <c r="R25" s="15" t="n">
        <v>0</v>
      </c>
      <c r="S25" s="15" t="n">
        <v>0.7</v>
      </c>
    </row>
    <row r="26" ht="15" customHeight="1">
      <c r="A26" s="14" t="inlineStr">
        <is>
          <t>21511105X</t>
        </is>
      </c>
      <c r="B26" s="14" t="inlineStr">
        <is>
          <t>Diez Ros, Maria del Rocio</t>
        </is>
      </c>
      <c r="C26" s="14" t="inlineStr">
        <is>
          <t>FUNCIONARIO</t>
        </is>
      </c>
      <c r="D26" s="14" t="n"/>
      <c r="E26" s="14" t="n"/>
      <c r="F26" s="14" t="n"/>
      <c r="G26" s="14" t="n"/>
      <c r="H26" s="14" t="n">
        <v>1</v>
      </c>
      <c r="I26" s="14" t="n"/>
      <c r="J26" s="14" t="n">
        <v>1</v>
      </c>
      <c r="K26" s="14" t="inlineStr">
        <is>
          <t>B112</t>
        </is>
      </c>
      <c r="L26" s="15" t="inlineStr">
        <is>
          <t>10.25</t>
        </is>
      </c>
      <c r="M26" s="15" t="inlineStr">
        <is>
          <t>30</t>
        </is>
      </c>
      <c r="N26" s="15" t="inlineStr">
        <is>
          <t>10.23</t>
        </is>
      </c>
      <c r="O26" s="15" t="inlineStr">
        <is>
          <t>20</t>
        </is>
      </c>
      <c r="P26" s="15" t="n">
        <v>50</v>
      </c>
      <c r="Q26" s="15" t="n">
        <v>0.3</v>
      </c>
      <c r="R26" s="15" t="n">
        <v>0.2</v>
      </c>
      <c r="S26" s="15" t="n">
        <v>0.5</v>
      </c>
    </row>
    <row r="27" ht="15" customHeight="1">
      <c r="A27" s="14" t="inlineStr">
        <is>
          <t>21653610F</t>
        </is>
      </c>
      <c r="B27" s="14" t="inlineStr">
        <is>
          <t>Juárez Tárraga, Francisco</t>
        </is>
      </c>
      <c r="C27" s="14" t="inlineStr">
        <is>
          <t>NO FUNCIONARIO</t>
        </is>
      </c>
      <c r="D27" s="14" t="n"/>
      <c r="E27" s="14" t="n"/>
      <c r="F27" s="14" t="n"/>
      <c r="G27" s="14" t="n"/>
      <c r="H27" s="14" t="n">
        <v>1</v>
      </c>
      <c r="I27" s="14" t="n"/>
      <c r="J27" s="14" t="n">
        <v>1</v>
      </c>
      <c r="K27" s="14" t="inlineStr">
        <is>
          <t>B138</t>
        </is>
      </c>
      <c r="L27" s="15" t="inlineStr">
        <is>
          <t>10.25</t>
        </is>
      </c>
      <c r="M27" s="15" t="inlineStr">
        <is>
          <t>50</t>
        </is>
      </c>
      <c r="N27" s="15" t="inlineStr">
        <is>
          <t>10.17</t>
        </is>
      </c>
      <c r="O27" s="15" t="inlineStr">
        <is>
          <t>10</t>
        </is>
      </c>
      <c r="P27" s="15" t="n">
        <v>40</v>
      </c>
      <c r="Q27" s="15" t="n">
        <v>0.5</v>
      </c>
      <c r="R27" s="15" t="n">
        <v>0.1</v>
      </c>
      <c r="S27" s="15" t="n">
        <v>0.4</v>
      </c>
    </row>
    <row r="28" ht="15" customHeight="1">
      <c r="A28" s="14" t="inlineStr">
        <is>
          <t>21686601Q</t>
        </is>
      </c>
      <c r="B28" s="14" t="inlineStr">
        <is>
          <t>Rico Gómez, María Luisa</t>
        </is>
      </c>
      <c r="C28" s="16" t="inlineStr">
        <is>
          <t>FUNCIONARIO</t>
        </is>
      </c>
      <c r="D28" s="14" t="n"/>
      <c r="E28" s="14" t="n"/>
      <c r="F28" s="14" t="n"/>
      <c r="G28" s="14" t="n">
        <v>1</v>
      </c>
      <c r="H28" s="14" t="n"/>
      <c r="I28" s="14" t="n">
        <v>1</v>
      </c>
      <c r="J28" s="14" t="n">
        <v>2</v>
      </c>
      <c r="K28" s="14" t="inlineStr">
        <is>
          <t>B112</t>
        </is>
      </c>
      <c r="L28" s="15" t="inlineStr">
        <is>
          <t>10.25</t>
        </is>
      </c>
      <c r="M28" s="15" t="inlineStr">
        <is>
          <t>30</t>
        </is>
      </c>
      <c r="N28" s="15" t="inlineStr"/>
      <c r="O28" s="15" t="inlineStr"/>
      <c r="P28" s="15" t="n">
        <v>70</v>
      </c>
      <c r="Q28" s="15" t="n">
        <v>0.6</v>
      </c>
      <c r="R28" s="15" t="n">
        <v>0</v>
      </c>
      <c r="S28" s="15" t="n">
        <v>1.4</v>
      </c>
    </row>
    <row r="29" ht="15" customHeight="1">
      <c r="A29" s="14" t="inlineStr">
        <is>
          <t>21697052W</t>
        </is>
      </c>
      <c r="B29" s="14" t="inlineStr">
        <is>
          <t>García Ortiz, Adrián</t>
        </is>
      </c>
      <c r="C29" s="14" t="inlineStr">
        <is>
          <t>FUNCIONARIO</t>
        </is>
      </c>
      <c r="D29" s="14" t="n"/>
      <c r="E29" s="14" t="n"/>
      <c r="F29" s="14" t="n"/>
      <c r="G29" s="14" t="n"/>
      <c r="H29" s="14" t="n"/>
      <c r="I29" s="14" t="n">
        <v>1</v>
      </c>
      <c r="J29" s="14" t="n">
        <v>1</v>
      </c>
      <c r="K29" s="14" t="inlineStr">
        <is>
          <t>B113</t>
        </is>
      </c>
      <c r="L29" s="15" t="inlineStr">
        <is>
          <t>10.25</t>
        </is>
      </c>
      <c r="M29" s="15" t="inlineStr">
        <is>
          <t>30</t>
        </is>
      </c>
      <c r="N29" s="15" t="inlineStr"/>
      <c r="O29" s="15" t="inlineStr"/>
      <c r="P29" s="15" t="n">
        <v>70</v>
      </c>
      <c r="Q29" s="15" t="n">
        <v>0.3</v>
      </c>
      <c r="R29" s="15" t="n">
        <v>0</v>
      </c>
      <c r="S29" s="15" t="n">
        <v>0.7</v>
      </c>
    </row>
    <row r="30" ht="15" customHeight="1">
      <c r="A30" s="14" t="inlineStr">
        <is>
          <t>21964202F</t>
        </is>
      </c>
      <c r="B30" s="14" t="inlineStr">
        <is>
          <t>García Chamizo, Juan Manuel</t>
        </is>
      </c>
      <c r="C30" s="14" t="inlineStr">
        <is>
          <t>Vivos</t>
        </is>
      </c>
      <c r="D30" s="14" t="n"/>
      <c r="E30" s="14" t="n"/>
      <c r="F30" s="14" t="n"/>
      <c r="G30" s="14" t="n"/>
      <c r="H30" s="14" t="n"/>
      <c r="I30" s="14" t="n">
        <v>1</v>
      </c>
      <c r="J30" s="14" t="n">
        <v>1</v>
      </c>
      <c r="K30" s="14" t="inlineStr">
        <is>
          <t>B148</t>
        </is>
      </c>
      <c r="L30" s="15" t="inlineStr">
        <is>
          <t>10.25</t>
        </is>
      </c>
      <c r="M30" s="15" t="inlineStr">
        <is>
          <t>10</t>
        </is>
      </c>
      <c r="N30" s="15" t="inlineStr">
        <is>
          <t>10.19</t>
        </is>
      </c>
      <c r="O30" s="15" t="inlineStr">
        <is>
          <t>20</t>
        </is>
      </c>
      <c r="P30" s="15" t="n">
        <v>70</v>
      </c>
      <c r="Q30" s="15" t="n">
        <v>0.1</v>
      </c>
      <c r="R30" s="15" t="n">
        <v>0.2</v>
      </c>
      <c r="S30" s="15" t="n">
        <v>0.7</v>
      </c>
    </row>
    <row r="31" ht="15" customHeight="1">
      <c r="A31" s="14" t="inlineStr">
        <is>
          <t>21985529J</t>
        </is>
      </c>
      <c r="B31" s="14" t="inlineStr">
        <is>
          <t>Palazón Ferrando, Salvador</t>
        </is>
      </c>
      <c r="C31" s="14" t="inlineStr">
        <is>
          <t>Vivos</t>
        </is>
      </c>
      <c r="D31" s="14" t="n"/>
      <c r="E31" s="14" t="n"/>
      <c r="F31" s="14" t="n"/>
      <c r="G31" s="14" t="n"/>
      <c r="H31" s="14" t="n"/>
      <c r="I31" s="14" t="n">
        <v>1</v>
      </c>
      <c r="J31" s="14" t="n">
        <v>1</v>
      </c>
      <c r="K31" s="14" t="inlineStr">
        <is>
          <t>B120</t>
        </is>
      </c>
      <c r="L31" s="15" t="inlineStr">
        <is>
          <t>10.25</t>
        </is>
      </c>
      <c r="M31" s="15" t="inlineStr">
        <is>
          <t>10</t>
        </is>
      </c>
      <c r="N31" s="15" t="inlineStr"/>
      <c r="O31" s="15" t="inlineStr"/>
      <c r="P31" s="15" t="n">
        <v>90</v>
      </c>
      <c r="Q31" s="15" t="n">
        <v>0.1</v>
      </c>
      <c r="R31" s="15" t="n">
        <v>0</v>
      </c>
      <c r="S31" s="15" t="n">
        <v>0.9</v>
      </c>
    </row>
    <row r="32" ht="15" customHeight="1">
      <c r="A32" s="14" t="inlineStr">
        <is>
          <t>22002559T</t>
        </is>
      </c>
      <c r="B32" s="14" t="inlineStr">
        <is>
          <t>Pérez Sánchez, Vicente Raúl</t>
        </is>
      </c>
      <c r="C32" s="16" t="inlineStr">
        <is>
          <t>FUNCIONARIO</t>
        </is>
      </c>
      <c r="D32" s="14" t="n"/>
      <c r="E32" s="14" t="n">
        <v>1</v>
      </c>
      <c r="F32" s="14" t="n"/>
      <c r="G32" s="14" t="n"/>
      <c r="H32" s="14" t="n"/>
      <c r="I32" s="14" t="n"/>
      <c r="J32" s="14" t="n">
        <v>1</v>
      </c>
      <c r="K32" s="14" t="inlineStr">
        <is>
          <t>B184</t>
        </is>
      </c>
      <c r="L32" s="15" t="inlineStr">
        <is>
          <t>10.25</t>
        </is>
      </c>
      <c r="M32" s="15" t="inlineStr">
        <is>
          <t>10</t>
        </is>
      </c>
      <c r="N32" s="15" t="inlineStr"/>
      <c r="O32" s="15" t="inlineStr"/>
      <c r="P32" s="15" t="n">
        <v>90</v>
      </c>
      <c r="Q32" s="15" t="n">
        <v>0.1</v>
      </c>
      <c r="R32" s="15" t="n">
        <v>0</v>
      </c>
      <c r="S32" s="15" t="n">
        <v>0.9</v>
      </c>
    </row>
    <row r="33" ht="15" customHeight="1">
      <c r="A33" s="14" t="inlineStr">
        <is>
          <t>22126836P</t>
        </is>
      </c>
      <c r="B33" s="14" t="inlineStr">
        <is>
          <t>Cabezuelo Pliego, José Vicente</t>
        </is>
      </c>
      <c r="C33" s="14" t="inlineStr">
        <is>
          <t>FUNCIONARIO</t>
        </is>
      </c>
      <c r="D33" s="14" t="n">
        <v>1</v>
      </c>
      <c r="E33" s="14" t="n"/>
      <c r="F33" s="14" t="n"/>
      <c r="G33" s="14" t="n"/>
      <c r="H33" s="14" t="n"/>
      <c r="I33" s="14" t="n"/>
      <c r="J33" s="14" t="n">
        <v>1</v>
      </c>
      <c r="K33" s="14" t="inlineStr">
        <is>
          <t>B174</t>
        </is>
      </c>
      <c r="L33" s="15" t="inlineStr">
        <is>
          <t>10.25</t>
        </is>
      </c>
      <c r="M33" s="15" t="inlineStr">
        <is>
          <t>50</t>
        </is>
      </c>
      <c r="N33" s="15" t="inlineStr"/>
      <c r="O33" s="15" t="inlineStr"/>
      <c r="P33" s="15" t="n">
        <v>50</v>
      </c>
      <c r="Q33" s="15" t="n">
        <v>0.5</v>
      </c>
      <c r="R33" s="15" t="n">
        <v>0</v>
      </c>
      <c r="S33" s="15" t="n">
        <v>0.5</v>
      </c>
    </row>
    <row r="34" ht="15" customHeight="1">
      <c r="A34" s="14" t="inlineStr">
        <is>
          <t>22133724L</t>
        </is>
      </c>
      <c r="B34" s="14" t="inlineStr">
        <is>
          <t>Payá López, Pedro</t>
        </is>
      </c>
      <c r="C34" s="14" t="inlineStr">
        <is>
          <t>FUNCIONARIO</t>
        </is>
      </c>
      <c r="D34" s="14" t="n"/>
      <c r="E34" s="14" t="n"/>
      <c r="F34" s="14" t="n"/>
      <c r="G34" s="14" t="n"/>
      <c r="H34" s="14" t="n">
        <v>2</v>
      </c>
      <c r="I34" s="14" t="n"/>
      <c r="J34" s="14" t="n">
        <v>2</v>
      </c>
      <c r="K34" s="14" t="inlineStr">
        <is>
          <t>B122</t>
        </is>
      </c>
      <c r="L34" s="15" t="inlineStr">
        <is>
          <t>10.25</t>
        </is>
      </c>
      <c r="M34" s="15" t="inlineStr">
        <is>
          <t>50</t>
        </is>
      </c>
      <c r="N34" s="15" t="inlineStr"/>
      <c r="O34" s="15" t="inlineStr"/>
      <c r="P34" s="15" t="n">
        <v>50</v>
      </c>
      <c r="Q34" s="15" t="n">
        <v>1</v>
      </c>
      <c r="R34" s="15" t="n">
        <v>0</v>
      </c>
      <c r="S34" s="15" t="n">
        <v>1</v>
      </c>
    </row>
    <row r="35" ht="15" customHeight="1">
      <c r="A35" s="14" t="inlineStr">
        <is>
          <t>22143242S</t>
        </is>
      </c>
      <c r="B35" s="14" t="inlineStr">
        <is>
          <t>Castelló Martínez, Araceli</t>
        </is>
      </c>
      <c r="C35" s="14" t="inlineStr">
        <is>
          <t>FUNCIONARIO</t>
        </is>
      </c>
      <c r="D35" s="14" t="n"/>
      <c r="E35" s="14" t="n"/>
      <c r="F35" s="14" t="n"/>
      <c r="G35" s="14" t="n"/>
      <c r="H35" s="14" t="n">
        <v>1</v>
      </c>
      <c r="I35" s="14" t="n"/>
      <c r="J35" s="14" t="n">
        <v>1</v>
      </c>
      <c r="K35" s="14" t="inlineStr">
        <is>
          <t>B175</t>
        </is>
      </c>
      <c r="L35" s="15" t="inlineStr">
        <is>
          <t>10.25</t>
        </is>
      </c>
      <c r="M35" s="15" t="inlineStr">
        <is>
          <t>30</t>
        </is>
      </c>
      <c r="N35" s="15" t="inlineStr"/>
      <c r="O35" s="15" t="inlineStr"/>
      <c r="P35" s="15" t="n">
        <v>70</v>
      </c>
      <c r="Q35" s="15" t="n">
        <v>0.3</v>
      </c>
      <c r="R35" s="15" t="n">
        <v>0</v>
      </c>
      <c r="S35" s="15" t="n">
        <v>0.7</v>
      </c>
    </row>
    <row r="36" ht="15" customHeight="1">
      <c r="A36" s="14" t="inlineStr">
        <is>
          <t>22455996S</t>
        </is>
      </c>
      <c r="B36" s="14" t="inlineStr">
        <is>
          <t>López Sánchez, María del Carmen</t>
        </is>
      </c>
      <c r="C36" s="14" t="inlineStr">
        <is>
          <t>FUNCIONARIO</t>
        </is>
      </c>
      <c r="D36" s="14" t="n">
        <v>1</v>
      </c>
      <c r="E36" s="14" t="n"/>
      <c r="F36" s="14" t="n"/>
      <c r="G36" s="14" t="n"/>
      <c r="H36" s="14" t="n"/>
      <c r="I36" s="14" t="n"/>
      <c r="J36" s="14" t="n">
        <v>1</v>
      </c>
      <c r="K36" s="14" t="inlineStr">
        <is>
          <t>B175</t>
        </is>
      </c>
      <c r="L36" s="15" t="inlineStr">
        <is>
          <t>10.25</t>
        </is>
      </c>
      <c r="M36" s="15" t="inlineStr">
        <is>
          <t>50</t>
        </is>
      </c>
      <c r="N36" s="15" t="inlineStr"/>
      <c r="O36" s="15" t="inlineStr"/>
      <c r="P36" s="15" t="n">
        <v>50</v>
      </c>
      <c r="Q36" s="15" t="n">
        <v>0.5</v>
      </c>
      <c r="R36" s="15" t="n">
        <v>0</v>
      </c>
      <c r="S36" s="15" t="n">
        <v>0.5</v>
      </c>
    </row>
    <row r="37" ht="15" customHeight="1">
      <c r="A37" s="14" t="inlineStr">
        <is>
          <t>22929043K</t>
        </is>
      </c>
      <c r="B37" s="14" t="inlineStr">
        <is>
          <t>Castejon Costa, Juan Luis</t>
        </is>
      </c>
      <c r="C37" s="14" t="inlineStr">
        <is>
          <t>FUNCIONARIO</t>
        </is>
      </c>
      <c r="D37" s="14" t="n"/>
      <c r="E37" s="14" t="n"/>
      <c r="F37" s="14" t="n"/>
      <c r="G37" s="14" t="n">
        <v>1</v>
      </c>
      <c r="H37" s="14" t="n"/>
      <c r="I37" s="14" t="n"/>
      <c r="J37" s="14" t="n">
        <v>1</v>
      </c>
      <c r="K37" s="14" t="inlineStr">
        <is>
          <t>B177</t>
        </is>
      </c>
      <c r="L37" s="15" t="inlineStr">
        <is>
          <t>10.25</t>
        </is>
      </c>
      <c r="M37" s="15" t="inlineStr">
        <is>
          <t>10</t>
        </is>
      </c>
      <c r="N37" s="15" t="inlineStr"/>
      <c r="O37" s="15" t="inlineStr"/>
      <c r="P37" s="15" t="n">
        <v>90</v>
      </c>
      <c r="Q37" s="15" t="n">
        <v>0.1</v>
      </c>
      <c r="R37" s="15" t="n">
        <v>0</v>
      </c>
      <c r="S37" s="15" t="n">
        <v>0.9</v>
      </c>
    </row>
    <row r="38" ht="15" customHeight="1">
      <c r="A38" s="14" t="inlineStr">
        <is>
          <t>25126587F</t>
        </is>
      </c>
      <c r="B38" s="14" t="inlineStr">
        <is>
          <t>Ferrer Lloret, Jaume</t>
        </is>
      </c>
      <c r="C38" s="14" t="inlineStr">
        <is>
          <t>FUNCIONARIO</t>
        </is>
      </c>
      <c r="D38" s="14" t="n"/>
      <c r="E38" s="14" t="n"/>
      <c r="F38" s="14" t="n"/>
      <c r="G38" s="14" t="n">
        <v>1</v>
      </c>
      <c r="H38" s="14" t="n"/>
      <c r="I38" s="14" t="n"/>
      <c r="J38" s="14" t="n">
        <v>1</v>
      </c>
      <c r="K38" s="14" t="inlineStr">
        <is>
          <t>B108</t>
        </is>
      </c>
      <c r="L38" s="15" t="inlineStr">
        <is>
          <t>10.25</t>
        </is>
      </c>
      <c r="M38" s="15" t="inlineStr">
        <is>
          <t>10</t>
        </is>
      </c>
      <c r="N38" s="15" t="inlineStr"/>
      <c r="O38" s="15" t="inlineStr"/>
      <c r="P38" s="15" t="n">
        <v>90</v>
      </c>
      <c r="Q38" s="15" t="n">
        <v>0.1</v>
      </c>
      <c r="R38" s="15" t="n">
        <v>0</v>
      </c>
      <c r="S38" s="15" t="n">
        <v>0.9</v>
      </c>
    </row>
    <row r="39" ht="15" customHeight="1">
      <c r="A39" s="14" t="inlineStr">
        <is>
          <t>25128440C</t>
        </is>
      </c>
      <c r="B39" s="14" t="inlineStr">
        <is>
          <t>Rodríguez Jaume, María José</t>
        </is>
      </c>
      <c r="C39" s="14" t="inlineStr">
        <is>
          <t>FUNCIONARIO</t>
        </is>
      </c>
      <c r="D39" s="14" t="n"/>
      <c r="E39" s="14" t="n"/>
      <c r="F39" s="14" t="n">
        <v>1</v>
      </c>
      <c r="G39" s="14" t="n"/>
      <c r="H39" s="14" t="n"/>
      <c r="I39" s="14" t="n"/>
      <c r="J39" s="14" t="n">
        <v>1</v>
      </c>
      <c r="K39" s="14" t="inlineStr">
        <is>
          <t>B179</t>
        </is>
      </c>
      <c r="L39" s="15" t="inlineStr">
        <is>
          <t>10.25</t>
        </is>
      </c>
      <c r="M39" s="15" t="inlineStr">
        <is>
          <t>20</t>
        </is>
      </c>
      <c r="N39" s="15" t="inlineStr">
        <is>
          <t>10.23</t>
        </is>
      </c>
      <c r="O39" s="15" t="inlineStr">
        <is>
          <t>20</t>
        </is>
      </c>
      <c r="P39" s="15" t="n">
        <v>60</v>
      </c>
      <c r="Q39" s="15" t="n">
        <v>0.2</v>
      </c>
      <c r="R39" s="15" t="n">
        <v>0.2</v>
      </c>
      <c r="S39" s="15" t="n">
        <v>0.6</v>
      </c>
    </row>
    <row r="40" ht="15" customHeight="1">
      <c r="A40" s="14" t="inlineStr">
        <is>
          <t>28959284F</t>
        </is>
      </c>
      <c r="B40" s="14" t="inlineStr">
        <is>
          <t>Urbaneja Cillán, Jorge</t>
        </is>
      </c>
      <c r="C40" s="14" t="inlineStr">
        <is>
          <t>FUNCIONARIO</t>
        </is>
      </c>
      <c r="D40" s="14" t="n"/>
      <c r="E40" s="14" t="n"/>
      <c r="F40" s="14" t="n"/>
      <c r="G40" s="14" t="n"/>
      <c r="H40" s="14" t="n"/>
      <c r="I40" s="14" t="n">
        <v>1</v>
      </c>
      <c r="J40" s="14" t="n">
        <v>1</v>
      </c>
      <c r="K40" s="14" t="inlineStr">
        <is>
          <t>B108</t>
        </is>
      </c>
      <c r="L40" s="15" t="inlineStr">
        <is>
          <t>10.25</t>
        </is>
      </c>
      <c r="M40" s="15" t="inlineStr">
        <is>
          <t>10</t>
        </is>
      </c>
      <c r="N40" s="15" t="inlineStr"/>
      <c r="O40" s="15" t="inlineStr"/>
      <c r="P40" s="15" t="n">
        <v>90</v>
      </c>
      <c r="Q40" s="15" t="n">
        <v>0.1</v>
      </c>
      <c r="R40" s="15" t="n">
        <v>0</v>
      </c>
      <c r="S40" s="15" t="n">
        <v>0.9</v>
      </c>
    </row>
    <row r="41" ht="15" customHeight="1">
      <c r="A41" s="14" t="inlineStr">
        <is>
          <t>33475167R</t>
        </is>
      </c>
      <c r="B41" s="14" t="inlineStr">
        <is>
          <t>Mora Pascual, Jeronimo Manuel</t>
        </is>
      </c>
      <c r="C41" s="14" t="inlineStr">
        <is>
          <t>Vivos</t>
        </is>
      </c>
      <c r="D41" s="14" t="n"/>
      <c r="E41" s="14" t="n"/>
      <c r="F41" s="14" t="n"/>
      <c r="G41" s="14" t="n"/>
      <c r="H41" s="14" t="n"/>
      <c r="I41" s="14" t="n">
        <v>1</v>
      </c>
      <c r="J41" s="14" t="n">
        <v>1</v>
      </c>
      <c r="K41" s="14" t="inlineStr">
        <is>
          <t>B148</t>
        </is>
      </c>
      <c r="L41" s="15" t="inlineStr">
        <is>
          <t>10.25</t>
        </is>
      </c>
      <c r="M41" s="15" t="inlineStr">
        <is>
          <t>10</t>
        </is>
      </c>
      <c r="N41" s="15" t="inlineStr">
        <is>
          <t>10.19</t>
        </is>
      </c>
      <c r="O41" s="15" t="inlineStr">
        <is>
          <t>20</t>
        </is>
      </c>
      <c r="P41" s="15" t="n">
        <v>70</v>
      </c>
      <c r="Q41" s="15" t="n">
        <v>0.1</v>
      </c>
      <c r="R41" s="15" t="n">
        <v>0.2</v>
      </c>
      <c r="S41" s="15" t="n">
        <v>0.7</v>
      </c>
    </row>
    <row r="42" ht="15" customHeight="1">
      <c r="A42" s="14" t="inlineStr">
        <is>
          <t>33480107L</t>
        </is>
      </c>
      <c r="B42" s="14" t="inlineStr">
        <is>
          <t>Campillo Alhama, Concepción</t>
        </is>
      </c>
      <c r="C42" s="14" t="inlineStr">
        <is>
          <t>FUNCIONARIO</t>
        </is>
      </c>
      <c r="D42" s="14" t="n">
        <v>1</v>
      </c>
      <c r="E42" s="14" t="n"/>
      <c r="F42" s="14" t="n"/>
      <c r="G42" s="14" t="n"/>
      <c r="H42" s="14" t="n"/>
      <c r="I42" s="14" t="n"/>
      <c r="J42" s="14" t="n">
        <v>1</v>
      </c>
      <c r="K42" s="14" t="inlineStr">
        <is>
          <t>B175</t>
        </is>
      </c>
      <c r="L42" s="15" t="inlineStr">
        <is>
          <t>10.25</t>
        </is>
      </c>
      <c r="M42" s="15" t="inlineStr">
        <is>
          <t>10</t>
        </is>
      </c>
      <c r="N42" s="15" t="inlineStr">
        <is>
          <t>10.22</t>
        </is>
      </c>
      <c r="O42" s="15" t="inlineStr">
        <is>
          <t>20</t>
        </is>
      </c>
      <c r="P42" s="15" t="n">
        <v>70</v>
      </c>
      <c r="Q42" s="15" t="n">
        <v>0.1</v>
      </c>
      <c r="R42" s="15" t="n">
        <v>0.2</v>
      </c>
      <c r="S42" s="15" t="n">
        <v>0.7</v>
      </c>
    </row>
    <row r="43" ht="15" customHeight="1">
      <c r="A43" s="14" t="inlineStr">
        <is>
          <t>33481301V</t>
        </is>
      </c>
      <c r="B43" s="14" t="inlineStr">
        <is>
          <t>Cachero Castro, Cristina</t>
        </is>
      </c>
      <c r="C43" s="14" t="inlineStr">
        <is>
          <t>FUNCIONARIO</t>
        </is>
      </c>
      <c r="D43" s="14" t="n">
        <v>1</v>
      </c>
      <c r="E43" s="14" t="n"/>
      <c r="F43" s="14" t="n"/>
      <c r="G43" s="14" t="n"/>
      <c r="H43" s="14" t="n"/>
      <c r="I43" s="14" t="n"/>
      <c r="J43" s="14" t="n">
        <v>1</v>
      </c>
      <c r="K43" s="14" t="inlineStr">
        <is>
          <t>B158</t>
        </is>
      </c>
      <c r="L43" s="15" t="inlineStr">
        <is>
          <t>10.25</t>
        </is>
      </c>
      <c r="M43" s="15" t="inlineStr">
        <is>
          <t>20</t>
        </is>
      </c>
      <c r="N43" s="15" t="inlineStr"/>
      <c r="O43" s="15" t="inlineStr"/>
      <c r="P43" s="15" t="n">
        <v>80</v>
      </c>
      <c r="Q43" s="15" t="n">
        <v>0.2</v>
      </c>
      <c r="R43" s="15" t="n">
        <v>0</v>
      </c>
      <c r="S43" s="15" t="n">
        <v>0.8</v>
      </c>
    </row>
    <row r="44" ht="15" customHeight="1">
      <c r="A44" s="14" t="inlineStr">
        <is>
          <t>33485113B</t>
        </is>
      </c>
      <c r="B44" s="14" t="inlineStr">
        <is>
          <t>Martin Llaguno, Marta</t>
        </is>
      </c>
      <c r="C44" s="14" t="inlineStr">
        <is>
          <t>FUNCIONARIO</t>
        </is>
      </c>
      <c r="D44" s="14" t="n"/>
      <c r="E44" s="14" t="n"/>
      <c r="F44" s="14" t="n"/>
      <c r="G44" s="14" t="n">
        <v>1</v>
      </c>
      <c r="H44" s="14" t="n"/>
      <c r="I44" s="14" t="n"/>
      <c r="J44" s="14" t="n">
        <v>1</v>
      </c>
      <c r="K44" s="14" t="inlineStr">
        <is>
          <t>B175</t>
        </is>
      </c>
      <c r="L44" s="15" t="inlineStr">
        <is>
          <t>10.25</t>
        </is>
      </c>
      <c r="M44" s="15" t="inlineStr">
        <is>
          <t>30</t>
        </is>
      </c>
      <c r="N44" s="15" t="inlineStr">
        <is>
          <t>10.23</t>
        </is>
      </c>
      <c r="O44" s="15" t="inlineStr">
        <is>
          <t>30</t>
        </is>
      </c>
      <c r="P44" s="15" t="n">
        <v>40</v>
      </c>
      <c r="Q44" s="15" t="n">
        <v>0.3</v>
      </c>
      <c r="R44" s="15" t="n">
        <v>0.3</v>
      </c>
      <c r="S44" s="15" t="n">
        <v>0.4</v>
      </c>
    </row>
    <row r="45" ht="15" customHeight="1">
      <c r="A45" s="14" t="inlineStr">
        <is>
          <t>33485422K</t>
        </is>
      </c>
      <c r="B45" s="14" t="inlineStr">
        <is>
          <t>Pérez Sánchez, Juan Carlos</t>
        </is>
      </c>
      <c r="C45" s="14" t="inlineStr">
        <is>
          <t>FUNCIONARIO</t>
        </is>
      </c>
      <c r="D45" s="14" t="n"/>
      <c r="E45" s="14" t="n">
        <v>1</v>
      </c>
      <c r="F45" s="14" t="n"/>
      <c r="G45" s="14" t="n"/>
      <c r="H45" s="14" t="n"/>
      <c r="I45" s="14" t="n"/>
      <c r="J45" s="14" t="n">
        <v>1</v>
      </c>
      <c r="K45" s="14" t="inlineStr">
        <is>
          <t>B184</t>
        </is>
      </c>
      <c r="L45" s="15" t="inlineStr">
        <is>
          <t>10.25</t>
        </is>
      </c>
      <c r="M45" s="15" t="inlineStr">
        <is>
          <t>10</t>
        </is>
      </c>
      <c r="N45" s="15" t="inlineStr"/>
      <c r="O45" s="15" t="inlineStr"/>
      <c r="P45" s="15" t="n">
        <v>90</v>
      </c>
      <c r="Q45" s="15" t="n">
        <v>0.1</v>
      </c>
      <c r="R45" s="15" t="n">
        <v>0</v>
      </c>
      <c r="S45" s="15" t="n">
        <v>0.9</v>
      </c>
    </row>
    <row r="46" ht="15" customHeight="1">
      <c r="A46" s="14" t="inlineStr">
        <is>
          <t>33486240B</t>
        </is>
      </c>
      <c r="B46" s="14" t="inlineStr">
        <is>
          <t>Requena Casanova, Millán</t>
        </is>
      </c>
      <c r="C46" s="14" t="inlineStr">
        <is>
          <t>FUNCIONARIO</t>
        </is>
      </c>
      <c r="D46" s="14" t="n"/>
      <c r="E46" s="14" t="n">
        <v>2</v>
      </c>
      <c r="F46" s="14" t="n"/>
      <c r="G46" s="14" t="n"/>
      <c r="H46" s="14" t="n"/>
      <c r="I46" s="14" t="n"/>
      <c r="J46" s="14" t="n">
        <v>2</v>
      </c>
      <c r="K46" s="14" t="inlineStr">
        <is>
          <t>B108</t>
        </is>
      </c>
      <c r="L46" s="15" t="inlineStr">
        <is>
          <t>10.25</t>
        </is>
      </c>
      <c r="M46" s="15" t="inlineStr">
        <is>
          <t>10</t>
        </is>
      </c>
      <c r="N46" s="15" t="inlineStr"/>
      <c r="O46" s="15" t="inlineStr"/>
      <c r="P46" s="15" t="n">
        <v>90</v>
      </c>
      <c r="Q46" s="15" t="n">
        <v>0.2</v>
      </c>
      <c r="R46" s="15" t="n">
        <v>0</v>
      </c>
      <c r="S46" s="15" t="n">
        <v>1.8</v>
      </c>
    </row>
    <row r="47" ht="15" customHeight="1">
      <c r="A47" s="14" t="inlineStr">
        <is>
          <t>33496411Q</t>
        </is>
      </c>
      <c r="B47" s="14" t="inlineStr">
        <is>
          <t>Fernández Jaén, Jorge</t>
        </is>
      </c>
      <c r="C47" s="14" t="inlineStr">
        <is>
          <t>FUNCIONARIO</t>
        </is>
      </c>
      <c r="D47" s="14" t="n">
        <v>1</v>
      </c>
      <c r="E47" s="14" t="n"/>
      <c r="F47" s="14" t="n"/>
      <c r="G47" s="14" t="n">
        <v>1</v>
      </c>
      <c r="H47" s="14" t="n"/>
      <c r="I47" s="14" t="n"/>
      <c r="J47" s="14" t="n">
        <v>2</v>
      </c>
      <c r="K47" s="14" t="inlineStr">
        <is>
          <t>B115</t>
        </is>
      </c>
      <c r="L47" s="15" t="inlineStr">
        <is>
          <t>10.25</t>
        </is>
      </c>
      <c r="M47" s="15" t="inlineStr">
        <is>
          <t>30</t>
        </is>
      </c>
      <c r="N47" s="15" t="inlineStr"/>
      <c r="O47" s="15" t="inlineStr"/>
      <c r="P47" s="15" t="n">
        <v>70</v>
      </c>
      <c r="Q47" s="15" t="n">
        <v>0.6</v>
      </c>
      <c r="R47" s="15" t="n">
        <v>0</v>
      </c>
      <c r="S47" s="15" t="n">
        <v>1.4</v>
      </c>
    </row>
    <row r="48" ht="15" customHeight="1">
      <c r="A48" s="14" t="inlineStr">
        <is>
          <t>44757440S</t>
        </is>
      </c>
      <c r="B48" s="14" t="inlineStr">
        <is>
          <t>Ponsoda López de Atalaya, Santiago</t>
        </is>
      </c>
      <c r="C48" s="14" t="inlineStr">
        <is>
          <t>NO FUNCIONARIO</t>
        </is>
      </c>
      <c r="D48" s="14" t="n"/>
      <c r="E48" s="14" t="n"/>
      <c r="F48" s="14" t="n">
        <v>1</v>
      </c>
      <c r="G48" s="14" t="n"/>
      <c r="H48" s="14" t="n"/>
      <c r="I48" s="14" t="n"/>
      <c r="J48" s="14" t="n">
        <v>1</v>
      </c>
      <c r="K48" s="14" t="inlineStr">
        <is>
          <t>B112</t>
        </is>
      </c>
      <c r="L48" s="15" t="inlineStr">
        <is>
          <t>10.25</t>
        </is>
      </c>
      <c r="M48" s="15" t="inlineStr">
        <is>
          <t>30</t>
        </is>
      </c>
      <c r="N48" s="15" t="inlineStr"/>
      <c r="O48" s="15" t="inlineStr"/>
      <c r="P48" s="15" t="n">
        <v>70</v>
      </c>
      <c r="Q48" s="15" t="n">
        <v>0.3</v>
      </c>
      <c r="R48" s="15" t="n">
        <v>0</v>
      </c>
      <c r="S48" s="15" t="n">
        <v>0.7</v>
      </c>
    </row>
    <row r="49" ht="15" customHeight="1">
      <c r="A49" s="14" t="inlineStr">
        <is>
          <t>44765640G</t>
        </is>
      </c>
      <c r="B49" s="14" t="inlineStr">
        <is>
          <t>Soler Milla, Juan Leonardo</t>
        </is>
      </c>
      <c r="C49" s="14" t="inlineStr">
        <is>
          <t>NO FUNCIONARIO</t>
        </is>
      </c>
      <c r="D49" s="14" t="n"/>
      <c r="E49" s="14" t="n"/>
      <c r="F49" s="14" t="n">
        <v>1</v>
      </c>
      <c r="G49" s="14" t="n"/>
      <c r="H49" s="14" t="n"/>
      <c r="I49" s="14" t="n"/>
      <c r="J49" s="14" t="n">
        <v>1</v>
      </c>
      <c r="K49" s="14" t="inlineStr">
        <is>
          <t>B174</t>
        </is>
      </c>
      <c r="L49" s="15" t="inlineStr">
        <is>
          <t>10.25</t>
        </is>
      </c>
      <c r="M49" s="15" t="inlineStr">
        <is>
          <t>30</t>
        </is>
      </c>
      <c r="N49" s="15" t="inlineStr"/>
      <c r="O49" s="15" t="inlineStr"/>
      <c r="P49" s="15" t="n">
        <v>70</v>
      </c>
      <c r="Q49" s="15" t="n">
        <v>0.3</v>
      </c>
      <c r="R49" s="15" t="n">
        <v>0</v>
      </c>
      <c r="S49" s="15" t="n">
        <v>0.7</v>
      </c>
    </row>
    <row r="50" ht="15" customHeight="1">
      <c r="A50" s="14" t="inlineStr">
        <is>
          <t>44769550G</t>
        </is>
      </c>
      <c r="B50" s="14" t="inlineStr">
        <is>
          <t>Ortuño Martínez, Bárbara</t>
        </is>
      </c>
      <c r="C50" s="14" t="inlineStr">
        <is>
          <t>NO FUNCIONARIO</t>
        </is>
      </c>
      <c r="D50" s="14" t="n"/>
      <c r="E50" s="14" t="n"/>
      <c r="F50" s="14" t="n"/>
      <c r="G50" s="14" t="n">
        <v>1</v>
      </c>
      <c r="H50" s="14" t="n"/>
      <c r="I50" s="14" t="n"/>
      <c r="J50" s="14" t="n">
        <v>1</v>
      </c>
      <c r="K50" s="14" t="inlineStr">
        <is>
          <t>B112</t>
        </is>
      </c>
      <c r="L50" s="15" t="inlineStr">
        <is>
          <t>10.25</t>
        </is>
      </c>
      <c r="M50" s="15" t="inlineStr">
        <is>
          <t>30</t>
        </is>
      </c>
      <c r="N50" s="15" t="inlineStr">
        <is>
          <t>10.23</t>
        </is>
      </c>
      <c r="O50" s="15" t="inlineStr">
        <is>
          <t>40</t>
        </is>
      </c>
      <c r="P50" s="15" t="n">
        <v>30</v>
      </c>
      <c r="Q50" s="15" t="n">
        <v>0.3</v>
      </c>
      <c r="R50" s="15" t="n">
        <v>0.4</v>
      </c>
      <c r="S50" s="15" t="n">
        <v>0.3</v>
      </c>
    </row>
    <row r="51" ht="15" customHeight="1">
      <c r="A51" s="14" t="inlineStr">
        <is>
          <t>45568488Z</t>
        </is>
      </c>
      <c r="B51" s="14" t="inlineStr">
        <is>
          <t>Rodríguez Rosique, Susana</t>
        </is>
      </c>
      <c r="C51" s="14" t="inlineStr">
        <is>
          <t>FUNCIONARIO</t>
        </is>
      </c>
      <c r="D51" s="14" t="n"/>
      <c r="E51" s="14" t="n"/>
      <c r="F51" s="14" t="n">
        <v>1</v>
      </c>
      <c r="G51" s="14" t="n"/>
      <c r="H51" s="14" t="n"/>
      <c r="I51" s="14" t="n"/>
      <c r="J51" s="14" t="n">
        <v>1</v>
      </c>
      <c r="K51" s="14" t="inlineStr">
        <is>
          <t>B115</t>
        </is>
      </c>
      <c r="L51" s="15" t="inlineStr">
        <is>
          <t>10.25</t>
        </is>
      </c>
      <c r="M51" s="15" t="inlineStr">
        <is>
          <t>30</t>
        </is>
      </c>
      <c r="N51" s="15" t="inlineStr"/>
      <c r="O51" s="15" t="inlineStr"/>
      <c r="P51" s="15" t="n">
        <v>70</v>
      </c>
      <c r="Q51" s="15" t="n">
        <v>0.3</v>
      </c>
      <c r="R51" s="15" t="n">
        <v>0</v>
      </c>
      <c r="S51" s="15" t="n">
        <v>0.7</v>
      </c>
    </row>
    <row r="52" ht="15" customHeight="1">
      <c r="A52" s="14" t="inlineStr">
        <is>
          <t>46336900L</t>
        </is>
      </c>
      <c r="B52" s="14" t="inlineStr">
        <is>
          <t>Marti Ciriquian, Pablo</t>
        </is>
      </c>
      <c r="C52" s="16" t="inlineStr">
        <is>
          <t>FUNCIONARIO</t>
        </is>
      </c>
      <c r="D52" s="14" t="n">
        <v>1</v>
      </c>
      <c r="E52" s="14" t="n"/>
      <c r="F52" s="14" t="n"/>
      <c r="G52" s="14" t="n"/>
      <c r="H52" s="14" t="n"/>
      <c r="I52" s="14" t="n"/>
      <c r="J52" s="14" t="n">
        <v>1</v>
      </c>
      <c r="K52" s="14" t="inlineStr">
        <is>
          <t>B184</t>
        </is>
      </c>
      <c r="L52" s="15" t="inlineStr">
        <is>
          <t>10.25</t>
        </is>
      </c>
      <c r="M52" s="15" t="inlineStr">
        <is>
          <t>10</t>
        </is>
      </c>
      <c r="N52" s="15" t="inlineStr">
        <is>
          <t>10.05</t>
        </is>
      </c>
      <c r="O52" s="15" t="inlineStr">
        <is>
          <t>20</t>
        </is>
      </c>
      <c r="P52" s="15" t="n">
        <v>70</v>
      </c>
      <c r="Q52" s="15" t="n">
        <v>0.1</v>
      </c>
      <c r="R52" s="15" t="n">
        <v>0.2</v>
      </c>
      <c r="S52" s="15" t="n">
        <v>0.7</v>
      </c>
    </row>
    <row r="53" ht="15" customHeight="1">
      <c r="A53" s="14" t="inlineStr">
        <is>
          <t>47065493H</t>
        </is>
      </c>
      <c r="B53" s="14" t="inlineStr">
        <is>
          <t>González Díaz, Cristina</t>
        </is>
      </c>
      <c r="C53" s="16" t="inlineStr">
        <is>
          <t>FUNCIONARIO</t>
        </is>
      </c>
      <c r="D53" s="14" t="n">
        <v>1</v>
      </c>
      <c r="E53" s="14" t="n"/>
      <c r="F53" s="14" t="n"/>
      <c r="G53" s="14" t="n"/>
      <c r="H53" s="14" t="n"/>
      <c r="I53" s="14" t="n"/>
      <c r="J53" s="14" t="n">
        <v>1</v>
      </c>
      <c r="K53" s="14" t="inlineStr">
        <is>
          <t>B175</t>
        </is>
      </c>
      <c r="L53" s="15" t="inlineStr">
        <is>
          <t>10.25</t>
        </is>
      </c>
      <c r="M53" s="15" t="inlineStr">
        <is>
          <t>30</t>
        </is>
      </c>
      <c r="N53" s="15" t="inlineStr"/>
      <c r="O53" s="15" t="inlineStr"/>
      <c r="P53" s="15" t="n">
        <v>70</v>
      </c>
      <c r="Q53" s="15" t="n">
        <v>0.3</v>
      </c>
      <c r="R53" s="15" t="n">
        <v>0</v>
      </c>
      <c r="S53" s="15" t="n">
        <v>0.7</v>
      </c>
    </row>
    <row r="54" ht="15" customHeight="1">
      <c r="A54" s="14" t="inlineStr">
        <is>
          <t>48341145K</t>
        </is>
      </c>
      <c r="B54" s="14" t="inlineStr">
        <is>
          <t>Barrajón López, Elisa</t>
        </is>
      </c>
      <c r="C54" s="16" t="inlineStr">
        <is>
          <t>FUNCIONARIO</t>
        </is>
      </c>
      <c r="D54" s="14" t="n"/>
      <c r="E54" s="14" t="n"/>
      <c r="F54" s="14" t="n"/>
      <c r="G54" s="14" t="n"/>
      <c r="H54" s="14" t="n"/>
      <c r="I54" s="14" t="n">
        <v>2</v>
      </c>
      <c r="J54" s="14" t="n">
        <v>2</v>
      </c>
      <c r="K54" s="14" t="inlineStr">
        <is>
          <t>B115</t>
        </is>
      </c>
      <c r="L54" s="15" t="inlineStr">
        <is>
          <t>10.25</t>
        </is>
      </c>
      <c r="M54" s="15" t="inlineStr">
        <is>
          <t>30</t>
        </is>
      </c>
      <c r="N54" s="15" t="inlineStr"/>
      <c r="O54" s="15" t="inlineStr"/>
      <c r="P54" s="15" t="n">
        <v>70</v>
      </c>
      <c r="Q54" s="15" t="n">
        <v>0.6</v>
      </c>
      <c r="R54" s="15" t="n">
        <v>0</v>
      </c>
      <c r="S54" s="15" t="n">
        <v>1.4</v>
      </c>
    </row>
    <row r="55" ht="15" customHeight="1">
      <c r="A55" s="20" t="inlineStr">
        <is>
          <t>48365003M</t>
        </is>
      </c>
      <c r="B55" s="20" t="inlineStr">
        <is>
          <t>Quiles Soler, María del Carmen</t>
        </is>
      </c>
      <c r="C55" s="21" t="inlineStr">
        <is>
          <t>FUNCIONARIO</t>
        </is>
      </c>
      <c r="D55" s="20" t="n"/>
      <c r="E55" s="20" t="n"/>
      <c r="F55" s="20" t="n">
        <v>1</v>
      </c>
      <c r="G55" s="20" t="n"/>
      <c r="H55" s="20" t="n"/>
      <c r="I55" s="20" t="n"/>
      <c r="J55" s="20" t="n">
        <v>1</v>
      </c>
      <c r="K55" s="14" t="inlineStr">
        <is>
          <t>B175</t>
        </is>
      </c>
      <c r="L55" s="30" t="inlineStr">
        <is>
          <t>10.25</t>
        </is>
      </c>
      <c r="M55" s="30" t="inlineStr">
        <is>
          <t>30</t>
        </is>
      </c>
      <c r="N55" s="30" t="inlineStr"/>
      <c r="O55" s="30" t="inlineStr"/>
      <c r="P55" s="30" t="n">
        <v>70</v>
      </c>
      <c r="Q55" s="30" t="n">
        <v>0.3</v>
      </c>
      <c r="R55" s="30" t="n">
        <v>0</v>
      </c>
      <c r="S55" s="30" t="n">
        <v>0.7</v>
      </c>
    </row>
    <row r="56" ht="15" customHeight="1">
      <c r="A56" s="14" t="inlineStr">
        <is>
          <t>48370644B</t>
        </is>
      </c>
      <c r="B56" s="14" t="inlineStr">
        <is>
          <t>Céspedes López, María Francisca</t>
        </is>
      </c>
      <c r="C56" s="16" t="inlineStr">
        <is>
          <t>FUNCIONARIO</t>
        </is>
      </c>
      <c r="D56" s="14" t="n"/>
      <c r="E56" s="14" t="n"/>
      <c r="F56" s="14" t="n"/>
      <c r="G56" s="14" t="n"/>
      <c r="H56" s="14" t="n"/>
      <c r="I56" s="14" t="n">
        <v>1</v>
      </c>
      <c r="J56" s="14" t="n">
        <v>1</v>
      </c>
      <c r="K56" s="14" t="inlineStr">
        <is>
          <t>B184</t>
        </is>
      </c>
      <c r="L56" s="30" t="inlineStr">
        <is>
          <t>10.25</t>
        </is>
      </c>
      <c r="M56" s="30" t="inlineStr">
        <is>
          <t>10</t>
        </is>
      </c>
      <c r="N56" s="30" t="inlineStr"/>
      <c r="O56" s="30" t="inlineStr"/>
      <c r="P56" s="30" t="n">
        <v>90</v>
      </c>
      <c r="Q56" s="30" t="n">
        <v>0.1</v>
      </c>
      <c r="R56" s="30" t="n">
        <v>0</v>
      </c>
      <c r="S56" s="30" t="n">
        <v>0.9</v>
      </c>
    </row>
    <row r="57" ht="15" customHeight="1">
      <c r="A57" s="14" t="inlineStr">
        <is>
          <t>48375773B</t>
        </is>
      </c>
      <c r="B57" s="14" t="inlineStr">
        <is>
          <t>Mora García, Raúl Tomás</t>
        </is>
      </c>
      <c r="C57" s="14" t="inlineStr">
        <is>
          <t>FUNCIONARIO</t>
        </is>
      </c>
      <c r="D57" s="14" t="n"/>
      <c r="E57" s="14" t="n"/>
      <c r="F57" s="14" t="n"/>
      <c r="G57" s="14" t="n"/>
      <c r="H57" s="14" t="n"/>
      <c r="I57" s="14" t="n">
        <v>1</v>
      </c>
      <c r="J57" s="14" t="n">
        <v>1</v>
      </c>
      <c r="K57" s="14" t="inlineStr">
        <is>
          <t>B184</t>
        </is>
      </c>
      <c r="L57" s="15" t="inlineStr">
        <is>
          <t>10.25</t>
        </is>
      </c>
      <c r="M57" s="15" t="inlineStr">
        <is>
          <t>10</t>
        </is>
      </c>
      <c r="N57" s="15" t="inlineStr"/>
      <c r="O57" s="15" t="inlineStr"/>
      <c r="P57" s="15" t="n">
        <v>90</v>
      </c>
      <c r="Q57" s="15" t="n">
        <v>0.1</v>
      </c>
      <c r="R57" s="15" t="n">
        <v>0</v>
      </c>
      <c r="S57" s="15" t="n">
        <v>0.9</v>
      </c>
    </row>
    <row r="58" ht="15" customHeight="1">
      <c r="A58" s="14" t="inlineStr">
        <is>
          <t>48525115Z</t>
        </is>
      </c>
      <c r="B58" s="14" t="inlineStr">
        <is>
          <t>Romero Tarín, Adela</t>
        </is>
      </c>
      <c r="C58" s="14" t="inlineStr">
        <is>
          <t>NO FUNCIONARIO</t>
        </is>
      </c>
      <c r="D58" s="14" t="n"/>
      <c r="E58" s="14" t="n">
        <v>1</v>
      </c>
      <c r="F58" s="14" t="n"/>
      <c r="G58" s="14" t="n"/>
      <c r="H58" s="14" t="n"/>
      <c r="I58" s="14" t="n"/>
      <c r="J58" s="14" t="n">
        <v>1</v>
      </c>
      <c r="K58" s="14" t="inlineStr">
        <is>
          <t>B113</t>
        </is>
      </c>
      <c r="L58" s="15" t="inlineStr">
        <is>
          <t>10.25</t>
        </is>
      </c>
      <c r="M58" s="15" t="inlineStr">
        <is>
          <t>30</t>
        </is>
      </c>
      <c r="N58" s="15" t="inlineStr"/>
      <c r="O58" s="15" t="inlineStr"/>
      <c r="P58" s="15" t="n">
        <v>70</v>
      </c>
      <c r="Q58" s="15" t="n">
        <v>0.3</v>
      </c>
      <c r="R58" s="15" t="n">
        <v>0</v>
      </c>
      <c r="S58" s="15" t="n">
        <v>0.7</v>
      </c>
    </row>
    <row r="59" ht="15" customHeight="1">
      <c r="A59" s="14" t="inlineStr">
        <is>
          <t>48561783C</t>
        </is>
      </c>
      <c r="B59" s="14" t="inlineStr">
        <is>
          <t>Lavale Ortiz, Ruth María</t>
        </is>
      </c>
      <c r="C59" s="14" t="inlineStr">
        <is>
          <t>FUNCIONARIO</t>
        </is>
      </c>
      <c r="D59" s="14" t="n"/>
      <c r="E59" s="14" t="n"/>
      <c r="F59" s="14" t="n"/>
      <c r="G59" s="14" t="n">
        <v>2</v>
      </c>
      <c r="H59" s="14" t="n"/>
      <c r="I59" s="14" t="n"/>
      <c r="J59" s="14" t="n">
        <v>2</v>
      </c>
      <c r="K59" s="14" t="inlineStr">
        <is>
          <t>B115</t>
        </is>
      </c>
      <c r="L59" s="15" t="inlineStr">
        <is>
          <t>10.25</t>
        </is>
      </c>
      <c r="M59" s="15" t="inlineStr">
        <is>
          <t>30</t>
        </is>
      </c>
      <c r="N59" s="15" t="inlineStr"/>
      <c r="O59" s="15" t="inlineStr"/>
      <c r="P59" s="15" t="n">
        <v>70</v>
      </c>
      <c r="Q59" s="15" t="n">
        <v>0.6</v>
      </c>
      <c r="R59" s="15" t="n">
        <v>0</v>
      </c>
      <c r="S59" s="15" t="n">
        <v>1.4</v>
      </c>
    </row>
    <row r="60" ht="15" customHeight="1">
      <c r="A60" s="14" t="inlineStr">
        <is>
          <t>48620683V</t>
        </is>
      </c>
      <c r="B60" s="14" t="inlineStr">
        <is>
          <t>García Martínez, Andrea</t>
        </is>
      </c>
      <c r="C60" s="14" t="inlineStr">
        <is>
          <t>NO FUNCIONARIO</t>
        </is>
      </c>
      <c r="D60" s="14" t="n"/>
      <c r="E60" s="14" t="n"/>
      <c r="F60" s="14" t="n"/>
      <c r="G60" s="14" t="n"/>
      <c r="H60" s="14" t="n">
        <v>1</v>
      </c>
      <c r="I60" s="14" t="n"/>
      <c r="J60" s="14" t="n">
        <v>1</v>
      </c>
      <c r="K60" s="14" t="inlineStr">
        <is>
          <t>B154</t>
        </is>
      </c>
      <c r="L60" s="15" t="inlineStr">
        <is>
          <t>10.25</t>
        </is>
      </c>
      <c r="M60" s="15" t="inlineStr">
        <is>
          <t>20</t>
        </is>
      </c>
      <c r="N60" s="15" t="inlineStr"/>
      <c r="O60" s="15" t="inlineStr"/>
      <c r="P60" s="15" t="n">
        <v>80</v>
      </c>
      <c r="Q60" s="15" t="n">
        <v>0.2</v>
      </c>
      <c r="R60" s="15" t="n">
        <v>0</v>
      </c>
      <c r="S60" s="15" t="n">
        <v>0.8</v>
      </c>
    </row>
    <row r="61" ht="15" customHeight="1">
      <c r="A61" s="14" t="inlineStr">
        <is>
          <t>48765965P</t>
        </is>
      </c>
      <c r="B61" s="14" t="inlineStr">
        <is>
          <t>Vázquez Esteban, Marina</t>
        </is>
      </c>
      <c r="C61" s="14" t="inlineStr">
        <is>
          <t>NO FUNCIONARIO</t>
        </is>
      </c>
      <c r="D61" s="14" t="n"/>
      <c r="E61" s="14" t="n"/>
      <c r="F61" s="14" t="n"/>
      <c r="G61" s="14" t="n"/>
      <c r="H61" s="14" t="n"/>
      <c r="I61" s="14" t="n">
        <v>1</v>
      </c>
      <c r="J61" s="14" t="n">
        <v>1</v>
      </c>
      <c r="K61" s="14" t="inlineStr">
        <is>
          <t>B154</t>
        </is>
      </c>
      <c r="L61" s="15" t="inlineStr">
        <is>
          <t>10.25</t>
        </is>
      </c>
      <c r="M61" s="15" t="inlineStr">
        <is>
          <t>20</t>
        </is>
      </c>
      <c r="N61" s="15" t="inlineStr"/>
      <c r="O61" s="15" t="inlineStr"/>
      <c r="P61" s="15" t="n">
        <v>80</v>
      </c>
      <c r="Q61" s="15" t="n">
        <v>0.2</v>
      </c>
      <c r="R61" s="15" t="n">
        <v>0</v>
      </c>
      <c r="S61" s="15" t="n">
        <v>0.8</v>
      </c>
    </row>
    <row r="62" ht="15" customHeight="1">
      <c r="A62" s="33" t="inlineStr">
        <is>
          <t>48769418B</t>
        </is>
      </c>
      <c r="B62" s="33" t="inlineStr">
        <is>
          <t>Merma Molina, Gladys</t>
        </is>
      </c>
      <c r="C62" s="34" t="inlineStr">
        <is>
          <t>FUNCIONARIO</t>
        </is>
      </c>
      <c r="D62" s="33" t="n"/>
      <c r="E62" s="33" t="n">
        <v>1</v>
      </c>
      <c r="F62" s="33" t="n"/>
      <c r="G62" s="33" t="n">
        <v>1</v>
      </c>
      <c r="H62" s="33" t="n"/>
      <c r="I62" s="33" t="n"/>
      <c r="J62" s="14" t="n">
        <v>2</v>
      </c>
      <c r="K62" s="14" t="inlineStr">
        <is>
          <t>B112</t>
        </is>
      </c>
      <c r="L62" s="15" t="inlineStr">
        <is>
          <t>10.25</t>
        </is>
      </c>
      <c r="M62" s="15" t="inlineStr">
        <is>
          <t>30</t>
        </is>
      </c>
      <c r="N62" s="15" t="inlineStr">
        <is>
          <t>10.23</t>
        </is>
      </c>
      <c r="O62" s="15" t="inlineStr">
        <is>
          <t>30</t>
        </is>
      </c>
      <c r="P62" s="15" t="n">
        <v>40</v>
      </c>
      <c r="Q62" s="15" t="n">
        <v>0.6</v>
      </c>
      <c r="R62" s="15" t="n">
        <v>0.6</v>
      </c>
      <c r="S62" s="15" t="n">
        <v>0.8</v>
      </c>
    </row>
    <row r="63" ht="15" customHeight="1">
      <c r="A63" s="14" t="inlineStr">
        <is>
          <t>49625619Z</t>
        </is>
      </c>
      <c r="B63" s="14" t="inlineStr">
        <is>
          <t>Sánchez Fajardo, José Antonio</t>
        </is>
      </c>
      <c r="C63" s="14" t="inlineStr">
        <is>
          <t>FUNCIONARIO</t>
        </is>
      </c>
      <c r="D63" s="14" t="n"/>
      <c r="E63" s="14" t="n"/>
      <c r="F63" s="14" t="n"/>
      <c r="G63" s="14" t="n">
        <v>1</v>
      </c>
      <c r="H63" s="14" t="n"/>
      <c r="I63" s="14" t="n"/>
      <c r="J63" s="14" t="n">
        <v>1</v>
      </c>
      <c r="K63" s="14" t="inlineStr">
        <is>
          <t>B116</t>
        </is>
      </c>
      <c r="L63" s="15" t="inlineStr">
        <is>
          <t>10.25</t>
        </is>
      </c>
      <c r="M63" s="15" t="inlineStr">
        <is>
          <t>20</t>
        </is>
      </c>
      <c r="N63" s="15" t="inlineStr">
        <is>
          <t>10.15</t>
        </is>
      </c>
      <c r="O63" s="15" t="inlineStr">
        <is>
          <t>20</t>
        </is>
      </c>
      <c r="P63" s="15" t="n">
        <v>60</v>
      </c>
      <c r="Q63" s="15" t="n">
        <v>0.2</v>
      </c>
      <c r="R63" s="15" t="n">
        <v>0.2</v>
      </c>
      <c r="S63" s="15" t="n">
        <v>0.6</v>
      </c>
    </row>
    <row r="64" ht="15" customHeight="1">
      <c r="A64" s="14" t="inlineStr">
        <is>
          <t>52764800V</t>
        </is>
      </c>
      <c r="B64" s="14" t="inlineStr">
        <is>
          <t>García Andreu, Hugo</t>
        </is>
      </c>
      <c r="C64" s="14" t="inlineStr">
        <is>
          <t>FUNCIONARIO</t>
        </is>
      </c>
      <c r="D64" s="14" t="n"/>
      <c r="E64" s="14" t="n">
        <v>2</v>
      </c>
      <c r="F64" s="14" t="n"/>
      <c r="G64" s="14" t="n"/>
      <c r="H64" s="14" t="n">
        <v>1</v>
      </c>
      <c r="I64" s="14" t="n"/>
      <c r="J64" s="14" t="n">
        <v>3</v>
      </c>
      <c r="K64" s="14" t="inlineStr">
        <is>
          <t>B179</t>
        </is>
      </c>
      <c r="L64" s="15" t="inlineStr">
        <is>
          <t>10.25</t>
        </is>
      </c>
      <c r="M64" s="15" t="inlineStr">
        <is>
          <t>30</t>
        </is>
      </c>
      <c r="N64" s="15" t="inlineStr">
        <is>
          <t>10.17</t>
        </is>
      </c>
      <c r="O64" s="15" t="inlineStr">
        <is>
          <t>20</t>
        </is>
      </c>
      <c r="P64" s="15" t="n">
        <v>50</v>
      </c>
      <c r="Q64" s="15" t="n">
        <v>0.9</v>
      </c>
      <c r="R64" s="15" t="n">
        <v>0.6</v>
      </c>
      <c r="S64" s="15" t="n">
        <v>1.5</v>
      </c>
    </row>
    <row r="65" ht="15" customHeight="1">
      <c r="A65" s="54" t="inlineStr">
        <is>
          <t>52772110J</t>
        </is>
      </c>
      <c r="B65" s="54" t="inlineStr">
        <is>
          <t>Carretón Ballester, María del Carmen</t>
        </is>
      </c>
      <c r="C65" s="54" t="inlineStr">
        <is>
          <t>FUNCIONARIO</t>
        </is>
      </c>
      <c r="D65" s="54" t="n"/>
      <c r="E65" s="54" t="n"/>
      <c r="F65" s="54" t="n"/>
      <c r="G65" s="54" t="n"/>
      <c r="H65" s="54" t="n"/>
      <c r="I65" s="54" t="n">
        <v>1</v>
      </c>
      <c r="J65" s="54" t="n">
        <v>1</v>
      </c>
      <c r="K65" s="54" t="inlineStr">
        <is>
          <t>B175</t>
        </is>
      </c>
      <c r="L65" s="55" t="inlineStr">
        <is>
          <t>10.25</t>
        </is>
      </c>
      <c r="M65" s="55" t="inlineStr">
        <is>
          <t>30</t>
        </is>
      </c>
      <c r="N65" s="55" t="inlineStr"/>
      <c r="O65" s="55" t="inlineStr"/>
      <c r="P65" s="55" t="n">
        <v>70</v>
      </c>
      <c r="Q65" s="55" t="n">
        <v>0.3</v>
      </c>
      <c r="R65" s="55" t="n">
        <v>0</v>
      </c>
      <c r="S65" s="55" t="n">
        <v>0.7</v>
      </c>
    </row>
    <row r="66" ht="15" customHeight="1">
      <c r="A66" s="54" t="inlineStr">
        <is>
          <t>52773057V</t>
        </is>
      </c>
      <c r="B66" s="54" t="inlineStr">
        <is>
          <t>Rodríguez Valero, Daniel</t>
        </is>
      </c>
      <c r="C66" s="54" t="inlineStr">
        <is>
          <t>NO FUNCIONARIO</t>
        </is>
      </c>
      <c r="D66" s="54" t="n"/>
      <c r="E66" s="54" t="n"/>
      <c r="F66" s="54" t="n"/>
      <c r="G66" s="54" t="n">
        <v>1</v>
      </c>
      <c r="H66" s="54" t="n"/>
      <c r="I66" s="54" t="n"/>
      <c r="J66" s="54" t="n">
        <v>1</v>
      </c>
      <c r="K66" s="54" t="inlineStr">
        <is>
          <t>B175</t>
        </is>
      </c>
      <c r="L66" s="55" t="inlineStr">
        <is>
          <t>10.25</t>
        </is>
      </c>
      <c r="M66" s="55" t="inlineStr">
        <is>
          <t>30</t>
        </is>
      </c>
      <c r="N66" s="55" t="inlineStr"/>
      <c r="O66" s="55" t="inlineStr"/>
      <c r="P66" s="55" t="n">
        <v>70</v>
      </c>
      <c r="Q66" s="55" t="n">
        <v>0.3</v>
      </c>
      <c r="R66" s="55" t="n">
        <v>0</v>
      </c>
      <c r="S66" s="55" t="n">
        <v>0.7</v>
      </c>
    </row>
    <row r="67" ht="15" customHeight="1">
      <c r="A67" s="54" t="inlineStr">
        <is>
          <t>52777601F</t>
        </is>
      </c>
      <c r="B67" s="54" t="inlineStr">
        <is>
          <t>Suriá Martínez, Soledad Raquel</t>
        </is>
      </c>
      <c r="C67" s="54" t="inlineStr">
        <is>
          <t>FUNCIONARIO</t>
        </is>
      </c>
      <c r="D67" s="54" t="n"/>
      <c r="E67" s="54" t="n"/>
      <c r="F67" s="54" t="n">
        <v>1</v>
      </c>
      <c r="G67" s="54" t="n"/>
      <c r="H67" s="54" t="n"/>
      <c r="I67" s="54" t="n"/>
      <c r="J67" s="54" t="n">
        <v>1</v>
      </c>
      <c r="K67" s="54" t="inlineStr">
        <is>
          <t>B175</t>
        </is>
      </c>
      <c r="L67" s="55" t="inlineStr">
        <is>
          <t>10.25</t>
        </is>
      </c>
      <c r="M67" s="55" t="inlineStr">
        <is>
          <t>30</t>
        </is>
      </c>
      <c r="N67" s="55" t="inlineStr">
        <is>
          <t>10.23</t>
        </is>
      </c>
      <c r="O67" s="55" t="inlineStr">
        <is>
          <t>20</t>
        </is>
      </c>
      <c r="P67" s="55" t="n">
        <v>50</v>
      </c>
      <c r="Q67" s="55" t="n">
        <v>0.3</v>
      </c>
      <c r="R67" s="55" t="n">
        <v>0.2</v>
      </c>
      <c r="S67" s="55" t="n">
        <v>0.5</v>
      </c>
    </row>
    <row r="68" ht="15" customHeight="1">
      <c r="A68" s="54" t="inlineStr">
        <is>
          <t>74001487E</t>
        </is>
      </c>
      <c r="B68" s="54" t="inlineStr">
        <is>
          <t>Segarra Saavedra, Jesús Antonio</t>
        </is>
      </c>
      <c r="C68" s="54" t="inlineStr">
        <is>
          <t>FUNCIONARIO</t>
        </is>
      </c>
      <c r="D68" s="54" t="n"/>
      <c r="E68" s="54" t="n"/>
      <c r="F68" s="54" t="n"/>
      <c r="G68" s="54" t="n">
        <v>1</v>
      </c>
      <c r="H68" s="54" t="n"/>
      <c r="I68" s="54" t="n"/>
      <c r="J68" s="54" t="n">
        <v>1</v>
      </c>
      <c r="K68" s="54" t="inlineStr">
        <is>
          <t>B175</t>
        </is>
      </c>
      <c r="L68" s="55" t="inlineStr">
        <is>
          <t>10.25</t>
        </is>
      </c>
      <c r="M68" s="55" t="inlineStr">
        <is>
          <t>30</t>
        </is>
      </c>
      <c r="N68" s="55" t="inlineStr"/>
      <c r="O68" s="55" t="inlineStr"/>
      <c r="P68" s="55" t="n">
        <v>70</v>
      </c>
      <c r="Q68" s="55" t="n">
        <v>0.3</v>
      </c>
      <c r="R68" s="55" t="n">
        <v>0</v>
      </c>
      <c r="S68" s="55" t="n">
        <v>0.7</v>
      </c>
    </row>
    <row r="69" ht="15" customHeight="1">
      <c r="A69" s="54" t="inlineStr">
        <is>
          <t>74238404Q</t>
        </is>
      </c>
      <c r="B69" s="54" t="inlineStr">
        <is>
          <t>Andújar Montoya, María Dolores</t>
        </is>
      </c>
      <c r="C69" s="54" t="inlineStr">
        <is>
          <t>FUNCIONARIO</t>
        </is>
      </c>
      <c r="D69" s="54" t="n"/>
      <c r="E69" s="54" t="n"/>
      <c r="F69" s="54" t="n"/>
      <c r="G69" s="54" t="n">
        <v>1</v>
      </c>
      <c r="H69" s="54" t="n"/>
      <c r="I69" s="54" t="n"/>
      <c r="J69" s="54" t="n">
        <v>1</v>
      </c>
      <c r="K69" s="54" t="inlineStr">
        <is>
          <t>B184</t>
        </is>
      </c>
      <c r="L69" s="55" t="inlineStr">
        <is>
          <t>10.25</t>
        </is>
      </c>
      <c r="M69" s="55" t="inlineStr">
        <is>
          <t>10</t>
        </is>
      </c>
      <c r="N69" s="55" t="inlineStr"/>
      <c r="O69" s="55" t="inlineStr"/>
      <c r="P69" s="55" t="n">
        <v>90</v>
      </c>
      <c r="Q69" s="55" t="n">
        <v>0.1</v>
      </c>
      <c r="R69" s="55" t="n">
        <v>0</v>
      </c>
      <c r="S69" s="55" t="n">
        <v>0.9</v>
      </c>
    </row>
    <row r="70" ht="15" customHeight="1">
      <c r="A70" s="54" t="inlineStr">
        <is>
          <t>09371918Q</t>
        </is>
      </c>
      <c r="B70" s="54" t="inlineStr">
        <is>
          <t>Ferrández Pastor, Francisco Javier</t>
        </is>
      </c>
      <c r="C70" s="54" t="inlineStr">
        <is>
          <t>FUNCIONARIO</t>
        </is>
      </c>
      <c r="D70" s="54" t="n"/>
      <c r="E70" s="54" t="n"/>
      <c r="F70" s="54" t="n"/>
      <c r="G70" s="54" t="n">
        <v>1</v>
      </c>
      <c r="H70" s="54" t="n"/>
      <c r="I70" s="54" t="n"/>
      <c r="J70" s="54" t="n">
        <v>1</v>
      </c>
      <c r="K70" s="54" t="inlineStr">
        <is>
          <t>B148</t>
        </is>
      </c>
      <c r="L70" s="55" t="inlineStr">
        <is>
          <t>10.19</t>
        </is>
      </c>
      <c r="M70" s="55" t="inlineStr">
        <is>
          <t>10</t>
        </is>
      </c>
      <c r="N70" s="55" t="inlineStr">
        <is>
          <t>10.25</t>
        </is>
      </c>
      <c r="O70" s="55" t="inlineStr">
        <is>
          <t>10</t>
        </is>
      </c>
      <c r="P70" s="55" t="n">
        <v>80</v>
      </c>
      <c r="Q70" s="55" t="n">
        <v>0.1</v>
      </c>
      <c r="R70" s="55" t="n">
        <v>0.1</v>
      </c>
      <c r="S70" s="55" t="n">
        <v>0.8</v>
      </c>
    </row>
    <row r="71" ht="15" customHeight="1">
      <c r="A71" s="54" t="inlineStr">
        <is>
          <t>14074582P</t>
        </is>
      </c>
      <c r="B71" s="54" t="inlineStr">
        <is>
          <t>Osorio Rauld, Nelson Alejandro</t>
        </is>
      </c>
      <c r="C71" s="54" t="inlineStr">
        <is>
          <t>NO FUNCIONARIO</t>
        </is>
      </c>
      <c r="D71" s="54" t="n"/>
      <c r="E71" s="54" t="n"/>
      <c r="F71" s="54" t="n"/>
      <c r="G71" s="54" t="n"/>
      <c r="H71" s="54" t="n"/>
      <c r="I71" s="54" t="n">
        <v>1</v>
      </c>
      <c r="J71" s="54" t="n">
        <v>1</v>
      </c>
      <c r="K71" s="54" t="inlineStr">
        <is>
          <t>B176</t>
        </is>
      </c>
      <c r="L71" s="55" t="inlineStr">
        <is>
          <t>10.22</t>
        </is>
      </c>
      <c r="M71" s="55" t="inlineStr">
        <is>
          <t>50</t>
        </is>
      </c>
      <c r="N71" s="55" t="inlineStr">
        <is>
          <t>10.25</t>
        </is>
      </c>
      <c r="O71" s="55" t="inlineStr">
        <is>
          <t>30</t>
        </is>
      </c>
      <c r="P71" s="55" t="n">
        <v>20</v>
      </c>
      <c r="Q71" s="55" t="n">
        <v>0.5</v>
      </c>
      <c r="R71" s="55" t="n">
        <v>0.3</v>
      </c>
      <c r="S71" s="55" t="n">
        <v>0.2</v>
      </c>
    </row>
    <row r="72" ht="15" customHeight="1">
      <c r="A72" s="54" t="inlineStr">
        <is>
          <t>21406895J</t>
        </is>
      </c>
      <c r="B72" s="54" t="inlineStr">
        <is>
          <t>Maciá Soler, María Loreto</t>
        </is>
      </c>
      <c r="C72" s="54" t="inlineStr">
        <is>
          <t>FUNCIONARIO</t>
        </is>
      </c>
      <c r="D72" s="54" t="n"/>
      <c r="E72" s="54" t="n"/>
      <c r="F72" s="54" t="n"/>
      <c r="G72" s="54" t="n"/>
      <c r="H72" s="54" t="n"/>
      <c r="I72" s="54" t="n">
        <v>1</v>
      </c>
      <c r="J72" s="54" t="n">
        <v>1</v>
      </c>
      <c r="K72" s="54" t="inlineStr">
        <is>
          <t>B134</t>
        </is>
      </c>
      <c r="L72" s="55" t="inlineStr">
        <is>
          <t>10.19</t>
        </is>
      </c>
      <c r="M72" s="55" t="inlineStr">
        <is>
          <t>90</t>
        </is>
      </c>
      <c r="N72" s="55" t="inlineStr">
        <is>
          <t>10.25</t>
        </is>
      </c>
      <c r="O72" s="55" t="inlineStr">
        <is>
          <t>10</t>
        </is>
      </c>
      <c r="P72" s="55" t="n">
        <v>0</v>
      </c>
      <c r="Q72" s="55" t="n">
        <v>0.9</v>
      </c>
      <c r="R72" s="55" t="n">
        <v>0.1</v>
      </c>
      <c r="S72" s="55" t="n">
        <v>0</v>
      </c>
    </row>
    <row r="73" ht="15" customHeight="1">
      <c r="A73" s="54" t="inlineStr">
        <is>
          <t>21643754H</t>
        </is>
      </c>
      <c r="B73" s="54" t="inlineStr">
        <is>
          <t>Torró Gil, Lluís</t>
        </is>
      </c>
      <c r="C73" s="54" t="inlineStr">
        <is>
          <t>FUNCIONARIO</t>
        </is>
      </c>
      <c r="D73" s="54" t="n">
        <v>1</v>
      </c>
      <c r="E73" s="54" t="n"/>
      <c r="F73" s="54" t="n"/>
      <c r="G73" s="54" t="n"/>
      <c r="H73" s="54" t="n"/>
      <c r="I73" s="54" t="n"/>
      <c r="J73" s="54" t="n">
        <v>1</v>
      </c>
      <c r="K73" s="54" t="inlineStr">
        <is>
          <t>B138</t>
        </is>
      </c>
      <c r="L73" s="55" t="inlineStr">
        <is>
          <t>10.06</t>
        </is>
      </c>
      <c r="M73" s="55" t="inlineStr">
        <is>
          <t>10</t>
        </is>
      </c>
      <c r="N73" s="55" t="inlineStr">
        <is>
          <t>10.25</t>
        </is>
      </c>
      <c r="O73" s="55" t="inlineStr">
        <is>
          <t>50</t>
        </is>
      </c>
      <c r="P73" s="55" t="n">
        <v>40</v>
      </c>
      <c r="Q73" s="55" t="n">
        <v>0.1</v>
      </c>
      <c r="R73" s="55" t="n">
        <v>0.5</v>
      </c>
      <c r="S73" s="55" t="n">
        <v>0.4</v>
      </c>
    </row>
    <row r="74" ht="15" customHeight="1">
      <c r="A74" s="54" t="inlineStr">
        <is>
          <t>22529387J</t>
        </is>
      </c>
      <c r="B74" s="54" t="inlineStr">
        <is>
          <t>Taltavull De la Paz, Paloma</t>
        </is>
      </c>
      <c r="C74" s="54" t="inlineStr">
        <is>
          <t>FUNCIONARIO</t>
        </is>
      </c>
      <c r="D74" s="54" t="n"/>
      <c r="E74" s="54" t="n"/>
      <c r="F74" s="54" t="n">
        <v>1</v>
      </c>
      <c r="G74" s="54" t="n"/>
      <c r="H74" s="54" t="n"/>
      <c r="I74" s="54" t="n"/>
      <c r="J74" s="54" t="n">
        <v>1</v>
      </c>
      <c r="K74" s="54" t="inlineStr">
        <is>
          <t>B138</t>
        </is>
      </c>
      <c r="L74" s="55" t="inlineStr">
        <is>
          <t>10.17</t>
        </is>
      </c>
      <c r="M74" s="55" t="inlineStr">
        <is>
          <t>10</t>
        </is>
      </c>
      <c r="N74" s="55" t="inlineStr">
        <is>
          <t>10.25</t>
        </is>
      </c>
      <c r="O74" s="55" t="inlineStr">
        <is>
          <t>50</t>
        </is>
      </c>
      <c r="P74" s="55" t="n">
        <v>40</v>
      </c>
      <c r="Q74" s="55" t="n">
        <v>0.1</v>
      </c>
      <c r="R74" s="55" t="n">
        <v>0.5</v>
      </c>
      <c r="S74" s="55" t="n">
        <v>0.4</v>
      </c>
    </row>
    <row r="75" ht="15" customHeight="1">
      <c r="A75" s="54" t="inlineStr">
        <is>
          <t>44752168X</t>
        </is>
      </c>
      <c r="B75" s="54" t="inlineStr">
        <is>
          <t>Alvarado Ortega, María Belén</t>
        </is>
      </c>
      <c r="C75" s="54" t="inlineStr">
        <is>
          <t>FUNCIONARIO</t>
        </is>
      </c>
      <c r="D75" s="54" t="n"/>
      <c r="E75" s="54" t="n">
        <v>1</v>
      </c>
      <c r="F75" s="54" t="n"/>
      <c r="G75" s="54" t="n"/>
      <c r="H75" s="54" t="n"/>
      <c r="I75" s="54" t="n"/>
      <c r="J75" s="54" t="n">
        <v>1</v>
      </c>
      <c r="K75" s="54" t="inlineStr">
        <is>
          <t>B115</t>
        </is>
      </c>
      <c r="L75" s="55" t="inlineStr">
        <is>
          <t>10.15</t>
        </is>
      </c>
      <c r="M75" s="55" t="inlineStr">
        <is>
          <t>20</t>
        </is>
      </c>
      <c r="N75" s="55" t="inlineStr">
        <is>
          <t>10.25</t>
        </is>
      </c>
      <c r="O75" s="55" t="inlineStr">
        <is>
          <t>10</t>
        </is>
      </c>
      <c r="P75" s="55" t="n">
        <v>70</v>
      </c>
      <c r="Q75" s="55" t="n">
        <v>0.2</v>
      </c>
      <c r="R75" s="55" t="n">
        <v>0.1</v>
      </c>
      <c r="S75" s="55" t="n">
        <v>0.7</v>
      </c>
    </row>
    <row r="76" ht="15" customHeight="1">
      <c r="A76" s="54" t="inlineStr">
        <is>
          <t>48379979P</t>
        </is>
      </c>
      <c r="B76" s="54" t="inlineStr">
        <is>
          <t>Lozano Cabezas, Ines</t>
        </is>
      </c>
      <c r="C76" s="54" t="inlineStr">
        <is>
          <t>FUNCIONARIO</t>
        </is>
      </c>
      <c r="D76" s="54" t="n"/>
      <c r="E76" s="54" t="n">
        <v>1</v>
      </c>
      <c r="F76" s="54" t="n"/>
      <c r="G76" s="54" t="n">
        <v>1</v>
      </c>
      <c r="H76" s="54" t="n"/>
      <c r="I76" s="54" t="n"/>
      <c r="J76" s="54" t="n">
        <v>2</v>
      </c>
      <c r="K76" s="54" t="inlineStr">
        <is>
          <t>B112</t>
        </is>
      </c>
      <c r="L76" s="55" t="inlineStr">
        <is>
          <t>10.23</t>
        </is>
      </c>
      <c r="M76" s="55" t="inlineStr">
        <is>
          <t>20</t>
        </is>
      </c>
      <c r="N76" s="55" t="inlineStr">
        <is>
          <t>10.25</t>
        </is>
      </c>
      <c r="O76" s="55" t="inlineStr">
        <is>
          <t>30</t>
        </is>
      </c>
      <c r="P76" s="55" t="n">
        <v>50</v>
      </c>
      <c r="Q76" s="55" t="n">
        <v>0.4</v>
      </c>
      <c r="R76" s="55" t="n">
        <v>0.6</v>
      </c>
      <c r="S76" s="55" t="n">
        <v>1</v>
      </c>
    </row>
    <row r="77" ht="15" customHeight="1">
      <c r="A77" s="54" t="inlineStr">
        <is>
          <t>52773764B</t>
        </is>
      </c>
      <c r="B77" s="54" t="inlineStr">
        <is>
          <t>Gómez Trigueros, Isabel María</t>
        </is>
      </c>
      <c r="C77" s="54" t="inlineStr">
        <is>
          <t>FUNCIONARIO</t>
        </is>
      </c>
      <c r="D77" s="54" t="n"/>
      <c r="E77" s="54" t="n"/>
      <c r="F77" s="54" t="n"/>
      <c r="G77" s="54" t="n">
        <v>1</v>
      </c>
      <c r="H77" s="54" t="n"/>
      <c r="I77" s="54" t="n"/>
      <c r="J77" s="54" t="n">
        <v>1</v>
      </c>
      <c r="K77" s="54" t="inlineStr">
        <is>
          <t>B112</t>
        </is>
      </c>
      <c r="L77" s="55" t="inlineStr">
        <is>
          <t>10.23</t>
        </is>
      </c>
      <c r="M77" s="55" t="inlineStr">
        <is>
          <t>20</t>
        </is>
      </c>
      <c r="N77" s="55" t="inlineStr">
        <is>
          <t>10.25</t>
        </is>
      </c>
      <c r="O77" s="55" t="inlineStr">
        <is>
          <t>30</t>
        </is>
      </c>
      <c r="P77" s="55" t="n">
        <v>50</v>
      </c>
      <c r="Q77" s="55" t="n">
        <v>0.2</v>
      </c>
      <c r="R77" s="55" t="n">
        <v>0.3</v>
      </c>
      <c r="S77" s="55" t="n">
        <v>0.5</v>
      </c>
    </row>
    <row r="78" ht="15" customHeight="1">
      <c r="A78" s="54" t="inlineStr">
        <is>
          <t>74218386P</t>
        </is>
      </c>
      <c r="B78" s="54" t="inlineStr">
        <is>
          <t>Martínez Puche, Antonio</t>
        </is>
      </c>
      <c r="C78" s="54" t="inlineStr">
        <is>
          <t>FUNCIONARIO</t>
        </is>
      </c>
      <c r="D78" s="54" t="n"/>
      <c r="E78" s="54" t="n"/>
      <c r="F78" s="54" t="n"/>
      <c r="G78" s="54" t="n"/>
      <c r="H78" s="54" t="n"/>
      <c r="I78" s="54" t="n">
        <v>1</v>
      </c>
      <c r="J78" s="54" t="n">
        <v>1</v>
      </c>
      <c r="K78" s="54" t="inlineStr">
        <is>
          <t>B120</t>
        </is>
      </c>
      <c r="L78" s="55" t="inlineStr">
        <is>
          <t>10.21</t>
        </is>
      </c>
      <c r="M78" s="55" t="inlineStr">
        <is>
          <t>30</t>
        </is>
      </c>
      <c r="N78" s="55" t="inlineStr">
        <is>
          <t>10.25</t>
        </is>
      </c>
      <c r="O78" s="55" t="inlineStr">
        <is>
          <t>30</t>
        </is>
      </c>
      <c r="P78" s="55" t="n">
        <v>40</v>
      </c>
      <c r="Q78" s="55" t="n">
        <v>0.3</v>
      </c>
      <c r="R78" s="55" t="n">
        <v>0.3</v>
      </c>
      <c r="S78" s="55" t="n">
        <v>0.4</v>
      </c>
    </row>
    <row r="79" ht="15" customHeight="1">
      <c r="A79" s="54" t="inlineStr">
        <is>
          <t>76941801Q</t>
        </is>
      </c>
      <c r="B79" s="54" t="inlineStr">
        <is>
          <t>Iglesias Martínez, Marcos Jesús</t>
        </is>
      </c>
      <c r="C79" s="54" t="inlineStr">
        <is>
          <t>FUNCIONARIO</t>
        </is>
      </c>
      <c r="D79" s="54" t="n"/>
      <c r="E79" s="54" t="n">
        <v>1</v>
      </c>
      <c r="F79" s="54" t="n"/>
      <c r="G79" s="54" t="n">
        <v>1</v>
      </c>
      <c r="H79" s="54" t="n"/>
      <c r="I79" s="54" t="n"/>
      <c r="J79" s="54" t="n">
        <v>2</v>
      </c>
      <c r="K79" s="54" t="inlineStr">
        <is>
          <t>B112</t>
        </is>
      </c>
      <c r="L79" s="55" t="inlineStr">
        <is>
          <t>10.23</t>
        </is>
      </c>
      <c r="M79" s="55" t="inlineStr">
        <is>
          <t>20</t>
        </is>
      </c>
      <c r="N79" s="55" t="inlineStr">
        <is>
          <t>10.25</t>
        </is>
      </c>
      <c r="O79" s="55" t="inlineStr">
        <is>
          <t>30</t>
        </is>
      </c>
      <c r="P79" s="55" t="n">
        <v>50</v>
      </c>
      <c r="Q79" s="55" t="n">
        <v>0.4</v>
      </c>
      <c r="R79" s="55" t="n">
        <v>0.6</v>
      </c>
      <c r="S79" s="55" t="n">
        <v>1</v>
      </c>
    </row>
    <row r="80" ht="15" customHeight="1">
      <c r="A80" s="31" t="n"/>
      <c r="B80" s="31" t="n"/>
      <c r="C80" s="32" t="n"/>
      <c r="D80" s="31" t="n"/>
      <c r="E80" s="31" t="n"/>
      <c r="F80" s="31" t="n"/>
      <c r="G80" s="31" t="n"/>
      <c r="H80" s="31" t="n"/>
      <c r="I80" s="31" t="n"/>
      <c r="J80" s="31" t="n"/>
      <c r="K80" s="31" t="n"/>
      <c r="L80" s="31" t="n"/>
      <c r="M80" s="31" t="n"/>
      <c r="N80" s="31" t="n"/>
      <c r="O80" s="31" t="n"/>
      <c r="P80" s="31" t="n"/>
      <c r="Q80" s="31" t="n"/>
      <c r="R80" s="35">
        <f>SUM(Q2:Q69,R70:R79)</f>
        <v/>
      </c>
      <c r="S80" s="31" t="n"/>
    </row>
  </sheetData>
  <pageMargins left="0.3937007874015748" right="0.3937007874015748" top="0.3937007874015748" bottom="0.3937007874015748" header="0.3149606299212598" footer="0.3149606299212598"/>
  <pageSetup orientation="landscape" paperSize="9" scale="92" fitToHeight="25"/>
</worksheet>
</file>

<file path=xl/worksheets/sheet3.xml><?xml version="1.0" encoding="utf-8"?>
<worksheet xmlns="http://schemas.openxmlformats.org/spreadsheetml/2006/main">
  <sheetPr>
    <outlinePr summaryBelow="1" summaryRight="1"/>
    <pageSetUpPr/>
  </sheetPr>
  <dimension ref="A1:C28"/>
  <sheetViews>
    <sheetView topLeftCell="A10" workbookViewId="0">
      <selection activeCell="C27" sqref="C27"/>
    </sheetView>
  </sheetViews>
  <sheetFormatPr baseColWidth="10" defaultRowHeight="15"/>
  <cols>
    <col width="16.28515625" customWidth="1" min="1" max="1"/>
    <col width="77.28515625" customWidth="1" min="2" max="2"/>
    <col width="14.85546875" customWidth="1" min="3" max="3"/>
  </cols>
  <sheetData>
    <row r="1">
      <c r="A1" s="37" t="inlineStr">
        <is>
          <t>Cód. org. aplic.</t>
        </is>
      </c>
      <c r="B1" s="37" t="inlineStr">
        <is>
          <t>Descripción justificante</t>
        </is>
      </c>
      <c r="C1" s="37" t="inlineStr">
        <is>
          <t>Imp.cob.aplic.</t>
        </is>
      </c>
    </row>
    <row r="2">
      <c r="A2" s="23" t="inlineStr">
        <is>
          <t>42.10.6C.00.12</t>
        </is>
      </c>
      <c r="B2" s="23" t="inlineStr">
        <is>
          <t xml:space="preserve">Elaboración de un Informe sobre los contenidos y conclusiones del Congreso ERSA y acompañamiento en la participación temática del Ministerio. </t>
        </is>
      </c>
      <c r="C2" s="71" t="n">
        <v>7040</v>
      </c>
    </row>
    <row r="3">
      <c r="A3" s="25" t="inlineStr">
        <is>
          <t>42.10.6C.00.13</t>
        </is>
      </c>
      <c r="B3" s="25" t="inlineStr">
        <is>
          <t>3er PAGO CONTRATO CONSULTORÍA CIENTÍFICO-TÉCNICA PARA LA FORMACIÓN DE DESARROLLADORES E IMPLEMENTACIÓN DE NUEVAS TECNOLOGÍAS EN CIENCIAS SOCIALES ENTRE EGRESADOS DE UNIVERSIDADES COLOMBIANAS</t>
        </is>
      </c>
      <c r="C3" s="72" t="n">
        <v>1760</v>
      </c>
    </row>
    <row r="4">
      <c r="A4" s="23" t="inlineStr">
        <is>
          <t>42.10.6C.00.13</t>
        </is>
      </c>
      <c r="B4" s="23" t="inlineStr">
        <is>
          <t>1er PAGO A LA FIRMA DEL CONTRATO DE CONSULTORÍA CIENTÍFICO-TÉCNICA PARA LA FORMACIÓN DE DESARROLLADORES E IMPLEMENTACIÓN DE NUEVAS TECNOLOGÍAS EN CIENCIAS SOCIALES ENTRE EGRESADOS DE UNIVERSIDADES COLOMBIANAS</t>
        </is>
      </c>
      <c r="C4" s="71" t="n">
        <v>1760</v>
      </c>
    </row>
    <row r="5">
      <c r="A5" s="25" t="inlineStr">
        <is>
          <t>42.10.6C.00.13</t>
        </is>
      </c>
      <c r="B5" s="25" t="inlineStr">
        <is>
          <t>4º Pago consultoría científico-técnica para la formación de desarrolladores e implementación de nuevas tecnologías en Ciencias Sociales entre egresados de universidades colombianas</t>
        </is>
      </c>
      <c r="C5" s="72" t="n">
        <v>1760</v>
      </c>
    </row>
    <row r="6">
      <c r="A6" s="23" t="inlineStr">
        <is>
          <t>42.10.6C.00.13</t>
        </is>
      </c>
      <c r="B6" s="23" t="inlineStr">
        <is>
          <t>2º PAGO CONTRATO DE CONSULTORÍA CIENTÍFICO-TÉCNICA PARA LA FORMACIÓN DE DESARROLLADORES E IMPLEMENTACIÓN DE NUEVAS TECNOLOGÍAS EN CIENCIAS SOCIALES ENTRE EGRESADOS DE UNIVERSIDADES COLOMBIANAS</t>
        </is>
      </c>
      <c r="C6" s="71" t="n">
        <v>1760</v>
      </c>
    </row>
    <row r="7">
      <c r="A7" s="25" t="inlineStr">
        <is>
          <t>42.10.6C.00.14</t>
        </is>
      </c>
      <c r="B7" s="25" t="inlineStr">
        <is>
          <t>Elaboración de un informe sobre la situación del mercado inmobiliario en España. (Primer pago)</t>
        </is>
      </c>
      <c r="C7" s="72" t="n">
        <v>2640</v>
      </c>
    </row>
    <row r="8">
      <c r="A8" s="23" t="inlineStr">
        <is>
          <t>42.10.6C.00.15</t>
        </is>
      </c>
      <c r="B8" s="23" t="inlineStr">
        <is>
          <t xml:space="preserve">La realización de un informe que contenga los principales resultados y conclusiones de las sesiones especiales cuya temática se centre en temas vinculados al desarrollo regional y sectorial. Se trabajará en la difusión y promoción de las sesiones entre la comunidad científica vinculada a la investigación sobre economía regional y urbana, con especial atención al desarrollo tecnológico sostenible. </t>
        </is>
      </c>
      <c r="C8" s="71" t="n">
        <v>3520</v>
      </c>
    </row>
    <row r="9">
      <c r="A9" s="25" t="inlineStr">
        <is>
          <t>42.10.6C.00.16</t>
        </is>
      </c>
      <c r="B9" s="25" t="inlineStr">
        <is>
          <t>PARTICIPACIÓN COMO PATROCINADOR - COLABORADOR EN EL CONGRESO INTERNACIONAL DE ERSA</t>
        </is>
      </c>
      <c r="C9" s="72" t="n">
        <v>1454.54</v>
      </c>
    </row>
    <row r="10">
      <c r="A10" s="23" t="inlineStr">
        <is>
          <t>42.10.6C.00.17</t>
        </is>
      </c>
      <c r="B10" s="23" t="inlineStr">
        <is>
          <t>Servicio de soporte para la conferencia JRC/ERSA: Urban Challenges and Sustainable Technological Revolution". Planificación, preparación, ejecución e informe con resumen y conclusiones. Número de orden; 652616 - Evento científico TEDAM</t>
        </is>
      </c>
      <c r="C10" s="71" t="n">
        <v>12672</v>
      </c>
    </row>
    <row r="11">
      <c r="A11" s="25" t="inlineStr">
        <is>
          <t>42.10.6C.00.18</t>
        </is>
      </c>
      <c r="B11" s="25" t="inlineStr">
        <is>
          <t>Segundo pago. Finalización y entrega de estudio sobre la perspectiva del deporte español</t>
        </is>
      </c>
      <c r="C11" s="72" t="n">
        <v>2640</v>
      </c>
    </row>
    <row r="12">
      <c r="A12" s="23" t="inlineStr">
        <is>
          <t>42.10.6C.00.18</t>
        </is>
      </c>
      <c r="B12" s="23" t="inlineStr">
        <is>
          <t>Primer pago a la firma del contrato de entrega de un estudio sobre la perspectiva del deporte español.</t>
        </is>
      </c>
      <c r="C12" s="71" t="n">
        <v>2640</v>
      </c>
    </row>
    <row r="13">
      <c r="A13" s="25" t="inlineStr">
        <is>
          <t>42.10.6C.00.19</t>
        </is>
      </c>
      <c r="B13" s="25" t="inlineStr">
        <is>
          <t>Asesoramiento Científico-Técnico en la elaboración y ejecución del Proyecto: Estudio de la Brecha Digital del Género en la formación y autopercepción del profesorado. Al Departamento de Estadística e Investigación Operativa de la Universidad de Valencia. Dirección: Dr. Moliner, 50, 46100, Burjassot</t>
        </is>
      </c>
      <c r="C13" s="72" t="n">
        <v>1760</v>
      </c>
    </row>
    <row r="14">
      <c r="A14" s="23" t="inlineStr">
        <is>
          <t>42.10.6D.00.01</t>
        </is>
      </c>
      <c r="B14" s="23" t="inlineStr">
        <is>
          <t>CONVENIO CONGRESO ERSA 2023</t>
        </is>
      </c>
      <c r="C14" s="71" t="n">
        <v>10000</v>
      </c>
    </row>
    <row r="15">
      <c r="A15" s="25" t="inlineStr">
        <is>
          <t>42.10.6G.00.05</t>
        </is>
      </c>
      <c r="B15" s="25" t="inlineStr">
        <is>
          <t>INGRESO REFERENTE AL CONVENIO ENTRE ERSA Y LA UA PARA EL 62º CONGRESO ERSA, QUE SE ORGANIZARÁ ENTRE EL 28 DE AGOSTO Y EL 11 DE SEPTIEMBRE EN LA UA.</t>
        </is>
      </c>
      <c r="C15" s="72" t="n">
        <v>29175</v>
      </c>
    </row>
    <row r="16">
      <c r="A16" s="23" t="inlineStr">
        <is>
          <t>42.10.6G.00.05</t>
        </is>
      </c>
      <c r="B16" s="23" t="inlineStr">
        <is>
          <t>INGRESO REFERENTE AL CONVENIO ENTRE ERSA Y LA UA PARA EL 62º CONGRESO ERSA</t>
        </is>
      </c>
      <c r="C16" s="71" t="n">
        <v>21399.28</v>
      </c>
    </row>
    <row r="17">
      <c r="A17" s="25" t="inlineStr">
        <is>
          <t>42.10.6G.00.05</t>
        </is>
      </c>
      <c r="B17" s="25" t="inlineStr">
        <is>
          <t>INGRESO REFERENTE AL CONVENIO ENTRE ERSA Y LA UA PARA EL 62º CONGRESO ERSA, QUE SE ORGANIZARÁ ENTRE EL 28 DE AGOSTO Y EL 11 DE SEPTIEMBRE EN LA UA.</t>
        </is>
      </c>
      <c r="C17" s="72" t="n">
        <v>105000</v>
      </c>
    </row>
    <row r="18">
      <c r="A18" s="23" t="inlineStr">
        <is>
          <t>42.10.6G.00.06</t>
        </is>
      </c>
      <c r="B18" s="23" t="inlineStr">
        <is>
          <t xml:space="preserve">Plan_GJ12 Curso_2023-24 Emitido_2023-24 - VIII CONGRESO IBEROAMERICANO SOBRE TURISMO SUSTENTABLE </t>
        </is>
      </c>
      <c r="C18" s="71" t="n">
        <v>1818</v>
      </c>
    </row>
    <row r="19">
      <c r="A19" s="25" t="inlineStr">
        <is>
          <t>42.10.6G.00.06</t>
        </is>
      </c>
      <c r="B19" s="25" t="inlineStr">
        <is>
          <t>DEVOLUCIÓN TASAS NÓMINAS_REMESA Nº 2023DTR312885 RDT INVERSA_2023EXPADM1754</t>
        </is>
      </c>
      <c r="C19" s="72" t="n">
        <v>-135</v>
      </c>
    </row>
    <row r="20">
      <c r="A20" s="23" t="inlineStr">
        <is>
          <t>42.10.6P.00.03</t>
        </is>
      </c>
      <c r="B20" s="23" t="inlineStr">
        <is>
          <t>DEVOLUCIÓN DE INGRESOS_ MODELO 047_Nº de liquidación:46/2023/RAS/10321/1_ Número de justificante:047/1/002385120_Nº de referencia:047/1/002385120</t>
        </is>
      </c>
      <c r="C20" s="71" t="n">
        <v>-6013.23</v>
      </c>
    </row>
    <row r="21">
      <c r="A21" s="25" t="inlineStr">
        <is>
          <t>42.10.6P.00.03</t>
        </is>
      </c>
      <c r="B21" s="25" t="inlineStr">
        <is>
          <t>CIGE/2021/021/041/046/103/136/162/178/153</t>
        </is>
      </c>
      <c r="C21" s="72" t="n">
        <v>10000</v>
      </c>
    </row>
    <row r="22">
      <c r="A22" s="23" t="inlineStr">
        <is>
          <t>42.10.6P.00.04</t>
        </is>
      </c>
      <c r="B22" s="23" t="inlineStr">
        <is>
          <t>DEVOLUCIÓN DE INGRESOS_MODELO 047_CIACO 2021 EN 2022_Nº de liquidación:46/2023/RAS/10205/1 047/_Número de justificante:047/1/002362793_Nº de referencia:047/1/002362793</t>
        </is>
      </c>
      <c r="C22" s="71" t="n">
        <v>-5908.87</v>
      </c>
    </row>
    <row r="23">
      <c r="A23" s="25" t="inlineStr">
        <is>
          <t>42.10.6P.00.04</t>
        </is>
      </c>
      <c r="B23" s="25" t="inlineStr">
        <is>
          <t xml:space="preserve">CIAICO/2021/019/074/124/158/167/173/221/279/305/328/335/339/345/348 </t>
        </is>
      </c>
      <c r="C23" s="72" t="n">
        <v>25000</v>
      </c>
    </row>
    <row r="24">
      <c r="A24" s="23" t="inlineStr">
        <is>
          <t>42.10.6P.00.05</t>
        </is>
      </c>
      <c r="B24" s="23" t="inlineStr">
        <is>
          <t xml:space="preserve">AYUDAS CIAORG/2022/45, CIAORG/2022/15, CIAORG/2022/44, CIAORG/2022/140, CIAORG/2022/89, CIAORG/2022/10, CIAORG/2022/115, CIAORG/2022/27, CIAORG/2022/117, CIAORG/2022/128, CIAORG/2022/83, CIAORG/2022/74, CIAORG/2022/125 </t>
        </is>
      </c>
      <c r="C24" s="71" t="n">
        <v>9000</v>
      </c>
    </row>
    <row r="25">
      <c r="A25" s="25" t="inlineStr">
        <is>
          <t>42.10.6Q.00.02</t>
        </is>
      </c>
      <c r="B25" s="25" t="inlineStr">
        <is>
          <t xml:space="preserve">PAGAMENT FINAL CONVENI GV-UNIVERSITAT ALACANT CATEDRA TRANSFORMACIÓ MODEL ECONÒMIC. </t>
        </is>
      </c>
      <c r="C25" s="72" t="n">
        <v>17379.61</v>
      </c>
    </row>
    <row r="26">
      <c r="A26" s="23" t="inlineStr">
        <is>
          <t>42.10.6Q.00.02</t>
        </is>
      </c>
      <c r="B26" s="23" t="inlineStr">
        <is>
          <t>BESTRETA 50% CONVENI UNIVERSITAT ALACANT CATEDRA TRANSFORMACIÓ MODEL ECONÒMIC</t>
        </is>
      </c>
      <c r="C26" s="71" t="n">
        <v>20000</v>
      </c>
    </row>
    <row r="27">
      <c r="A27" s="38" t="inlineStr">
        <is>
          <t>42.10.6X.00.01</t>
        </is>
      </c>
      <c r="B27" s="38" t="inlineStr">
        <is>
          <t>Cobro del Proyecto Erasmus+ ICOOBEP</t>
        </is>
      </c>
      <c r="C27" s="73" t="n">
        <v>27570.93</v>
      </c>
    </row>
    <row r="28">
      <c r="A28" s="44" t="inlineStr">
        <is>
          <t>Total</t>
        </is>
      </c>
      <c r="B28" s="44" t="n"/>
      <c r="C28" s="74">
        <f>SUBTOTAL(109,Tabla2[Imp.cob.aplic.])</f>
        <v/>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20"/>
  <sheetViews>
    <sheetView topLeftCell="A16" workbookViewId="0">
      <selection activeCell="B23" sqref="B23:C23"/>
    </sheetView>
  </sheetViews>
  <sheetFormatPr baseColWidth="10" defaultRowHeight="15"/>
  <cols>
    <col width="13.5703125" bestFit="1" customWidth="1" min="1" max="1"/>
    <col width="67.140625" customWidth="1" min="2" max="2"/>
    <col width="13.28515625" bestFit="1" customWidth="1" style="75" min="3" max="3"/>
  </cols>
  <sheetData>
    <row r="1">
      <c r="A1" t="inlineStr">
        <is>
          <t>Org. aplic.</t>
        </is>
      </c>
      <c r="B1" t="inlineStr">
        <is>
          <t>Descripción justificante</t>
        </is>
      </c>
      <c r="C1" s="75" t="inlineStr">
        <is>
          <t>Imp. aplic.</t>
        </is>
      </c>
    </row>
    <row r="2" ht="30" customHeight="1">
      <c r="A2" t="inlineStr">
        <is>
          <t>42.10.6C.00.14</t>
        </is>
      </c>
      <c r="B2" s="41" t="inlineStr">
        <is>
          <t xml:space="preserve">Elaboración de un informe sobre la situación del mercado inmobiliario en España. (segundo pago) </t>
        </is>
      </c>
      <c r="C2" s="75" t="n">
        <v>2640</v>
      </c>
    </row>
    <row r="3" ht="30" customHeight="1">
      <c r="A3" t="inlineStr">
        <is>
          <t>42.10.6C.00.21</t>
        </is>
      </c>
      <c r="B3" s="41" t="inlineStr">
        <is>
          <t xml:space="preserve">Actualización del modelo de predicción de precios residenciales y su predicción con un horizonte de 6 años. </t>
        </is>
      </c>
      <c r="C3" s="75" t="n">
        <v>2622.4</v>
      </c>
    </row>
    <row r="4" ht="30" customHeight="1">
      <c r="A4" t="inlineStr">
        <is>
          <t>42.10.6C.00.21</t>
        </is>
      </c>
      <c r="B4" s="41" t="inlineStr">
        <is>
          <t>Actualización del modelo de predicción de precios residenciales y su predicción. Segundo pago Informe de actualización con datos del 2023</t>
        </is>
      </c>
      <c r="C4" s="75" t="n">
        <v>616</v>
      </c>
    </row>
    <row r="5" ht="30" customHeight="1">
      <c r="A5" t="inlineStr">
        <is>
          <t>42.10.6C.00.21</t>
        </is>
      </c>
      <c r="B5" s="41" t="inlineStr">
        <is>
          <t>Actualización del modelo de predicción de precios residenciales y su predicción</t>
        </is>
      </c>
      <c r="C5" s="75" t="n">
        <v>1320</v>
      </c>
    </row>
    <row r="6" ht="60" customHeight="1">
      <c r="A6" t="inlineStr">
        <is>
          <t>42.10.6C.00.22</t>
        </is>
      </c>
      <c r="B6" s="41" t="inlineStr">
        <is>
          <t>Resolución y tramitación de expedientes disciplinarios deportivos y elaboración e informe de los proyectos normativos que hayan de aprobarse por la Federación Motociclista de la Comunidad Valenciana en cumplimiento de la legislación deportiva.</t>
        </is>
      </c>
      <c r="C6" s="75" t="n">
        <v>1760</v>
      </c>
    </row>
    <row r="7" ht="30" customHeight="1">
      <c r="A7" t="inlineStr">
        <is>
          <t>42.10.6C.00.22</t>
        </is>
      </c>
      <c r="B7" s="41" t="inlineStr">
        <is>
          <t>Resolución y tramitación de expedientes disciplinarios deportivos y elaboración e informe de los proyectos normativos. Segundo pago</t>
        </is>
      </c>
      <c r="C7" s="75" t="n">
        <v>1760</v>
      </c>
    </row>
    <row r="8" ht="45" customHeight="1">
      <c r="A8" t="inlineStr">
        <is>
          <t>42.10.6C.00.22</t>
        </is>
      </c>
      <c r="B8" s="41" t="inlineStr">
        <is>
          <t>Tercer pago. Resolución y tramitación de expedientes disciplinarios deportivos y elaboración e informe de los proyectos normativos que hayan de aprobarse por la FMCV</t>
        </is>
      </c>
      <c r="C8" s="75" t="n">
        <v>1760</v>
      </c>
    </row>
    <row r="9" ht="30" customHeight="1">
      <c r="A9" t="inlineStr">
        <is>
          <t>42.10.6C.00.23</t>
        </is>
      </c>
      <c r="B9" s="41" t="inlineStr">
        <is>
          <t xml:space="preserve">Informe periódico, semestral, sobre la situación del mercado inmobiliario en España </t>
        </is>
      </c>
      <c r="C9" s="75" t="n">
        <v>2640</v>
      </c>
    </row>
    <row r="10" ht="30" customHeight="1">
      <c r="A10" t="inlineStr">
        <is>
          <t>42.10.6C.00.23</t>
        </is>
      </c>
      <c r="B10" s="41" t="inlineStr">
        <is>
          <t>Segundo informe semestral de la situación del mercado inmobiliario en España</t>
        </is>
      </c>
      <c r="C10" s="75" t="n">
        <v>2640</v>
      </c>
    </row>
    <row r="11" ht="30" customHeight="1">
      <c r="A11" t="inlineStr">
        <is>
          <t>42.10.6C.00.24</t>
        </is>
      </c>
      <c r="B11" s="41" t="inlineStr">
        <is>
          <t>Dictamen sobre el régimen jurídico del acceso a los expedientes administrativos para aportar a un proceso en un Juzgado de Ponferrada.</t>
        </is>
      </c>
      <c r="C11" s="75" t="n">
        <v>880</v>
      </c>
    </row>
    <row r="12">
      <c r="A12" t="inlineStr">
        <is>
          <t>42.10.6C.00.25</t>
        </is>
      </c>
      <c r="B12" s="41" t="inlineStr">
        <is>
          <t>Informe sobre el régimen de suspensión de plazos del RD 463/2020</t>
        </is>
      </c>
      <c r="C12" s="75" t="n">
        <v>440</v>
      </c>
    </row>
    <row r="13" ht="30" customHeight="1">
      <c r="A13" t="inlineStr">
        <is>
          <t>42.10.6C.00.26</t>
        </is>
      </c>
      <c r="B13" s="41" t="inlineStr">
        <is>
          <t>Primer pago por encargo de realización de dos informes periciales sobre aspectos relacionados con el mercado de alquiler.</t>
        </is>
      </c>
      <c r="C13" s="75" t="n">
        <v>3080</v>
      </c>
    </row>
    <row r="14" ht="30" customHeight="1">
      <c r="A14" t="inlineStr">
        <is>
          <t>42.10.6D.00.01</t>
        </is>
      </c>
      <c r="B14" s="41" t="inlineStr">
        <is>
          <t>BESTRETA 50% CONVENI GV -UNIVERSITAT ALACANT CONGRÉS ERSA (AÑO 2023)</t>
        </is>
      </c>
      <c r="C14" s="75" t="n">
        <v>10000</v>
      </c>
    </row>
    <row r="15" ht="45" customHeight="1">
      <c r="A15" t="inlineStr">
        <is>
          <t>42.10.6P.00.03</t>
        </is>
      </c>
      <c r="B15" s="41" t="inlineStr">
        <is>
          <t>DEVOLUCIÓN DE INGRESOS_MODELO 047_Nº DE LIQUIDACIÓN: 46/2024/RAS/10112/1_ Nº DE JUSTIFICANTE: 047/1/002477921_ Nº DE REFERENCIA: 047/1/002477921</t>
        </is>
      </c>
      <c r="C15" s="75" t="n">
        <v>-2676.63</v>
      </c>
    </row>
    <row r="16">
      <c r="A16" t="inlineStr">
        <is>
          <t>42.10.6P.00.04</t>
        </is>
      </c>
      <c r="B16" s="41" t="inlineStr">
        <is>
          <t xml:space="preserve">CIAICO/2021/019/074/124/158/167/173/279/305/328/335/345/348/339 </t>
        </is>
      </c>
      <c r="C16" s="75" t="n">
        <v>25000</v>
      </c>
    </row>
    <row r="17" ht="45" customHeight="1">
      <c r="A17" t="inlineStr">
        <is>
          <t>42.10.6P.00.04</t>
        </is>
      </c>
      <c r="B17" s="41" t="inlineStr">
        <is>
          <t>DEVOLUCIÓN DE INGRESOS_MODELO 047_Nº DE LIQUIDACIÓN: 46/2024/RAS/10135/1_ Nº DE JUSTIFICANTE: 047/1/002493531/ Nº DE REFERENCIA: 047/1/002493531</t>
        </is>
      </c>
      <c r="C17" s="75" t="n">
        <v>-4832.03</v>
      </c>
    </row>
    <row r="18" ht="30" customHeight="1">
      <c r="A18" t="inlineStr">
        <is>
          <t>42.10.6Q.00.02</t>
        </is>
      </c>
      <c r="B18" s="41" t="inlineStr">
        <is>
          <t>CATEDRA TRANSFORMACION MODELO ECONOMICO (50%) (num factura: 6001308005)</t>
        </is>
      </c>
      <c r="C18" s="75" t="n">
        <v>20000</v>
      </c>
    </row>
    <row r="19" ht="30" customHeight="1">
      <c r="A19" t="inlineStr">
        <is>
          <t>42.10.6Q.00.02</t>
        </is>
      </c>
      <c r="B19" s="41" t="inlineStr">
        <is>
          <t>CATEDRA TRANSFORMACION MODELO ECONOMICO (50%) (num factura 6003320483)</t>
        </is>
      </c>
      <c r="C19" s="75" t="n">
        <v>20000</v>
      </c>
    </row>
    <row r="20">
      <c r="A20" t="inlineStr">
        <is>
          <t>Total</t>
        </is>
      </c>
      <c r="C20" s="76">
        <f>SUBTOTAL(109,Tabla3[Imp. aplic.])</f>
        <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30"/>
  <sheetViews>
    <sheetView topLeftCell="A7" workbookViewId="0">
      <selection activeCell="C31" sqref="C31"/>
    </sheetView>
  </sheetViews>
  <sheetFormatPr baseColWidth="10" defaultRowHeight="15"/>
  <cols>
    <col width="15.85546875" customWidth="1" min="1" max="1"/>
    <col width="52.42578125" customWidth="1" min="2" max="2"/>
    <col width="21.28515625" customWidth="1" min="3" max="3"/>
  </cols>
  <sheetData>
    <row r="1">
      <c r="A1" s="56" t="inlineStr">
        <is>
          <t>Org. aplic.</t>
        </is>
      </c>
      <c r="B1" s="57" t="inlineStr">
        <is>
          <t>Descripción justificante</t>
        </is>
      </c>
      <c r="C1" s="57" t="inlineStr">
        <is>
          <t>Imp. aplic.</t>
        </is>
      </c>
    </row>
    <row r="2">
      <c r="A2" s="58" t="inlineStr">
        <is>
          <t>42.10.6C.00.26</t>
        </is>
      </c>
      <c r="B2" s="59" t="inlineStr">
        <is>
          <t xml:space="preserve">Realización de dos informes periciales sobre aspectos relacionados con el mercado de alquiler. Segundo pago </t>
        </is>
      </c>
      <c r="C2" s="77" t="n">
        <v>5610</v>
      </c>
    </row>
    <row r="3">
      <c r="A3" s="61" t="inlineStr">
        <is>
          <t>42.10.6C.00.27</t>
        </is>
      </c>
      <c r="B3" s="62" t="inlineStr">
        <is>
          <t>Informe jurídico para el estudio de doctrina y jurisprudencia en relación con el expediente sancionador de la administración de 7 de octubre de 2024.</t>
        </is>
      </c>
      <c r="C3" s="78" t="n">
        <v>484</v>
      </c>
    </row>
    <row r="4">
      <c r="A4" s="58" t="inlineStr">
        <is>
          <t>42.10.6C.00.28</t>
        </is>
      </c>
      <c r="B4" s="59" t="inlineStr">
        <is>
          <t>Dictamen sobre cuestiones jurídico-administrativas (relativas a la certificación por parte de ADIF) que plantea un recurso de apelación contra un auto denegando la admisión a trámite de una querella</t>
        </is>
      </c>
      <c r="C4" s="77" t="n">
        <v>4400</v>
      </c>
    </row>
    <row r="5">
      <c r="A5" s="61" t="inlineStr">
        <is>
          <t>42.10.6C.00.29</t>
        </is>
      </c>
      <c r="B5" s="62" t="inlineStr">
        <is>
          <t>Estudios o reuniones de apoyo al contencioso de revisión de oficio contra acuerdo de la Autoridad Portuaria de Alicante por el que se autoriza la modificación sustancial de la concesión administrativa otorgada a Terminales Marítimas del Sureste, S.A. para la "construcción y explotación, en régimen de gestión indirecta, de una Terminal Marítima en la zona sur del Puerto de Alicante" (BOE número 189).</t>
        </is>
      </c>
      <c r="C5" s="78" t="n">
        <v>880</v>
      </c>
    </row>
    <row r="6">
      <c r="A6" s="58" t="inlineStr">
        <is>
          <t>42.10.6C.00.30</t>
        </is>
      </c>
      <c r="B6" s="59" t="inlineStr">
        <is>
          <t>Dictamen proponiendo posibles soluciones en Derecho administrativo para terminar con la paralización de la actuación integrada del nuevo sector en suelo urbanizable, Ana Golf, Golf Aventura AnnaBella en el Ayuntamiento de Anna.</t>
        </is>
      </c>
      <c r="C6" s="77" t="n">
        <v>4840</v>
      </c>
    </row>
    <row r="7">
      <c r="A7" s="61" t="inlineStr">
        <is>
          <t>42.10.6C.00.31</t>
        </is>
      </c>
      <c r="B7" s="62" t="inlineStr">
        <is>
          <t>Asesoramiento científico en el Proyecto "El modelo residencial y urbano español. Retos y futuro." Primer pago (Firma de contrato y anuncio de lanzamiento de Think-Tank). Referencia del contrato: ROMAN1-25A. Dra. Paloma Taltavull de la Paz</t>
        </is>
      </c>
      <c r="C7" s="78" t="n">
        <v>26400</v>
      </c>
    </row>
    <row r="8">
      <c r="A8" s="58" t="inlineStr">
        <is>
          <t>42.10.6C.00.32</t>
        </is>
      </c>
      <c r="B8" s="59" t="inlineStr">
        <is>
          <t>Informes sobre la viabilidad de un posible recurso de apelación a favor de Doña Aurora Lázaro Asensio</t>
        </is>
      </c>
      <c r="C8" s="77" t="n">
        <v>1245.2</v>
      </c>
    </row>
    <row r="9">
      <c r="A9" s="61" t="inlineStr">
        <is>
          <t>42.10.6C.00.33</t>
        </is>
      </c>
      <c r="B9" s="62" t="inlineStr">
        <is>
          <t>Redacción de recurso de reposición a favor de Doña Danaicy Marilyn Useche Vivas, en relación con reclamaciones económicas frente al Consejo Audiovisual de Andalucía</t>
        </is>
      </c>
      <c r="C9" s="78" t="n">
        <v>722.48</v>
      </c>
    </row>
    <row r="10">
      <c r="A10" s="58" t="inlineStr">
        <is>
          <t>42.10.6C.00.34</t>
        </is>
      </c>
      <c r="B10" s="59" t="inlineStr">
        <is>
          <t>Asesoramiento en redacción de demanda a favor de Elena de Jesús Colindres Velásquez en defensa de su puesto de Jefa de División de Seguridad</t>
        </is>
      </c>
      <c r="C10" s="77" t="n">
        <v>787.6</v>
      </c>
    </row>
    <row r="11">
      <c r="A11" s="61" t="inlineStr">
        <is>
          <t>42.10.6C.00.35</t>
        </is>
      </c>
      <c r="B11" s="62" t="inlineStr">
        <is>
          <t>La elaboración de un informe periódico, semestral, sobre la situación del mercado inmobiliario en España que se concentre en los distintos subsectores inmobiliarios, aunque manteniendo un tronco común que aborde un apartado general y del mercado de la vivienda. Se entregarán dos informes, adoptando el análisis metodológico desarrollado para su diseño, estructura y redacción en el Encargo anterior realizado a la misma responsable el 2 de junio de 2014 y que se ha venido realizando en los informes realizados hasta la fecha. La elaboración de un estudio específico anual sobre un tema concreto a definir por la AEV. La creación de un índice de sentimiento del mercado inmobiliario a partir de las respuestas obtenidas de un panel de observadores en el que se recopile información semestralmente de los expertos del mercado y en el que jugarían un papel necesario y esencial los socios de la AEV. Esta actividad incluye la colaboración para el diseño del cuestionario</t>
        </is>
      </c>
      <c r="C11" s="78" t="n">
        <v>2640</v>
      </c>
    </row>
    <row r="12">
      <c r="A12" s="58" t="inlineStr">
        <is>
          <t>42.10.6C.00.36</t>
        </is>
      </c>
      <c r="B12" s="59" t="inlineStr">
        <is>
          <t>ASESORAMIENTO CIENTÍFICO-TÉCNICO EN DERECHO EN EL ÁMBITO DE DERECHO ADMINISTRATIVO (PAGO FIJO Nº 1) Periodo 29-julio-2025 a 28-agosto-2025. Ref. ADMINISTRATIVANDO1-25T - Santiago González-Varas Ibáñez</t>
        </is>
      </c>
      <c r="C12" s="77" t="n">
        <v>968</v>
      </c>
    </row>
    <row r="13">
      <c r="A13" s="61" t="inlineStr">
        <is>
          <t>42.10.6C.00.36</t>
        </is>
      </c>
      <c r="B13" s="62" t="inlineStr">
        <is>
          <t>Encargo asesoramiento adicional: "Borrador de casación a favor de Gregorio Amo en relación con la titularidad e inventario de uncamino en Gozón (Asturias). Ref. ADMINISTRATIVANDO1-25T - Santiago González-Varas Ibáñez</t>
        </is>
      </c>
      <c r="C13" s="78" t="n">
        <v>396</v>
      </c>
    </row>
    <row r="14">
      <c r="A14" s="58" t="inlineStr">
        <is>
          <t>42.10.6C.00.36</t>
        </is>
      </c>
      <c r="B14" s="59" t="inlineStr">
        <is>
          <t>ASESORAMIENTO CIENTÍFICO-TÉCNICO EN DERECHO EN EL ÁMBITO DE DERECHO ADMINISTRATIVO (PAGO FIJO Nº 2) Periodo 29-agosto-2025 a 28-septiembre-2025. Ref. ADMINISTRATIVANDO1-25T - Santiago González-Varas Ibáñez</t>
        </is>
      </c>
      <c r="C14" s="77" t="n">
        <v>968</v>
      </c>
    </row>
    <row r="15">
      <c r="A15" s="61" t="inlineStr">
        <is>
          <t>42.10.6C.00.36</t>
        </is>
      </c>
      <c r="B15" s="62" t="inlineStr">
        <is>
          <t>Encargo asesoramiento adicional: "Colaboración en la preparación del escrito de casación a José Francisco Pérez Azor frente a la sentencia 2648/2025, de la Sala de lo Contencioso-Administrativo del TSJ de Cataluña, sección 4ª, de 21 de julio de 2025"  Ref. ADMINISTRATIVANDO1-25T - Santiago González-Varas Ibáñez</t>
        </is>
      </c>
      <c r="C15" s="78" t="n">
        <v>1232</v>
      </c>
    </row>
    <row r="16">
      <c r="A16" s="58" t="inlineStr">
        <is>
          <t>42.10.6C.00.36</t>
        </is>
      </c>
      <c r="B16" s="59" t="inlineStr">
        <is>
          <t>ASESORAMIENTO CIENTÍFICO-TÉCNICO EN DERECHO EN EL ÁMBITO DE DERECHO ADMINISTRATIVO (PAGO FIJO Nº3) - Periodo 29-sept-2025 a 28-oct-2025. Ref. ADMINISTRATIVANDO1-25T - Santiago González-Varas Ibáñez</t>
        </is>
      </c>
      <c r="C16" s="77" t="n">
        <v>968</v>
      </c>
    </row>
    <row r="17">
      <c r="A17" s="61" t="inlineStr">
        <is>
          <t>42.10.6C.00.36</t>
        </is>
      </c>
      <c r="B17" s="62" t="inlineStr">
        <is>
          <t>ASESORAMIENTO CIENTÍFICO-TÉCNICO EN DERECHO EN EL ÁMBITO DE DERECHO ADMINISTRATIVO (PAGO FIJO Nº4) - Periodo 29-oct-2025 a 28-nov-2025. Ref. ADMINISTRATIVANDO1-25T - Santiago González-Varas</t>
        </is>
      </c>
      <c r="C17" s="78" t="n">
        <v>968</v>
      </c>
    </row>
    <row r="18">
      <c r="A18" s="58" t="inlineStr">
        <is>
          <t>42.10.6C.00.36</t>
        </is>
      </c>
      <c r="B18" s="59" t="inlineStr">
        <is>
          <t>ASESORAMIENTO CIENTÍFICO-TÉCNICO EN DERECHO EN EL ÁMBITO DE DERECHO ADMINISTRATIVO (PAGO FIJO Nº5) - Periodo 29-nov-2025 a 28-dic-2025. Ref. ADMINISTRATIVANDO1-25T - Santiago González-Varas</t>
        </is>
      </c>
      <c r="C18" s="77" t="n">
        <v>968</v>
      </c>
    </row>
    <row r="19">
      <c r="A19" s="61" t="inlineStr">
        <is>
          <t>42.10.6C.00.37</t>
        </is>
      </c>
      <c r="B19" s="62" t="inlineStr">
        <is>
          <t>Informe sobre la viabilidad de la defensa contra la licencia a favor de una antena 400/2024 en el expediente administrativo 2023/5870X, en el municipio de Mazarrón (Murcia)</t>
        </is>
      </c>
      <c r="C19" s="78" t="n">
        <v>1232</v>
      </c>
    </row>
    <row r="20">
      <c r="A20" s="58" t="inlineStr">
        <is>
          <t>42.10.6C.00.38</t>
        </is>
      </c>
      <c r="B20" s="59" t="inlineStr">
        <is>
          <t>ESCRITO EN RELACIÓN CON LA CONSULTA PÚBLICA PREVIA del PLAN GENERAL ESTRUCTURAL de ALGORFA</t>
        </is>
      </c>
      <c r="C20" s="77" t="n">
        <v>440</v>
      </c>
    </row>
    <row r="21">
      <c r="A21" s="61" t="inlineStr">
        <is>
          <t>42.10.6C.00.39</t>
        </is>
      </c>
      <c r="B21" s="62" t="inlineStr">
        <is>
          <t>Estudio sobre la modificación de los Estatutos de la Federación de Motociclismo de la Comunitat Valenciana y elaboración del código de bueno gobierno adaptado a la legislación de la Comunitat Valenciana, así como seguimiento hasta la aprobación. Primer pago</t>
        </is>
      </c>
      <c r="C21" s="78" t="n">
        <v>1760</v>
      </c>
    </row>
    <row r="22">
      <c r="A22" s="58" t="inlineStr">
        <is>
          <t>42.10.6C.00.40</t>
        </is>
      </c>
      <c r="B22" s="59" t="inlineStr">
        <is>
          <t>Informe para la defensa de los bomberos del Consorcio de Emergencias de Gran Canaria con una opinión jurídica sobre la interpretación del concepto y alcance de la jornada de trabajo y de la expresión "horas no realizadas de servicio efectivo"</t>
        </is>
      </c>
      <c r="C22" s="77" t="n">
        <v>880</v>
      </c>
    </row>
    <row r="23">
      <c r="A23" s="61" t="inlineStr">
        <is>
          <t>42.10.6C.00.41</t>
        </is>
      </c>
      <c r="B23" s="62" t="inlineStr">
        <is>
          <t>Informe sobre expectativas y posibilidades de éxito que tenía el escrito de preparación de recurso de casación (art.89.1 y 5 LJCA) contra la sentencia nº375 de 2 de junio de 2022 de la Sala de lo Contencioso-Administrativo del Tribunal Superior de Justicia de la Comunidad Valenciana. Expediente num. 7123/2025</t>
        </is>
      </c>
      <c r="C23" s="78" t="n">
        <v>7480</v>
      </c>
    </row>
    <row r="24">
      <c r="A24" s="58" t="inlineStr">
        <is>
          <t>42.10.6P.00.04</t>
        </is>
      </c>
      <c r="B24" s="59" t="inlineStr">
        <is>
          <t>DEVOLUCIÓN DE INGRESOS_MODELO 047_  REFERENCIA: CIACO/2021/158/279/339/124/348/074/345/173</t>
        </is>
      </c>
      <c r="C24" s="77" t="n">
        <v>-1258.85</v>
      </c>
    </row>
    <row r="25">
      <c r="A25" s="61" t="inlineStr">
        <is>
          <t>42.10.6Q.00.02</t>
        </is>
      </c>
      <c r="B25" s="62" t="inlineStr">
        <is>
          <t>Cátedra Transformación del Modelo Económico, subvención anualidad 2025, financia la Consellería de Hacienda y Economía. Línea de subvención: S0632. Núm. fact: 6004167455</t>
        </is>
      </c>
      <c r="C25" s="78" t="n">
        <v>40000</v>
      </c>
    </row>
    <row r="26" ht="15.75" customHeight="1" thickBot="1">
      <c r="A26" s="58" t="inlineStr">
        <is>
          <t>42.10.6X.00.01</t>
        </is>
      </c>
      <c r="B26" s="59" t="inlineStr">
        <is>
          <t>PROYECTO: ICOOPEB- Innovations éducatives, sociales et technologiques pour le développement agricole durable et le coopérativisme dans les territoires ruraux d'Amazonie équatorienne et brésilienne. PROGRAMA: ERASMUS+. REF PROYECTO: 101082459</t>
        </is>
      </c>
      <c r="C26" s="77" t="n">
        <v>9965.549999999999</v>
      </c>
    </row>
    <row r="27" ht="15.75" customHeight="1" thickTop="1">
      <c r="A27" s="64" t="inlineStr">
        <is>
          <t>Total</t>
        </is>
      </c>
      <c r="B27" s="65" t="n"/>
      <c r="C27" s="79" t="n">
        <v>114975.98</v>
      </c>
    </row>
    <row r="30">
      <c r="B30" s="46" t="inlineStr">
        <is>
          <t>Total ingresos investigación 2023-25</t>
        </is>
      </c>
      <c r="C30" s="80">
        <f>+Tabla3[[#Totals],[Imp. aplic.]]+Tabla2[[#Totals],[Imp.cob.aplic.]]+C27</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5"/>
  <sheetViews>
    <sheetView workbookViewId="0">
      <selection activeCell="B7" sqref="B7"/>
    </sheetView>
  </sheetViews>
  <sheetFormatPr baseColWidth="10" defaultRowHeight="15"/>
  <cols>
    <col width="16.28515625" customWidth="1" min="1" max="1"/>
    <col width="68.140625" customWidth="1" min="2" max="2"/>
    <col width="14.85546875" customWidth="1" min="3" max="3"/>
  </cols>
  <sheetData>
    <row r="1">
      <c r="A1" s="37" t="inlineStr">
        <is>
          <t>Cód. org. aplic.</t>
        </is>
      </c>
      <c r="B1" s="37" t="inlineStr">
        <is>
          <t>Descripción justificante</t>
        </is>
      </c>
      <c r="C1" s="37" t="inlineStr">
        <is>
          <t>Imp.cob.aplic.</t>
        </is>
      </c>
    </row>
    <row r="2">
      <c r="A2" s="23" t="inlineStr">
        <is>
          <t>42.10.2T.00.04</t>
        </is>
      </c>
      <c r="B2" s="23" t="inlineStr">
        <is>
          <t>DEVOLUCIÓN DE TASAS NÓMINAS_REMESA Nº 2023DTR380589_RDT INVERSA: 2023EXPADM2019</t>
        </is>
      </c>
      <c r="C2" s="71" t="n">
        <v>-2358.17</v>
      </c>
    </row>
    <row r="3">
      <c r="A3" s="38" t="inlineStr">
        <is>
          <t>42.10.2T.00.04</t>
        </is>
      </c>
      <c r="B3" s="38" t="inlineStr">
        <is>
          <t xml:space="preserve">LIQ-TitProp_9439-1 Curso_2023-24 AñoCont_2023 - EXPERTO EN INDUSTRIA Y AGRONOMÍA DIGITAL DEL CANNABIS </t>
        </is>
      </c>
      <c r="C3" s="73" t="n">
        <v>765</v>
      </c>
    </row>
    <row r="4">
      <c r="A4" s="39" t="inlineStr">
        <is>
          <t>Total</t>
        </is>
      </c>
      <c r="B4" s="39" t="n"/>
      <c r="C4" s="81">
        <f>SUBTOTAL(109,Tabla5[Imp.cob.aplic.])</f>
        <v/>
      </c>
    </row>
    <row r="5">
      <c r="C5" s="82" t="n"/>
    </row>
  </sheetData>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9"/>
  <sheetViews>
    <sheetView workbookViewId="0">
      <selection activeCell="B12" sqref="B12:C12"/>
    </sheetView>
  </sheetViews>
  <sheetFormatPr baseColWidth="10" defaultRowHeight="15"/>
  <cols>
    <col width="13.28515625" bestFit="1" customWidth="1" min="1" max="1"/>
    <col width="82.7109375" customWidth="1" min="2" max="2"/>
    <col width="11.7109375" customWidth="1" style="75" min="3" max="3"/>
  </cols>
  <sheetData>
    <row r="1">
      <c r="A1" t="inlineStr">
        <is>
          <t>Org. aplic.</t>
        </is>
      </c>
      <c r="B1" t="inlineStr">
        <is>
          <t>Descripción justificante</t>
        </is>
      </c>
      <c r="C1" s="75" t="inlineStr">
        <is>
          <t>Imp. aplic.</t>
        </is>
      </c>
    </row>
    <row r="2" ht="30" customHeight="1">
      <c r="A2" t="inlineStr">
        <is>
          <t>42.10.2T.00.04</t>
        </is>
      </c>
      <c r="B2" s="41" t="inlineStr">
        <is>
          <t xml:space="preserve">LIQ-TitProp_9439-1 Curso_2023-24 AñoCont_2023 - EXPERTO EN INDUSTRIA Y AGRONOMÍA DIGITAL DEL CANNABIS </t>
        </is>
      </c>
      <c r="C2" s="75" t="n">
        <v>2384.25</v>
      </c>
    </row>
    <row r="3" ht="30" customHeight="1">
      <c r="A3" t="inlineStr">
        <is>
          <t>42.10.2T.00.04</t>
        </is>
      </c>
      <c r="B3" s="41" t="inlineStr">
        <is>
          <t>PAGO DEL CURSO EN INDUSTRIA Y AGRONOMÍA DIGITAL DEL CANNABIS CORRESPONDIENTES AL ALUMNO NOEL JOAQUÍN CARRIÓN LÓPEZ. CURSO 2023-2024</t>
        </is>
      </c>
      <c r="C3" s="75" t="n">
        <v>935</v>
      </c>
    </row>
    <row r="4" ht="30" customHeight="1">
      <c r="A4" t="inlineStr">
        <is>
          <t>42.10.2T.00.04</t>
        </is>
      </c>
      <c r="B4" s="41" t="inlineStr">
        <is>
          <t xml:space="preserve">LIQ-TitProp_9439-2 Curso_2023-24 AñoCont_2023 - EXPERTO/A EN INDUSTRIA Y AGRONOMÍA DIGITAL DEL CANNABIS </t>
        </is>
      </c>
      <c r="C4" s="75" t="n">
        <v>4371.12</v>
      </c>
    </row>
    <row r="5" ht="30" customHeight="1">
      <c r="A5" t="inlineStr">
        <is>
          <t>42.10.2T.00.04</t>
        </is>
      </c>
      <c r="B5" s="41" t="inlineStr">
        <is>
          <t>DEVOLUCIÓN TASAS NÓMINAS_REMESA Nº 2024DTR177473/ RDT INVERSA 2024EXPADM0845</t>
        </is>
      </c>
      <c r="C5" s="75" t="n">
        <v>-397.38</v>
      </c>
    </row>
    <row r="6" ht="30" customHeight="1">
      <c r="A6" t="inlineStr">
        <is>
          <t>42.10.2T.00.04</t>
        </is>
      </c>
      <c r="B6" s="41" t="inlineStr">
        <is>
          <t xml:space="preserve">LIQ-TitProp_GK09-1 Curso_2023-24 AñoCont_2024 - INDUSTRIA Y AGRONOMÍA DIGITAL DEL CANNABIS </t>
        </is>
      </c>
      <c r="C6" s="75" t="n">
        <v>20196</v>
      </c>
    </row>
    <row r="7" ht="30" customHeight="1">
      <c r="A7" t="inlineStr">
        <is>
          <t>42.10.2T.00.06</t>
        </is>
      </c>
      <c r="B7" s="41" t="inlineStr">
        <is>
          <t xml:space="preserve">CÓD: GM21. Microcredencial. INDUSTRIA Y AGRONOMÍA DIGITAL DEL CANNABIS. MÓDULO AGRONÓMICO _Plan_GM21-N Curso_2024-25_AñoCont_2024  </t>
        </is>
      </c>
      <c r="C7" s="75" t="n">
        <v>1306.8</v>
      </c>
    </row>
    <row r="8" ht="30" customHeight="1">
      <c r="A8" t="inlineStr">
        <is>
          <t>42.10.2T.00.08</t>
        </is>
      </c>
      <c r="B8" s="41" t="inlineStr">
        <is>
          <t xml:space="preserve">CÓD: GM20. Microcredencial. INDUSTRIA Y AGRONOMÍA DIGITAL DEL CANNABIS. MÓDULO  TECNOLÓGICO Y DE MERCAD  _Plan_GM20-N Curso_2024-25_AñoCont_2024 </t>
        </is>
      </c>
      <c r="C8" s="75" t="n">
        <v>1737.45</v>
      </c>
    </row>
    <row r="9">
      <c r="A9" t="inlineStr">
        <is>
          <t>Total</t>
        </is>
      </c>
      <c r="B9" s="41" t="n"/>
      <c r="C9" s="76">
        <f>SUBTOTAL(109,Tabla4[Imp. aplic.])</f>
        <v/>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16"/>
  <sheetViews>
    <sheetView tabSelected="1" workbookViewId="0">
      <selection activeCell="C17" sqref="C17"/>
    </sheetView>
  </sheetViews>
  <sheetFormatPr baseColWidth="10" defaultRowHeight="15"/>
  <cols>
    <col width="17" customWidth="1" min="1" max="1"/>
    <col width="52.7109375" customWidth="1" min="2" max="2"/>
    <col width="20.85546875" customWidth="1" min="3" max="3"/>
  </cols>
  <sheetData>
    <row r="1">
      <c r="A1" s="56" t="inlineStr">
        <is>
          <t>Org. aplic.</t>
        </is>
      </c>
      <c r="B1" s="57" t="inlineStr">
        <is>
          <t>Descripción justificante</t>
        </is>
      </c>
      <c r="C1" s="83" t="inlineStr">
        <is>
          <t>Imp. aplic.</t>
        </is>
      </c>
    </row>
    <row r="2">
      <c r="A2" s="58" t="inlineStr">
        <is>
          <t>42.10.2T.00.06</t>
        </is>
      </c>
      <c r="B2" s="59" t="inlineStr">
        <is>
          <t>Matrícula Ana Sardinha Cordeiro - GM21 Industria y Agronomía digital del Cannabis. Módulo Agronómico. REFERENCIA: 2024745803027</t>
        </is>
      </c>
      <c r="C2" s="77" t="n">
        <v>132</v>
      </c>
    </row>
    <row r="3">
      <c r="A3" s="61" t="inlineStr">
        <is>
          <t>42.10.2T.00.08</t>
        </is>
      </c>
      <c r="B3" s="62" t="inlineStr">
        <is>
          <t>Matrícula Ana Sardinha Cordeiro - GM20 Industria y Agronomía digital del Cannabis. Módulo Tecnológico y de Mercado. REFERENCIA: 2024745801839</t>
        </is>
      </c>
      <c r="C3" s="78" t="n">
        <v>148.5</v>
      </c>
    </row>
    <row r="4">
      <c r="A4" s="58" t="inlineStr">
        <is>
          <t>42.10.2T.00.08</t>
        </is>
      </c>
      <c r="B4" s="59" t="inlineStr">
        <is>
          <t>Matrícula Caridad Mateo Martínez - GM20 Industria y Agronomía digital del Cannabis. Módulo Tecnológico y de Mercado. REFERENCIA: 2024749145666</t>
        </is>
      </c>
      <c r="C4" s="77" t="n">
        <v>148.5</v>
      </c>
    </row>
    <row r="5">
      <c r="A5" s="61" t="inlineStr">
        <is>
          <t>42.10.2T.00.06</t>
        </is>
      </c>
      <c r="B5" s="62" t="inlineStr">
        <is>
          <t>Matrícula Caridad Mateo Martínez - GM21 Industria y Agronomía digital del Cannabis. Módulo Agronómico. REFERENCIA: 2024749146360</t>
        </is>
      </c>
      <c r="C5" s="78" t="n">
        <v>132</v>
      </c>
    </row>
    <row r="6">
      <c r="A6" s="58" t="inlineStr">
        <is>
          <t>42.10.2T.00.08</t>
        </is>
      </c>
      <c r="B6" s="59" t="inlineStr">
        <is>
          <t>CÓD: GM20. Microcredencial. INDUSTRIA Y AGRONOMÍA DIGITAL DEL CANNABIS. MÓDULO  TECNOLÓGICO Y DE MERCAD  _Plan_GM20-2 Curso_2024-25_AñoCont_2025</t>
        </is>
      </c>
      <c r="C6" s="77" t="n">
        <v>4766.4</v>
      </c>
    </row>
    <row r="7">
      <c r="A7" s="61" t="inlineStr">
        <is>
          <t>42.10.2T.00.06</t>
        </is>
      </c>
      <c r="B7" s="62" t="inlineStr">
        <is>
          <t>CÓD: GM21. Microcredencial. INDUSTRIA Y AGRONOMÍA DIGITAL DEL CANNABIS. MÓDULO AGRONÓMICO _Plan_GM21-N Curso_2024-25_AñoCont_2025</t>
        </is>
      </c>
      <c r="C7" s="78" t="n">
        <v>4237.2</v>
      </c>
    </row>
    <row r="8">
      <c r="A8" s="58" t="inlineStr">
        <is>
          <t>42.10.2T.00.06</t>
        </is>
      </c>
      <c r="B8" s="59" t="inlineStr">
        <is>
          <t xml:space="preserve">CÓD: GM21 MICROCREDENCIAL INDUSTRIA Y AGRONOMÍA DIGITAL DEL CANNABIS. MÓDULO AGRONÓMICO _2024-25 AñoCont_2025 (recibo pagado a última hora)  </t>
        </is>
      </c>
      <c r="C8" s="77" t="n">
        <v>118.8</v>
      </c>
    </row>
    <row r="9">
      <c r="A9" s="61" t="inlineStr">
        <is>
          <t>42.10.2T.00.07</t>
        </is>
      </c>
      <c r="B9" s="62" t="inlineStr">
        <is>
          <t>CÓD: GM20. MICROCREDENCIAL. INDUSTRIA Y AGRONOMÍA DIGITAL DEL CANNABIS: MÓDULO TECNOLÓGICO Y DE MERCADO</t>
        </is>
      </c>
      <c r="C9" s="78" t="n">
        <v>12919.5</v>
      </c>
    </row>
    <row r="10">
      <c r="A10" s="58" t="inlineStr">
        <is>
          <t>42.10.2T.00.05</t>
        </is>
      </c>
      <c r="B10" s="59" t="inlineStr">
        <is>
          <t>CÓD: GM21. MICROCREDENCIAL. INDUSTRIA Y AGRONOMÍA DIGITAL DEL CANNABIS: MÓDULO AGRONÓMICO</t>
        </is>
      </c>
      <c r="C10" s="77" t="n">
        <v>11484</v>
      </c>
    </row>
    <row r="11">
      <c r="A11" s="61" t="inlineStr">
        <is>
          <t>42.10.2T.00.08</t>
        </is>
      </c>
      <c r="B11" s="62" t="inlineStr">
        <is>
          <t xml:space="preserve">LIQ-TitProp_GM20-N Curso_2025-26 AñoCont_2025 - INDUSTRIA Y AGRONOMÍA DIGITAL DEL CANNABIS. MÓDULO TECNOLÓGICO Y DE MERCADO _ (Cierre-25) (EMITIDO-25 COBRADO-25) </t>
        </is>
      </c>
      <c r="C11" s="78" t="n">
        <v>891</v>
      </c>
    </row>
    <row r="12" ht="15.75" customHeight="1" thickBot="1">
      <c r="A12" s="58" t="inlineStr">
        <is>
          <t>42.10.2T.00.06</t>
        </is>
      </c>
      <c r="B12" s="59" t="inlineStr">
        <is>
          <t xml:space="preserve">LIQ-TitProp_GM21-N Curso_2025-26 AñoCont_2025 - INDUSTRIA Y AGRONOMÍA DIGITAL DEL CANNABIS. MÓDULO AGRONÓMICO _ (Cierre-25) EMITIDO-25 COBRADO-25 NO-RDT </t>
        </is>
      </c>
      <c r="C12" s="77" t="n">
        <v>1881</v>
      </c>
    </row>
    <row r="13" ht="15.75" customHeight="1" thickTop="1">
      <c r="A13" s="64" t="inlineStr">
        <is>
          <t>Total</t>
        </is>
      </c>
      <c r="B13" s="65" t="n"/>
      <c r="C13" s="84" t="n">
        <v>36858.89999999999</v>
      </c>
    </row>
    <row r="16">
      <c r="B16" s="46" t="inlineStr">
        <is>
          <t>Total ingresos formación 2022-24</t>
        </is>
      </c>
      <c r="C16" s="80">
        <f>+Tabla4[[#Totals],[Imp. aplic.]]+Tabla5[[#Totals],[Imp.cob.aplic.]]+C13</f>
        <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dqino@ua.es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21387280V</dc:creator>
  <dcterms:created xsi:type="dcterms:W3CDTF">2019-07-03T07:15:54Z</dcterms:created>
  <dcterms:modified xsi:type="dcterms:W3CDTF">2026-05-28T21:59:20Z</dcterms:modified>
  <cp:lastModifiedBy>mayte.pujalte</cp:lastModifiedBy>
  <cp:lastPrinted>2024-09-27T09:46:47Z</cp:lastPrinted>
</cp:coreProperties>
</file>