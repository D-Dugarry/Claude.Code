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'Tesis'!$A$1:$U$27</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7">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b val="1"/>
      <color theme="1"/>
      <sz val="11"/>
      <scheme val="minor"/>
    </font>
    <font>
      <name val="Calibri"/>
      <family val="2"/>
      <color theme="1"/>
      <sz val="11"/>
      <scheme val="minor"/>
    </font>
    <font>
      <name val="Arial"/>
      <family val="2"/>
      <b val="1"/>
      <color theme="0"/>
      <sz val="10"/>
    </font>
    <font>
      <name val="Arial"/>
      <family val="2"/>
      <color theme="1"/>
      <sz val="10"/>
    </font>
    <font>
      <name val="Calibri"/>
      <family val="2"/>
      <color theme="1"/>
      <sz val="11"/>
    </font>
    <font>
      <name val="Calibri"/>
      <family val="2"/>
      <sz val="11"/>
    </font>
    <font>
      <name val="Arial"/>
      <family val="2"/>
      <b val="1"/>
      <color theme="1"/>
      <sz val="10"/>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indexed="64"/>
      </left>
      <right style="thin">
        <color indexed="64"/>
      </right>
      <top style="thin">
        <color indexed="64"/>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7" fontId="11" fillId="0" borderId="0"/>
  </cellStyleXfs>
  <cellXfs count="100">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textRotation="90" wrapText="1"/>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4" borderId="1" pivotButton="0" quotePrefix="0" xfId="1"/>
    <xf numFmtId="0" fontId="2" fillId="4" borderId="1" applyAlignment="1" pivotButton="0" quotePrefix="0" xfId="1">
      <alignment horizontal="right"/>
    </xf>
    <xf numFmtId="1" fontId="2" fillId="4" borderId="1" pivotButton="0" quotePrefix="0" xfId="1"/>
    <xf numFmtId="164" fontId="2" fillId="4" borderId="1" pivotButton="0" quotePrefix="0" xfId="1"/>
    <xf numFmtId="0" fontId="2" fillId="4" borderId="2" pivotButton="0" quotePrefix="0" xfId="1"/>
    <xf numFmtId="0" fontId="2" fillId="4" borderId="2" applyAlignment="1" pivotButton="0" quotePrefix="0" xfId="1">
      <alignment horizontal="right"/>
    </xf>
    <xf numFmtId="1" fontId="2" fillId="4" borderId="2" pivotButton="0" quotePrefix="0" xfId="1"/>
    <xf numFmtId="164" fontId="2" fillId="4" borderId="2" pivotButton="0" quotePrefix="0" xfId="1"/>
    <xf numFmtId="0" fontId="2" fillId="0" borderId="1" pivotButton="0" quotePrefix="0" xfId="1"/>
    <xf numFmtId="0" fontId="2" fillId="4" borderId="3" pivotButton="0" quotePrefix="0" xfId="1"/>
    <xf numFmtId="165" fontId="2" fillId="4" borderId="1" pivotButton="0" quotePrefix="0" xfId="1"/>
    <xf numFmtId="165" fontId="2" fillId="4" borderId="2" pivotButton="0" quotePrefix="0" xfId="1"/>
    <xf numFmtId="164" fontId="2" fillId="0" borderId="1" pivotButton="0" quotePrefix="0" xfId="1"/>
    <xf numFmtId="164" fontId="2" fillId="0" borderId="3" pivotButton="0" quotePrefix="0" xfId="1"/>
    <xf numFmtId="0" fontId="2" fillId="2" borderId="0" pivotButton="0" quotePrefix="0" xfId="1"/>
    <xf numFmtId="0" fontId="2" fillId="2" borderId="0" applyAlignment="1" pivotButton="0" quotePrefix="0" xfId="1">
      <alignment horizontal="right"/>
    </xf>
    <xf numFmtId="0" fontId="13" fillId="7" borderId="4" pivotButton="0" quotePrefix="0" xfId="0"/>
    <xf numFmtId="166" fontId="0" fillId="7" borderId="4" pivotButton="0" quotePrefix="0" xfId="6"/>
    <xf numFmtId="0" fontId="13" fillId="0" borderId="4" pivotButton="0" quotePrefix="0" xfId="0"/>
    <xf numFmtId="166" fontId="0" fillId="0" borderId="4" pivotButton="0" quotePrefix="0" xfId="6"/>
    <xf numFmtId="0" fontId="0" fillId="0" borderId="1" applyAlignment="1" pivotButton="0" quotePrefix="0" xfId="0">
      <alignment horizontal="left"/>
    </xf>
    <xf numFmtId="0" fontId="0" fillId="8" borderId="0" pivotButton="0" quotePrefix="0" xfId="0"/>
    <xf numFmtId="0" fontId="0" fillId="8" borderId="0" applyAlignment="1" pivotButton="0" quotePrefix="0" xfId="0">
      <alignment horizontal="left"/>
    </xf>
    <xf numFmtId="0" fontId="10" fillId="8" borderId="0" pivotButton="0" quotePrefix="0" xfId="0"/>
    <xf numFmtId="0" fontId="12" fillId="6" borderId="5" pivotButton="0" quotePrefix="0" xfId="0"/>
    <xf numFmtId="0" fontId="13" fillId="7" borderId="6" pivotButton="0" quotePrefix="0" xfId="0"/>
    <xf numFmtId="167" fontId="0" fillId="0" borderId="0" pivotButton="0" quotePrefix="0" xfId="0"/>
    <xf numFmtId="0" fontId="9" fillId="7" borderId="6" pivotButton="0" quotePrefix="0" xfId="0"/>
    <xf numFmtId="0" fontId="9" fillId="7" borderId="6" applyAlignment="1" pivotButton="0" quotePrefix="0" xfId="0">
      <alignment wrapText="1"/>
    </xf>
    <xf numFmtId="166" fontId="0" fillId="7" borderId="6" pivotButton="0" quotePrefix="0" xfId="6"/>
    <xf numFmtId="0" fontId="13" fillId="7" borderId="4" applyAlignment="1" pivotButton="0" quotePrefix="0" xfId="0">
      <alignment wrapText="1"/>
    </xf>
    <xf numFmtId="0" fontId="13" fillId="0" borderId="4" applyAlignment="1" pivotButton="0" quotePrefix="0" xfId="0">
      <alignment wrapText="1"/>
    </xf>
    <xf numFmtId="0" fontId="13" fillId="7" borderId="6" applyAlignment="1" pivotButton="0" quotePrefix="0" xfId="0">
      <alignment wrapText="1"/>
    </xf>
    <xf numFmtId="166" fontId="11" fillId="7" borderId="6" pivotButton="0" quotePrefix="0" xfId="0"/>
    <xf numFmtId="167" fontId="0" fillId="0" borderId="0" pivotButton="0" quotePrefix="0" xfId="6"/>
    <xf numFmtId="0" fontId="0" fillId="0" borderId="0" applyAlignment="1" pivotButton="0" quotePrefix="0" xfId="0">
      <alignment wrapText="1"/>
    </xf>
    <xf numFmtId="0" fontId="10" fillId="0" borderId="1" pivotButton="0" quotePrefix="0" xfId="0"/>
    <xf numFmtId="167" fontId="10" fillId="0" borderId="1" pivotButton="0" quotePrefix="0" xfId="6"/>
    <xf numFmtId="0" fontId="2" fillId="9" borderId="7" pivotButton="0" quotePrefix="0" xfId="1"/>
    <xf numFmtId="0" fontId="2" fillId="9" borderId="3" pivotButton="0" quotePrefix="0" xfId="1"/>
    <xf numFmtId="0" fontId="2" fillId="9" borderId="0" pivotButton="0" quotePrefix="0" xfId="1"/>
    <xf numFmtId="0" fontId="2" fillId="0" borderId="1" pivotButton="0" quotePrefix="0" xfId="1"/>
    <xf numFmtId="0" fontId="2" fillId="0" borderId="2" pivotButton="0" quotePrefix="0" xfId="1"/>
    <xf numFmtId="0" fontId="2" fillId="0" borderId="0" pivotButton="0" quotePrefix="0" xfId="1"/>
    <xf numFmtId="0" fontId="14" fillId="0" borderId="1" pivotButton="0" quotePrefix="0" xfId="0"/>
    <xf numFmtId="0" fontId="15" fillId="0" borderId="1" pivotButton="0" quotePrefix="0" xfId="0"/>
    <xf numFmtId="0" fontId="15" fillId="0" borderId="1" applyAlignment="1" pivotButton="0" quotePrefix="0" xfId="0">
      <alignment horizontal="left"/>
    </xf>
    <xf numFmtId="0" fontId="15" fillId="0" borderId="1" applyAlignment="1" pivotButton="0" quotePrefix="0" xfId="0">
      <alignment horizontal="center"/>
    </xf>
    <xf numFmtId="0" fontId="14" fillId="0" borderId="0" pivotButton="0" quotePrefix="0" xfId="5"/>
    <xf numFmtId="0" fontId="12" fillId="10" borderId="8" pivotButton="0" quotePrefix="0" xfId="0"/>
    <xf numFmtId="0" fontId="12" fillId="10" borderId="9" pivotButton="0" quotePrefix="0" xfId="0"/>
    <xf numFmtId="0" fontId="9" fillId="11" borderId="8" pivotButton="0" quotePrefix="0" xfId="0"/>
    <xf numFmtId="0" fontId="9" fillId="11" borderId="9" pivotButton="0" quotePrefix="0" xfId="0"/>
    <xf numFmtId="167" fontId="9" fillId="11" borderId="9" pivotButton="0" quotePrefix="0" xfId="6"/>
    <xf numFmtId="0" fontId="9" fillId="0" borderId="8" pivotButton="0" quotePrefix="0" xfId="0"/>
    <xf numFmtId="0" fontId="9" fillId="0" borderId="9" pivotButton="0" quotePrefix="0" xfId="0"/>
    <xf numFmtId="167" fontId="9" fillId="0" borderId="9" pivotButton="0" quotePrefix="0" xfId="6"/>
    <xf numFmtId="0" fontId="16" fillId="0" borderId="10" pivotButton="0" quotePrefix="0" xfId="0"/>
    <xf numFmtId="0" fontId="16" fillId="0" borderId="11" pivotButton="0" quotePrefix="0" xfId="0"/>
    <xf numFmtId="167" fontId="16" fillId="0" borderId="11" pivotButton="0" quotePrefix="0" xfId="6"/>
    <xf numFmtId="0" fontId="0" fillId="9" borderId="1" pivotButton="0" quotePrefix="0" xfId="0"/>
    <xf numFmtId="0" fontId="0" fillId="9" borderId="1" applyAlignment="1" pivotButton="0" quotePrefix="0" xfId="0">
      <alignment horizontal="center"/>
    </xf>
    <xf numFmtId="0" fontId="9" fillId="9" borderId="0" pivotButton="0" quotePrefix="0" xfId="5"/>
    <xf numFmtId="0" fontId="15" fillId="9" borderId="1" applyAlignment="1" pivotButton="0" quotePrefix="0" xfId="0">
      <alignment horizontal="center"/>
    </xf>
    <xf numFmtId="164" fontId="3" fillId="2" borderId="0" applyAlignment="1" pivotButton="0" quotePrefix="0" xfId="1">
      <alignment horizontal="center"/>
    </xf>
    <xf numFmtId="165" fontId="2" fillId="4" borderId="1" pivotButton="0" quotePrefix="0" xfId="1"/>
    <xf numFmtId="164" fontId="2" fillId="0" borderId="1" pivotButton="0" quotePrefix="0" xfId="1"/>
    <xf numFmtId="164" fontId="2" fillId="4" borderId="1" pivotButton="0" quotePrefix="0" xfId="1"/>
    <xf numFmtId="165" fontId="2" fillId="4" borderId="2" pivotButton="0" quotePrefix="0" xfId="1"/>
    <xf numFmtId="164" fontId="2" fillId="0" borderId="3" pivotButton="0" quotePrefix="0" xfId="1"/>
    <xf numFmtId="164" fontId="2" fillId="4" borderId="2" pivotButton="0" quotePrefix="0" xfId="1"/>
    <xf numFmtId="164" fontId="3" fillId="2" borderId="0" applyAlignment="1" pivotButton="0" quotePrefix="0" xfId="1">
      <alignment horizontal="center"/>
    </xf>
    <xf numFmtId="166" fontId="0" fillId="7" borderId="4" pivotButton="0" quotePrefix="0" xfId="6"/>
    <xf numFmtId="166" fontId="0" fillId="0" borderId="4" pivotButton="0" quotePrefix="0" xfId="6"/>
    <xf numFmtId="166" fontId="0" fillId="7" borderId="6" pivotButton="0" quotePrefix="0" xfId="6"/>
    <xf numFmtId="166" fontId="11" fillId="7" borderId="6" pivotButton="0" quotePrefix="0" xfId="0"/>
    <xf numFmtId="167" fontId="0" fillId="0" borderId="0" pivotButton="0" quotePrefix="0" xfId="6"/>
    <xf numFmtId="167" fontId="0" fillId="0" borderId="0" pivotButton="0" quotePrefix="0" xfId="0"/>
    <xf numFmtId="167" fontId="9" fillId="11" borderId="9" pivotButton="0" quotePrefix="0" xfId="6"/>
    <xf numFmtId="167" fontId="9" fillId="0" borderId="9" pivotButton="0" quotePrefix="0" xfId="6"/>
    <xf numFmtId="167" fontId="16" fillId="0" borderId="11" pivotButton="0" quotePrefix="0" xfId="6"/>
    <xf numFmtId="167" fontId="10"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2">
    <dxf>
      <alignment horizontal="general" vertical="bottom" wrapText="1"/>
    </dxf>
    <dxf>
      <alignment horizontal="general" vertical="bottom" wrapText="1"/>
    </dxf>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alignment horizontal="general" vertical="bottom" wrapText="1"/>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alignment horizontal="general" vertical="bottom" wrapText="1"/>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87" headerRowCount="1" totalsRowCount="1" headerRowDxfId="11" headerRowBorderDxfId="10" tableBorderDxfId="9" totalsRowBorderDxfId="8">
  <autoFilter ref="A1:C86"/>
  <tableColumns count="3">
    <tableColumn id="1" name="Cód. org. aplic." totalsRowLabel="Total" dataDxfId="7" totalsRowDxfId="6"/>
    <tableColumn id="2" name="Descripción justificante" dataDxfId="5" totalsRowDxfId="4"/>
    <tableColumn id="3" name="Imp.cob.aplic." totalsRowFunction="sum" dataDxfId="3" totalsRowDxfId="2"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56" headerRowCount="1" totalsRowCount="1">
  <autoFilter ref="A1:C55"/>
  <tableColumns count="3">
    <tableColumn id="1" name="Org. aplic." totalsRowLabel="Total"/>
    <tableColumn id="2" name="Descripción justificante" dataDxfId="1" totalsRowDxfId="0"/>
    <tableColumn id="3"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U27"/>
  <sheetViews>
    <sheetView showGridLines="0" topLeftCell="D1" zoomScaleNormal="100" workbookViewId="0">
      <selection activeCell="R16" sqref="R16"/>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5.28515625" customWidth="1" style="7" min="13" max="13"/>
    <col width="4.85546875" customWidth="1" style="6" min="14" max="14"/>
    <col width="5.28515625" customWidth="1" style="7" min="15" max="15"/>
    <col width="4.85546875" customWidth="1" style="6" min="16" max="16"/>
    <col width="3.5703125" customWidth="1" style="7" min="17" max="17"/>
    <col width="7.42578125" bestFit="1"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8" t="inlineStr">
        <is>
          <t xml:space="preserve">U013 </t>
        </is>
      </c>
      <c r="B2" s="18" t="inlineStr">
        <is>
          <t xml:space="preserve">ADM. I.U. BIODIVERSIDAD (CIBIO) </t>
        </is>
      </c>
      <c r="C2" s="18" t="inlineStr">
        <is>
          <t xml:space="preserve">DOCTORADO EN BIODIVERSIDAD Y CONSERVACIÓN </t>
        </is>
      </c>
      <c r="D2" s="18" t="inlineStr">
        <is>
          <t xml:space="preserve">Murillo Pacheco, Henry </t>
        </is>
      </c>
      <c r="E2" s="18" t="inlineStr">
        <is>
          <t xml:space="preserve">Interactions and mechanisms involved in host range expansion of endoparasitoids to native and invasive species of lepidopteran pests in horticultural agroecosystems in southwestern Ontario Canada </t>
        </is>
      </c>
      <c r="F2" s="18" t="inlineStr">
        <is>
          <t xml:space="preserve">10/12/2020 </t>
        </is>
      </c>
      <c r="G2" s="18" t="inlineStr">
        <is>
          <t xml:space="preserve">- </t>
        </is>
      </c>
      <c r="H2" s="18" t="inlineStr">
        <is>
          <t xml:space="preserve">Codirector de tesis </t>
        </is>
      </c>
      <c r="I2" s="18" t="inlineStr">
        <is>
          <t xml:space="preserve">U013 </t>
        </is>
      </c>
      <c r="J2" s="18" t="inlineStr">
        <is>
          <t xml:space="preserve">ADM. I.U. BIODIVERSIDAD (CIBIO) </t>
        </is>
      </c>
      <c r="K2" s="83" t="n">
        <v>0.5</v>
      </c>
      <c r="L2" s="18" t="inlineStr">
        <is>
          <t>10.13</t>
        </is>
      </c>
      <c r="M2" s="18" t="n">
        <v>2019</v>
      </c>
      <c r="N2" s="18" t="inlineStr"/>
      <c r="O2" s="19" t="inlineStr"/>
      <c r="P2" s="18" t="inlineStr"/>
      <c r="Q2" s="19" t="inlineStr"/>
      <c r="R2" s="20" t="n">
        <v>100</v>
      </c>
      <c r="S2" s="84" t="n">
        <v>0.5</v>
      </c>
      <c r="T2" s="84" t="n">
        <v>0</v>
      </c>
      <c r="U2" s="85" t="n">
        <v>0</v>
      </c>
    </row>
    <row r="3">
      <c r="A3" s="18" t="inlineStr">
        <is>
          <t xml:space="preserve">U013 </t>
        </is>
      </c>
      <c r="B3" s="18" t="inlineStr">
        <is>
          <t xml:space="preserve">ADM. I.U. BIODIVERSIDAD (CIBIO) </t>
        </is>
      </c>
      <c r="C3" s="18" t="inlineStr">
        <is>
          <t xml:space="preserve">DOCTORADO EN BIODIVERSIDAD Y CONSERVACIÓN </t>
        </is>
      </c>
      <c r="D3" s="18" t="inlineStr">
        <is>
          <t xml:space="preserve">Hernández Corral, Jesús </t>
        </is>
      </c>
      <c r="E3" s="18" t="inlineStr">
        <is>
          <t xml:space="preserve">"Diversidad y ecología de araneae y pseudoscorpiones en oquedades arbóreas de quercus pyrenaica en bosques mediterráneos" </t>
        </is>
      </c>
      <c r="F3" s="18" t="inlineStr">
        <is>
          <t xml:space="preserve">16/11/2020 </t>
        </is>
      </c>
      <c r="G3" s="18" t="inlineStr">
        <is>
          <t xml:space="preserve">- </t>
        </is>
      </c>
      <c r="H3" s="18" t="inlineStr">
        <is>
          <t xml:space="preserve">Codirector de tesis </t>
        </is>
      </c>
      <c r="I3" s="18" t="inlineStr">
        <is>
          <t xml:space="preserve">U013 </t>
        </is>
      </c>
      <c r="J3" s="18" t="inlineStr">
        <is>
          <t xml:space="preserve">ADM. I.U. BIODIVERSIDAD (CIBIO) </t>
        </is>
      </c>
      <c r="K3" s="59" t="n">
        <v>0.5</v>
      </c>
      <c r="L3" s="59" t="inlineStr">
        <is>
          <t>10.13</t>
        </is>
      </c>
      <c r="M3" s="27" t="n">
        <v>2019</v>
      </c>
      <c r="N3" s="18" t="inlineStr"/>
      <c r="O3" s="19" t="inlineStr"/>
      <c r="P3" s="18" t="inlineStr"/>
      <c r="Q3" s="19" t="inlineStr"/>
      <c r="R3" s="18" t="n">
        <v>100</v>
      </c>
      <c r="S3" s="59" t="n">
        <v>0.5</v>
      </c>
      <c r="T3" s="59" t="n">
        <v>0</v>
      </c>
      <c r="U3" s="18" t="n">
        <v>0</v>
      </c>
    </row>
    <row r="4">
      <c r="A4" s="18" t="inlineStr">
        <is>
          <t xml:space="preserve">U013 </t>
        </is>
      </c>
      <c r="B4" s="18" t="inlineStr">
        <is>
          <t xml:space="preserve">ADM. I.U. BIODIVERSIDAD (CIBIO) </t>
        </is>
      </c>
      <c r="C4" s="18" t="inlineStr">
        <is>
          <t xml:space="preserve">DOCTORADO EN BIODIVERSIDAD Y CONSERVACIÓN </t>
        </is>
      </c>
      <c r="D4" s="18" t="inlineStr">
        <is>
          <t xml:space="preserve">Nolasco Soto, Janet </t>
        </is>
      </c>
      <c r="E4" s="18" t="inlineStr">
        <is>
          <t xml:space="preserve">Procesos históricos y contemporáneos que influyen en la estructura filogeográfica y diversidad fenotípica del complejo Canthon cyanellus LeConte (Scarabaeidae: Scarabaeinae) en el Neotrópico de México. </t>
        </is>
      </c>
      <c r="F4" s="18" t="inlineStr">
        <is>
          <t xml:space="preserve">01/03/2021 </t>
        </is>
      </c>
      <c r="G4" s="18" t="inlineStr">
        <is>
          <t xml:space="preserve">- </t>
        </is>
      </c>
      <c r="H4" s="18" t="inlineStr">
        <is>
          <t xml:space="preserve">Codirector de tesis </t>
        </is>
      </c>
      <c r="I4" s="18" t="inlineStr">
        <is>
          <t xml:space="preserve">U013 </t>
        </is>
      </c>
      <c r="J4" s="18" t="inlineStr">
        <is>
          <t xml:space="preserve">ADM. I.U. BIODIVERSIDAD (CIBIO) </t>
        </is>
      </c>
      <c r="K4" s="59" t="n">
        <v>0.5</v>
      </c>
      <c r="L4" s="59" t="inlineStr">
        <is>
          <t>10.13</t>
        </is>
      </c>
      <c r="M4" s="27" t="n">
        <v>2020</v>
      </c>
      <c r="N4" s="18" t="inlineStr"/>
      <c r="O4" s="19" t="inlineStr"/>
      <c r="P4" s="18" t="inlineStr"/>
      <c r="Q4" s="19" t="inlineStr"/>
      <c r="R4" s="18" t="n">
        <v>100</v>
      </c>
      <c r="S4" s="59" t="n">
        <v>0.5</v>
      </c>
      <c r="T4" s="59" t="n">
        <v>0</v>
      </c>
      <c r="U4" s="18" t="n">
        <v>0</v>
      </c>
    </row>
    <row r="5">
      <c r="A5" s="18" t="inlineStr">
        <is>
          <t xml:space="preserve">U013 </t>
        </is>
      </c>
      <c r="B5" s="18" t="inlineStr">
        <is>
          <t xml:space="preserve">I.U. BIODIVERSIDAD (CIBIO) </t>
        </is>
      </c>
      <c r="C5" s="18" t="inlineStr">
        <is>
          <t xml:space="preserve">DOCTORADO EN BIODIVERSIDAD Y CONSERVACIÓN </t>
        </is>
      </c>
      <c r="D5" s="18" t="inlineStr">
        <is>
          <t xml:space="preserve">Martínez Francés, Vanessa </t>
        </is>
      </c>
      <c r="E5" s="18" t="inlineStr">
        <is>
          <t xml:space="preserve">ETHNOBOTANY AND ETHNOPHARMACOLOGY OF WESTERN MEDITERRANEAN HERBAL LIQUORS: FORMULAS AND INGREDIENTS. </t>
        </is>
      </c>
      <c r="F5" s="18" t="inlineStr">
        <is>
          <t xml:space="preserve">21/03/2023 </t>
        </is>
      </c>
      <c r="G5" s="6" t="inlineStr">
        <is>
          <t xml:space="preserve">- </t>
        </is>
      </c>
      <c r="H5" s="6" t="inlineStr">
        <is>
          <t xml:space="preserve">Codirector de tesis </t>
        </is>
      </c>
      <c r="I5" s="6" t="inlineStr">
        <is>
          <t xml:space="preserve">U013 </t>
        </is>
      </c>
      <c r="J5" s="6" t="inlineStr">
        <is>
          <t xml:space="preserve">I.U. BIODIVERSIDAD (CIBIO) </t>
        </is>
      </c>
      <c r="K5" s="59" t="n">
        <v>0.5</v>
      </c>
      <c r="L5" s="59" t="inlineStr">
        <is>
          <t>10.13</t>
        </is>
      </c>
      <c r="M5" s="6" t="n">
        <v>2022</v>
      </c>
      <c r="N5" s="18" t="inlineStr"/>
      <c r="O5" s="19" t="inlineStr"/>
      <c r="P5" s="18" t="inlineStr"/>
      <c r="Q5" s="19" t="inlineStr"/>
      <c r="R5" s="18" t="n">
        <v>100</v>
      </c>
      <c r="S5" s="59" t="n">
        <v>0.5</v>
      </c>
      <c r="T5" s="59" t="n">
        <v>0</v>
      </c>
      <c r="U5" s="18" t="n">
        <v>0</v>
      </c>
    </row>
    <row r="6">
      <c r="A6" s="18" t="inlineStr">
        <is>
          <t xml:space="preserve">U025 </t>
        </is>
      </c>
      <c r="B6" s="18" t="inlineStr">
        <is>
          <t xml:space="preserve">ADM. FACULTAD DE DERECHO </t>
        </is>
      </c>
      <c r="C6" s="18" t="inlineStr">
        <is>
          <t xml:space="preserve">DOCTORADO EN DERECHO </t>
        </is>
      </c>
      <c r="D6" s="18" t="inlineStr">
        <is>
          <t xml:space="preserve">Morelle Hungría, Esteban </t>
        </is>
      </c>
      <c r="E6" s="18" t="inlineStr">
        <is>
          <t xml:space="preserve">Nuevos retos en la protección del medio marino. La reconexión verde: entre el derecho ambiental y la criminología para la conservación de la biodiversidad </t>
        </is>
      </c>
      <c r="F6" s="18" t="inlineStr">
        <is>
          <t xml:space="preserve">10/07/2020 </t>
        </is>
      </c>
      <c r="G6" s="18" t="inlineStr">
        <is>
          <t xml:space="preserve">21474705L </t>
        </is>
      </c>
      <c r="H6" s="18" t="inlineStr">
        <is>
          <t xml:space="preserve">Director de tesis </t>
        </is>
      </c>
      <c r="I6" s="18" t="inlineStr">
        <is>
          <t xml:space="preserve">B113 </t>
        </is>
      </c>
      <c r="J6" s="18" t="inlineStr">
        <is>
          <t xml:space="preserve">ESTUDIOS JURIDICOS DEL ESTADO </t>
        </is>
      </c>
      <c r="K6" s="85" t="n">
        <v>1</v>
      </c>
      <c r="L6" s="18" t="inlineStr">
        <is>
          <t>B113</t>
        </is>
      </c>
      <c r="M6" s="18" t="n">
        <v>2019</v>
      </c>
      <c r="N6" s="18" t="inlineStr">
        <is>
          <t>10.13</t>
        </is>
      </c>
      <c r="O6" s="19" t="inlineStr">
        <is>
          <t>40</t>
        </is>
      </c>
      <c r="P6" s="18" t="inlineStr"/>
      <c r="Q6" s="19" t="inlineStr"/>
      <c r="R6" s="20" t="n">
        <v>60</v>
      </c>
      <c r="S6" s="84" t="n">
        <v>0.6</v>
      </c>
      <c r="T6" s="84" t="n">
        <v>0.4</v>
      </c>
      <c r="U6" s="85" t="n">
        <v>0</v>
      </c>
    </row>
    <row r="7">
      <c r="A7" s="18" t="inlineStr">
        <is>
          <t xml:space="preserve">U013 </t>
        </is>
      </c>
      <c r="B7" s="18" t="inlineStr">
        <is>
          <t xml:space="preserve">ADM. I.U. BIODIVERSIDAD (CIBIO) </t>
        </is>
      </c>
      <c r="C7" s="18" t="inlineStr">
        <is>
          <t xml:space="preserve">DOCTORADO EN BIODIVERSIDAD Y CONSERVACIÓN </t>
        </is>
      </c>
      <c r="D7" s="18" t="inlineStr">
        <is>
          <t xml:space="preserve">Murillo Pacheco, Henry </t>
        </is>
      </c>
      <c r="E7" s="18" t="inlineStr">
        <is>
          <t xml:space="preserve">Interactions and mechanisms involved in host range expansion of endoparasitoids to native and invasive species of lepidopteran pests in horticultural agroecosystems in southwestern Ontario Canada </t>
        </is>
      </c>
      <c r="F7" s="18" t="inlineStr">
        <is>
          <t xml:space="preserve">10/12/2020 </t>
        </is>
      </c>
      <c r="G7" s="18" t="inlineStr">
        <is>
          <t xml:space="preserve">12715224L </t>
        </is>
      </c>
      <c r="H7" s="18" t="inlineStr">
        <is>
          <t xml:space="preserve">Codirector de tesis </t>
        </is>
      </c>
      <c r="I7" s="18" t="inlineStr">
        <is>
          <t xml:space="preserve">B103 </t>
        </is>
      </c>
      <c r="J7" s="18" t="inlineStr">
        <is>
          <t xml:space="preserve">CIENCIAS AMBIENTALES Y RECURSOS NATURALES </t>
        </is>
      </c>
      <c r="K7" s="85" t="n">
        <v>0.5</v>
      </c>
      <c r="L7" s="18" t="inlineStr">
        <is>
          <t>B103</t>
        </is>
      </c>
      <c r="M7" s="18" t="n">
        <v>2019</v>
      </c>
      <c r="N7" s="18" t="inlineStr">
        <is>
          <t>10.13</t>
        </is>
      </c>
      <c r="O7" s="19" t="n">
        <v>100</v>
      </c>
      <c r="P7" s="18" t="inlineStr"/>
      <c r="Q7" s="19" t="n">
        <v>0</v>
      </c>
      <c r="R7" s="20" t="n">
        <v>0</v>
      </c>
      <c r="S7" s="84" t="n">
        <v>0</v>
      </c>
      <c r="T7" s="84" t="n">
        <v>0.5</v>
      </c>
      <c r="U7" s="85" t="n">
        <v>0</v>
      </c>
    </row>
    <row r="8">
      <c r="A8" s="18" t="inlineStr">
        <is>
          <t xml:space="preserve">U013 </t>
        </is>
      </c>
      <c r="B8" s="18" t="inlineStr">
        <is>
          <t xml:space="preserve">ADM. I.U. BIODIVERSIDAD (CIBIO) </t>
        </is>
      </c>
      <c r="C8" s="18" t="inlineStr">
        <is>
          <t xml:space="preserve">DOCTORADO EN BIODIVERSIDAD Y CONSERVACIÓN </t>
        </is>
      </c>
      <c r="D8" s="18" t="inlineStr">
        <is>
          <t xml:space="preserve">Hernández Corral, Jesús </t>
        </is>
      </c>
      <c r="E8" s="18" t="inlineStr">
        <is>
          <t xml:space="preserve">"Diversidad y ecología de araneae y pseudoscorpiones en oquedades arbóreas de quercus pyrenaica en bosques mediterráneos" </t>
        </is>
      </c>
      <c r="F8" s="18" t="inlineStr">
        <is>
          <t xml:space="preserve">16/11/2020 </t>
        </is>
      </c>
      <c r="G8" s="18" t="inlineStr">
        <is>
          <t xml:space="preserve">21501710E </t>
        </is>
      </c>
      <c r="H8" s="18" t="inlineStr">
        <is>
          <t xml:space="preserve">Codirector de tesis </t>
        </is>
      </c>
      <c r="I8" s="18" t="inlineStr">
        <is>
          <t xml:space="preserve">B103 </t>
        </is>
      </c>
      <c r="J8" s="18" t="inlineStr">
        <is>
          <t xml:space="preserve">CIENCIAS AMBIENTALES Y RECURSOS NATURALES </t>
        </is>
      </c>
      <c r="K8" s="85" t="n">
        <v>0.5</v>
      </c>
      <c r="L8" s="18" t="inlineStr">
        <is>
          <t>B103</t>
        </is>
      </c>
      <c r="M8" s="18" t="n">
        <v>2019</v>
      </c>
      <c r="N8" s="18" t="inlineStr">
        <is>
          <t>10.13</t>
        </is>
      </c>
      <c r="O8" s="19" t="n">
        <v>100</v>
      </c>
      <c r="P8" s="18" t="inlineStr"/>
      <c r="Q8" s="19" t="n">
        <v>0</v>
      </c>
      <c r="R8" s="20" t="n">
        <v>0</v>
      </c>
      <c r="S8" s="84" t="n">
        <v>0</v>
      </c>
      <c r="T8" s="84" t="n">
        <v>0.5</v>
      </c>
      <c r="U8" s="85" t="n">
        <v>0</v>
      </c>
    </row>
    <row r="9">
      <c r="A9" s="18" t="inlineStr">
        <is>
          <t xml:space="preserve">U013 </t>
        </is>
      </c>
      <c r="B9" s="18" t="inlineStr">
        <is>
          <t xml:space="preserve">ADM. I.U. BIODIVERSIDAD (CIBIO) </t>
        </is>
      </c>
      <c r="C9" s="18" t="inlineStr">
        <is>
          <t xml:space="preserve">DOCTORADO EN BIODIVERSIDAD Y CONSERVACIÓN </t>
        </is>
      </c>
      <c r="D9" s="18" t="inlineStr">
        <is>
          <t xml:space="preserve">Pérez Sánchez, Diana </t>
        </is>
      </c>
      <c r="E9" s="18" t="inlineStr">
        <is>
          <t xml:space="preserve">Structure and function of the communities of saproxylic beetles in Mediterranean forests </t>
        </is>
      </c>
      <c r="F9" s="18" t="inlineStr">
        <is>
          <t xml:space="preserve">11/12/2020 </t>
        </is>
      </c>
      <c r="G9" s="18" t="inlineStr">
        <is>
          <t xml:space="preserve">18157732Z </t>
        </is>
      </c>
      <c r="H9" s="18" t="inlineStr">
        <is>
          <t xml:space="preserve">Codirector de tesis </t>
        </is>
      </c>
      <c r="I9" s="18" t="inlineStr">
        <is>
          <t xml:space="preserve">B103 </t>
        </is>
      </c>
      <c r="J9" s="18" t="inlineStr">
        <is>
          <t xml:space="preserve">CIENCIAS AMBIENTALES Y RECURSOS NATURALES </t>
        </is>
      </c>
      <c r="K9" s="85" t="n">
        <v>0.5</v>
      </c>
      <c r="L9" s="18" t="inlineStr">
        <is>
          <t>B103</t>
        </is>
      </c>
      <c r="M9" s="18" t="n">
        <v>2019</v>
      </c>
      <c r="N9" s="18" t="inlineStr">
        <is>
          <t>10.13</t>
        </is>
      </c>
      <c r="O9" s="19" t="n">
        <v>100</v>
      </c>
      <c r="P9" s="18" t="inlineStr"/>
      <c r="Q9" s="19" t="n">
        <v>0</v>
      </c>
      <c r="R9" s="20" t="n">
        <v>0</v>
      </c>
      <c r="S9" s="84" t="n">
        <v>0</v>
      </c>
      <c r="T9" s="84" t="n">
        <v>0.5</v>
      </c>
      <c r="U9" s="85" t="n">
        <v>0</v>
      </c>
    </row>
    <row r="10">
      <c r="A10" s="18" t="inlineStr">
        <is>
          <t xml:space="preserve">U013 </t>
        </is>
      </c>
      <c r="B10" s="18" t="inlineStr">
        <is>
          <t xml:space="preserve">ADM. I.U. BIODIVERSIDAD (CIBIO) </t>
        </is>
      </c>
      <c r="C10" s="18" t="inlineStr">
        <is>
          <t xml:space="preserve">DOCTORADO EN BIODIVERSIDAD Y CONSERVACIÓN </t>
        </is>
      </c>
      <c r="D10" s="18" t="inlineStr">
        <is>
          <t xml:space="preserve">Pérez Sánchez, Diana </t>
        </is>
      </c>
      <c r="E10" s="18" t="inlineStr">
        <is>
          <t xml:space="preserve">Structure and function of the communities of saproxylic beetles in Mediterranean forests </t>
        </is>
      </c>
      <c r="F10" s="18" t="inlineStr">
        <is>
          <t xml:space="preserve">11/12/2020 </t>
        </is>
      </c>
      <c r="G10" s="18" t="inlineStr">
        <is>
          <t xml:space="preserve">21501710E </t>
        </is>
      </c>
      <c r="H10" s="18" t="inlineStr">
        <is>
          <t xml:space="preserve">Codirector de tesis </t>
        </is>
      </c>
      <c r="I10" s="18" t="inlineStr">
        <is>
          <t xml:space="preserve">B103 </t>
        </is>
      </c>
      <c r="J10" s="18" t="inlineStr">
        <is>
          <t xml:space="preserve">CIENCIAS AMBIENTALES Y RECURSOS NATURALES </t>
        </is>
      </c>
      <c r="K10" s="83" t="n">
        <v>0.5</v>
      </c>
      <c r="L10" s="18" t="inlineStr">
        <is>
          <t>B103</t>
        </is>
      </c>
      <c r="M10" s="18" t="n">
        <v>2019</v>
      </c>
      <c r="N10" s="18" t="inlineStr">
        <is>
          <t>10.13</t>
        </is>
      </c>
      <c r="O10" s="19" t="n">
        <v>100</v>
      </c>
      <c r="P10" s="18" t="inlineStr"/>
      <c r="Q10" s="19" t="n">
        <v>0</v>
      </c>
      <c r="R10" s="20" t="n">
        <v>0</v>
      </c>
      <c r="S10" s="84" t="n">
        <v>0</v>
      </c>
      <c r="T10" s="84" t="n">
        <v>0.5</v>
      </c>
      <c r="U10" s="85" t="n">
        <v>0</v>
      </c>
    </row>
    <row r="11">
      <c r="A11" s="18" t="inlineStr">
        <is>
          <t xml:space="preserve">U013 </t>
        </is>
      </c>
      <c r="B11" s="18" t="inlineStr">
        <is>
          <t xml:space="preserve">ADM. I.U. BIODIVERSIDAD (CIBIO) </t>
        </is>
      </c>
      <c r="C11" s="18" t="inlineStr">
        <is>
          <t xml:space="preserve">DOCTORADO EN BIODIVERSIDAD Y CONSERVACIÓN </t>
        </is>
      </c>
      <c r="D11" s="18" t="inlineStr">
        <is>
          <t xml:space="preserve">Soulopoulou , Polyxeni </t>
        </is>
      </c>
      <c r="E11" s="18" t="inlineStr">
        <is>
          <t xml:space="preserve">Intensity of agricultural land use and climate effects on bird biodiversity along a Greek natura 2000 site and implications for sustainable agro-management. </t>
        </is>
      </c>
      <c r="F11" s="18" t="inlineStr">
        <is>
          <t xml:space="preserve">29/09/2021 </t>
        </is>
      </c>
      <c r="G11" s="18" t="inlineStr">
        <is>
          <t xml:space="preserve">21434118G </t>
        </is>
      </c>
      <c r="H11" s="18" t="inlineStr">
        <is>
          <t xml:space="preserve">Codirector de tesis </t>
        </is>
      </c>
      <c r="I11" s="18" t="inlineStr">
        <is>
          <t xml:space="preserve">B173 </t>
        </is>
      </c>
      <c r="J11" s="18" t="inlineStr">
        <is>
          <t xml:space="preserve">ANÁLISIS GEOGRÁFICO REGIONAL Y GEOGRAFÍA FÍSICA </t>
        </is>
      </c>
      <c r="K11" s="83" t="n">
        <v>0.5</v>
      </c>
      <c r="L11" s="18" t="inlineStr">
        <is>
          <t>B173</t>
        </is>
      </c>
      <c r="M11" s="18" t="n">
        <v>2020</v>
      </c>
      <c r="N11" s="18" t="inlineStr">
        <is>
          <t>10.13</t>
        </is>
      </c>
      <c r="O11" s="19" t="n">
        <v>20</v>
      </c>
      <c r="P11" s="18" t="inlineStr">
        <is>
          <t>10.21</t>
        </is>
      </c>
      <c r="Q11" s="19" t="n">
        <v>40</v>
      </c>
      <c r="R11" s="20" t="n">
        <v>40</v>
      </c>
      <c r="S11" s="84" t="n">
        <v>0.2</v>
      </c>
      <c r="T11" s="84" t="n">
        <v>0.1</v>
      </c>
      <c r="U11" s="85" t="n">
        <v>0.2</v>
      </c>
    </row>
    <row r="12">
      <c r="A12" s="18" t="inlineStr">
        <is>
          <t xml:space="preserve">U013 </t>
        </is>
      </c>
      <c r="B12" s="18" t="inlineStr">
        <is>
          <t xml:space="preserve">ADM. I.U. BIODIVERSIDAD (CIBIO) </t>
        </is>
      </c>
      <c r="C12" s="18" t="inlineStr">
        <is>
          <t xml:space="preserve">DOCTORADO EN BIODIVERSIDAD Y CONSERVACIÓN </t>
        </is>
      </c>
      <c r="D12" s="18" t="inlineStr">
        <is>
          <t xml:space="preserve">Soulopoulou , Polyxeni </t>
        </is>
      </c>
      <c r="E12" s="18" t="inlineStr">
        <is>
          <t xml:space="preserve">Intensity of agricultural land use and climate effects on bird biodiversity along a Greek natura 2000 site and implications for sustainable agro-management. </t>
        </is>
      </c>
      <c r="F12" s="18" t="inlineStr">
        <is>
          <t xml:space="preserve">29/09/2021 </t>
        </is>
      </c>
      <c r="G12" s="18" t="inlineStr">
        <is>
          <t xml:space="preserve">21479431F </t>
        </is>
      </c>
      <c r="H12" s="18" t="inlineStr">
        <is>
          <t xml:space="preserve">Codirector de tesis </t>
        </is>
      </c>
      <c r="I12" s="18" t="inlineStr">
        <is>
          <t xml:space="preserve">B173 </t>
        </is>
      </c>
      <c r="J12" s="18" t="inlineStr">
        <is>
          <t xml:space="preserve">ANÁLISIS GEOGRÁFICO REGIONAL Y GEOGRAFÍA FÍSICA </t>
        </is>
      </c>
      <c r="K12" s="83" t="n">
        <v>0.5</v>
      </c>
      <c r="L12" s="18" t="inlineStr">
        <is>
          <t>B173</t>
        </is>
      </c>
      <c r="M12" s="18" t="n">
        <v>2020</v>
      </c>
      <c r="N12" s="18" t="inlineStr">
        <is>
          <t>10.13</t>
        </is>
      </c>
      <c r="O12" s="19" t="n">
        <v>20</v>
      </c>
      <c r="P12" s="18" t="inlineStr">
        <is>
          <t>10.21</t>
        </is>
      </c>
      <c r="Q12" s="19" t="n">
        <v>40</v>
      </c>
      <c r="R12" s="20" t="n">
        <v>40</v>
      </c>
      <c r="S12" s="84" t="n">
        <v>0.2</v>
      </c>
      <c r="T12" s="84" t="n">
        <v>0.1</v>
      </c>
      <c r="U12" s="85" t="n">
        <v>0.2</v>
      </c>
    </row>
    <row r="13">
      <c r="A13" s="18" t="inlineStr">
        <is>
          <t xml:space="preserve">U013 </t>
        </is>
      </c>
      <c r="B13" s="18" t="inlineStr">
        <is>
          <t xml:space="preserve">ADM. I.U. BIODIVERSIDAD (CIBIO) </t>
        </is>
      </c>
      <c r="C13" s="18" t="inlineStr">
        <is>
          <t xml:space="preserve">DOCTORADO EN BIODIVERSIDAD Y CONSERVACIÓN </t>
        </is>
      </c>
      <c r="D13" s="18" t="inlineStr">
        <is>
          <t xml:space="preserve">Nolasco Soto, Janet </t>
        </is>
      </c>
      <c r="E13" s="18" t="inlineStr">
        <is>
          <t xml:space="preserve">Procesos históricos y contemporáneos que influyen en la estructura filogeográfica y diversidad fenotípica del complejo Canthon cyanellus LeConte (Scarabaeidae: Scarabaeinae) en el Neotrópico de México. </t>
        </is>
      </c>
      <c r="F13" s="18" t="inlineStr">
        <is>
          <t xml:space="preserve">01/03/2021 </t>
        </is>
      </c>
      <c r="G13" s="18" t="inlineStr">
        <is>
          <t xml:space="preserve">18157732Z </t>
        </is>
      </c>
      <c r="H13" s="18" t="inlineStr">
        <is>
          <t xml:space="preserve">Codirector de tesis </t>
        </is>
      </c>
      <c r="I13" s="18" t="inlineStr">
        <is>
          <t xml:space="preserve">B103 </t>
        </is>
      </c>
      <c r="J13" s="18" t="inlineStr">
        <is>
          <t xml:space="preserve">CIENCIAS AMBIENTALES Y RECURSOS NATURALES </t>
        </is>
      </c>
      <c r="K13" s="83" t="n">
        <v>0.5</v>
      </c>
      <c r="L13" s="18" t="inlineStr">
        <is>
          <t>B103</t>
        </is>
      </c>
      <c r="M13" s="18" t="n">
        <v>2020</v>
      </c>
      <c r="N13" s="18" t="inlineStr">
        <is>
          <t>10.13</t>
        </is>
      </c>
      <c r="O13" s="19" t="n">
        <v>100</v>
      </c>
      <c r="P13" s="18" t="inlineStr"/>
      <c r="Q13" s="19" t="n">
        <v>0</v>
      </c>
      <c r="R13" s="20" t="n">
        <v>0</v>
      </c>
      <c r="S13" s="84" t="n">
        <v>0</v>
      </c>
      <c r="T13" s="84" t="n">
        <v>0.5</v>
      </c>
      <c r="U13" s="85" t="n">
        <v>0</v>
      </c>
    </row>
    <row r="14">
      <c r="A14" s="18" t="inlineStr">
        <is>
          <t xml:space="preserve">U023 </t>
        </is>
      </c>
      <c r="B14" s="18" t="inlineStr">
        <is>
          <t xml:space="preserve">ADM. FACULTAD DE FILOSOFIA Y LETRAS </t>
        </is>
      </c>
      <c r="C14" s="18" t="inlineStr">
        <is>
          <t xml:space="preserve">DOCTORADO EN FILOSOFÍA Y LETRAS </t>
        </is>
      </c>
      <c r="D14" s="18" t="inlineStr">
        <is>
          <t xml:space="preserve">Prieto Cerdán, Antonio </t>
        </is>
      </c>
      <c r="E14" s="18" t="inlineStr">
        <is>
          <t xml:space="preserve">Infraestructura Verde como instrumento de ordenación territorial: analisis multiescalar </t>
        </is>
      </c>
      <c r="F14" s="18" t="inlineStr">
        <is>
          <t xml:space="preserve">30/04/2021 </t>
        </is>
      </c>
      <c r="G14" s="18" t="inlineStr">
        <is>
          <t xml:space="preserve">21479431F </t>
        </is>
      </c>
      <c r="H14" s="18" t="inlineStr">
        <is>
          <t xml:space="preserve">Director de tesis </t>
        </is>
      </c>
      <c r="I14" s="18" t="inlineStr">
        <is>
          <t xml:space="preserve">B173 </t>
        </is>
      </c>
      <c r="J14" s="18" t="inlineStr">
        <is>
          <t xml:space="preserve">ANÁLISIS GEOGRÁFICO REGIONAL Y GEOGRAFÍA FÍSICA </t>
        </is>
      </c>
      <c r="K14" s="83" t="n">
        <v>1</v>
      </c>
      <c r="L14" s="18" t="inlineStr">
        <is>
          <t>B173</t>
        </is>
      </c>
      <c r="M14" s="18" t="n">
        <v>2020</v>
      </c>
      <c r="N14" s="18" t="inlineStr">
        <is>
          <t>10.13</t>
        </is>
      </c>
      <c r="O14" s="19" t="n">
        <v>20</v>
      </c>
      <c r="P14" s="18" t="inlineStr">
        <is>
          <t>10.21</t>
        </is>
      </c>
      <c r="Q14" s="19" t="n">
        <v>40</v>
      </c>
      <c r="R14" s="20" t="n">
        <v>40</v>
      </c>
      <c r="S14" s="84" t="n">
        <v>0.4</v>
      </c>
      <c r="T14" s="84" t="n">
        <v>0.2</v>
      </c>
      <c r="U14" s="85" t="n">
        <v>0.4</v>
      </c>
    </row>
    <row r="15">
      <c r="A15" s="22" t="inlineStr">
        <is>
          <t xml:space="preserve">U025 </t>
        </is>
      </c>
      <c r="B15" s="22" t="inlineStr">
        <is>
          <t xml:space="preserve">ADM. FACULTAD DE DERECHO </t>
        </is>
      </c>
      <c r="C15" s="22" t="inlineStr">
        <is>
          <t xml:space="preserve">DOCTORADO EN DERECHO </t>
        </is>
      </c>
      <c r="D15" s="22" t="inlineStr">
        <is>
          <t xml:space="preserve">Abib Hecktheuer, Pedro </t>
        </is>
      </c>
      <c r="E15" s="22" t="inlineStr">
        <is>
          <t xml:space="preserve">A IMPOSSIBILIDADE DE MEGAPROJETOS HIDRELÉTRICOS QUE VIOLAM A SUSTENTABILIDADE DOS POVOS E COMUNIDADES TRADICIONAIS DA AMAZÔNIA COMO UM DIREITO CONSTITUCIONAL DIFUSO E INVIOLÁVEL. </t>
        </is>
      </c>
      <c r="F15" s="22" t="inlineStr">
        <is>
          <t xml:space="preserve">20/01/2021 </t>
        </is>
      </c>
      <c r="G15" s="22" t="inlineStr">
        <is>
          <t xml:space="preserve">21474705L </t>
        </is>
      </c>
      <c r="H15" s="22" t="inlineStr">
        <is>
          <t xml:space="preserve">Codirector de tesis </t>
        </is>
      </c>
      <c r="I15" s="22" t="inlineStr">
        <is>
          <t xml:space="preserve">B113 </t>
        </is>
      </c>
      <c r="J15" s="22" t="inlineStr">
        <is>
          <t xml:space="preserve">ESTUDIOS JURIDICOS DEL ESTADO </t>
        </is>
      </c>
      <c r="K15" s="86" t="n">
        <v>0.5</v>
      </c>
      <c r="L15" s="22" t="inlineStr">
        <is>
          <t>B113</t>
        </is>
      </c>
      <c r="M15" s="27" t="n">
        <v>2020</v>
      </c>
      <c r="N15" s="22" t="inlineStr">
        <is>
          <t>10.13</t>
        </is>
      </c>
      <c r="O15" s="23" t="n">
        <v>40</v>
      </c>
      <c r="P15" s="22" t="inlineStr"/>
      <c r="Q15" s="23" t="n">
        <v>0</v>
      </c>
      <c r="R15" s="24" t="n">
        <v>60</v>
      </c>
      <c r="S15" s="87" t="n">
        <v>0.3</v>
      </c>
      <c r="T15" s="87" t="n">
        <v>0.2</v>
      </c>
      <c r="U15" s="88" t="n">
        <v>0</v>
      </c>
    </row>
    <row r="16">
      <c r="A16" s="18" t="inlineStr">
        <is>
          <t xml:space="preserve">U013 </t>
        </is>
      </c>
      <c r="B16" s="18" t="inlineStr">
        <is>
          <t xml:space="preserve">I.U. BIODIVERSIDAD (CIBIO) </t>
        </is>
      </c>
      <c r="C16" s="18" t="inlineStr">
        <is>
          <t xml:space="preserve">DOCTORADO EN BIODIVERSIDAD Y CONSERVACIÓN </t>
        </is>
      </c>
      <c r="D16" s="18" t="inlineStr">
        <is>
          <t xml:space="preserve">Martínez Francés, Vanessa </t>
        </is>
      </c>
      <c r="E16" s="18" t="inlineStr">
        <is>
          <t xml:space="preserve">ETHNOBOTANY AND ETHNOPHARMACOLOGY OF WESTERN MEDITERRANEAN HERBAL LIQUORS: FORMULAS AND INGREDIENTS. </t>
        </is>
      </c>
      <c r="F16" s="18" t="inlineStr">
        <is>
          <t xml:space="preserve">21/03/2023 </t>
        </is>
      </c>
      <c r="G16" s="18" t="inlineStr">
        <is>
          <t xml:space="preserve">74336031P </t>
        </is>
      </c>
      <c r="H16" s="18" t="inlineStr">
        <is>
          <t xml:space="preserve">Codirector de tesis </t>
        </is>
      </c>
      <c r="I16" s="18" t="inlineStr">
        <is>
          <t xml:space="preserve">B103 </t>
        </is>
      </c>
      <c r="J16" s="18" t="inlineStr">
        <is>
          <t xml:space="preserve">CIENCIAS AMBIENTALES Y RECURSOS NATURALES </t>
        </is>
      </c>
      <c r="K16" s="59" t="n">
        <v>0.5</v>
      </c>
      <c r="L16" s="59" t="inlineStr">
        <is>
          <t>B103</t>
        </is>
      </c>
      <c r="M16" s="18" t="n">
        <v>2022</v>
      </c>
      <c r="N16" s="18" t="inlineStr">
        <is>
          <t>10.13</t>
        </is>
      </c>
      <c r="O16" s="19" t="n">
        <v>100</v>
      </c>
      <c r="P16" s="18" t="inlineStr"/>
      <c r="Q16" s="19" t="n">
        <v>0</v>
      </c>
      <c r="R16" s="18" t="n">
        <v>0</v>
      </c>
      <c r="S16" s="59" t="n">
        <v>0</v>
      </c>
      <c r="T16" s="59" t="n">
        <v>0.5</v>
      </c>
      <c r="U16" s="18" t="n">
        <v>0</v>
      </c>
    </row>
    <row r="17">
      <c r="A17" s="18" t="inlineStr">
        <is>
          <t>U013</t>
        </is>
      </c>
      <c r="B17" s="18" t="inlineStr">
        <is>
          <t>I.U. BIODIVERSIDAD (CIBIO)</t>
        </is>
      </c>
      <c r="C17" s="22" t="inlineStr">
        <is>
          <t>DOCTORADO EN BIODIVERSIDAD Y CONSERVACIÓN</t>
        </is>
      </c>
      <c r="D17" s="22" t="inlineStr">
        <is>
          <t>Monzo Gimenez, Jose Carlos</t>
        </is>
      </c>
      <c r="E17" s="22" t="inlineStr">
        <is>
          <t>Rehabilitación de infraestructuras hidráulicas tradicionales como estrategia de conservación de la biodiversidad en el humedal de Pinoso (Alicante)</t>
        </is>
      </c>
      <c r="F17" s="22" t="inlineStr">
        <is>
          <t>17/04/2024</t>
        </is>
      </c>
      <c r="G17" s="22" t="inlineStr">
        <is>
          <t>21487975H</t>
        </is>
      </c>
      <c r="H17" s="22" t="inlineStr">
        <is>
          <t>Director de tesis</t>
        </is>
      </c>
      <c r="I17" s="22" t="inlineStr">
        <is>
          <t>B103</t>
        </is>
      </c>
      <c r="J17" s="22" t="inlineStr">
        <is>
          <t>CIENCIAS AMBIENTALES Y RECURSOS NATURALES</t>
        </is>
      </c>
      <c r="K17" s="22" t="n">
        <v>1</v>
      </c>
      <c r="L17" s="22" t="inlineStr">
        <is>
          <t>B103</t>
        </is>
      </c>
      <c r="M17" s="22" t="n">
        <v>2023</v>
      </c>
      <c r="N17" s="22" t="inlineStr">
        <is>
          <t>10.13</t>
        </is>
      </c>
      <c r="O17" s="22" t="inlineStr">
        <is>
          <t>100</t>
        </is>
      </c>
      <c r="P17" s="22" t="inlineStr"/>
      <c r="Q17" s="22" t="inlineStr"/>
      <c r="R17" s="22" t="n">
        <v>0</v>
      </c>
      <c r="S17" s="22" t="n">
        <v>0</v>
      </c>
      <c r="T17" s="22" t="n">
        <v>1</v>
      </c>
      <c r="U17" s="22" t="n">
        <v>0</v>
      </c>
    </row>
    <row r="18">
      <c r="A18" s="18" t="inlineStr">
        <is>
          <t>U013</t>
        </is>
      </c>
      <c r="B18" s="18" t="inlineStr">
        <is>
          <t>I.U. BIODIVERSIDAD (CIBIO)</t>
        </is>
      </c>
      <c r="C18" s="22" t="inlineStr">
        <is>
          <t>DOCTORADO EN BIODIVERSIDAD Y CONSERVACIÓN</t>
        </is>
      </c>
      <c r="D18" s="22" t="inlineStr">
        <is>
          <t>Aguado Aranda, Pablo</t>
        </is>
      </c>
      <c r="E18" s="22" t="inlineStr">
        <is>
          <t>Revisión taxonómica y sistemática del género Eumerus Meigen, 1822 (Diptera:Syrphidae) en el Mediterráneo occidental, con énfasis en el área ibero-balear</t>
        </is>
      </c>
      <c r="F18" s="22" t="inlineStr">
        <is>
          <t>03/07/2024</t>
        </is>
      </c>
      <c r="G18" s="22" t="inlineStr">
        <is>
          <t>53232946K</t>
        </is>
      </c>
      <c r="H18" s="22" t="inlineStr">
        <is>
          <t>Codirector de tesis</t>
        </is>
      </c>
      <c r="I18" s="22" t="inlineStr">
        <is>
          <t>B103</t>
        </is>
      </c>
      <c r="J18" s="22" t="inlineStr">
        <is>
          <t>CIENCIAS AMBIENTALES Y RECURSOS NATURALES</t>
        </is>
      </c>
      <c r="K18" s="22" t="n">
        <v>0.5</v>
      </c>
      <c r="L18" s="22" t="inlineStr">
        <is>
          <t>B103</t>
        </is>
      </c>
      <c r="M18" s="22" t="n">
        <v>2023</v>
      </c>
      <c r="N18" s="22" t="inlineStr">
        <is>
          <t>10.13</t>
        </is>
      </c>
      <c r="O18" s="22" t="inlineStr">
        <is>
          <t>100</t>
        </is>
      </c>
      <c r="P18" s="22" t="inlineStr"/>
      <c r="Q18" s="22" t="inlineStr"/>
      <c r="R18" s="22" t="n">
        <v>0</v>
      </c>
      <c r="S18" s="22" t="n">
        <v>0</v>
      </c>
      <c r="T18" s="22" t="n">
        <v>0.5</v>
      </c>
      <c r="U18" s="22" t="n">
        <v>0</v>
      </c>
    </row>
    <row r="19">
      <c r="A19" s="18" t="inlineStr">
        <is>
          <t>U013</t>
        </is>
      </c>
      <c r="B19" s="18" t="inlineStr">
        <is>
          <t>I.U. BIODIVERSIDAD (CIBIO)</t>
        </is>
      </c>
      <c r="C19" s="22" t="inlineStr">
        <is>
          <t>DOCTORADO EN BIODIVERSIDAD Y CONSERVACIÓN</t>
        </is>
      </c>
      <c r="D19" s="22" t="inlineStr">
        <is>
          <t>Aguado Aranda, Pablo</t>
        </is>
      </c>
      <c r="E19" s="22" t="inlineStr">
        <is>
          <t>Revisión taxonómica y sistemática del género Eumerus Meigen, 1822 (Diptera:Syrphidae) en el Mediterráneo occidental, con énfasis en el área ibero-balear</t>
        </is>
      </c>
      <c r="F19" s="22" t="inlineStr">
        <is>
          <t>03/07/2024</t>
        </is>
      </c>
      <c r="G19" s="22" t="inlineStr">
        <is>
          <t>12715224L</t>
        </is>
      </c>
      <c r="H19" s="22" t="inlineStr">
        <is>
          <t>Codirector de tesis</t>
        </is>
      </c>
      <c r="I19" s="22" t="inlineStr">
        <is>
          <t>B103</t>
        </is>
      </c>
      <c r="J19" s="22" t="inlineStr">
        <is>
          <t>CIENCIAS AMBIENTALES Y RECURSOS NATURALES</t>
        </is>
      </c>
      <c r="K19" s="22" t="n">
        <v>0.5</v>
      </c>
      <c r="L19" s="22" t="inlineStr">
        <is>
          <t>B103</t>
        </is>
      </c>
      <c r="M19" s="22" t="n">
        <v>2023</v>
      </c>
      <c r="N19" s="22" t="inlineStr">
        <is>
          <t>10.13</t>
        </is>
      </c>
      <c r="O19" s="22" t="inlineStr">
        <is>
          <t>100</t>
        </is>
      </c>
      <c r="P19" s="22" t="inlineStr"/>
      <c r="Q19" s="22" t="inlineStr"/>
      <c r="R19" s="22" t="n">
        <v>0</v>
      </c>
      <c r="S19" s="22" t="n">
        <v>0</v>
      </c>
      <c r="T19" s="22" t="n">
        <v>0.5</v>
      </c>
      <c r="U19" s="22" t="n">
        <v>0</v>
      </c>
    </row>
    <row r="20">
      <c r="A20" s="18" t="inlineStr">
        <is>
          <t>U013</t>
        </is>
      </c>
      <c r="B20" s="18" t="inlineStr">
        <is>
          <t>I.U. BIODIVERSIDAD (CIBIO)</t>
        </is>
      </c>
      <c r="C20" s="22" t="inlineStr">
        <is>
          <t>DOCTORADO EN BIODIVERSIDAD Y CONSERVACIÓN</t>
        </is>
      </c>
      <c r="D20" s="22" t="inlineStr">
        <is>
          <t>Orengo Green, José Javier</t>
        </is>
      </c>
      <c r="E20" s="22" t="inlineStr">
        <is>
          <t>Morfología funcional de las fases preimaginales de sírfidos de Eristalinae y Syrphinae (Diptera: Syrphidae)</t>
        </is>
      </c>
      <c r="F20" s="22" t="inlineStr">
        <is>
          <t>06/05/2024</t>
        </is>
      </c>
      <c r="G20" s="22" t="inlineStr">
        <is>
          <t>53232946K</t>
        </is>
      </c>
      <c r="H20" s="22" t="inlineStr">
        <is>
          <t>Codirector de tesis</t>
        </is>
      </c>
      <c r="I20" s="22" t="inlineStr">
        <is>
          <t>B103</t>
        </is>
      </c>
      <c r="J20" s="22" t="inlineStr">
        <is>
          <t>CIENCIAS AMBIENTALES Y RECURSOS NATURALES</t>
        </is>
      </c>
      <c r="K20" s="22" t="n">
        <v>0.5</v>
      </c>
      <c r="L20" s="22" t="inlineStr">
        <is>
          <t>B103</t>
        </is>
      </c>
      <c r="M20" s="22" t="n">
        <v>2023</v>
      </c>
      <c r="N20" s="22" t="inlineStr">
        <is>
          <t>10.13</t>
        </is>
      </c>
      <c r="O20" s="22" t="inlineStr">
        <is>
          <t>100</t>
        </is>
      </c>
      <c r="P20" s="22" t="inlineStr"/>
      <c r="Q20" s="22" t="inlineStr"/>
      <c r="R20" s="22" t="n">
        <v>0</v>
      </c>
      <c r="S20" s="22" t="n">
        <v>0</v>
      </c>
      <c r="T20" s="22" t="n">
        <v>0.5</v>
      </c>
      <c r="U20" s="22" t="n">
        <v>0</v>
      </c>
    </row>
    <row r="21">
      <c r="A21" s="18" t="inlineStr">
        <is>
          <t>U013</t>
        </is>
      </c>
      <c r="B21" s="18" t="inlineStr">
        <is>
          <t>I.U. BIODIVERSIDAD (CIBIO)</t>
        </is>
      </c>
      <c r="C21" s="22" t="inlineStr">
        <is>
          <t>DOCTORADO EN BIODIVERSIDAD Y CONSERVACIÓN</t>
        </is>
      </c>
      <c r="D21" s="22" t="inlineStr">
        <is>
          <t>Orengo Green, José Javier</t>
        </is>
      </c>
      <c r="E21" s="22" t="inlineStr">
        <is>
          <t>Morfología funcional de las fases preimaginales de sírfidos de Eristalinae y Syrphinae (Diptera: Syrphidae)</t>
        </is>
      </c>
      <c r="F21" s="22" t="inlineStr">
        <is>
          <t>06/05/2024</t>
        </is>
      </c>
      <c r="G21" s="22" t="inlineStr">
        <is>
          <t>12715224L</t>
        </is>
      </c>
      <c r="H21" s="22" t="inlineStr">
        <is>
          <t>Codirector de tesis</t>
        </is>
      </c>
      <c r="I21" s="22" t="inlineStr">
        <is>
          <t>B103</t>
        </is>
      </c>
      <c r="J21" s="22" t="inlineStr">
        <is>
          <t>CIENCIAS AMBIENTALES Y RECURSOS NATURALES</t>
        </is>
      </c>
      <c r="K21" s="22" t="n">
        <v>0.5</v>
      </c>
      <c r="L21" s="22" t="inlineStr">
        <is>
          <t>B103</t>
        </is>
      </c>
      <c r="M21" s="22" t="n">
        <v>2023</v>
      </c>
      <c r="N21" s="22" t="inlineStr">
        <is>
          <t>10.13</t>
        </is>
      </c>
      <c r="O21" s="22" t="inlineStr">
        <is>
          <t>100</t>
        </is>
      </c>
      <c r="P21" s="22" t="inlineStr"/>
      <c r="Q21" s="22" t="inlineStr"/>
      <c r="R21" s="22" t="n">
        <v>0</v>
      </c>
      <c r="S21" s="22" t="n">
        <v>0</v>
      </c>
      <c r="T21" s="22" t="n">
        <v>0.5</v>
      </c>
      <c r="U21" s="22" t="n">
        <v>0</v>
      </c>
    </row>
    <row r="22">
      <c r="A22" s="18" t="inlineStr">
        <is>
          <t>U013</t>
        </is>
      </c>
      <c r="B22" s="18" t="inlineStr">
        <is>
          <t>I.U. BIODIVERSIDAD (CIBIO)</t>
        </is>
      </c>
      <c r="C22" s="22" t="inlineStr">
        <is>
          <t>DOCTORADO EN BIODIVERSIDAD Y CONSERVACIÓN</t>
        </is>
      </c>
      <c r="D22" s="22" t="inlineStr">
        <is>
          <t>Martínez Pérez, Sandra</t>
        </is>
      </c>
      <c r="E22" s="22" t="inlineStr">
        <is>
          <t>COLEÓPTEROS SAPROXÍLICOS EN BOSQUE MEDITERRÁNEO: UNA APROXIMACIÓN</t>
        </is>
      </c>
      <c r="F22" s="22" t="inlineStr">
        <is>
          <t>24/10/2023</t>
        </is>
      </c>
      <c r="G22" s="22" t="inlineStr">
        <is>
          <t>18157732Z</t>
        </is>
      </c>
      <c r="H22" s="22" t="inlineStr">
        <is>
          <t>Codirector de tesis</t>
        </is>
      </c>
      <c r="I22" s="22" t="inlineStr">
        <is>
          <t>B103</t>
        </is>
      </c>
      <c r="J22" s="22" t="inlineStr">
        <is>
          <t>CIENCIAS AMBIENTALES Y RECURSOS NATURALES</t>
        </is>
      </c>
      <c r="K22" s="22" t="n">
        <v>0.5</v>
      </c>
      <c r="L22" s="22" t="inlineStr">
        <is>
          <t>B103</t>
        </is>
      </c>
      <c r="M22" s="22" t="n">
        <v>2023</v>
      </c>
      <c r="N22" s="22" t="inlineStr">
        <is>
          <t>10.13</t>
        </is>
      </c>
      <c r="O22" s="22" t="inlineStr">
        <is>
          <t>100</t>
        </is>
      </c>
      <c r="P22" s="22" t="inlineStr"/>
      <c r="Q22" s="22" t="inlineStr"/>
      <c r="R22" s="22" t="n">
        <v>0</v>
      </c>
      <c r="S22" s="22" t="n">
        <v>0</v>
      </c>
      <c r="T22" s="22" t="n">
        <v>0.5</v>
      </c>
      <c r="U22" s="22" t="n">
        <v>0</v>
      </c>
    </row>
    <row r="23">
      <c r="A23" s="18" t="inlineStr">
        <is>
          <t>U013</t>
        </is>
      </c>
      <c r="B23" s="18" t="inlineStr">
        <is>
          <t>I.U. BIODIVERSIDAD (CIBIO)</t>
        </is>
      </c>
      <c r="C23" s="22" t="inlineStr">
        <is>
          <t>DOCTORADO EN BIODIVERSIDAD Y CONSERVACIÓN</t>
        </is>
      </c>
      <c r="D23" s="22" t="inlineStr">
        <is>
          <t>Martínez Pérez, Sandra</t>
        </is>
      </c>
      <c r="E23" s="22" t="inlineStr">
        <is>
          <t>COLEÓPTEROS SAPROXÍLICOS EN BOSQUE MEDITERRÁNEO: UNA APROXIMACIÓN</t>
        </is>
      </c>
      <c r="F23" s="22" t="inlineStr">
        <is>
          <t>24/10/2023</t>
        </is>
      </c>
      <c r="G23" s="22" t="inlineStr">
        <is>
          <t>21501710E</t>
        </is>
      </c>
      <c r="H23" s="22" t="inlineStr">
        <is>
          <t>Codirector de tesis</t>
        </is>
      </c>
      <c r="I23" s="22" t="inlineStr">
        <is>
          <t>B103</t>
        </is>
      </c>
      <c r="J23" s="22" t="inlineStr">
        <is>
          <t>CIENCIAS AMBIENTALES Y RECURSOS NATURALES</t>
        </is>
      </c>
      <c r="K23" s="22" t="n">
        <v>0.5</v>
      </c>
      <c r="L23" s="22" t="inlineStr">
        <is>
          <t>B103</t>
        </is>
      </c>
      <c r="M23" s="22" t="n">
        <v>2023</v>
      </c>
      <c r="N23" s="22" t="inlineStr">
        <is>
          <t>10.13</t>
        </is>
      </c>
      <c r="O23" s="22" t="inlineStr">
        <is>
          <t>100</t>
        </is>
      </c>
      <c r="P23" s="22" t="inlineStr"/>
      <c r="Q23" s="22" t="inlineStr"/>
      <c r="R23" s="22" t="n">
        <v>0</v>
      </c>
      <c r="S23" s="22" t="n">
        <v>0</v>
      </c>
      <c r="T23" s="22" t="n">
        <v>0.5</v>
      </c>
      <c r="U23" s="22" t="n">
        <v>0</v>
      </c>
    </row>
    <row r="24" customFormat="1" s="61">
      <c r="A24" s="59" t="inlineStr">
        <is>
          <t>U013</t>
        </is>
      </c>
      <c r="B24" s="59" t="inlineStr">
        <is>
          <t>I.U. BIODIVERSIDAD (CIBIO)</t>
        </is>
      </c>
      <c r="C24" s="60" t="inlineStr">
        <is>
          <t>DOCTORADO EN BIODIVERSIDAD Y CONSERVACIÓN</t>
        </is>
      </c>
      <c r="D24" s="60" t="inlineStr">
        <is>
          <t>Urrutia Sánchez, Miguel Ángel</t>
        </is>
      </c>
      <c r="E24" s="60" t="inlineStr">
        <is>
          <t>Estudio de nuevos protocolos para analizar los efectos de la ivermectina en la ecofisiología y diversidad de los coleópteros coprófagos (Coleoptera: Scarabaeoidea: Aphodiidae, Geotrupidae, Scarabaeidae)</t>
        </is>
      </c>
      <c r="F24" s="60" t="inlineStr">
        <is>
          <t>13/09/2024</t>
        </is>
      </c>
      <c r="G24" s="60" t="inlineStr">
        <is>
          <t>01887065F</t>
        </is>
      </c>
      <c r="H24" s="60" t="inlineStr">
        <is>
          <t>Codirector de tesis</t>
        </is>
      </c>
      <c r="I24" s="60" t="inlineStr">
        <is>
          <t>U013</t>
        </is>
      </c>
      <c r="J24" s="60" t="inlineStr">
        <is>
          <t>I.U. BIODIVERSIDAD (CIBIO)</t>
        </is>
      </c>
      <c r="K24" s="60" t="n">
        <v>0.5</v>
      </c>
      <c r="L24" s="60" t="inlineStr">
        <is>
          <t>10.13</t>
        </is>
      </c>
      <c r="M24" s="60" t="n">
        <v>2023</v>
      </c>
      <c r="N24" s="60" t="inlineStr">
        <is>
          <t>10.13</t>
        </is>
      </c>
      <c r="O24" s="60" t="inlineStr">
        <is>
          <t>100</t>
        </is>
      </c>
      <c r="P24" s="60" t="inlineStr"/>
      <c r="Q24" s="60" t="inlineStr"/>
      <c r="R24" s="60" t="n">
        <v>0</v>
      </c>
      <c r="S24" s="60" t="n">
        <v>0</v>
      </c>
      <c r="T24" s="60" t="n">
        <v>0.5</v>
      </c>
      <c r="U24" s="60" t="n">
        <v>0</v>
      </c>
    </row>
    <row r="25" customFormat="1" s="58">
      <c r="A25" s="56" t="inlineStr">
        <is>
          <t>U013</t>
        </is>
      </c>
      <c r="B25" s="56" t="inlineStr">
        <is>
          <t>I.U. BIODIVERSIDAD (CIBIO)</t>
        </is>
      </c>
      <c r="C25" s="57" t="inlineStr">
        <is>
          <t>DOCTORADO EN BIODIVERSIDAD Y CONSERVACIÓN</t>
        </is>
      </c>
      <c r="D25" s="57" t="inlineStr">
        <is>
          <t>Urrutia Sánchez, Miguel Ángel</t>
        </is>
      </c>
      <c r="E25" s="57" t="inlineStr">
        <is>
          <t>Estudio de nuevos protocolos para analizar los efectos de la ivermectina en la ecofisiología y diversidad de los coleópteros coprófagos (Coleoptera: Scarabaeoidea: Aphodiidae, Geotrupidae, Scarabaeidae)</t>
        </is>
      </c>
      <c r="F25" s="57" t="inlineStr">
        <is>
          <t>13/09/2024</t>
        </is>
      </c>
      <c r="G25" s="57" t="inlineStr">
        <is>
          <t>21487975H</t>
        </is>
      </c>
      <c r="H25" s="57" t="inlineStr">
        <is>
          <t>Codirector de tesis</t>
        </is>
      </c>
      <c r="I25" s="57" t="inlineStr">
        <is>
          <t>B103</t>
        </is>
      </c>
      <c r="J25" s="57" t="inlineStr">
        <is>
          <t>CIENCIAS AMBIENTALES Y RECURSOS NATURALES</t>
        </is>
      </c>
      <c r="K25" s="57" t="n">
        <v>0.5</v>
      </c>
      <c r="L25" s="57" t="inlineStr">
        <is>
          <t>B103</t>
        </is>
      </c>
      <c r="M25" s="57" t="n">
        <v>2023</v>
      </c>
      <c r="N25" s="57" t="inlineStr">
        <is>
          <t>10.13</t>
        </is>
      </c>
      <c r="O25" s="57" t="inlineStr">
        <is>
          <t>100</t>
        </is>
      </c>
      <c r="P25" s="57" t="inlineStr"/>
      <c r="Q25" s="57" t="inlineStr"/>
      <c r="R25" s="57" t="n">
        <v>0</v>
      </c>
      <c r="S25" s="57" t="n">
        <v>0</v>
      </c>
      <c r="T25" s="57" t="n">
        <v>0.5</v>
      </c>
      <c r="U25" s="57" t="n">
        <v>0</v>
      </c>
    </row>
    <row r="26">
      <c r="A26" s="18" t="inlineStr">
        <is>
          <t>U025</t>
        </is>
      </c>
      <c r="B26" s="18" t="inlineStr">
        <is>
          <t>ADM. FACULTAD DE DERECHO</t>
        </is>
      </c>
      <c r="C26" s="18" t="inlineStr">
        <is>
          <t>DOCTORADO EN DERECHO</t>
        </is>
      </c>
      <c r="D26" s="18" t="inlineStr">
        <is>
          <t>Box Berna, Miguel Pascual</t>
        </is>
      </c>
      <c r="E26" s="18" t="inlineStr">
        <is>
          <t>Hacia un nuevo modelo de la policía española</t>
        </is>
      </c>
      <c r="F26" s="18" t="inlineStr">
        <is>
          <t>20/09/2024</t>
        </is>
      </c>
      <c r="G26" s="18" t="inlineStr">
        <is>
          <t>21474705L</t>
        </is>
      </c>
      <c r="H26" s="18" t="inlineStr">
        <is>
          <t>Director de tesis</t>
        </is>
      </c>
      <c r="I26" s="18" t="inlineStr">
        <is>
          <t>B113</t>
        </is>
      </c>
      <c r="J26" s="18" t="inlineStr">
        <is>
          <t>ESTUDIOS JURIDICOS DEL ESTADO</t>
        </is>
      </c>
      <c r="K26" s="18" t="n">
        <v>1</v>
      </c>
      <c r="L26" s="18" t="inlineStr">
        <is>
          <t>B113</t>
        </is>
      </c>
      <c r="M26" s="18" t="n">
        <v>2023</v>
      </c>
      <c r="N26" s="18" t="inlineStr">
        <is>
          <t>10.13</t>
        </is>
      </c>
      <c r="O26" s="18" t="inlineStr">
        <is>
          <t>40</t>
        </is>
      </c>
      <c r="P26" s="18" t="inlineStr"/>
      <c r="Q26" s="18" t="inlineStr"/>
      <c r="R26" s="18" t="n">
        <v>60</v>
      </c>
      <c r="S26" s="18" t="n">
        <v>0.6</v>
      </c>
      <c r="T26" s="18" t="n">
        <v>0.4</v>
      </c>
      <c r="U26" s="18" t="n">
        <v>0</v>
      </c>
    </row>
    <row r="27">
      <c r="A27" s="32" t="n"/>
      <c r="B27" s="32" t="n"/>
      <c r="C27" s="32" t="n"/>
      <c r="D27" s="32" t="n"/>
      <c r="E27" s="32" t="n"/>
      <c r="F27" s="32" t="n"/>
      <c r="G27" s="32" t="n"/>
      <c r="H27" s="32" t="n"/>
      <c r="I27" s="32" t="n"/>
      <c r="J27" s="32" t="n"/>
      <c r="K27" s="32" t="n"/>
      <c r="L27" s="32" t="n"/>
      <c r="M27" s="33" t="n"/>
      <c r="N27" s="32" t="n"/>
      <c r="O27" s="33" t="n"/>
      <c r="P27" s="32" t="n"/>
      <c r="Q27" s="33" t="n"/>
      <c r="R27" s="32" t="n"/>
      <c r="S27" s="89">
        <f>SUM(T6:T16,S2:S5,T17:T26)</f>
        <v/>
      </c>
    </row>
  </sheetData>
  <autoFilter ref="A1:U27">
    <sortState ref="A2:T913">
      <sortCondition ref="M2:M913"/>
      <sortCondition ref="O2:O913"/>
    </sortState>
  </autoFilter>
  <mergeCells count="1">
    <mergeCell ref="S27:U27"/>
  </mergeCells>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T17"/>
  <sheetViews>
    <sheetView zoomScaleNormal="100" workbookViewId="0">
      <selection activeCell="B3" sqref="B3"/>
    </sheetView>
  </sheetViews>
  <sheetFormatPr baseColWidth="10" defaultColWidth="11.42578125" defaultRowHeight="12.75"/>
  <cols>
    <col width="10.85546875" bestFit="1" customWidth="1" style="11" min="1" max="1"/>
    <col width="41.28515625" bestFit="1" customWidth="1" style="11" min="2" max="2"/>
    <col width="17" bestFit="1" customWidth="1" style="11" min="3" max="3"/>
    <col width="3.28515625" bestFit="1" customWidth="1" style="11" min="4" max="9"/>
    <col width="13.140625" bestFit="1" customWidth="1" style="11" min="10" max="10"/>
    <col width="5.28515625" bestFit="1" customWidth="1" style="11" min="11" max="11"/>
    <col width="5.7109375" bestFit="1" customWidth="1" style="11" min="12" max="12"/>
    <col width="5.7109375" bestFit="1" customWidth="1" style="12" min="13" max="14"/>
    <col width="5.7109375" bestFit="1" customWidth="1" style="11" min="15" max="15"/>
    <col width="5.7109375" bestFit="1" customWidth="1" style="12" min="16" max="16"/>
    <col width="5.7109375" bestFit="1" customWidth="1" style="11" min="17" max="19"/>
    <col width="11.42578125" customWidth="1" style="11" min="20" max="16384"/>
  </cols>
  <sheetData>
    <row r="1" ht="65.09999999999999"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5"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5" customFormat="1" customHeight="1" s="80">
      <c r="A2" s="78" t="inlineStr">
        <is>
          <t>01887065F</t>
        </is>
      </c>
      <c r="B2" s="78" t="inlineStr">
        <is>
          <t>Cortez Gallardo, Vieyle</t>
        </is>
      </c>
      <c r="C2" s="78" t="inlineStr">
        <is>
          <t>NO FUNCIONARIO</t>
        </is>
      </c>
      <c r="D2" s="78" t="n"/>
      <c r="E2" s="78" t="n"/>
      <c r="F2" s="78" t="n"/>
      <c r="G2" s="78" t="n"/>
      <c r="H2" s="78" t="n">
        <v>1</v>
      </c>
      <c r="I2" s="78" t="n"/>
      <c r="J2" s="78" t="n">
        <v>1</v>
      </c>
      <c r="K2" s="78" t="inlineStr">
        <is>
          <t>10.13</t>
        </is>
      </c>
      <c r="L2" s="79" t="inlineStr">
        <is>
          <t>10.13</t>
        </is>
      </c>
      <c r="M2" s="79" t="inlineStr">
        <is>
          <t>100</t>
        </is>
      </c>
      <c r="N2" s="79" t="inlineStr"/>
      <c r="O2" s="79" t="inlineStr"/>
      <c r="P2" s="79" t="n">
        <v>0</v>
      </c>
      <c r="Q2" s="79" t="n">
        <v>1</v>
      </c>
      <c r="R2" s="79" t="n">
        <v>0</v>
      </c>
      <c r="S2" s="79" t="n">
        <v>0</v>
      </c>
    </row>
    <row r="3" ht="15" customHeight="1">
      <c r="A3" s="16" t="inlineStr">
        <is>
          <t>12715224L</t>
        </is>
      </c>
      <c r="B3" s="16" t="inlineStr">
        <is>
          <t>Marcos García, María de los Ángeles</t>
        </is>
      </c>
      <c r="C3" s="16" t="inlineStr">
        <is>
          <t>FUNCIONARIO</t>
        </is>
      </c>
      <c r="D3" s="16" t="n"/>
      <c r="E3" s="16" t="n"/>
      <c r="F3" s="16" t="n">
        <v>1</v>
      </c>
      <c r="G3" s="16" t="n"/>
      <c r="H3" s="16" t="n"/>
      <c r="I3" s="16" t="n"/>
      <c r="J3" s="16" t="n">
        <v>1</v>
      </c>
      <c r="K3" s="16" t="inlineStr">
        <is>
          <t>B103</t>
        </is>
      </c>
      <c r="L3" s="17" t="inlineStr">
        <is>
          <t>10.13</t>
        </is>
      </c>
      <c r="M3" s="17" t="inlineStr">
        <is>
          <t>100</t>
        </is>
      </c>
      <c r="N3" s="17" t="inlineStr"/>
      <c r="O3" s="17" t="inlineStr"/>
      <c r="P3" s="17" t="n">
        <v>0</v>
      </c>
      <c r="Q3" s="79" t="n">
        <v>1</v>
      </c>
      <c r="R3" s="17" t="n">
        <v>0</v>
      </c>
      <c r="S3" s="17" t="n">
        <v>0</v>
      </c>
    </row>
    <row r="4" ht="15" customHeight="1">
      <c r="A4" s="16" t="inlineStr">
        <is>
          <t>18157732Z</t>
        </is>
      </c>
      <c r="B4" s="16" t="inlineStr">
        <is>
          <t>Galante Patiño, Eduardo</t>
        </is>
      </c>
      <c r="C4" s="16" t="inlineStr">
        <is>
          <t>Emérito</t>
        </is>
      </c>
      <c r="D4" s="16" t="n"/>
      <c r="E4" s="16" t="n"/>
      <c r="F4" s="16" t="n"/>
      <c r="G4" s="16" t="n"/>
      <c r="H4" s="16" t="n"/>
      <c r="I4" s="16" t="n">
        <v>1</v>
      </c>
      <c r="J4" s="16" t="n">
        <v>1</v>
      </c>
      <c r="K4" s="16" t="inlineStr">
        <is>
          <t>B103</t>
        </is>
      </c>
      <c r="L4" s="17" t="inlineStr">
        <is>
          <t>10.13</t>
        </is>
      </c>
      <c r="M4" s="17" t="inlineStr">
        <is>
          <t>100</t>
        </is>
      </c>
      <c r="N4" s="17" t="inlineStr"/>
      <c r="O4" s="17" t="inlineStr"/>
      <c r="P4" s="17" t="n">
        <v>0</v>
      </c>
      <c r="Q4" s="79" t="n">
        <v>1</v>
      </c>
      <c r="R4" s="17" t="n">
        <v>0</v>
      </c>
      <c r="S4" s="17" t="n">
        <v>0</v>
      </c>
    </row>
    <row r="5" ht="15" customHeight="1">
      <c r="A5" s="16" t="inlineStr">
        <is>
          <t>21474705L</t>
        </is>
      </c>
      <c r="B5" s="16" t="inlineStr">
        <is>
          <t>Ortiz García, María Mercedes</t>
        </is>
      </c>
      <c r="C5" s="16" t="inlineStr">
        <is>
          <t>FUNCIONARIO</t>
        </is>
      </c>
      <c r="D5" s="16" t="n"/>
      <c r="E5" s="16" t="n"/>
      <c r="F5" s="16" t="n"/>
      <c r="G5" s="16" t="n"/>
      <c r="H5" s="16" t="n"/>
      <c r="I5" s="16" t="n">
        <v>1</v>
      </c>
      <c r="J5" s="16" t="n">
        <v>1</v>
      </c>
      <c r="K5" s="16" t="inlineStr">
        <is>
          <t>B113</t>
        </is>
      </c>
      <c r="L5" s="17" t="inlineStr">
        <is>
          <t>10.13</t>
        </is>
      </c>
      <c r="M5" s="17" t="inlineStr">
        <is>
          <t>40</t>
        </is>
      </c>
      <c r="N5" s="17" t="inlineStr"/>
      <c r="O5" s="17" t="inlineStr"/>
      <c r="P5" s="17" t="n">
        <v>60</v>
      </c>
      <c r="Q5" s="79" t="n">
        <v>0.4</v>
      </c>
      <c r="R5" s="17" t="n">
        <v>0</v>
      </c>
      <c r="S5" s="17" t="n">
        <v>0.6</v>
      </c>
    </row>
    <row r="6" ht="15" customHeight="1">
      <c r="A6" s="16" t="inlineStr">
        <is>
          <t>21487975H</t>
        </is>
      </c>
      <c r="B6" s="16" t="inlineStr">
        <is>
          <t>Verdú Faraco, José Ramón</t>
        </is>
      </c>
      <c r="C6" s="16" t="inlineStr">
        <is>
          <t>FUNCIONARIO</t>
        </is>
      </c>
      <c r="D6" s="16" t="n"/>
      <c r="E6" s="16" t="n">
        <v>1</v>
      </c>
      <c r="F6" s="16" t="n"/>
      <c r="G6" s="16" t="n"/>
      <c r="H6" s="16" t="n"/>
      <c r="I6" s="16" t="n"/>
      <c r="J6" s="16" t="n">
        <v>1</v>
      </c>
      <c r="K6" s="16" t="inlineStr">
        <is>
          <t>B103</t>
        </is>
      </c>
      <c r="L6" s="17" t="inlineStr">
        <is>
          <t>10.13</t>
        </is>
      </c>
      <c r="M6" s="17" t="inlineStr">
        <is>
          <t>100</t>
        </is>
      </c>
      <c r="N6" s="17" t="inlineStr"/>
      <c r="O6" s="17" t="inlineStr"/>
      <c r="P6" s="17" t="n">
        <v>0</v>
      </c>
      <c r="Q6" s="79" t="n">
        <v>1</v>
      </c>
      <c r="R6" s="17" t="n">
        <v>0</v>
      </c>
      <c r="S6" s="17" t="n">
        <v>0</v>
      </c>
    </row>
    <row r="7" ht="15" customHeight="1">
      <c r="A7" s="16" t="inlineStr">
        <is>
          <t>21501710E</t>
        </is>
      </c>
      <c r="B7" s="16" t="inlineStr">
        <is>
          <t xml:space="preserve">Micó  Balaguer, Estefanía </t>
        </is>
      </c>
      <c r="C7" s="16" t="inlineStr">
        <is>
          <t>FUNCIONARIO</t>
        </is>
      </c>
      <c r="D7" s="16" t="n"/>
      <c r="E7" s="16" t="n"/>
      <c r="F7" s="16" t="n">
        <v>1</v>
      </c>
      <c r="G7" s="16" t="n"/>
      <c r="H7" s="16" t="n"/>
      <c r="I7" s="16" t="n"/>
      <c r="J7" s="16" t="n">
        <v>1</v>
      </c>
      <c r="K7" s="16" t="inlineStr">
        <is>
          <t>B103</t>
        </is>
      </c>
      <c r="L7" s="17" t="inlineStr">
        <is>
          <t>10.13</t>
        </is>
      </c>
      <c r="M7" s="17" t="inlineStr">
        <is>
          <t>100</t>
        </is>
      </c>
      <c r="N7" s="17" t="inlineStr"/>
      <c r="O7" s="17" t="inlineStr"/>
      <c r="P7" s="17" t="n">
        <v>0</v>
      </c>
      <c r="Q7" s="79" t="n">
        <v>1</v>
      </c>
      <c r="R7" s="17" t="n">
        <v>0</v>
      </c>
      <c r="S7" s="17" t="n">
        <v>0</v>
      </c>
    </row>
    <row r="8" ht="15" customHeight="1">
      <c r="A8" s="16" t="inlineStr">
        <is>
          <t>21511536G</t>
        </is>
      </c>
      <c r="B8" s="16" t="inlineStr">
        <is>
          <t>Cerdán Sala, María del Mar</t>
        </is>
      </c>
      <c r="C8" s="16" t="inlineStr">
        <is>
          <t>NO FUNCIONARIO</t>
        </is>
      </c>
      <c r="D8" s="16" t="n">
        <v>1</v>
      </c>
      <c r="E8" s="16" t="n"/>
      <c r="F8" s="16" t="n"/>
      <c r="G8" s="16" t="n"/>
      <c r="H8" s="16" t="n"/>
      <c r="I8" s="16" t="n"/>
      <c r="J8" s="16" t="n">
        <v>1</v>
      </c>
      <c r="K8" s="16" t="inlineStr">
        <is>
          <t>B188</t>
        </is>
      </c>
      <c r="L8" s="17" t="inlineStr">
        <is>
          <t>10.13</t>
        </is>
      </c>
      <c r="M8" s="17" t="inlineStr">
        <is>
          <t>50</t>
        </is>
      </c>
      <c r="N8" s="17" t="inlineStr"/>
      <c r="O8" s="17" t="inlineStr"/>
      <c r="P8" s="17" t="n">
        <v>50</v>
      </c>
      <c r="Q8" s="79" t="n">
        <v>0.5</v>
      </c>
      <c r="R8" s="17" t="n">
        <v>0</v>
      </c>
      <c r="S8" s="17" t="n">
        <v>0.5</v>
      </c>
    </row>
    <row r="9" ht="15" customHeight="1">
      <c r="A9" s="16" t="inlineStr">
        <is>
          <t>27456413W</t>
        </is>
      </c>
      <c r="B9" s="16" t="inlineStr">
        <is>
          <t>Casas Martínez, José Luis</t>
        </is>
      </c>
      <c r="C9" s="16" t="inlineStr">
        <is>
          <t>FUNCIONARIO</t>
        </is>
      </c>
      <c r="D9" s="16" t="n"/>
      <c r="E9" s="16" t="n"/>
      <c r="F9" s="16" t="n"/>
      <c r="G9" s="16" t="n">
        <v>1</v>
      </c>
      <c r="H9" s="16" t="n"/>
      <c r="I9" s="16" t="n"/>
      <c r="J9" s="16" t="n">
        <v>1</v>
      </c>
      <c r="K9" s="16" t="inlineStr">
        <is>
          <t>B103</t>
        </is>
      </c>
      <c r="L9" s="17" t="inlineStr">
        <is>
          <t>10.13</t>
        </is>
      </c>
      <c r="M9" s="17" t="inlineStr">
        <is>
          <t>100</t>
        </is>
      </c>
      <c r="N9" s="17" t="inlineStr"/>
      <c r="O9" s="17" t="inlineStr"/>
      <c r="P9" s="17" t="n">
        <v>0</v>
      </c>
      <c r="Q9" s="79" t="n">
        <v>1</v>
      </c>
      <c r="R9" s="17" t="n">
        <v>0</v>
      </c>
      <c r="S9" s="17" t="n">
        <v>0</v>
      </c>
    </row>
    <row r="10" ht="15" customHeight="1">
      <c r="A10" s="16" t="inlineStr">
        <is>
          <t>34804871Y</t>
        </is>
      </c>
      <c r="B10" s="16" t="inlineStr">
        <is>
          <t>Sánchez Sánchez, Antonio</t>
        </is>
      </c>
      <c r="C10" s="16" t="inlineStr">
        <is>
          <t>NO FUNCIONARIO</t>
        </is>
      </c>
      <c r="D10" s="16" t="n"/>
      <c r="E10" s="16" t="n"/>
      <c r="F10" s="16" t="n"/>
      <c r="G10" s="16" t="n">
        <v>1</v>
      </c>
      <c r="H10" s="16" t="n"/>
      <c r="I10" s="16" t="n"/>
      <c r="J10" s="16" t="n">
        <v>1</v>
      </c>
      <c r="K10" s="16" t="inlineStr">
        <is>
          <t>B188</t>
        </is>
      </c>
      <c r="L10" s="17" t="inlineStr">
        <is>
          <t>10.13</t>
        </is>
      </c>
      <c r="M10" s="17" t="inlineStr">
        <is>
          <t>50</t>
        </is>
      </c>
      <c r="N10" s="17" t="inlineStr"/>
      <c r="O10" s="17" t="inlineStr"/>
      <c r="P10" s="17" t="n">
        <v>50</v>
      </c>
      <c r="Q10" s="79" t="n">
        <v>0.5</v>
      </c>
      <c r="R10" s="17" t="n">
        <v>0</v>
      </c>
      <c r="S10" s="17" t="n">
        <v>0.5</v>
      </c>
    </row>
    <row r="11" ht="15" customHeight="1">
      <c r="A11" s="16" t="inlineStr">
        <is>
          <t>52774665S</t>
        </is>
      </c>
      <c r="B11" s="16" t="inlineStr">
        <is>
          <t>Cantó López, María Teresa</t>
        </is>
      </c>
      <c r="C11" s="16" t="inlineStr">
        <is>
          <t>FUNCIONARIO</t>
        </is>
      </c>
      <c r="D11" s="16" t="n"/>
      <c r="E11" s="16" t="n"/>
      <c r="F11" s="16" t="n"/>
      <c r="G11" s="16" t="n"/>
      <c r="H11" s="16" t="n"/>
      <c r="I11" s="16" t="n">
        <v>1</v>
      </c>
      <c r="J11" s="16" t="n">
        <v>1</v>
      </c>
      <c r="K11" s="16" t="inlineStr">
        <is>
          <t>B113</t>
        </is>
      </c>
      <c r="L11" s="17" t="inlineStr">
        <is>
          <t>10.13</t>
        </is>
      </c>
      <c r="M11" s="17" t="inlineStr">
        <is>
          <t>10</t>
        </is>
      </c>
      <c r="N11" s="17" t="inlineStr"/>
      <c r="O11" s="17" t="inlineStr"/>
      <c r="P11" s="17" t="n">
        <v>90</v>
      </c>
      <c r="Q11" s="79" t="n">
        <v>0.1</v>
      </c>
      <c r="R11" s="17" t="n">
        <v>0</v>
      </c>
      <c r="S11" s="17" t="n">
        <v>0.9</v>
      </c>
    </row>
    <row r="12" ht="15" customHeight="1">
      <c r="A12" s="16" t="inlineStr">
        <is>
          <t>53232946K</t>
        </is>
      </c>
      <c r="B12" s="16" t="inlineStr">
        <is>
          <t>Ricarte Sabater, Antonio Ramón</t>
        </is>
      </c>
      <c r="C12" s="16" t="inlineStr">
        <is>
          <t>FUNCIONARIO</t>
        </is>
      </c>
      <c r="D12" s="16" t="n"/>
      <c r="E12" s="16" t="n"/>
      <c r="F12" s="16" t="n"/>
      <c r="G12" s="16" t="n">
        <v>2</v>
      </c>
      <c r="H12" s="16" t="n"/>
      <c r="I12" s="16" t="n"/>
      <c r="J12" s="16" t="n">
        <v>2</v>
      </c>
      <c r="K12" s="16" t="inlineStr">
        <is>
          <t>B103</t>
        </is>
      </c>
      <c r="L12" s="17" t="inlineStr">
        <is>
          <t>10.13</t>
        </is>
      </c>
      <c r="M12" s="17" t="inlineStr">
        <is>
          <t>100</t>
        </is>
      </c>
      <c r="N12" s="17" t="inlineStr"/>
      <c r="O12" s="17" t="inlineStr"/>
      <c r="P12" s="17" t="n">
        <v>0</v>
      </c>
      <c r="Q12" s="79" t="n">
        <v>2</v>
      </c>
      <c r="R12" s="17" t="n">
        <v>0</v>
      </c>
      <c r="S12" s="17" t="n">
        <v>0</v>
      </c>
    </row>
    <row r="13" ht="15" customHeight="1">
      <c r="A13" s="16" t="inlineStr">
        <is>
          <t>74336031P</t>
        </is>
      </c>
      <c r="B13" s="16" t="inlineStr">
        <is>
          <t>Ríos Ruiz, Segundo</t>
        </is>
      </c>
      <c r="C13" s="16" t="inlineStr">
        <is>
          <t>FUNCIONARIO</t>
        </is>
      </c>
      <c r="D13" s="16" t="n">
        <v>1</v>
      </c>
      <c r="E13" s="16" t="n"/>
      <c r="F13" s="16" t="n"/>
      <c r="G13" s="16" t="n"/>
      <c r="H13" s="16" t="n"/>
      <c r="I13" s="16" t="n"/>
      <c r="J13" s="16" t="n">
        <v>1</v>
      </c>
      <c r="K13" s="16" t="inlineStr">
        <is>
          <t>B103</t>
        </is>
      </c>
      <c r="L13" s="17" t="inlineStr">
        <is>
          <t>10.13</t>
        </is>
      </c>
      <c r="M13" s="17" t="inlineStr">
        <is>
          <t>100</t>
        </is>
      </c>
      <c r="N13" s="17" t="inlineStr"/>
      <c r="O13" s="17" t="inlineStr"/>
      <c r="P13" s="17" t="n">
        <v>0</v>
      </c>
      <c r="Q13" s="79" t="n">
        <v>1</v>
      </c>
      <c r="R13" s="17" t="n">
        <v>0</v>
      </c>
      <c r="S13" s="17" t="n">
        <v>0</v>
      </c>
    </row>
    <row r="14" ht="15" customHeight="1">
      <c r="A14" s="16" t="inlineStr">
        <is>
          <t>21434118G</t>
        </is>
      </c>
      <c r="B14" s="16" t="inlineStr">
        <is>
          <t>Marco Molina, Juan Antonio</t>
        </is>
      </c>
      <c r="C14" s="38" t="inlineStr">
        <is>
          <t>FUNCIONARIO</t>
        </is>
      </c>
      <c r="D14" s="16" t="n">
        <v>1</v>
      </c>
      <c r="E14" s="16" t="n"/>
      <c r="F14" s="16" t="n"/>
      <c r="G14" s="16" t="n"/>
      <c r="H14" s="16" t="n"/>
      <c r="I14" s="16" t="n"/>
      <c r="J14" s="16" t="n">
        <v>1</v>
      </c>
      <c r="K14" s="16" t="inlineStr">
        <is>
          <t>B173</t>
        </is>
      </c>
      <c r="L14" s="17" t="inlineStr">
        <is>
          <t>10.21</t>
        </is>
      </c>
      <c r="M14" s="17" t="inlineStr">
        <is>
          <t>40</t>
        </is>
      </c>
      <c r="N14" s="17" t="inlineStr">
        <is>
          <t>10.13</t>
        </is>
      </c>
      <c r="O14" s="17" t="inlineStr">
        <is>
          <t>20</t>
        </is>
      </c>
      <c r="P14" s="17" t="n">
        <v>40</v>
      </c>
      <c r="Q14" s="79" t="n">
        <v>0.4</v>
      </c>
      <c r="R14" s="17" t="n">
        <v>0.2</v>
      </c>
      <c r="S14" s="17" t="n">
        <v>0.4</v>
      </c>
    </row>
    <row r="15" ht="15" customFormat="1" customHeight="1" s="66">
      <c r="A15" s="63" t="inlineStr">
        <is>
          <t>21479431F</t>
        </is>
      </c>
      <c r="B15" s="63" t="inlineStr">
        <is>
          <t>Padilla Blanco, Ascensión</t>
        </is>
      </c>
      <c r="C15" s="64" t="inlineStr">
        <is>
          <t>FUNCIONARIO</t>
        </is>
      </c>
      <c r="D15" s="63" t="n"/>
      <c r="E15" s="63" t="n">
        <v>1</v>
      </c>
      <c r="F15" s="63" t="n"/>
      <c r="G15" s="63" t="n"/>
      <c r="H15" s="63" t="n"/>
      <c r="I15" s="63" t="n"/>
      <c r="J15" s="63" t="n">
        <v>1</v>
      </c>
      <c r="K15" s="62" t="inlineStr">
        <is>
          <t>B173</t>
        </is>
      </c>
      <c r="L15" s="65" t="inlineStr">
        <is>
          <t>10.21</t>
        </is>
      </c>
      <c r="M15" s="65" t="inlineStr">
        <is>
          <t>40</t>
        </is>
      </c>
      <c r="N15" s="65" t="inlineStr">
        <is>
          <t>10.13</t>
        </is>
      </c>
      <c r="O15" s="65" t="inlineStr">
        <is>
          <t>20</t>
        </is>
      </c>
      <c r="P15" s="65" t="n">
        <v>40</v>
      </c>
      <c r="Q15" s="81" t="n">
        <v>0.4</v>
      </c>
      <c r="R15" s="65" t="n">
        <v>0.2</v>
      </c>
      <c r="S15" s="65" t="n">
        <v>0.4</v>
      </c>
    </row>
    <row r="16" ht="15" customFormat="1" customHeight="1" s="66">
      <c r="A16" s="63" t="inlineStr">
        <is>
          <t>48353391P</t>
        </is>
      </c>
      <c r="B16" s="63" t="inlineStr">
        <is>
          <t>Giménez Font, Pablo</t>
        </is>
      </c>
      <c r="C16" s="64" t="inlineStr">
        <is>
          <t>FUNCIONARIO</t>
        </is>
      </c>
      <c r="D16" s="63" t="n"/>
      <c r="E16" s="63" t="n"/>
      <c r="F16" s="63" t="n">
        <v>1</v>
      </c>
      <c r="G16" s="63" t="n"/>
      <c r="H16" s="63" t="n"/>
      <c r="I16" s="63" t="n"/>
      <c r="J16" s="63" t="n">
        <v>1</v>
      </c>
      <c r="K16" s="62" t="inlineStr">
        <is>
          <t>B173</t>
        </is>
      </c>
      <c r="L16" s="65" t="inlineStr">
        <is>
          <t>10.21</t>
        </is>
      </c>
      <c r="M16" s="65" t="inlineStr">
        <is>
          <t>50</t>
        </is>
      </c>
      <c r="N16" s="65" t="inlineStr">
        <is>
          <t>10.13</t>
        </is>
      </c>
      <c r="O16" s="65" t="inlineStr">
        <is>
          <t>20</t>
        </is>
      </c>
      <c r="P16" s="65" t="n">
        <v>30</v>
      </c>
      <c r="Q16" s="81" t="n">
        <v>0.5</v>
      </c>
      <c r="R16" s="65" t="n">
        <v>0.2</v>
      </c>
      <c r="S16" s="65" t="n">
        <v>0.3</v>
      </c>
    </row>
    <row r="17" ht="15" customHeight="1">
      <c r="A17" s="39" t="n"/>
      <c r="B17" s="39" t="n"/>
      <c r="C17" s="40" t="n"/>
      <c r="D17" s="39" t="n"/>
      <c r="E17" s="39" t="n"/>
      <c r="F17" s="39" t="n"/>
      <c r="G17" s="39" t="n"/>
      <c r="H17" s="39" t="n"/>
      <c r="I17" s="39" t="n"/>
      <c r="J17" s="39" t="n"/>
      <c r="K17" s="39" t="n"/>
      <c r="L17" s="39" t="n"/>
      <c r="M17" s="39" t="n"/>
      <c r="N17" s="39" t="n"/>
      <c r="O17" s="39" t="n"/>
      <c r="P17" s="39" t="n"/>
      <c r="Q17" s="41">
        <f>SUM(Q2:Q13,R14:R16)</f>
        <v/>
      </c>
      <c r="R17" s="39" t="n"/>
      <c r="S17" s="39" t="n"/>
    </row>
  </sheetData>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87"/>
  <sheetViews>
    <sheetView topLeftCell="A76" workbookViewId="0">
      <selection activeCell="C86" sqref="C86"/>
    </sheetView>
  </sheetViews>
  <sheetFormatPr baseColWidth="10" defaultRowHeight="15"/>
  <cols>
    <col width="16.28515625" customWidth="1" min="1" max="1"/>
    <col width="90.85546875" customWidth="1" min="2" max="2"/>
    <col width="14.85546875" customWidth="1" min="3" max="3"/>
  </cols>
  <sheetData>
    <row r="1">
      <c r="A1" s="42" t="inlineStr">
        <is>
          <t>Cód. org. aplic.</t>
        </is>
      </c>
      <c r="B1" s="42" t="inlineStr">
        <is>
          <t>Descripción justificante</t>
        </is>
      </c>
      <c r="C1" s="42" t="inlineStr">
        <is>
          <t>Imp.cob.aplic.</t>
        </is>
      </c>
    </row>
    <row r="2" ht="39" customHeight="1">
      <c r="A2" s="34" t="inlineStr">
        <is>
          <t>41.80.6C.00.01</t>
        </is>
      </c>
      <c r="B2" s="48" t="inlineStr">
        <is>
          <t>INGRESO VENTAS TIENDA MUBIO. CONVENIO ESPECÍFICO ENTRE LA UA Y EL AYUNTAMIENTO DE IBI PARA EL ESTABLECIMIENTO DE LAS CONDICIONES DE COLABORACIÓN EN LA EXPLOTACIÓN DE BIENES COMERCIALIZABLES EN EL MUSEO DE LA BIODIVERSIDAD.</t>
        </is>
      </c>
      <c r="C2" s="90" t="n">
        <v>1056</v>
      </c>
    </row>
    <row r="3">
      <c r="A3" s="36" t="inlineStr">
        <is>
          <t>41.80.6C.00.01</t>
        </is>
      </c>
      <c r="B3" s="49" t="inlineStr">
        <is>
          <t>CONVENIO PARA PLAN DE ACTUACIÓN ANUAL. PROYECTO DE EDUCACIÓN AMBIENTAL</t>
        </is>
      </c>
      <c r="C3" s="91" t="n">
        <v>10560</v>
      </c>
    </row>
    <row r="4" ht="26.25" customHeight="1">
      <c r="A4" s="34" t="inlineStr">
        <is>
          <t>41.80.6C.00.01</t>
        </is>
      </c>
      <c r="B4" s="48" t="inlineStr">
        <is>
          <t>CONVENIO CON AYTO IBI PARA PROGRAMA DE ASISTENCIA A LOS PROGRAMAS DE EDUCACIÓN AMBIENTAL DEL MUSEO DE LA BIODIVERSIDAD.</t>
        </is>
      </c>
      <c r="C4" s="90" t="n">
        <v>6160</v>
      </c>
    </row>
    <row r="5" ht="51.75" customHeight="1">
      <c r="A5" s="36" t="inlineStr">
        <is>
          <t>41.80.6C.00.01</t>
        </is>
      </c>
      <c r="B5" s="49" t="inlineStr">
        <is>
          <t>INGRESO PERCIBIDO PROCEDENTE DE LAS VENTAS TIENDA MUBIO. CONVENIO ESPECÍFICO ENTRE LA UA Y EL AYUNTAMIENTO DE IBI PARA EL ESTABLECIMIENTO DE LAS CONDICIONES DE COLABORACIÓN EN LA EXPLOTACIÓN DE BIENES COMERCIALIZABLES EN EL MUSEO DE LA BIODIVERSIDAD.</t>
        </is>
      </c>
      <c r="C5" s="91" t="n">
        <v>696.08</v>
      </c>
    </row>
    <row r="6" ht="39" customHeight="1">
      <c r="A6" s="34" t="inlineStr">
        <is>
          <t>41.80.6C.00.01</t>
        </is>
      </c>
      <c r="B6" s="48" t="inlineStr">
        <is>
          <t>INGRESO VENTAS TIENDA MUBIO. CONVENIO ESPECÍFICO ENTRE LA UA Y EL AYUNTAMIENTO DE IBI PARA EL ESTABLECIMIENTO DE LAS CONDICIONES DE COLABORACIÓN EN LA EXPLOTACIÓN DE BIENES COMERCIALIZABLES EN EL MUSEO DE LA BIODIVERSIDAD.</t>
        </is>
      </c>
      <c r="C6" s="90" t="n">
        <v>726</v>
      </c>
    </row>
    <row r="7">
      <c r="A7" s="36" t="inlineStr">
        <is>
          <t>41.80.6C.00.19</t>
        </is>
      </c>
      <c r="B7" s="49" t="inlineStr">
        <is>
          <t>Subvención de la CONSELLERIAAGRICULTURA3-22</t>
        </is>
      </c>
      <c r="C7" s="91" t="n">
        <v>38702.59</v>
      </c>
    </row>
    <row r="8" ht="39" customHeight="1">
      <c r="A8" s="34" t="inlineStr">
        <is>
          <t>41.80.6C.00.22</t>
        </is>
      </c>
      <c r="B8" s="48" t="inlineStr">
        <is>
          <t>Trabajos de identificación a nivel específico de especies dípteros de la familia Syrphidae recogidos durante el proyecto de Inventario de polinizadores de la Reserva de la Biosfera de La Rioja. Primer pago tras la firma del contrato (50% del presupuesto)</t>
        </is>
      </c>
      <c r="C8" s="90" t="n">
        <v>2860</v>
      </c>
    </row>
    <row r="9" ht="39" customHeight="1">
      <c r="A9" s="36" t="inlineStr">
        <is>
          <t>41.80.6C.00.23</t>
        </is>
      </c>
      <c r="B9" s="49" t="inlineStr">
        <is>
          <t>Asesoramiento y asistencia científico técnica para el inicio de actividades de la empresa en el ámbito del cultivo in vitro de genotipos seleccionados de plantas de Cannabis sp. con fines de investigación (primer pago tras la firma del contrato, 60% del total)</t>
        </is>
      </c>
      <c r="C9" s="91" t="n">
        <v>3696</v>
      </c>
    </row>
    <row r="10">
      <c r="A10" s="34" t="inlineStr">
        <is>
          <t>41.80.6C.00.24</t>
        </is>
      </c>
      <c r="B10" s="48" t="inlineStr">
        <is>
          <t xml:space="preserve">Determinación del porcentaje de degradación de los excrementos de ganado en campo. </t>
        </is>
      </c>
      <c r="C10" s="90" t="n">
        <v>337.22</v>
      </c>
    </row>
    <row r="11" ht="64.5" customHeight="1">
      <c r="A11" s="36" t="inlineStr">
        <is>
          <t>41.80.6C.00.25</t>
        </is>
      </c>
      <c r="B11" s="49" t="inlineStr">
        <is>
          <t>Prestación del servicio consistente en "Coordinación y planificación de trabajos de campo para el estudio de las Especies Amenazadas, Invasoras y Vulnerables del Libro Rojo. Elaboración de protocolos de muestreo y realización de los muestreos de primavera-verano de 2023 y la recopilación de la información generada" Factura final según contrato. "PLAN DE RECUPERACIÓN, TRANSFORMACIÓN Y RESILIENCIA FINANCIADO POR LA UNIÓN EUROPEA - NEXTGENERATIONEU"</t>
        </is>
      </c>
      <c r="C11" s="91" t="n">
        <v>9768</v>
      </c>
    </row>
    <row r="12" ht="64.5" customHeight="1">
      <c r="A12" s="34" t="inlineStr">
        <is>
          <t>41.80.6C.00.25</t>
        </is>
      </c>
      <c r="B12" s="48" t="inlineStr">
        <is>
          <t>Prestación del servicio consistente en "Coordinación y planificación de trabajos de campo para el estudio de las Especies Amenazadas, Invasoras y Vulnerables del Libro Rojo. Elaboración de protocolos de muestreo y realización de los muestreos de primavera-verano de 2023 y la recopilación de la información generada" - Primera factura según contrato. "PLAN DE RECUPERACIÓN, TRANSFORMACIÓN Y RESILIENCIA - FINANCIADO POR LA UNIÓN EUROPEA - NEXTGENERATIONEU"</t>
        </is>
      </c>
      <c r="C12" s="90" t="n">
        <v>3256</v>
      </c>
    </row>
    <row r="13" ht="39" customHeight="1">
      <c r="A13" s="36" t="inlineStr">
        <is>
          <t>41.80.6C.00.26</t>
        </is>
      </c>
      <c r="B13" s="49" t="inlineStr">
        <is>
          <t>SERVICIO DE ASESORÍA EXTERNA EN MATERIA DE ESTUDIOS DE LOS EFECTOS DE LA IVERMECTINA Y BÚSQUEDA DE ANTIPARASITARIOS ALTERNATIVOS EN EL PARQUE NACIONAL DE ORDESA Y MONTE PERDIDO (HUESCA)</t>
        </is>
      </c>
      <c r="C13" s="91" t="n">
        <v>28218.18</v>
      </c>
    </row>
    <row r="14" ht="51.75" customHeight="1">
      <c r="A14" s="34" t="inlineStr">
        <is>
          <t>41.80.6C.00.27</t>
        </is>
      </c>
      <c r="B14" s="48" t="inlineStr">
        <is>
          <t>Asesoramiento y asistencia científico-técnica en el marco del proyecto "SIRFI-2.0: Innovación Científica y Tecnológica para el Control Biológico de Plagas en Cultivos Frutales de la Comunidad Valenciana con Sírfidos Depredadores Autóctonos". Identificación y cría de especies autóctonas de sírfidos depredadores de plagas de los cultivos de la Comunidad Valenciana</t>
        </is>
      </c>
      <c r="C14" s="90" t="n">
        <v>11792</v>
      </c>
    </row>
    <row r="15" ht="90" customHeight="1">
      <c r="A15" s="36" t="inlineStr">
        <is>
          <t>41.80.6C.00.28</t>
        </is>
      </c>
      <c r="B15" s="49" t="inlineStr">
        <is>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2 según contrato.</t>
        </is>
      </c>
      <c r="C15" s="91" t="n">
        <v>29763.63</v>
      </c>
    </row>
    <row r="16" ht="90" customHeight="1">
      <c r="A16" s="34" t="inlineStr">
        <is>
          <t>41.80.6C.00.28</t>
        </is>
      </c>
      <c r="B16" s="48" t="inlineStr">
        <is>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1 según contrato.</t>
        </is>
      </c>
      <c r="C16" s="90" t="n">
        <v>59527.27</v>
      </c>
    </row>
    <row r="17">
      <c r="A17" s="36" t="inlineStr">
        <is>
          <t>41.80.6G.00.01</t>
        </is>
      </c>
      <c r="B17" s="49" t="inlineStr">
        <is>
          <t>Liquid_08_JyC_XX-Entomología _TPV_</t>
        </is>
      </c>
      <c r="C17" s="91" t="n">
        <v>1070</v>
      </c>
    </row>
    <row r="18" ht="26.25" customHeight="1">
      <c r="A18" s="34" t="inlineStr">
        <is>
          <t>41.80.6G.00.01</t>
        </is>
      </c>
      <c r="B18" s="48" t="inlineStr">
        <is>
          <t>Inscripción al XX congreso ibérico de entomología, Alicante del 26 al 30 de junio de 2023, de Rosa Gálvez Esteban</t>
        </is>
      </c>
      <c r="C18" s="90" t="n">
        <v>175</v>
      </c>
    </row>
    <row r="19">
      <c r="A19" s="36" t="inlineStr">
        <is>
          <t>41.80.6G.00.01</t>
        </is>
      </c>
      <c r="B19" s="49" t="inlineStr">
        <is>
          <t>Inscripción al XX CONGRESO IBÉRICO DE ENTOMOLOGÍA, Alicante junio 2023, de Irene Lobato Vila</t>
        </is>
      </c>
      <c r="C19" s="91" t="n">
        <v>175</v>
      </c>
    </row>
    <row r="20" ht="26.25" customHeight="1">
      <c r="A20" s="34" t="inlineStr">
        <is>
          <t>41.80.6G.00.01</t>
        </is>
      </c>
      <c r="B20" s="48" t="inlineStr">
        <is>
          <t>Inscripción en el XX CONGRESO IBÉRICO DE ENTOMOLOGÍA, Alicante junio 2023 de Daniel Aguayo Becerra</t>
        </is>
      </c>
      <c r="C20" s="90" t="n">
        <v>215</v>
      </c>
    </row>
    <row r="21">
      <c r="A21" s="36" t="inlineStr">
        <is>
          <t>41.80.6G.00.01</t>
        </is>
      </c>
      <c r="B21" s="49" t="inlineStr">
        <is>
          <t xml:space="preserve">Devolución de ingresos_Liquid_03_JyC_XX-Entomología_Antonio Jesús Velázquez </t>
        </is>
      </c>
      <c r="C21" s="91" t="n">
        <v>-40</v>
      </c>
    </row>
    <row r="22">
      <c r="A22" s="34" t="inlineStr">
        <is>
          <t>41.80.6G.00.01</t>
        </is>
      </c>
      <c r="B22" s="48" t="inlineStr">
        <is>
          <t>Liquid_10_JyC_XX-Entomología</t>
        </is>
      </c>
      <c r="C22" s="90" t="n">
        <v>820</v>
      </c>
    </row>
    <row r="23">
      <c r="A23" s="36" t="inlineStr">
        <is>
          <t>41.80.6G.00.01</t>
        </is>
      </c>
      <c r="B23" s="49" t="inlineStr">
        <is>
          <t>Inscripción al XX Congreso Ibérico de Entomología, Alicante junio 2023, de Paula Malaquias Souto</t>
        </is>
      </c>
      <c r="C23" s="91" t="n">
        <v>275</v>
      </c>
    </row>
    <row r="24" ht="26.25" customHeight="1">
      <c r="A24" s="34" t="inlineStr">
        <is>
          <t>41.80.6G.00.01</t>
        </is>
      </c>
      <c r="B24" s="48" t="inlineStr">
        <is>
          <t>MECENAZGO DE LAS ACTIVIDADES DE ORGANIZACIÓN Y REALIZACIÓN DEL XX CONGRESO IBÉRICO DE ENTOMOLOGÍA POR LA UNIVERSIDAD DE ALICANTE</t>
        </is>
      </c>
      <c r="C24" s="90" t="n">
        <v>1408</v>
      </c>
    </row>
    <row r="25" ht="26.25" customHeight="1">
      <c r="A25" s="36" t="inlineStr">
        <is>
          <t>41.80.6G.00.01</t>
        </is>
      </c>
      <c r="B25" s="49" t="inlineStr">
        <is>
          <t xml:space="preserve">Inscripción al XX Congreso Ibérico de Entomología, Alicante 26 a 30 de junio de 2023, de Félix Valcárcel Sancho </t>
        </is>
      </c>
      <c r="C25" s="91" t="n">
        <v>175</v>
      </c>
    </row>
    <row r="26" ht="26.25" customHeight="1">
      <c r="A26" s="34" t="inlineStr">
        <is>
          <t>41.80.6G.00.01</t>
        </is>
      </c>
      <c r="B26" s="48" t="inlineStr">
        <is>
          <t>Inscripción en el XX CONGRESO IBÉRICO DE ENTOMOLOGÍA, Alicante 26 a 30 de junio de 2023, de Estrella Marina Hernández Suárez</t>
        </is>
      </c>
      <c r="C26" s="90" t="n">
        <v>350</v>
      </c>
    </row>
    <row r="27" ht="26.25" customHeight="1">
      <c r="A27" s="36" t="inlineStr">
        <is>
          <t>41.80.6G.00.01</t>
        </is>
      </c>
      <c r="B27" s="49" t="inlineStr">
        <is>
          <t>Inscripción al XX CONGRESO IBÉRICO DE ENTOMOLOGÍA, Alicante 26 a 30 de junio de 2023, de Olivia María Sanllorente Bolinches</t>
        </is>
      </c>
      <c r="C27" s="91" t="n">
        <v>250</v>
      </c>
    </row>
    <row r="28">
      <c r="A28" s="34" t="inlineStr">
        <is>
          <t>41.80.6G.00.01</t>
        </is>
      </c>
      <c r="B28" s="48" t="inlineStr">
        <is>
          <t>Inscripción al XX Congreso Ibérico de Entomología, Alicante junio 2023, de Francesco Porcelli</t>
        </is>
      </c>
      <c r="C28" s="90" t="n">
        <v>275</v>
      </c>
    </row>
    <row r="29">
      <c r="A29" s="36" t="inlineStr">
        <is>
          <t>41.80.6G.00.01</t>
        </is>
      </c>
      <c r="B29" s="49" t="inlineStr">
        <is>
          <t>Inscripción al XX CONGRESO IBÉRICO DE ENTOMOLOGÍA, Alicante junio 2023, de Adrià Miralles Núñez</t>
        </is>
      </c>
      <c r="C29" s="91" t="n">
        <v>175</v>
      </c>
    </row>
    <row r="30">
      <c r="A30" s="34" t="inlineStr">
        <is>
          <t>41.80.6G.00.01</t>
        </is>
      </c>
      <c r="B30" s="48" t="inlineStr">
        <is>
          <t>Inscripción al XX Congreso Ibérico de Entomología, Alicante junio 2023, de Pablo Bielza Lino</t>
        </is>
      </c>
      <c r="C30" s="90" t="n">
        <v>275</v>
      </c>
    </row>
    <row r="31">
      <c r="A31" s="36" t="inlineStr">
        <is>
          <t>41.80.6G.00.01</t>
        </is>
      </c>
      <c r="B31" s="49" t="inlineStr">
        <is>
          <t>Inscripción en el XX Congreso de Entomología, Alicante junio 2023, de Pedro J. Sandoval Cortés</t>
        </is>
      </c>
      <c r="C31" s="91" t="n">
        <v>215</v>
      </c>
    </row>
    <row r="32" ht="26.25" customHeight="1">
      <c r="A32" s="34" t="inlineStr">
        <is>
          <t>41.80.6G.00.01</t>
        </is>
      </c>
      <c r="B32" s="48" t="inlineStr">
        <is>
          <t>Inscripción de Ana Belén Abelaira Ros  en el XX CONGRESO IBÉRICO DE ENTOMOLOGÍA. ALICANTE, JUNIO 2023</t>
        </is>
      </c>
      <c r="C32" s="90" t="n">
        <v>180</v>
      </c>
    </row>
    <row r="33">
      <c r="A33" s="36" t="inlineStr">
        <is>
          <t>41.80.6G.00.01</t>
        </is>
      </c>
      <c r="B33" s="49" t="inlineStr">
        <is>
          <t>Liquid_06_JyC_XX-Entomología_</t>
        </is>
      </c>
      <c r="C33" s="91" t="n">
        <v>2245</v>
      </c>
    </row>
    <row r="34" ht="26.25" customHeight="1">
      <c r="A34" s="34" t="inlineStr">
        <is>
          <t>41.80.6G.00.01</t>
        </is>
      </c>
      <c r="B34" s="48" t="inlineStr">
        <is>
          <t>Inscripción al XX CONGRESO IBÉRICO DE ENTOMOLOGÍA, Alicante junio 2023 de Francisco José Beitia Crespo</t>
        </is>
      </c>
      <c r="C34" s="90" t="n">
        <v>275</v>
      </c>
    </row>
    <row r="35">
      <c r="A35" s="36" t="inlineStr">
        <is>
          <t>41.80.6G.00.01</t>
        </is>
      </c>
      <c r="B35" s="49" t="inlineStr">
        <is>
          <t>Inscripción al XX CONGRESO IBÉRICO DE ENTOMOLOGÍA, Alicante junio 2023, de Saúl Bernat Ponce</t>
        </is>
      </c>
      <c r="C35" s="91" t="n">
        <v>275</v>
      </c>
    </row>
    <row r="36" ht="39" customHeight="1">
      <c r="A36" s="34" t="inlineStr">
        <is>
          <t>41.80.6G.00.01</t>
        </is>
      </c>
      <c r="B36" s="48" t="inlineStr">
        <is>
          <t>Inscripción al XX CONGRESO IBÉRICO DE ENTOMOLOGÍA, Alicante junio 2023, de Manuel Ramón García Sánchez-Colomer. OFICINA CONTABLE: E04903101 -UNIDAD TRAMITADORA: EA0010076 -ORGANO GESTOR: E03027901.</t>
        </is>
      </c>
      <c r="C36" s="90" t="n">
        <v>350</v>
      </c>
    </row>
    <row r="37">
      <c r="A37" s="36" t="inlineStr">
        <is>
          <t>41.80.6G.00.01</t>
        </is>
      </c>
      <c r="B37" s="49" t="inlineStr">
        <is>
          <t>Inscripción al XX congreso ibérico de entomología, Alicante del 26 al 30 de junio de 2023 de Sara Sario</t>
        </is>
      </c>
      <c r="C37" s="91" t="n">
        <v>180</v>
      </c>
    </row>
    <row r="38" ht="26.25" customHeight="1">
      <c r="A38" s="34" t="inlineStr">
        <is>
          <t>41.80.6G.00.01</t>
        </is>
      </c>
      <c r="B38" s="48" t="inlineStr">
        <is>
          <t>Inscripción al XX congreso ibérico de entomología, Alicante del 26 al 30 de junio de 2023 de Laura Regalado</t>
        </is>
      </c>
      <c r="C38" s="90" t="n">
        <v>275</v>
      </c>
    </row>
    <row r="39">
      <c r="A39" s="36" t="inlineStr">
        <is>
          <t>41.80.6G.00.01</t>
        </is>
      </c>
      <c r="B39" s="49" t="inlineStr">
        <is>
          <t xml:space="preserve">Liquid_02_JyC_XX-Entomología_  </t>
        </is>
      </c>
      <c r="C39" s="91" t="n">
        <v>3855</v>
      </c>
    </row>
    <row r="40" ht="26.25" customHeight="1">
      <c r="A40" s="34" t="inlineStr">
        <is>
          <t>41.80.6G.00.01</t>
        </is>
      </c>
      <c r="B40" s="48" t="inlineStr">
        <is>
          <t>Inscripción al XX CONGRESO IBÉRICO DE ENTOMOLOGÍA, Alicante junio 2023, de José Francisco Gómez Sánchez</t>
        </is>
      </c>
      <c r="C40" s="90" t="n">
        <v>175</v>
      </c>
    </row>
    <row r="41" ht="26.25" customHeight="1">
      <c r="A41" s="36" t="inlineStr">
        <is>
          <t>41.80.6G.00.01</t>
        </is>
      </c>
      <c r="B41" s="49" t="inlineStr">
        <is>
          <t>Inscripción al XX CONGRESO IBÉRICO DE ENTOMOLOGÍA, Alicante del 26 al 30 de junio, de José Alberto Tinaut Ranera</t>
        </is>
      </c>
      <c r="C41" s="91" t="n">
        <v>215</v>
      </c>
    </row>
    <row r="42" ht="26.25" customHeight="1">
      <c r="A42" s="34" t="inlineStr">
        <is>
          <t>41.80.6G.00.01</t>
        </is>
      </c>
      <c r="B42" s="48" t="inlineStr">
        <is>
          <t>Inscripción al XX congreso ibérico de entomología, Alicante del 26 al 30 de junio de 2023 de Rafael Mendes</t>
        </is>
      </c>
      <c r="C42" s="90" t="n">
        <v>275</v>
      </c>
    </row>
    <row r="43" ht="26.25" customHeight="1">
      <c r="A43" s="36" t="inlineStr">
        <is>
          <t>41.80.6G.00.01</t>
        </is>
      </c>
      <c r="B43" s="49" t="inlineStr">
        <is>
          <t>Inscripción al XX CONGRESO IBÉRICO DE ENTOMOLOGÍA, Alicante junio 2023, de Yaiza Rodríguez Lueje</t>
        </is>
      </c>
      <c r="C43" s="91" t="n">
        <v>180</v>
      </c>
    </row>
    <row r="44" ht="26.25" customHeight="1">
      <c r="A44" s="34" t="inlineStr">
        <is>
          <t>41.80.6G.00.01</t>
        </is>
      </c>
      <c r="B44" s="48" t="inlineStr">
        <is>
          <t>Inscripción al XX CONGRESO IBÉRICO DE ENTOMOLOGÍA, Alicante 26 a 30 de junio 2023, de Cayetano Herrera López</t>
        </is>
      </c>
      <c r="C44" s="90" t="n">
        <v>130</v>
      </c>
    </row>
    <row r="45" ht="26.25" customHeight="1">
      <c r="A45" s="36" t="inlineStr">
        <is>
          <t>41.80.6G.00.01</t>
        </is>
      </c>
      <c r="B45" s="49" t="inlineStr">
        <is>
          <t>Inscripción en el XX Congreso ibérico de entomología, Alicante 26 a 30 de junio de 2023, de María del Carmen Reche Guillermo</t>
        </is>
      </c>
      <c r="C45" s="91" t="n">
        <v>180</v>
      </c>
    </row>
    <row r="46" ht="26.25" customHeight="1">
      <c r="A46" s="34" t="inlineStr">
        <is>
          <t>41.80.6G.00.01</t>
        </is>
      </c>
      <c r="B46" s="48" t="inlineStr">
        <is>
          <t>Inscripción al XX Congreso ibérico de entomología, Alicante 26 a 30 de junio de 2023, de José Luís Nieves Aldrey</t>
        </is>
      </c>
      <c r="C46" s="90" t="n">
        <v>175</v>
      </c>
    </row>
    <row r="47" ht="26.25" customHeight="1">
      <c r="A47" s="36" t="inlineStr">
        <is>
          <t>41.80.6G.00.01</t>
        </is>
      </c>
      <c r="B47" s="49" t="inlineStr">
        <is>
          <t>Inscripción al XX Congreso ibérico de entomología, Alicante de 26 a 30 de junio de 2023 de Ana Belén Muñoz Reyes</t>
        </is>
      </c>
      <c r="C47" s="91" t="n">
        <v>180</v>
      </c>
    </row>
    <row r="48">
      <c r="A48" s="34" t="inlineStr">
        <is>
          <t>41.80.6G.00.01</t>
        </is>
      </c>
      <c r="B48" s="48" t="inlineStr">
        <is>
          <t>Inscripción al XX Congreso Ibérico de Entomología, Alicante junio 2023, de David Hernández Teixidor</t>
        </is>
      </c>
      <c r="C48" s="90" t="n">
        <v>250</v>
      </c>
    </row>
    <row r="49" ht="26.25" customHeight="1">
      <c r="A49" s="36" t="inlineStr">
        <is>
          <t>41.80.6G.00.01</t>
        </is>
      </c>
      <c r="B49" s="49" t="inlineStr">
        <is>
          <t>Inscripción al XX CONGRESO IBÉRICO DE ENTOMOLOGÍA, Alicante junio 2023, de Antonio Salvador Ortiz Cervantes</t>
        </is>
      </c>
      <c r="C49" s="91" t="n">
        <v>175</v>
      </c>
    </row>
    <row r="50" ht="26.25" customHeight="1">
      <c r="A50" s="34" t="inlineStr">
        <is>
          <t>41.80.6G.00.01</t>
        </is>
      </c>
      <c r="B50" s="48" t="inlineStr">
        <is>
          <t>Inscripción XX Congreso Ibérico de entomología, Alicante 26 a 30 de junio de 2023 de José Muñoz Santiago</t>
        </is>
      </c>
      <c r="C50" s="90" t="n">
        <v>90</v>
      </c>
    </row>
    <row r="51" ht="26.25" customHeight="1">
      <c r="A51" s="36" t="inlineStr">
        <is>
          <t>41.80.6G.00.01</t>
        </is>
      </c>
      <c r="B51" s="49" t="inlineStr">
        <is>
          <t>Inscripción al XX CONGRESO IBÉRICO DE ENTOMOLOGÍA, Alicante 26 a 30 de junio 2023 de Bernat Torrejón Fortea</t>
        </is>
      </c>
      <c r="C51" s="91" t="n">
        <v>165</v>
      </c>
    </row>
    <row r="52" ht="26.25" customHeight="1">
      <c r="A52" s="34" t="inlineStr">
        <is>
          <t>41.80.6G.00.01</t>
        </is>
      </c>
      <c r="B52" s="48" t="inlineStr">
        <is>
          <t>Inscripción al XX CONGRESO IBÉRICO DE ENTOMOLOGÍA, Alicante junio 2023, de María del Mar Leza Salord</t>
        </is>
      </c>
      <c r="C52" s="90" t="n">
        <v>215</v>
      </c>
    </row>
    <row r="53">
      <c r="A53" s="36" t="inlineStr">
        <is>
          <t>41.80.6G.00.01</t>
        </is>
      </c>
      <c r="B53" s="49" t="inlineStr">
        <is>
          <t>Inscripción al XX CONGRESO IBÉRICO DE ENTOMOLOGÍA, Alicante junio 2023, de José Serrano Marino</t>
        </is>
      </c>
      <c r="C53" s="91" t="n">
        <v>175</v>
      </c>
    </row>
    <row r="54" ht="26.25" customHeight="1">
      <c r="A54" s="34" t="inlineStr">
        <is>
          <t>41.80.6G.00.01</t>
        </is>
      </c>
      <c r="B54" s="48" t="inlineStr">
        <is>
          <t>Inscripción XX Congreso ibérico de entomología, Alicante 26 a 30 de junio de 2023 de Artur Raposo Moniz Serrano</t>
        </is>
      </c>
      <c r="C54" s="90" t="n">
        <v>175</v>
      </c>
    </row>
    <row r="55" ht="26.25" customHeight="1">
      <c r="A55" s="36" t="inlineStr">
        <is>
          <t>41.80.6G.00.01</t>
        </is>
      </c>
      <c r="B55" s="49" t="inlineStr">
        <is>
          <t>Inscripción al XX Congreso ibérico de entomología, Alicante 26 a 30 de junio de 2023, de Elisa Garzo González</t>
        </is>
      </c>
      <c r="C55" s="91" t="n">
        <v>175</v>
      </c>
    </row>
    <row r="56" ht="26.25" customHeight="1">
      <c r="A56" s="34" t="inlineStr">
        <is>
          <t>41.80.6G.00.01</t>
        </is>
      </c>
      <c r="B56" s="48" t="inlineStr">
        <is>
          <t xml:space="preserve">MECENAZGO DE LAS ACTIVIDADES DE ORGANIZACIÓN Y REALIZACIÓN DEL XX CONGRESO IBÉRICO DE ENTOMOLOGÍA POR LA UNIVERSIDAD DE ALICANTE </t>
        </is>
      </c>
      <c r="C56" s="90" t="n">
        <v>2640</v>
      </c>
    </row>
    <row r="57">
      <c r="A57" s="36" t="inlineStr">
        <is>
          <t>41.80.6G.00.01</t>
        </is>
      </c>
      <c r="B57" s="49" t="inlineStr">
        <is>
          <t>Inscripción al XX Congreso Ibérico de Entomología, Alicante junio 2023, de Ugo Picciotti</t>
        </is>
      </c>
      <c r="C57" s="91" t="n">
        <v>180</v>
      </c>
    </row>
    <row r="58">
      <c r="A58" s="34" t="inlineStr">
        <is>
          <t>41.80.6G.00.01</t>
        </is>
      </c>
      <c r="B58" s="48" t="inlineStr">
        <is>
          <t>Liquid_09_JyC_XX-Entomología</t>
        </is>
      </c>
      <c r="C58" s="90" t="n">
        <v>1880</v>
      </c>
    </row>
    <row r="59" ht="26.25" customHeight="1">
      <c r="A59" s="36" t="inlineStr">
        <is>
          <t>41.80.6G.00.01</t>
        </is>
      </c>
      <c r="B59" s="49" t="inlineStr">
        <is>
          <t>Inscripción de Fernando Cobo Gradín y Sandra Barca Bravo en el XX Congreso ibérico de Entomología. Alicante junio de 2023</t>
        </is>
      </c>
      <c r="C59" s="91" t="n">
        <v>560</v>
      </c>
    </row>
    <row r="60">
      <c r="A60" s="34" t="inlineStr">
        <is>
          <t>41.80.6G.00.01</t>
        </is>
      </c>
      <c r="B60" s="48" t="inlineStr">
        <is>
          <t xml:space="preserve">Liquid_01_JyC_XX-Entomología_ </t>
        </is>
      </c>
      <c r="C60" s="90" t="n">
        <v>615</v>
      </c>
    </row>
    <row r="61">
      <c r="A61" s="36" t="inlineStr">
        <is>
          <t>41.80.6G.00.01</t>
        </is>
      </c>
      <c r="B61" s="49" t="inlineStr">
        <is>
          <t xml:space="preserve">Liquid_05_JyC_XX-Entomología_ </t>
        </is>
      </c>
      <c r="C61" s="91" t="n">
        <v>4380</v>
      </c>
    </row>
    <row r="62" ht="26.25" customHeight="1">
      <c r="A62" s="34" t="inlineStr">
        <is>
          <t>41.80.6G.00.01</t>
        </is>
      </c>
      <c r="B62" s="48" t="inlineStr">
        <is>
          <t>Inscripción al XX CONGRESO IBÉRICO DE ENTOMOLOGÍA, Alicante junio 2023, de Sonia Maria Pereira Duarte</t>
        </is>
      </c>
      <c r="C62" s="90" t="n">
        <v>175</v>
      </c>
    </row>
    <row r="63" ht="26.25" customHeight="1">
      <c r="A63" s="36" t="inlineStr">
        <is>
          <t>41.80.6G.00.01</t>
        </is>
      </c>
      <c r="B63" s="49" t="inlineStr">
        <is>
          <t>Inscripción en el XX CONGRESO IBÉRICO DE ENTOMOLOGÍA, Alicante junio 2023, de Tarcísio de Freitas Milagres</t>
        </is>
      </c>
      <c r="C63" s="91" t="n">
        <v>180</v>
      </c>
    </row>
    <row r="64">
      <c r="A64" s="34" t="inlineStr">
        <is>
          <t>41.80.6G.00.01</t>
        </is>
      </c>
      <c r="B64" s="48" t="inlineStr">
        <is>
          <t>Liquid_07_JyC_XX-Entomología</t>
        </is>
      </c>
      <c r="C64" s="90" t="n">
        <v>1060</v>
      </c>
    </row>
    <row r="65">
      <c r="A65" s="36" t="inlineStr">
        <is>
          <t>41.80.6G.00.01</t>
        </is>
      </c>
      <c r="B65" s="49" t="inlineStr">
        <is>
          <t xml:space="preserve">Liquid_04_JyC_XX-Entomología_ </t>
        </is>
      </c>
      <c r="C65" s="91" t="n">
        <v>1250</v>
      </c>
    </row>
    <row r="66">
      <c r="A66" s="34" t="inlineStr">
        <is>
          <t>41.80.6G.00.01</t>
        </is>
      </c>
      <c r="B66" s="48" t="inlineStr">
        <is>
          <t xml:space="preserve">Inscripción en el XX CONGRESO IBÉRICO DE ENTOMOLOGÍA, Alicante junio 2023, de Alice Casiraghi </t>
        </is>
      </c>
      <c r="C66" s="90" t="n">
        <v>255</v>
      </c>
    </row>
    <row r="67" ht="26.25" customHeight="1">
      <c r="A67" s="36" t="inlineStr">
        <is>
          <t>41.80.6G.00.01</t>
        </is>
      </c>
      <c r="B67" s="49" t="inlineStr">
        <is>
          <t>Inscripción al XX CONGRESO IBÉRICO DE ENTOMOLOGÍA, Alicante junio 2023, de María Elena Gallego Clemente</t>
        </is>
      </c>
      <c r="C67" s="91" t="n">
        <v>165</v>
      </c>
    </row>
    <row r="68" ht="51.75" customHeight="1">
      <c r="A68" s="34" t="inlineStr">
        <is>
          <t>41.80.6G.00.01</t>
        </is>
      </c>
      <c r="B68" s="48" t="inlineStr">
        <is>
          <t>Inscripción XX Congreso ibérico de entomología, Alicante junio 2023, de Sara Castro Cobo. Proyecto: 3088153. FAUNA TERRESTRE Y AVES MARINAS (ESPECIES AUTÓCTONAS Y EXÓTICAS INVASORAS): MEJORA DE CONOCIMIENTO DEL ESTADO DE CONSERVACIÓN. Plan de Recuperación, Transformación y Resiliencia. Financiado por la Unión Europea  NextGenerationEU</t>
        </is>
      </c>
      <c r="C68" s="90" t="n">
        <v>350</v>
      </c>
    </row>
    <row r="69">
      <c r="A69" s="36" t="inlineStr">
        <is>
          <t>41.80.6G.00.01</t>
        </is>
      </c>
      <c r="B69" s="49" t="inlineStr">
        <is>
          <t>Inscripción al XX Congreso Ibérico de Entomología, Alicante junio 2023, de Juan Diego Ibáñez Álamo</t>
        </is>
      </c>
      <c r="C69" s="91" t="n">
        <v>250</v>
      </c>
    </row>
    <row r="70">
      <c r="A70" s="34" t="inlineStr">
        <is>
          <t>41.80.6G.00.01</t>
        </is>
      </c>
      <c r="B70" s="48" t="inlineStr">
        <is>
          <t xml:space="preserve">Devolución de ingresos_ Liquid_03_JyC_XX-Entomología_Miguel Carles Tolra </t>
        </is>
      </c>
      <c r="C70" s="90" t="n">
        <v>-215</v>
      </c>
    </row>
    <row r="71">
      <c r="A71" s="36" t="inlineStr">
        <is>
          <t>41.80.6G.00.01</t>
        </is>
      </c>
      <c r="B71" s="49" t="inlineStr">
        <is>
          <t xml:space="preserve">Inscripción en el XX Congreso ibérico de entomología, Alicante Junio 2023 de Alberto Fereres Castiel </t>
        </is>
      </c>
      <c r="C71" s="91" t="n">
        <v>175</v>
      </c>
    </row>
    <row r="72">
      <c r="A72" s="34" t="inlineStr">
        <is>
          <t>41.80.6G.00.01</t>
        </is>
      </c>
      <c r="B72" s="48" t="inlineStr">
        <is>
          <t xml:space="preserve">Liquid_03_JyC_XX-Entomología_ </t>
        </is>
      </c>
      <c r="C72" s="90" t="n">
        <v>7360</v>
      </c>
    </row>
    <row r="73" ht="26.25" customHeight="1">
      <c r="A73" s="36" t="inlineStr">
        <is>
          <t>41.80.6G.00.01</t>
        </is>
      </c>
      <c r="B73" s="49" t="inlineStr">
        <is>
          <t>Inscripción Amador Rodríguez Gómez en el XX CONGRESO IBÉRICO DE ENTOMOLOGÍA. ALICANTE, JUNIO 2023</t>
        </is>
      </c>
      <c r="C73" s="91" t="n">
        <v>180</v>
      </c>
    </row>
    <row r="74" ht="26.25" customHeight="1">
      <c r="A74" s="34" t="inlineStr">
        <is>
          <t>41.80.6G.00.01</t>
        </is>
      </c>
      <c r="B74" s="48" t="inlineStr">
        <is>
          <t>Inscripción al XX CONGRESO IBÉRICO DE ENTOMOLOGÍA, Alicante junio 2023, de María Dolores García García.</t>
        </is>
      </c>
      <c r="C74" s="90" t="n">
        <v>175</v>
      </c>
    </row>
    <row r="75">
      <c r="A75" s="36" t="inlineStr">
        <is>
          <t>41.80.6G.00.01</t>
        </is>
      </c>
      <c r="B75" s="49" t="inlineStr">
        <is>
          <t>Inscripción de Martin Godefroid en el XX Congreso ibérico de Entomología. Alicante junio de 2023</t>
        </is>
      </c>
      <c r="C75" s="91" t="n">
        <v>315</v>
      </c>
    </row>
    <row r="76">
      <c r="A76" s="34" t="inlineStr">
        <is>
          <t>41.80.6G.00.01</t>
        </is>
      </c>
      <c r="B76" s="48" t="inlineStr">
        <is>
          <t>Inscripción de Aarón Lagoa Núñez en el XX Congreso ibérico de Entomología. Alicante junio de 2023</t>
        </is>
      </c>
      <c r="C76" s="90" t="n">
        <v>90</v>
      </c>
    </row>
    <row r="77" ht="26.25" customHeight="1">
      <c r="A77" s="36" t="inlineStr">
        <is>
          <t>41.80.6G.00.01</t>
        </is>
      </c>
      <c r="B77" s="49" t="inlineStr">
        <is>
          <t>Inscripción de Josefina Garrido González, Alejandro Polina González y Yasmina Martínez Barciela en el XX Congreso ibérico de Entomología. Alicante junio de 2023</t>
        </is>
      </c>
      <c r="C77" s="91" t="n">
        <v>355</v>
      </c>
    </row>
    <row r="78" ht="26.25" customHeight="1">
      <c r="A78" s="34" t="inlineStr">
        <is>
          <t>41.80.6G.00.01</t>
        </is>
      </c>
      <c r="B78" s="48" t="inlineStr">
        <is>
          <t>INSCRIPCIÓN XX CONGRESO IBÉRICO DE ENTOMOLOGÍA. UNIVERSIDAD DE ALICANTE. JUNIO 2023. PROF. MARTA VACA LAMATA</t>
        </is>
      </c>
      <c r="C78" s="90" t="n">
        <v>350</v>
      </c>
    </row>
    <row r="79">
      <c r="A79" s="36" t="inlineStr">
        <is>
          <t>41.80.6G.00.01</t>
        </is>
      </c>
      <c r="B79" s="49" t="inlineStr">
        <is>
          <t>Inscripción de Ignacio Morales Marcos en el XX Congreso ibérico de Entomología. Alicante junio de 2023</t>
        </is>
      </c>
      <c r="C79" s="91" t="n">
        <v>215</v>
      </c>
    </row>
    <row r="80">
      <c r="A80" s="34" t="inlineStr">
        <is>
          <t>41.80.6G.00.01</t>
        </is>
      </c>
      <c r="B80" s="48" t="inlineStr">
        <is>
          <t>Inscripción de Beatriz Dáder Alonso en el XX Congreso ibérico de Entomología. Alicante junio de 2023</t>
        </is>
      </c>
      <c r="C80" s="90" t="n">
        <v>215</v>
      </c>
    </row>
    <row r="81" ht="26.25" customHeight="1">
      <c r="A81" s="36" t="inlineStr">
        <is>
          <t>41.80.6P.00.27</t>
        </is>
      </c>
      <c r="B81" s="49" t="inlineStr">
        <is>
          <t xml:space="preserve">PID2020-112540RB-C43/112611RB-I00/112930GB-I00/113343GB-I00/113472RB-I00/114381GB-I00/114517GB-I00/114896RB-I00/115140RB-I00/115735GB-I00  </t>
        </is>
      </c>
      <c r="C81" s="91" t="n">
        <v>36739.88</v>
      </c>
    </row>
    <row r="82" ht="26.25" customHeight="1">
      <c r="A82" s="34" t="inlineStr">
        <is>
          <t>41.80.6P.00.29</t>
        </is>
      </c>
      <c r="B82" s="48" t="inlineStr">
        <is>
          <t>Resolución Secret Autonom de Universidades e Investigación para proyectos de investigación alineados con líneas de actuación de los programas de I+D+i de Agrolimentación (AGROALNEXT). AÑO 2023</t>
        </is>
      </c>
      <c r="C82" s="90" t="n">
        <v>19899.95</v>
      </c>
    </row>
    <row r="83" ht="39" customHeight="1">
      <c r="A83" s="36" t="inlineStr">
        <is>
          <t>41.80.6P.00.30</t>
        </is>
      </c>
      <c r="B83" s="49" t="inlineStr">
        <is>
          <t xml:space="preserve">TED2021-130707B-I00, TED2021-129617B-I00, TED2021-129894B-I00, TED2021-129216B-I00, TED2021-130070B-I00, TED2021-130080B-I00, TED2021-130776A-I00, TED2021-132697B-I00, TED2021-131028B-I00, TED2021-132103A-I00, TED2021-130304B-I00 </t>
        </is>
      </c>
      <c r="C83" s="91" t="n">
        <v>74970</v>
      </c>
    </row>
    <row r="84" ht="39" customHeight="1">
      <c r="A84" s="34" t="inlineStr">
        <is>
          <t>41.80.6P.00.32</t>
        </is>
      </c>
      <c r="B84" s="48" t="inlineStr">
        <is>
          <t xml:space="preserve">AYUDAS CIAORG/2022/45, CIAORG/2022/15, CIAORG/2022/44, CIAORG/2022/140, CIAORG/2022/89, CIAORG/2022/10, CIAORG/2022/115, CIAORG/2022/27, CIAORG/2022/117, CIAORG/2022/128, CIAORG/2022/83, CIAORG/2022/74, CIAORG/2022/125 </t>
        </is>
      </c>
      <c r="C84" s="90" t="n">
        <v>9000</v>
      </c>
    </row>
    <row r="85" ht="39" customHeight="1">
      <c r="A85" s="36" t="inlineStr">
        <is>
          <t>41.80.6P.00.33</t>
        </is>
      </c>
      <c r="B85" s="49" t="inlineStr">
        <is>
          <t>ayudas CIAICO/2022/017, CIAICO/2022/019, CIAICO/2022/038, CIAICO/2022/046, CIAICO/2022/047, CIAICO/2022/049, CIAICO/2022/077, CIAICO/2022/078, CIAICO/2022/079, CIAICO/2022/112, CIAICO/2022/132 , CIAICO/2022/167, CIAICO/2022/177</t>
        </is>
      </c>
      <c r="C85" s="91" t="n">
        <v>30000</v>
      </c>
    </row>
    <row r="86">
      <c r="A86" s="43" t="inlineStr">
        <is>
          <t>41.80.6P.00.34</t>
        </is>
      </c>
      <c r="B86" s="50" t="inlineStr">
        <is>
          <t xml:space="preserve">ayudas 3036/2023 Efecto del uso de antiparasitarios en ganado extensivo </t>
        </is>
      </c>
      <c r="C86" s="92" t="n">
        <v>51002</v>
      </c>
    </row>
    <row r="87">
      <c r="A87" s="45" t="inlineStr">
        <is>
          <t>Total</t>
        </is>
      </c>
      <c r="B87" s="46" t="n"/>
      <c r="C87" s="93">
        <f>SUBTOTAL(109,Tabla2[Imp.cob.aplic.])</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56"/>
  <sheetViews>
    <sheetView topLeftCell="A49" workbookViewId="0">
      <selection activeCell="B59" sqref="B59:C59"/>
    </sheetView>
  </sheetViews>
  <sheetFormatPr baseColWidth="10" defaultRowHeight="15"/>
  <cols>
    <col width="13.42578125" bestFit="1" customWidth="1" min="1" max="1"/>
    <col width="69.28515625" customWidth="1" min="2" max="2"/>
    <col width="14.28515625" bestFit="1" customWidth="1" style="94" min="3" max="3"/>
  </cols>
  <sheetData>
    <row r="1">
      <c r="A1" t="inlineStr">
        <is>
          <t>Org. aplic.</t>
        </is>
      </c>
      <c r="B1" t="inlineStr">
        <is>
          <t>Descripción justificante</t>
        </is>
      </c>
      <c r="C1" s="94" t="inlineStr">
        <is>
          <t>Imp. aplic.</t>
        </is>
      </c>
    </row>
    <row r="2" ht="75" customHeight="1">
      <c r="A2" t="inlineStr">
        <is>
          <t>41.80.6C.00.01</t>
        </is>
      </c>
      <c r="B2" s="53" t="inlineStr">
        <is>
          <t>INGRESO PERCIBIDO POR LA UNIVERSIDAD DE ALICANTE PROCEDENTE DE LAS VENTAS TIENDA MUBIO. CONVENIO ESPECÍFICO ENTRE LA UA Y EL AYUNTAMIENTO DE IBI PARA EL ESTABLECIMIENTO DE LAS CONDICIONES DE COLABORACIÓN EN LA EXPLOTACIÓN DE BIENES COMERCIALIZABLES EN EL MUSEO DE LA BIODIVERSIDAD.</t>
        </is>
      </c>
      <c r="C2" s="94" t="n">
        <v>756.3200000000001</v>
      </c>
    </row>
    <row r="3" ht="30" customHeight="1">
      <c r="A3" t="inlineStr">
        <is>
          <t>41.80.6C.00.01</t>
        </is>
      </c>
      <c r="B3" s="53" t="inlineStr">
        <is>
          <t>CONVENIO CON AYTO IBI PARA PROGRAMA DE ASISTENCIA A LOS PROGRAMAS DE EDUCACIÓN AMBIENTAL DEL MUSEO DE LA BIODIVERSIDAD.</t>
        </is>
      </c>
      <c r="C3" s="94" t="n">
        <v>5299.85</v>
      </c>
    </row>
    <row r="4" ht="60" customHeight="1">
      <c r="A4" t="inlineStr">
        <is>
          <t>41.80.6C.00.01</t>
        </is>
      </c>
      <c r="B4" s="53" t="inlineStr">
        <is>
          <t>INGRESO PERCIBIDO POR LA UNIVERSIDAD DE ALICANTE EN VIRTUD DE CONVENIO PARA EL DESARROLLO Y GESTIÓN CIENTÍFICA DEL MUSEO DE LA BIODIVERSIDAD Y DE LA ESTACIÓN BIOLÓGICA TORRETES-JARDÍN BOTÁNICO DE LA UNIVERSIDAD DE ALICANTE SITOS EN IBI (ALICANTE)</t>
        </is>
      </c>
      <c r="C4" s="94" t="n">
        <v>17536.15</v>
      </c>
    </row>
    <row r="5" ht="60" customHeight="1">
      <c r="A5" t="inlineStr">
        <is>
          <t>41.80.6C.00.01</t>
        </is>
      </c>
      <c r="B5" s="53" t="inlineStr">
        <is>
          <t>INGRESO PERCIBIDO POR EL AYUNTAMIENTO DE ALICANTE EN VIRTUD DE CONVENIO UNIVERSIDAD PROGRAMA MUSEO BIODIVERSIDAD_ PLAN DE ACTUACIÓN PROGRAMA DE EDUCACIÓN AMBIENTAL_EXPOSICIONES ITINERANTES DEL MUSEO DE LA BIODIVERSIDAD.</t>
        </is>
      </c>
      <c r="C5" s="94" t="n">
        <v>10560</v>
      </c>
    </row>
    <row r="6" ht="60" customHeight="1">
      <c r="A6" t="inlineStr">
        <is>
          <t>41.80.6C.00.01</t>
        </is>
      </c>
      <c r="B6" s="53" t="inlineStr">
        <is>
          <t>INGRESO PERCIBIDO POR EL AYUNTAMIENTO DE IBI EN VIRTUD DE CONVENIO UNIVERSIDAD PROGRAMA MUSEO BIODIVERSIDAD_PLAN DE ACTUACIÓN PROGRAMA DE INNOVACIÓN Y APOYO A ACTIVIDADES DE EDUCACIÓN AMBIENTAL DEL MUSEO DE LA BIODIVERSIDAD.</t>
        </is>
      </c>
      <c r="C6" s="94" t="n">
        <v>6160</v>
      </c>
    </row>
    <row r="7" ht="75" customHeight="1">
      <c r="A7" t="inlineStr">
        <is>
          <t>41.80.6C.00.01</t>
        </is>
      </c>
      <c r="B7" s="53" t="inlineStr">
        <is>
          <t>INGRESO PERCIBIDO POR LA UNIVERSIDAD DE ALICANTE PROCEDENTE DE LAS VENTAS TIENDA MUBIO. CONVENIO ESPECÍFICO ENTRE LA UA Y EL AYUNTAMIENTO DE IBI PARA EL ESTABLECIMIENTO DE LAS CONDICIONES DE COLABORACIÓN EN LA EXPLOTACIÓN DE BIENES COMERCIALIZABLES EN EL MUSEO DE LA BIODIVERSIDAD.</t>
        </is>
      </c>
      <c r="C7" s="94" t="n">
        <v>880</v>
      </c>
    </row>
    <row r="8" ht="30" customHeight="1">
      <c r="A8" t="inlineStr">
        <is>
          <t>41.80.6C.00.16</t>
        </is>
      </c>
      <c r="B8" s="53" t="inlineStr">
        <is>
          <t>ASESORAMIENTO Y COLABORACIÓN EN I+D+i, TRATAMIENTOS EN CONTROL DE PLAGAS Y SERVICIOS DE SANIDAD AMBIENTAL. ANUALIDAD 2023</t>
        </is>
      </c>
      <c r="C8" s="94" t="n">
        <v>3520</v>
      </c>
    </row>
    <row r="9" ht="30" customHeight="1">
      <c r="A9" t="inlineStr">
        <is>
          <t>41.80.6C.00.16</t>
        </is>
      </c>
      <c r="B9" s="53" t="inlineStr">
        <is>
          <t xml:space="preserve">ASESORAMIENTO Y COLABORACIÓN EN I+D+i, TRATAMIENTOS EN CONTROL DE PLAGAS Y SERVICIOS DE SANIDAD AMBIENTAL. ANUALIDAD 2024. </t>
        </is>
      </c>
      <c r="C9" s="94" t="n">
        <v>3520</v>
      </c>
    </row>
    <row r="10" ht="60" customHeight="1">
      <c r="A10" t="inlineStr">
        <is>
          <t>41.80.6C.00.22</t>
        </is>
      </c>
      <c r="B10" s="53" t="inlineStr">
        <is>
          <t>Trabajos de identificación a nivel específico de especies dípteros de la familia Syrphidae recogidos durante el proyecto de Inventario de polinizadores de la Reserva de la Biosfera de La Rioja. Segundo pago  (50% del presupuesto) Ref. proyecto ABIES1-23T</t>
        </is>
      </c>
      <c r="C10" s="94" t="n">
        <v>2860</v>
      </c>
    </row>
    <row r="11" ht="60" customHeight="1">
      <c r="A11" t="inlineStr">
        <is>
          <t>41.80.6C.00.26</t>
        </is>
      </c>
      <c r="B11" s="53" t="inlineStr">
        <is>
          <t>SERVICIO DE ASESORÍA EXTERNA EN MATERIA DE ESTUDIOS DE LOS EFECTOS DE LA IVERMECTINA Y BÚSQUEDA DE ANTIPARASITARIOS ALTERNATIVOS EN EL PARQUE NACIONAL DE ORDESA Y MONTE PERDIDO (HUESCA). Ref. proyecto: SARGA2-23TD</t>
        </is>
      </c>
      <c r="C11" s="94" t="n">
        <v>14109.08</v>
      </c>
    </row>
    <row r="12" ht="105" customHeight="1">
      <c r="A12" t="inlineStr">
        <is>
          <t>41.80.6C.00.27</t>
        </is>
      </c>
      <c r="B12" s="53" t="inlineStr">
        <is>
          <t>Asesoramiento y asistencia científico-técnica en el marco del proyecto "SIRFI-2.0: Innovación Científica y Tecnológica para el Control Biológico de Plagas en Cultivos Frutales de la Comunidad Valenciana con Sírfidos Depredadores Autóctonos". Identificación y cría de especies autóctonas de sírfidos depredadores de plagas de los cultivos de la Comunidad Valenciana Ref. proyecto BIONOSTRUM1-23I Segundo pago correspondiente al año 2024.</t>
        </is>
      </c>
      <c r="C12" s="94" t="n">
        <v>13266</v>
      </c>
    </row>
    <row r="13" ht="135" customHeight="1">
      <c r="A13" t="inlineStr">
        <is>
          <t>41.80.6C.00.28</t>
        </is>
      </c>
      <c r="B13" s="53" t="inlineStr">
        <is>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3 según contrato</t>
        </is>
      </c>
      <c r="C13" s="94" t="n">
        <v>59527.27</v>
      </c>
    </row>
    <row r="14" ht="135" customHeight="1">
      <c r="A14" t="inlineStr">
        <is>
          <t>41.80.6C.00.28</t>
        </is>
      </c>
      <c r="B14" s="53" t="inlineStr">
        <is>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4 según contrato. Ref. proyecto: TRAGSATEC4-23T</t>
        </is>
      </c>
      <c r="C14" s="94" t="n">
        <v>89290.91</v>
      </c>
    </row>
    <row r="15" ht="30" customHeight="1">
      <c r="A15" t="inlineStr">
        <is>
          <t>41.80.6C.00.29</t>
        </is>
      </c>
      <c r="B15" s="53" t="inlineStr">
        <is>
          <t>Determinación del porcentaje de degradación de los excrementos de ganado en campo.</t>
        </is>
      </c>
      <c r="C15" s="94" t="n">
        <v>337.22</v>
      </c>
    </row>
    <row r="16" ht="30" customHeight="1">
      <c r="A16" t="inlineStr">
        <is>
          <t>41.80.6C.00.30</t>
        </is>
      </c>
      <c r="B16" s="53" t="inlineStr">
        <is>
          <t>DETERMINACIÓN DEL PORCENTAJE DE DEGRADACIÓN DE LOS EXCREMENTOS DE GANADO EN CAMPO.</t>
        </is>
      </c>
      <c r="C16" s="94" t="n">
        <v>340.21</v>
      </c>
    </row>
    <row r="17" ht="75" customHeight="1">
      <c r="A17" t="inlineStr">
        <is>
          <t>41.80.6C.00.31</t>
        </is>
      </c>
      <c r="B17" s="53" t="inlineStr">
        <is>
          <t>IDENTIFICACIÓN DE DÍPTEROS SÍRFIDOS PARA EL PROYECTO CULTIVO Y APROVECHAMIENTO DE ESPECIES AROMÁTICAS Y HERBÁCEAS ENTRE FRUTALES PARA LA DIVERSIFICACIÓN DE PRODUCTOS Y SERVICIOS ECOSISTÉMICOS ASOCIADOS A LAS EXPLOTACIONES Y A LAS POLÍTICAS AGROAMBIENTALES</t>
        </is>
      </c>
      <c r="C17" s="94" t="n">
        <v>552.64</v>
      </c>
    </row>
    <row r="18" ht="30" customHeight="1">
      <c r="A18" t="inlineStr">
        <is>
          <t>41.80.6C.00.32</t>
        </is>
      </c>
      <c r="B18" s="53" t="inlineStr">
        <is>
          <t>SELECCIÓN DE AGENTE POLINIZADOR Y ELABORACIÓN DE UNA DIETA SINTÉTICA. Ref. proyecto BIONOSTRUM1-24TPA</t>
        </is>
      </c>
      <c r="C18" s="94" t="n">
        <v>8800</v>
      </c>
    </row>
    <row r="19" ht="45" customHeight="1">
      <c r="A19" t="inlineStr">
        <is>
          <t>41.80.6G.00.02</t>
        </is>
      </c>
      <c r="B19" s="53" t="inlineStr">
        <is>
          <t>Inscripción al XVII Congreso AIMJB del 14 al 18 de mayo de 2024 de Magdalena Bibiloni Amorós, Daniel Gallego Morales y Magdalena Vicens Fornés.</t>
        </is>
      </c>
      <c r="C19" s="94" t="n">
        <v>700</v>
      </c>
    </row>
    <row r="20" ht="30" customHeight="1">
      <c r="A20" t="inlineStr">
        <is>
          <t>41.80.6G.00.02</t>
        </is>
      </c>
      <c r="B20" s="53" t="inlineStr">
        <is>
          <t xml:space="preserve">Liq_JyC_2024__XVII_AIMJB_01__XVII Congreso de la Asociación Ibero Macaronésica de Jardines Botánicos (AIMJB) </t>
        </is>
      </c>
      <c r="C20" s="94" t="n">
        <v>700</v>
      </c>
    </row>
    <row r="21" ht="30" customHeight="1">
      <c r="A21" t="inlineStr">
        <is>
          <t>41.80.6G.00.02</t>
        </is>
      </c>
      <c r="B21" s="53" t="inlineStr">
        <is>
          <t xml:space="preserve">Inscripción al XVII Congreso AIMJB del 14 al 18 de mayo de 2024 de Jorge Alejandro Gómez López </t>
        </is>
      </c>
      <c r="C21" s="94" t="n">
        <v>220</v>
      </c>
    </row>
    <row r="22" ht="45" customHeight="1">
      <c r="A22" t="inlineStr">
        <is>
          <t>41.80.6G.00.02</t>
        </is>
      </c>
      <c r="B22" s="53" t="inlineStr">
        <is>
          <t>Inscripción al XVII CONGRESO DE LA AIMJB del 14 al 18 de mayo en la Universidad de Alicante de Blanca Olivé de la Puente y Beatriz González Domínguez</t>
        </is>
      </c>
      <c r="C22" s="94" t="n">
        <v>440</v>
      </c>
    </row>
    <row r="23" ht="30" customHeight="1">
      <c r="A23" t="inlineStr">
        <is>
          <t>41.80.6G.00.02</t>
        </is>
      </c>
      <c r="B23" s="53" t="inlineStr">
        <is>
          <t>Inscripción al XVII Congreso AIMJB en Universidad de Alicante del 14 al 18 de mayo 2024, de Elena Estrelles Perpiñá</t>
        </is>
      </c>
      <c r="C23" s="94" t="n">
        <v>220</v>
      </c>
    </row>
    <row r="24" ht="30" customHeight="1">
      <c r="A24" t="inlineStr">
        <is>
          <t>41.80.6G.00.02</t>
        </is>
      </c>
      <c r="B24" s="53" t="inlineStr">
        <is>
          <t>Liq_JyC_2024__XVII_AIMJB_02__XVII Congreso de la Asociación Ibero Macaronésica de Jardines Botánicos (AIMJB)</t>
        </is>
      </c>
      <c r="C24" s="94" t="n">
        <v>1760</v>
      </c>
    </row>
    <row r="25" ht="30" customHeight="1">
      <c r="A25" t="inlineStr">
        <is>
          <t>41.80.6G.00.02</t>
        </is>
      </c>
      <c r="B25" s="53" t="inlineStr">
        <is>
          <t>Liq_JyC_2024__XVII_AIMJB_03__XVII Congreso de la Asociación Ibero Macaronésica de Jardines Botánicos (AIMJB)</t>
        </is>
      </c>
      <c r="C25" s="94" t="n">
        <v>570</v>
      </c>
    </row>
    <row r="26" ht="30" customHeight="1">
      <c r="A26" t="inlineStr">
        <is>
          <t>41.80.6G.00.02</t>
        </is>
      </c>
      <c r="B26" s="53" t="inlineStr">
        <is>
          <t>Inscripción al XVII Congreso AIMJB en Universidad de Alicante del 14 al 18 de mayo 2024, de María Auxiliadora Díaz López</t>
        </is>
      </c>
      <c r="C26" s="94" t="n">
        <v>220</v>
      </c>
    </row>
    <row r="27" ht="30" customHeight="1">
      <c r="A27" t="inlineStr">
        <is>
          <t>41.80.6G.00.02</t>
        </is>
      </c>
      <c r="B27" s="53" t="inlineStr">
        <is>
          <t>Liq_JyC_2024__XVII_AIMJB_04__XVII Congreso de la Asociación Ibero Macaronésica de Jardines Botánicos (AIMJB)</t>
        </is>
      </c>
      <c r="C27" s="94" t="n">
        <v>344.44</v>
      </c>
    </row>
    <row r="28" ht="30" customHeight="1">
      <c r="A28" t="inlineStr">
        <is>
          <t>41.80.6G.00.02</t>
        </is>
      </c>
      <c r="B28" s="53" t="inlineStr">
        <is>
          <t>Inscripción al XVII Congreso AIMJB en la Universidad de Alicante del 14 al 18 de mayo 2024, de Ana María López Peralta</t>
        </is>
      </c>
      <c r="C28" s="94" t="n">
        <v>260</v>
      </c>
    </row>
    <row r="29" ht="30" customHeight="1">
      <c r="A29" t="inlineStr">
        <is>
          <t>41.80.6G.00.02</t>
        </is>
      </c>
      <c r="B29" s="53" t="inlineStr">
        <is>
          <t>Inscripción al XVII Congreso AIMJB en Universidad de Alicante del 14 al 18 de mayo 2024, de Isabel Santana López</t>
        </is>
      </c>
      <c r="C29" s="94" t="n">
        <v>220</v>
      </c>
    </row>
    <row r="30" ht="30" customHeight="1">
      <c r="A30" t="inlineStr">
        <is>
          <t>41.80.6G.00.02</t>
        </is>
      </c>
      <c r="B30" s="53" t="inlineStr">
        <is>
          <t>Liq_JyC_2024__XVII_AIMJB_05__XVII Congreso de la Asociación Ibero Macaronésica de Jardines Botánicos (AIMJB)</t>
        </is>
      </c>
      <c r="C30" s="94" t="n">
        <v>2430</v>
      </c>
    </row>
    <row r="31" ht="30" customHeight="1">
      <c r="A31" t="inlineStr">
        <is>
          <t>41.80.6G.00.02</t>
        </is>
      </c>
      <c r="B31" s="53" t="inlineStr">
        <is>
          <t>Inscripción al XVII Congreso AIMJB en Universidad de Alicante del 14 al 18 de mayo 2024, de Natalia Celaya Rojas</t>
        </is>
      </c>
      <c r="C31" s="94" t="n">
        <v>220</v>
      </c>
    </row>
    <row r="32" ht="30" customHeight="1">
      <c r="A32" t="inlineStr">
        <is>
          <t>41.80.6G.00.02</t>
        </is>
      </c>
      <c r="B32" s="53" t="inlineStr">
        <is>
          <t>Inscripción al XVII Congreso AIMJB en Universidad de Alicante del 14 al 18 de mayo 2024, de Miguel Ángel González Pérez</t>
        </is>
      </c>
      <c r="C32" s="94" t="n">
        <v>220</v>
      </c>
    </row>
    <row r="33" ht="30" customHeight="1">
      <c r="A33" t="inlineStr">
        <is>
          <t>41.80.6G.00.02</t>
        </is>
      </c>
      <c r="B33" s="53" t="inlineStr">
        <is>
          <t>Liq_JyC_2024__XVII_AIMJB_06__XVII Congreso de la Asociación Ibero Macaronésica de Jardines Botánicos (AIMJB)</t>
        </is>
      </c>
      <c r="C33" s="94" t="n">
        <v>340</v>
      </c>
    </row>
    <row r="34" ht="30" customHeight="1">
      <c r="A34" t="inlineStr">
        <is>
          <t>41.80.6G.00.02</t>
        </is>
      </c>
      <c r="B34" s="53" t="inlineStr">
        <is>
          <t xml:space="preserve">Inscripción al XVII Congreso AIMJB en Universidad de Alicante del 14 al 18 de mayo 2024,de Jorge Alfredo Reyes Betancort </t>
        </is>
      </c>
      <c r="C34" s="94" t="n">
        <v>280</v>
      </c>
    </row>
    <row r="35" ht="30" customHeight="1">
      <c r="A35" t="inlineStr">
        <is>
          <t>41.80.6G.00.02</t>
        </is>
      </c>
      <c r="B35" s="53" t="inlineStr">
        <is>
          <t>Inscripción al XVII Congreso AIMJB en Universidad de Alicante del 14 al 18 de mayo 2024, de María del Mar Gutiérrez Murillo</t>
        </is>
      </c>
      <c r="C35" s="94" t="n">
        <v>220</v>
      </c>
    </row>
    <row r="36" ht="30" customHeight="1">
      <c r="A36" t="inlineStr">
        <is>
          <t>41.80.6G.00.02</t>
        </is>
      </c>
      <c r="B36" s="53" t="inlineStr">
        <is>
          <t>Inscripción al XVII Congreso AIMJB en Universidad de Alicante del 14 al 18 de mayo 2024, de Pere Fraga, Josep Borrell, Enric Barril y Anna Sans</t>
        </is>
      </c>
      <c r="C36" s="94" t="n">
        <v>630</v>
      </c>
    </row>
    <row r="37" ht="30" customHeight="1">
      <c r="A37" t="inlineStr">
        <is>
          <t>41.80.6G.00.02</t>
        </is>
      </c>
      <c r="B37" s="53" t="inlineStr">
        <is>
          <t>Inscripción al XVII Congreso AIMJB en Universidad de Alicante del 14 al 18 de mayo 2024, de Antonio Rodríguez Domínguez y Jaume Pàmies Pagès</t>
        </is>
      </c>
      <c r="C37" s="94" t="n">
        <v>440</v>
      </c>
    </row>
    <row r="38" ht="30" customHeight="1">
      <c r="A38" t="inlineStr">
        <is>
          <t>41.80.6G.00.02</t>
        </is>
      </c>
      <c r="B38" s="53" t="inlineStr">
        <is>
          <t>Inscripción al XVII Congreso AIMJB en Universidad de Alicante del 14 al 18 de mayo 2024, de Aurora Ferrini</t>
        </is>
      </c>
      <c r="C38" s="94" t="n">
        <v>250</v>
      </c>
    </row>
    <row r="39" ht="30" customHeight="1">
      <c r="A39" t="inlineStr">
        <is>
          <t>41.80.6G.00.02</t>
        </is>
      </c>
      <c r="B39" s="53" t="inlineStr">
        <is>
          <t>Inscripción al XVII Congreso AIMJB en Universidad de Alicante del 14 al 18 de mayo 2024, de EVRYKLEIA SOFIA VERYKAKI</t>
        </is>
      </c>
      <c r="C39" s="94" t="n">
        <v>85</v>
      </c>
    </row>
    <row r="40" ht="30" customHeight="1">
      <c r="A40" t="inlineStr">
        <is>
          <t>41.80.6G.00.02</t>
        </is>
      </c>
      <c r="B40" s="53" t="inlineStr">
        <is>
          <t>Gastos asistencia Stephan Scholz y Libia Leon Almeida al XVII Congreso AIMJB en Universidad de Alicante del 14 al 18 de mayo 2024</t>
        </is>
      </c>
      <c r="C40" s="94" t="n">
        <v>280</v>
      </c>
    </row>
    <row r="41" ht="30" customHeight="1">
      <c r="A41" t="inlineStr">
        <is>
          <t>41.80.6G.00.02</t>
        </is>
      </c>
      <c r="B41" s="53" t="inlineStr">
        <is>
          <t>Liq_JyC_2024__XVII_AIMJB_05__DEV__XVII Congreso de la Asociación Ibero Macaronésica de Jardines Botánicos (AIMJB)</t>
        </is>
      </c>
      <c r="C41" s="94" t="n">
        <v>-160</v>
      </c>
    </row>
    <row r="42" ht="30" customHeight="1">
      <c r="A42" t="inlineStr">
        <is>
          <t>41.80.6G.00.02</t>
        </is>
      </c>
      <c r="B42" s="53" t="inlineStr">
        <is>
          <t>Inscripción al XVII Congreso AIMJB en Universidad de Alicante del 14 al 18 de mayo 2024, de Santiago Moreno Vázquez</t>
        </is>
      </c>
      <c r="C42" s="94" t="n">
        <v>220</v>
      </c>
    </row>
    <row r="43" ht="30" customHeight="1">
      <c r="A43" t="inlineStr">
        <is>
          <t>41.80.6G.00.03</t>
        </is>
      </c>
      <c r="B43" s="53" t="inlineStr">
        <is>
          <t>Liq_JyC_2024__XXIII_Aracnología_01__XXIII JORNADAS IBÉRICAS DE ARACNOLOGÍA</t>
        </is>
      </c>
      <c r="C43" s="94" t="n">
        <v>580</v>
      </c>
    </row>
    <row r="44" ht="30" customHeight="1">
      <c r="A44" t="inlineStr">
        <is>
          <t>41.80.6G.00.03</t>
        </is>
      </c>
      <c r="B44" s="53" t="inlineStr">
        <is>
          <t>Pago inscripción a las XXIII Jornadas Ibéricas de Aracnología, Alicante 4 a 6 de julio de 2024, de Morena Nava</t>
        </is>
      </c>
      <c r="C44" s="94" t="n">
        <v>120</v>
      </c>
    </row>
    <row r="45" ht="30" customHeight="1">
      <c r="A45" t="inlineStr">
        <is>
          <t>41.80.6G.00.03</t>
        </is>
      </c>
      <c r="B45" s="53" t="inlineStr">
        <is>
          <t>Pago inscripción a las XXIII Jornadas Ibéricas de Aracnología, Alicante 4 a 6 de julio de 2024, de Guillermo Quevedo Ortiz</t>
        </is>
      </c>
      <c r="C45" s="94" t="n">
        <v>120</v>
      </c>
    </row>
    <row r="46" ht="30" customHeight="1">
      <c r="A46" t="inlineStr">
        <is>
          <t>41.80.6G.00.03</t>
        </is>
      </c>
      <c r="B46" s="53" t="inlineStr">
        <is>
          <t>Pago inscripción a las XXIII Jornadas Ibéricas de Aracnología, Alicante 4 a 6 de julio de 2024, de Marc Domenech Andreu</t>
        </is>
      </c>
      <c r="C46" s="94" t="n">
        <v>140</v>
      </c>
    </row>
    <row r="47" ht="30" customHeight="1">
      <c r="A47" t="inlineStr">
        <is>
          <t>41.80.6G.00.03</t>
        </is>
      </c>
      <c r="B47" s="53" t="inlineStr">
        <is>
          <t>Liq_JyC_2024__XXIII_Aracnología_02__XXIII JORNADAS IBÉRICAS DE ARACNOLOGÍA</t>
        </is>
      </c>
      <c r="C47" s="94" t="n">
        <v>990</v>
      </c>
    </row>
    <row r="48" ht="30" customHeight="1">
      <c r="A48" t="inlineStr">
        <is>
          <t>41.80.6G.00.03</t>
        </is>
      </c>
      <c r="B48" s="53" t="inlineStr">
        <is>
          <t>Liq_JyC_2024__XXIII_Aracnología_03__XXIII JORNADAS IBÉRICAS DE ARACNOLOGÍA</t>
        </is>
      </c>
      <c r="C48" s="94" t="n">
        <v>1770</v>
      </c>
    </row>
    <row r="49" ht="30" customHeight="1">
      <c r="A49" t="inlineStr">
        <is>
          <t>41.80.6G.00.03</t>
        </is>
      </c>
      <c r="B49" s="53" t="inlineStr">
        <is>
          <t>Pago inscripción a las XXIII Jornadas Ibéricas de Aracnología, Alicante 4 a 6 de julio de 2024, de Sandra Martínez Pérez e Iván Ballester Torres</t>
        </is>
      </c>
      <c r="C49" s="94" t="n">
        <v>320</v>
      </c>
    </row>
    <row r="50" ht="30" customHeight="1">
      <c r="A50" t="inlineStr">
        <is>
          <t>41.80.6G.00.03</t>
        </is>
      </c>
      <c r="B50" s="53" t="inlineStr">
        <is>
          <t>Liq_JyC_2024__XXIII_Aracnología_04__XXIII JORNADAS IBÉRICAS DE ARACNOLOGÍA</t>
        </is>
      </c>
      <c r="C50" s="94" t="n">
        <v>817.36</v>
      </c>
    </row>
    <row r="51" ht="30" customHeight="1">
      <c r="A51" t="inlineStr">
        <is>
          <t>41.80.6G.00.03</t>
        </is>
      </c>
      <c r="B51" s="53" t="inlineStr">
        <is>
          <t>Liq_JyC_2024__XXIII_Aracnología_05__XXIII JORNADAS IBÉRICAS DE ARACNOLOGÍA</t>
        </is>
      </c>
      <c r="C51" s="94" t="n">
        <v>640</v>
      </c>
    </row>
    <row r="52" ht="30" customHeight="1">
      <c r="A52" t="inlineStr">
        <is>
          <t>41.80.6P.00.29</t>
        </is>
      </c>
      <c r="B52" s="53" t="inlineStr">
        <is>
          <t xml:space="preserve">ayudas AGROALNEXT/2022/052, AGROALNEXT/2022/057, AGROALNEXT/2022/066 </t>
        </is>
      </c>
      <c r="C52" s="94" t="n">
        <v>19899.95</v>
      </c>
    </row>
    <row r="53" ht="45" customHeight="1">
      <c r="A53" t="inlineStr">
        <is>
          <t>41.80.6P.00.32</t>
        </is>
      </c>
      <c r="B53" s="53" t="inlineStr">
        <is>
          <t xml:space="preserve">DEVOLUCIÓN DE INGRESOS_MODELO 047_ Nº LIQUIDACIÓN:46/2024/RAS/10317/1 Nº DE JUSTIFICANTE: 047/1/002550144_Nº DE REFERENCIA:  047/1/002550144 </t>
        </is>
      </c>
      <c r="C53" s="94" t="n">
        <v>-9000</v>
      </c>
    </row>
    <row r="54" ht="60" customHeight="1">
      <c r="A54" t="inlineStr">
        <is>
          <t>41.80.6P.00.33</t>
        </is>
      </c>
      <c r="B54" s="53" t="inlineStr">
        <is>
          <t xml:space="preserve">AYUDAS CIAICO/2022/017, CIAICO/2022/019, CIAICO/2022/038, CIAICO/2022/046, CIAICO/2022/047, CIAICO/2022/049, CIAICO/2022/077, CIAICO/2022/078, CIAICO/2022/079, CIAICO/2022/112, CIAICO/2022/132 CIAICO/2022/167 CIAICO/2022/177 </t>
        </is>
      </c>
      <c r="C54" s="94" t="n">
        <v>30000</v>
      </c>
    </row>
    <row r="55" ht="75" customHeight="1">
      <c r="A55" t="inlineStr">
        <is>
          <t>41.80.6P.00.35</t>
        </is>
      </c>
      <c r="B55" s="53" t="inlineStr">
        <is>
          <t>ayudas CIAORG/2023/2, CIAORG/2023/4, CIAORG/2023/11, CIAORG/2023/15, CIAORG/2023/28, CIAORG/2023/40, CIAORG/2023/43, CIAORG/2023/54, CIAORG/2023/62, CIAORG/2023/65, CIAORG/2023/73, CIAORG/2023/91, CIAORG/2023/152, CIAORG/2023/154, CIAORG/2023/169, CIAORG/2023/170, CIAORG/2023/178 (LINEA DE SUBVENCIÓN S0296)</t>
        </is>
      </c>
      <c r="C55" s="94" t="n">
        <v>9000</v>
      </c>
    </row>
    <row r="56">
      <c r="A56" t="inlineStr">
        <is>
          <t>Total</t>
        </is>
      </c>
      <c r="B56" s="53" t="n"/>
      <c r="C56" s="95">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3"/>
  <sheetViews>
    <sheetView tabSelected="1" topLeftCell="A16" workbookViewId="0">
      <selection activeCell="C35" sqref="C35"/>
    </sheetView>
  </sheetViews>
  <sheetFormatPr baseColWidth="10" defaultRowHeight="15"/>
  <cols>
    <col width="16" customWidth="1" min="1" max="1"/>
    <col width="47.140625" customWidth="1" min="2" max="2"/>
    <col width="20" customWidth="1" min="3" max="3"/>
  </cols>
  <sheetData>
    <row r="1">
      <c r="A1" s="67" t="inlineStr">
        <is>
          <t>Org. aplic.</t>
        </is>
      </c>
      <c r="B1" s="68" t="inlineStr">
        <is>
          <t>Descripción justificante</t>
        </is>
      </c>
      <c r="C1" s="68" t="inlineStr">
        <is>
          <t>Imp. aplic.</t>
        </is>
      </c>
    </row>
    <row r="2">
      <c r="A2" s="69" t="inlineStr">
        <is>
          <t>41.80.6C.00.01</t>
        </is>
      </c>
      <c r="B2" s="70" t="inlineStr">
        <is>
          <t>INGRESO PERCIBIDO POR LA UNIVERSIDAD DE ALICANTE PROCEDENTE DE LAS VENTAS TIENDA MUBIO. CONVENIO ESPECÍFICO ENTRE LA UA Y EL AYUNTAMIENTO DE IBI PARA EL ESTABLECIMIENTO DE LAS CONDICIONES DE COLABORACIÓN EN LA EXPLOTACIÓN DE BIENES COMERCIALIZABLES EN EL MUSEO DE LA BIODIVERSIDAD.</t>
        </is>
      </c>
      <c r="C2" s="96" t="n">
        <v>840.4</v>
      </c>
    </row>
    <row r="3">
      <c r="A3" s="72" t="inlineStr">
        <is>
          <t>41.80.6C.00.01</t>
        </is>
      </c>
      <c r="B3" s="73" t="inlineStr">
        <is>
          <t xml:space="preserve">INGRESO PERCIBIDO POR LA UNIVERSIDAD DE ALICANTE EN VIRTUD DE CONVENIO DE COLABORACIÓN PARA EL DESARROLLO Y APOYO DE ACTIVIDADES DEL MUSEO DE LA BIODIVERSIDAD. </t>
        </is>
      </c>
      <c r="C3" s="97" t="n">
        <v>10000</v>
      </c>
    </row>
    <row r="4">
      <c r="A4" s="69" t="inlineStr">
        <is>
          <t>41.80.6C.00.01</t>
        </is>
      </c>
      <c r="B4" s="70" t="inlineStr">
        <is>
          <t>INGRESO PERCIBIDO POR LA UNIVERSIDAD DE ALICANTE EN VIRTUD DE CONVENIO PARA EL DESARROLLO Y LA GESTIÓN CIENTÍFICA DEL MUSEO DE LA BIODIVERSDIAD Y DE LA ESTACIÓN BIOLÓGICA TORRETES-FONT ROJA SITOS EN IBI (ALICANTE).</t>
        </is>
      </c>
      <c r="C4" s="96" t="n">
        <v>10560</v>
      </c>
    </row>
    <row r="5">
      <c r="A5" s="72" t="inlineStr">
        <is>
          <t>41.80.6C.00.01</t>
        </is>
      </c>
      <c r="B5" s="73" t="inlineStr">
        <is>
          <t>INGRESO PERCIBIDO POR LA UNIVERSIDAD DE ALICANTE EN VIRTUD DE CONVENIO PARA EL DESARROLLO Y GESTIÓN CIENTÍFICA DEL MUSEO DE LA BIODIVERSIDAD Y DE LA ESTACIÓN BIOLÓGICA TORRETES-JARDÍN BOTÁNICO DE LA UNIVERSIDAD DE ALICANTE SITOS EN IBI.</t>
        </is>
      </c>
      <c r="C5" s="97" t="n">
        <v>22836</v>
      </c>
    </row>
    <row r="6">
      <c r="A6" s="69" t="inlineStr">
        <is>
          <t>41.80.6C.00.01</t>
        </is>
      </c>
      <c r="B6" s="70" t="inlineStr">
        <is>
          <t>INGRESO PERCIBIDO POR LA UNIVERSIDAD DE ALICANTE EN VIRTUD DEL PLAN DE ACTUACIÓN PROGRAMA DE INNOVACIÓN Y APOYO A ACTIVIDADES DE EDUCACIÓN AMBIENTAL DEL MUSEO DE LA BIODIVERSIDAD.</t>
        </is>
      </c>
      <c r="C6" s="96" t="n">
        <v>6160</v>
      </c>
    </row>
    <row r="7">
      <c r="A7" s="72" t="inlineStr">
        <is>
          <t>41.80.6C.00.01</t>
        </is>
      </c>
      <c r="B7" s="73" t="inlineStr">
        <is>
          <t>INGRESO PERCIBIDO POR LA UNIVERSIDAD DE ALICANTE EN VIRTUD DE CONVENIO DE 2023 PARA EL DESARROLLO Y GESTIÓN CIENTÍFICA DEL MUSEO DE LA BIODIVERSIDAD Y DE LA ESTACIÓN BIOLÓGICA TORRETES-JARDÍN BOTÁNICO DE LA UA EN IBI. ANUALIDAD 2023</t>
        </is>
      </c>
      <c r="C7" s="97" t="n">
        <v>22836</v>
      </c>
    </row>
    <row r="8">
      <c r="A8" s="69" t="inlineStr">
        <is>
          <t>41.80.6C.00.01</t>
        </is>
      </c>
      <c r="B8" s="70" t="inlineStr">
        <is>
          <t>INGRESO PERCIBIDO POR LA UNIVERSIDAD DE ALICANTE PROCEDENTE DE LAS VENTAS TIENDA MUBIO. CONVENIO ESPECÍFICO ENTRE LA UA Y EL AYUNTAMIENTO DE IBI PARA EL ESTABLECIMIENTO DE LAS CONDICIONES DE COLABORACIÓN EN LA EXPLOTACIÓN DE BIENES COMERCIALIZABLES EN EL MUSEO DE LA BIODIVERSIDAD.</t>
        </is>
      </c>
      <c r="C8" s="96" t="n">
        <v>1878.8</v>
      </c>
    </row>
    <row r="9">
      <c r="A9" s="72" t="inlineStr">
        <is>
          <t>41.80.6C.00.17</t>
        </is>
      </c>
      <c r="B9" s="73" t="inlineStr">
        <is>
          <t>CIBIO-UA Royalty Distribution T15_1218 Tedera-Lanza (agreement ref.: WESTERNAUSTRALIA1-10O) Client Number: 110080 Partner share 3%: 138,60 AUD - 13,86 AUD Withholding Tax PAYMENT DUE: 124,74 AUD  (Counter value in EUROS 69,13 EUR. Date 08/07/2025) Link conversor:https://www.oanda.com/currency-converter/es/?from=AUD&amp;to=EUR&amp;amount=124.74</t>
        </is>
      </c>
      <c r="C9" s="97" t="n">
        <v>41.48</v>
      </c>
    </row>
    <row r="10">
      <c r="A10" s="69" t="inlineStr">
        <is>
          <t>41.80.6C.00.26</t>
        </is>
      </c>
      <c r="B10" s="70" t="inlineStr">
        <is>
          <t>SERVICIO DE ASESORÍA EXTERNA EN MATERIA DE ESTUDIOS DE LOS EFECTOS DE LA IVERMECTINA Y BÚSQUEDA DE ANTIPARASITARIOS EN EL PARQUE NACIONAL DE ORDESA Y MONTE PERDIDO (HUESCA). ref: SARGA1-24TD</t>
        </is>
      </c>
      <c r="C10" s="96" t="n">
        <v>14109.08</v>
      </c>
    </row>
    <row r="11">
      <c r="A11" s="72" t="inlineStr">
        <is>
          <t>41.80.6C.00.28</t>
        </is>
      </c>
      <c r="B11" s="73" t="inlineStr">
        <is>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5 según contrato. Ref. proyecto: TRAGSATEC4-23T</t>
        </is>
      </c>
      <c r="C11" s="97" t="n">
        <v>29763.36</v>
      </c>
    </row>
    <row r="12">
      <c r="A12" s="69" t="inlineStr">
        <is>
          <t>41.80.6C.00.31</t>
        </is>
      </c>
      <c r="B12" s="70" t="inlineStr">
        <is>
          <t>IDENTIFICACIÓN DE DÍPTEROS SIRFIDOS PARA EL PROYECTO "CULTIVO Y APROVECHAMIENTO DE ESPECIES AROMÁTICAS Y HERBÁCEAS ENTRE FRUTALES PARA LA DIVERSIFICACIÓN DE PRODUCTOS Y SERVICIOS ECOSISTÉMICOS ASOCIADOS A LAS EXPLOTACIONES Y A LAS POLÍTICAS AGROAMBIENTALES.  Segundo pago. Ref. proyecto: SEO2-24I</t>
        </is>
      </c>
      <c r="C12" s="96" t="n">
        <v>935.11</v>
      </c>
    </row>
    <row r="13">
      <c r="A13" s="72" t="inlineStr">
        <is>
          <t>41.80.6C.00.33</t>
        </is>
      </c>
      <c r="B13" s="73" t="inlineStr">
        <is>
          <t>EVALUACIÓN DEL ESTADO DE SALUD DEL PROCESO DE DESCOMPOSICIÓN DE LOS EXCREMENTOS DEL GANADO EN AGROECOSISTEMAS EXTENSIVOS EN EL ÁREA DE INFLUENCIA DEL PARQUE NACIONAL DE MONFRAGUE. Ref. proyecto: FUNDACIONGLOBALNATURE2-24I. Investigador responsable: José Ramón Verdú Faraco. Primer pago del 50% del total.</t>
        </is>
      </c>
      <c r="C13" s="97" t="n">
        <v>5790.91</v>
      </c>
    </row>
    <row r="14">
      <c r="A14" s="69" t="inlineStr">
        <is>
          <t>41.80.6C.00.33</t>
        </is>
      </c>
      <c r="B14" s="70" t="inlineStr">
        <is>
          <t>EVALUACIÓN DEL ESTADO DE SALUD DEL PROCESO DE DESCOMPOSICIÓN DE LOS EXCREMENTOS DEL GANADO EN AGROECOSISTEMAS EXTENSIVOS EN EL ÁREA DE INFLUENCIA DEL PARQUE NACIONAL DE MONFRAGUE. Ref. proyecto: FUNDACIONGLOBALNATURE2-24I. Investigador responsable: José Ramón Verdú Faraco. Segundo pago del 50% del total.</t>
        </is>
      </c>
      <c r="C14" s="96" t="n">
        <v>5790.91</v>
      </c>
    </row>
    <row r="15">
      <c r="A15" s="72" t="inlineStr">
        <is>
          <t>41.80.6C.00.34</t>
        </is>
      </c>
      <c r="B15" s="73" t="inlineStr">
        <is>
          <t xml:space="preserve">CUANTIFICACIÓN A TIEMPO REAL DE EMISIÓN DE GASES DE EFECTO INVERNADERO (CH4 Y CO2) EN MUESTRAS DE ESTIÉRCOL DEL GANADO. Ref. proyecto: SERIDA1-25TPA  Número de referencia: 2025/SER/211 </t>
        </is>
      </c>
      <c r="C15" s="97" t="n">
        <v>781.4400000000001</v>
      </c>
    </row>
    <row r="16">
      <c r="A16" s="69" t="inlineStr">
        <is>
          <t>41.80.6C.00.35</t>
        </is>
      </c>
      <c r="B16" s="70" t="inlineStr">
        <is>
          <t>ANÁLISIS DE DIVERSIDAD Y FENOLÓGICO DE LA FAUNA COPRÓFAGA Y LOS PARÁSITOS DEL GANADO DEL PARQUE NATURAL DE LA DIERRA NORTE DE GUADALAJARA Y DETERMINACIÓN DE UN CALENDARIO DE DESPARASITACIÓN DEL GANADO AMBIENTALMETNE SOSTENIBLE. DGMN-JCLM1-25T</t>
        </is>
      </c>
      <c r="C16" s="96" t="n">
        <v>13198.24</v>
      </c>
    </row>
    <row r="17">
      <c r="A17" s="72" t="inlineStr">
        <is>
          <t>41.80.6C.00.36</t>
        </is>
      </c>
      <c r="B17" s="73" t="inlineStr">
        <is>
          <t>EVALUACIÓN DE LA DIVERSIDAD DE COLEOPTEROS INDICADORES DEL ESTADO DE CONSERVACIÓN DE LOS PRADOS Y PASTIZALES DEL PARC NATURAL DE LES CAPCALERES DEL TER I DEL FRESER.  Expediente: PTOP-2025-285</t>
        </is>
      </c>
      <c r="C17" s="97" t="n">
        <v>12782</v>
      </c>
    </row>
    <row r="18">
      <c r="A18" s="69" t="inlineStr">
        <is>
          <t>41.80.6C.00.37</t>
        </is>
      </c>
      <c r="B18" s="70" t="inlineStr">
        <is>
          <t>ASESORAMIENTO CIENTÍFICO-TÉCNICO RELACIONADO CON EL PROYECTO I+D+I SELECCIÓN Y MEJORA GENÉTICA DE SÍRFIDOS PARA INCREMENTAR SU EFICACIA EN PROGRAMAS DE BIOCONTROL BAJO DIVERSAS CONDICIONES AGROCLIMÁTICAS (SIRFID-PLUS). Ref: NATURALAGTECH1-25TPA</t>
        </is>
      </c>
      <c r="C18" s="96" t="n">
        <v>10560</v>
      </c>
    </row>
    <row r="19">
      <c r="A19" s="72" t="inlineStr">
        <is>
          <t>41.80.6P.00.33</t>
        </is>
      </c>
      <c r="B19" s="73" t="inlineStr">
        <is>
          <t>Ayudas CIAICO/2022/017, CIAICO/2022/019, CIAICO/2022/038, CIAICO/2022/046, CIAICO/2022/047, CIAICO/2022/049, CIAICO/2022/077, CIAICO/2022/078,CIAICO/2022/079, CIAICO/2022/112, CIAICO/2022/132, CIAICO/2022/167, ,CIAICO/2022/177</t>
        </is>
      </c>
      <c r="C19" s="97" t="n">
        <v>30000</v>
      </c>
    </row>
    <row r="20">
      <c r="A20" s="69" t="inlineStr">
        <is>
          <t>41.80.6P.00.33</t>
        </is>
      </c>
      <c r="B20" s="70" t="inlineStr">
        <is>
          <t xml:space="preserve">Minoración AYUDAS CIAICO/2022/017, CIAICO/2022/019,  CIAICO/2022/046, CIAICO/2022/047,  CIAICO/2022/077, CIAICO/2022/078, CIAICO/2022/079, CIAICO/2022/112, CIAICO/2022/132 CIAICO/2022/167 CIAICO/2022/177 </t>
        </is>
      </c>
      <c r="C20" s="96" t="n">
        <v>-26.27</v>
      </c>
    </row>
    <row r="21">
      <c r="A21" s="72" t="inlineStr">
        <is>
          <t>41.80.6P.00.35</t>
        </is>
      </c>
      <c r="B21" s="73" t="inlineStr">
        <is>
          <t>Minoración ayudas CIAORG/2023/2,  CIAORG/2023/11, CIAORG/2023/15, CIAORG/2023/28, CIAORG/2023/40, CIAORG/2023/43, CIAORG/2023/54, CIAORG/2023/62, CIAORG/2023/65, CIAORG/2023/73, CIAORG/2023/91, CIAORG/2023/152, CIAORG/2023/154,  CIAORG/2023/170, CIAORG/2023/178 (LINEA DE SUBVENCIÓN S0296)</t>
        </is>
      </c>
      <c r="C21" s="97" t="n">
        <v>-355.62</v>
      </c>
    </row>
    <row r="22">
      <c r="A22" s="69" t="inlineStr">
        <is>
          <t>41.80.6P.00.37</t>
        </is>
      </c>
      <c r="B22" s="70" t="inlineStr">
        <is>
          <t>PROYECTO: IME 2024. REF. PROYECTO: IME20-01</t>
        </is>
      </c>
      <c r="C22" s="96" t="n">
        <v>4236.94</v>
      </c>
    </row>
    <row r="23">
      <c r="A23" s="72" t="inlineStr">
        <is>
          <t>41.80.6P.00.38</t>
        </is>
      </c>
      <c r="B23" s="73" t="inlineStr">
        <is>
          <t>PROGRAMA PROPIO DEL CENTRO DE GASTRONOMÍA DEL MEDITERRÁNEO (GASTERRA) UA_DENIA PARA EL FOMENTO DE LA I+D+I EN EL ÁMBITO DE LA GASTRONOMÍA 2025</t>
        </is>
      </c>
      <c r="C23" s="97" t="n">
        <v>3000</v>
      </c>
    </row>
    <row r="24">
      <c r="A24" s="69" t="inlineStr">
        <is>
          <t>41.80.6P.00.39</t>
        </is>
      </c>
      <c r="B24" s="70" t="inlineStr">
        <is>
          <t>PROGRAMA PROPIO DEL CENTRO DE GASTRONOMÍA DEL MEDITERRÁNEO (GASTERRA) UA_DENIA PARA EL FOMENTO DE LA I+D+I EN EL ÁMBITO DE LA GASTRONOMÍA 2025</t>
        </is>
      </c>
      <c r="C24" s="96" t="n">
        <v>2300</v>
      </c>
    </row>
    <row r="25">
      <c r="A25" s="72" t="inlineStr">
        <is>
          <t>41.80.6P.00.40</t>
        </is>
      </c>
      <c r="B25" s="73"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25" s="97" t="n">
        <v>60600</v>
      </c>
    </row>
    <row r="26">
      <c r="A26" s="69" t="inlineStr">
        <is>
          <t>41.80.6P.00.40</t>
        </is>
      </c>
      <c r="B26" s="70"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26" s="96" t="n">
        <v>34340</v>
      </c>
    </row>
    <row r="27">
      <c r="A27" s="72" t="inlineStr">
        <is>
          <t>41.80.6P.00.41</t>
        </is>
      </c>
      <c r="B27" s="73"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27" s="97" t="n">
        <v>45000</v>
      </c>
    </row>
    <row r="28">
      <c r="A28" s="69" t="inlineStr">
        <is>
          <t>41.80.6P.00.41</t>
        </is>
      </c>
      <c r="B28" s="70"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28" s="96" t="n">
        <v>25500</v>
      </c>
    </row>
    <row r="29" ht="15.75" customHeight="1" thickBot="1">
      <c r="A29" s="72" t="inlineStr">
        <is>
          <t>41.80.6P.00.42</t>
        </is>
      </c>
      <c r="B29" s="73"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29" s="97" t="n">
        <v>96037</v>
      </c>
    </row>
    <row r="30" ht="15.75" customHeight="1" thickTop="1">
      <c r="A30" s="75" t="inlineStr">
        <is>
          <t>Total</t>
        </is>
      </c>
      <c r="B30" s="76" t="n"/>
      <c r="C30" s="98" t="n">
        <v>469495.78</v>
      </c>
    </row>
    <row r="33">
      <c r="B33" s="54" t="inlineStr">
        <is>
          <t>Total ingresos investigación 2023-25</t>
        </is>
      </c>
      <c r="C33" s="99">
        <f>+Tabla3[[#Totals],[Imp. aplic.]]+Tabla2[[#Totals],[Imp.cob.aplic.]]+C30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dps@ua.es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2026-05-28T21:59:19Z</dcterms:modified>
  <cp:lastModifiedBy>mayte.pujalte</cp:lastModifiedBy>
  <cp:lastPrinted>2024-09-27T09:43:35Z</cp:lastPrinted>
</cp:coreProperties>
</file>