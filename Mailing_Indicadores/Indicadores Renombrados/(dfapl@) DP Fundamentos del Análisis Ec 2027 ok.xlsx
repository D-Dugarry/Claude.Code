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61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"/>
    <numFmt numFmtId="166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1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1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1" fillId="0" borderId="0"/>
  </cellStyleXfs>
  <cellXfs count="67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164" fontId="0" fillId="7" borderId="2" pivotButton="0" quotePrefix="0" xfId="6"/>
    <xf numFmtId="164" fontId="0" fillId="0" borderId="2" pivotButton="0" quotePrefix="0" xfId="6"/>
    <xf numFmtId="0" fontId="6" fillId="0" borderId="1" applyAlignment="1" pivotButton="0" quotePrefix="0" xfId="0">
      <alignment horizontal="center"/>
    </xf>
    <xf numFmtId="0" fontId="13" fillId="7" borderId="2" pivotButton="0" quotePrefix="0" xfId="0"/>
    <xf numFmtId="0" fontId="13" fillId="0" borderId="2" pivotButton="0" quotePrefix="0" xfId="0"/>
    <xf numFmtId="164" fontId="0" fillId="0" borderId="0" pivotButton="0" quotePrefix="0" xfId="0"/>
    <xf numFmtId="0" fontId="2" fillId="8" borderId="0" pivotButton="0" quotePrefix="0" xfId="1"/>
    <xf numFmtId="0" fontId="2" fillId="8" borderId="0" applyAlignment="1" pivotButton="0" quotePrefix="0" xfId="1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0" fontId="10" fillId="8" borderId="0" pivotButton="0" quotePrefix="0" xfId="0"/>
    <xf numFmtId="165" fontId="3" fillId="8" borderId="0" pivotButton="0" quotePrefix="0" xfId="1"/>
    <xf numFmtId="0" fontId="12" fillId="6" borderId="3" pivotButton="0" quotePrefix="0" xfId="0"/>
    <xf numFmtId="0" fontId="13" fillId="0" borderId="4" pivotButton="0" quotePrefix="0" xfId="0"/>
    <xf numFmtId="164" fontId="0" fillId="0" borderId="4" pivotButton="0" quotePrefix="0" xfId="6"/>
    <xf numFmtId="0" fontId="9" fillId="0" borderId="4" pivotButton="0" quotePrefix="0" xfId="0"/>
    <xf numFmtId="164" fontId="11" fillId="0" borderId="4" pivotButton="0" quotePrefix="0" xfId="0"/>
    <xf numFmtId="0" fontId="0" fillId="7" borderId="2" pivotButton="0" quotePrefix="0" xfId="0"/>
    <xf numFmtId="0" fontId="0" fillId="0" borderId="2" pivotButton="0" quotePrefix="0" xfId="0"/>
    <xf numFmtId="0" fontId="14" fillId="6" borderId="3" pivotButton="0" quotePrefix="0" xfId="0"/>
    <xf numFmtId="164" fontId="14" fillId="6" borderId="3" pivotButton="0" quotePrefix="0" xfId="6"/>
    <xf numFmtId="0" fontId="0" fillId="0" borderId="4" pivotButton="0" quotePrefix="0" xfId="0"/>
    <xf numFmtId="0" fontId="0" fillId="0" borderId="4" pivotButton="0" quotePrefix="0" xfId="0"/>
    <xf numFmtId="0" fontId="2" fillId="4" borderId="1" pivotButton="0" quotePrefix="0" xfId="1"/>
    <xf numFmtId="0" fontId="2" fillId="4" borderId="0" pivotButton="0" quotePrefix="0" xfId="1"/>
    <xf numFmtId="0" fontId="10" fillId="0" borderId="1" pivotButton="0" quotePrefix="0" xfId="0"/>
    <xf numFmtId="166" fontId="10" fillId="0" borderId="1" pivotButton="0" quotePrefix="0" xfId="6"/>
    <xf numFmtId="0" fontId="15" fillId="9" borderId="5" pivotButton="0" quotePrefix="0" xfId="0"/>
    <xf numFmtId="0" fontId="15" fillId="9" borderId="6" pivotButton="0" quotePrefix="0" xfId="0"/>
    <xf numFmtId="0" fontId="16" fillId="10" borderId="5" pivotButton="0" quotePrefix="0" xfId="0"/>
    <xf numFmtId="0" fontId="16" fillId="10" borderId="6" pivotButton="0" quotePrefix="0" xfId="0"/>
    <xf numFmtId="166" fontId="16" fillId="10" borderId="6" pivotButton="0" quotePrefix="0" xfId="6"/>
    <xf numFmtId="0" fontId="16" fillId="0" borderId="5" pivotButton="0" quotePrefix="0" xfId="0"/>
    <xf numFmtId="0" fontId="16" fillId="0" borderId="6" pivotButton="0" quotePrefix="0" xfId="0"/>
    <xf numFmtId="166" fontId="16" fillId="0" borderId="6" pivotButton="0" quotePrefix="0" xfId="6"/>
    <xf numFmtId="0" fontId="17" fillId="0" borderId="7" pivotButton="0" quotePrefix="0" xfId="0"/>
    <xf numFmtId="0" fontId="17" fillId="0" borderId="8" pivotButton="0" quotePrefix="0" xfId="0"/>
    <xf numFmtId="166" fontId="17" fillId="0" borderId="8" pivotButton="0" quotePrefix="0" xfId="6"/>
    <xf numFmtId="164" fontId="0" fillId="7" borderId="2" pivotButton="0" quotePrefix="0" xfId="6"/>
    <xf numFmtId="164" fontId="0" fillId="0" borderId="2" pivotButton="0" quotePrefix="0" xfId="6"/>
    <xf numFmtId="164" fontId="0" fillId="0" borderId="4" pivotButton="0" quotePrefix="0" xfId="6"/>
    <xf numFmtId="164" fontId="11" fillId="0" borderId="4" pivotButton="0" quotePrefix="0" xfId="0"/>
    <xf numFmtId="164" fontId="0" fillId="0" borderId="0" pivotButton="0" quotePrefix="0" xfId="0"/>
    <xf numFmtId="164" fontId="14" fillId="6" borderId="3" pivotButton="0" quotePrefix="0" xfId="6"/>
    <xf numFmtId="166" fontId="16" fillId="10" borderId="6" pivotButton="0" quotePrefix="0" xfId="6"/>
    <xf numFmtId="166" fontId="16" fillId="0" borderId="6" pivotButton="0" quotePrefix="0" xfId="6"/>
    <xf numFmtId="166" fontId="17" fillId="0" borderId="8" pivotButton="0" quotePrefix="0" xfId="6"/>
    <xf numFmtId="166" fontId="10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15" headerRowCount="1" totalsRowCount="1" headerRowDxfId="18" headerRowBorderDxfId="17" tableBorderDxfId="16" totalsRowBorderDxfId="15">
  <autoFilter ref="A1:C14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4" headerRowCount="1" totalsRowCount="1" headerRowBorderDxfId="8" tableBorderDxfId="7" totalsRowBorderDxfId="6">
  <autoFilter ref="A1:C23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8"/>
  <sheetViews>
    <sheetView showGridLines="0" zoomScale="120" zoomScaleNormal="120" workbookViewId="0">
      <pane xSplit="1" ySplit="1" topLeftCell="C14" activePane="bottomRight" state="frozen"/>
      <selection pane="topRight" activeCell="B1" sqref="B1"/>
      <selection pane="bottomLeft" activeCell="A2" sqref="A2"/>
      <selection pane="bottomRight" activeCell="D45" sqref="D45"/>
    </sheetView>
  </sheetViews>
  <sheetFormatPr baseColWidth="10" defaultColWidth="10.33203125" defaultRowHeight="10.2"/>
  <cols>
    <col width="5" customWidth="1" style="43" min="1" max="1"/>
    <col width="29.6640625" customWidth="1" style="43" min="2" max="4"/>
    <col width="40.6640625" customWidth="1" style="43" min="5" max="5"/>
    <col width="9.109375" customWidth="1" style="43" min="6" max="6"/>
    <col width="9.6640625" customWidth="1" style="43" min="7" max="7"/>
    <col width="14.44140625" customWidth="1" style="43" min="8" max="8"/>
    <col width="5.88671875" customWidth="1" style="43" min="9" max="9"/>
    <col width="25.6640625" customWidth="1" style="43" min="10" max="10"/>
    <col width="5.109375" customWidth="1" style="43" min="11" max="12"/>
    <col width="4.44140625" customWidth="1" style="43" min="13" max="13"/>
    <col width="4.88671875" customWidth="1" style="43" min="14" max="14"/>
    <col width="4.88671875" customWidth="1" style="7" min="15" max="15"/>
    <col width="4.88671875" customWidth="1" style="43" min="16" max="16"/>
    <col width="3.5546875" customWidth="1" style="7" min="17" max="17"/>
    <col width="3.5546875" customWidth="1" style="43" min="18" max="18"/>
    <col width="5.109375" customWidth="1" style="43" min="19" max="21"/>
    <col width="10.33203125" customWidth="1" style="43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42" t="inlineStr">
        <is>
          <t xml:space="preserve">B138 </t>
        </is>
      </c>
      <c r="B2" s="42" t="inlineStr">
        <is>
          <t xml:space="preserve">ANALISIS ECONOMICO APLICADO </t>
        </is>
      </c>
      <c r="C2" s="42" t="inlineStr">
        <is>
          <t xml:space="preserve">DOCTORADO EN ECONOMÍA </t>
        </is>
      </c>
      <c r="D2" s="42" t="inlineStr">
        <is>
          <t xml:space="preserve">Terskaya ., Anastasia </t>
        </is>
      </c>
      <c r="E2" s="42" t="inlineStr">
        <is>
          <t xml:space="preserve">ESSAYS IN APPLIED MICROECONOMICS AND GENOMICS </t>
        </is>
      </c>
      <c r="F2" s="42" t="inlineStr">
        <is>
          <t xml:space="preserve">08/07/2020 </t>
        </is>
      </c>
      <c r="G2" s="42" t="inlineStr">
        <is>
          <t xml:space="preserve">24368913E </t>
        </is>
      </c>
      <c r="H2" s="42" t="inlineStr">
        <is>
          <t xml:space="preserve">Director de tesis </t>
        </is>
      </c>
      <c r="I2" s="42" t="inlineStr">
        <is>
          <t xml:space="preserve">B119 </t>
        </is>
      </c>
      <c r="J2" s="42" t="inlineStr">
        <is>
          <t xml:space="preserve">FUNDAMENTOS DEL ANÁLISIS ECONÓMICO </t>
        </is>
      </c>
      <c r="K2" s="42" t="n">
        <v>1</v>
      </c>
      <c r="L2" s="42" t="inlineStr">
        <is>
          <t>B119</t>
        </is>
      </c>
      <c r="M2" s="42" t="n">
        <v>2019</v>
      </c>
      <c r="N2" s="42" t="inlineStr"/>
      <c r="O2" s="42" t="inlineStr"/>
      <c r="P2" s="42" t="inlineStr"/>
      <c r="Q2" s="42" t="inlineStr"/>
      <c r="R2" s="42" t="n">
        <v>100</v>
      </c>
      <c r="S2" s="42" t="n">
        <v>1</v>
      </c>
      <c r="T2" s="42" t="n">
        <v>0</v>
      </c>
      <c r="U2" s="42" t="n">
        <v>0</v>
      </c>
    </row>
    <row r="3">
      <c r="A3" s="42" t="inlineStr">
        <is>
          <t xml:space="preserve">B119 </t>
        </is>
      </c>
      <c r="B3" s="42" t="inlineStr">
        <is>
          <t xml:space="preserve">FUNDAMENTOS DEL ANÁLISIS ECONÓMICO </t>
        </is>
      </c>
      <c r="C3" s="42" t="inlineStr">
        <is>
          <t xml:space="preserve">DOCTORADO EN ECONOMÍA </t>
        </is>
      </c>
      <c r="D3" s="42" t="inlineStr">
        <is>
          <t xml:space="preserve">Fernández Bastidas, Rocío </t>
        </is>
      </c>
      <c r="E3" s="42" t="inlineStr">
        <is>
          <t xml:space="preserve">Essays on macroeconomics and inequality </t>
        </is>
      </c>
      <c r="F3" s="42" t="inlineStr">
        <is>
          <t xml:space="preserve">30/09/2021 </t>
        </is>
      </c>
      <c r="G3" s="42" t="inlineStr">
        <is>
          <t xml:space="preserve">X6044853Q </t>
        </is>
      </c>
      <c r="H3" s="42" t="inlineStr">
        <is>
          <t xml:space="preserve">Director de tesis </t>
        </is>
      </c>
      <c r="I3" s="42" t="inlineStr">
        <is>
          <t xml:space="preserve">B119 </t>
        </is>
      </c>
      <c r="J3" s="42" t="inlineStr">
        <is>
          <t xml:space="preserve">FUNDAMENTOS DEL ANÁLISIS ECONÓMICO </t>
        </is>
      </c>
      <c r="K3" s="42" t="n">
        <v>1</v>
      </c>
      <c r="L3" s="42" t="inlineStr">
        <is>
          <t>B119</t>
        </is>
      </c>
      <c r="M3" s="42" t="n">
        <v>2020</v>
      </c>
      <c r="N3" s="42" t="inlineStr"/>
      <c r="O3" s="42" t="inlineStr"/>
      <c r="P3" s="42" t="inlineStr"/>
      <c r="Q3" s="42" t="inlineStr"/>
      <c r="R3" s="42" t="n">
        <v>100</v>
      </c>
      <c r="S3" s="42" t="n">
        <v>1</v>
      </c>
      <c r="T3" s="42" t="n">
        <v>0</v>
      </c>
      <c r="U3" s="42" t="n">
        <v>0</v>
      </c>
    </row>
    <row r="4">
      <c r="A4" s="42" t="inlineStr">
        <is>
          <t xml:space="preserve">B119 </t>
        </is>
      </c>
      <c r="B4" s="42" t="inlineStr">
        <is>
          <t xml:space="preserve">FUNDAMENTOS DEL ANÁLISIS ECONÓMICO </t>
        </is>
      </c>
      <c r="C4" s="42" t="inlineStr">
        <is>
          <t xml:space="preserve">DOCTORADO EN ECONOMÍA </t>
        </is>
      </c>
      <c r="D4" s="42" t="inlineStr">
        <is>
          <t xml:space="preserve">Pallarés Cerdà, Nina Victoria </t>
        </is>
      </c>
      <c r="E4" s="42" t="inlineStr">
        <is>
          <t xml:space="preserve">Three Essays in Applied Econometrics </t>
        </is>
      </c>
      <c r="F4" s="42" t="inlineStr">
        <is>
          <t xml:space="preserve">23/03/2021 </t>
        </is>
      </c>
      <c r="G4" s="42" t="inlineStr">
        <is>
          <t xml:space="preserve">27434153Y </t>
        </is>
      </c>
      <c r="H4" s="42" t="inlineStr">
        <is>
          <t xml:space="preserve">Director de tesis </t>
        </is>
      </c>
      <c r="I4" s="42" t="inlineStr">
        <is>
          <t xml:space="preserve">B119 </t>
        </is>
      </c>
      <c r="J4" s="42" t="inlineStr">
        <is>
          <t xml:space="preserve">FUNDAMENTOS DEL ANÁLISIS ECONÓMICO </t>
        </is>
      </c>
      <c r="K4" s="42" t="n">
        <v>1</v>
      </c>
      <c r="L4" s="42" t="inlineStr">
        <is>
          <t>B119</t>
        </is>
      </c>
      <c r="M4" s="42" t="n">
        <v>2020</v>
      </c>
      <c r="N4" s="42" t="inlineStr"/>
      <c r="O4" s="42" t="inlineStr"/>
      <c r="P4" s="42" t="inlineStr"/>
      <c r="Q4" s="42" t="inlineStr"/>
      <c r="R4" s="42" t="n">
        <v>100</v>
      </c>
      <c r="S4" s="42" t="n">
        <v>1</v>
      </c>
      <c r="T4" s="42" t="n">
        <v>0</v>
      </c>
      <c r="U4" s="42" t="n">
        <v>0</v>
      </c>
    </row>
    <row r="5">
      <c r="A5" s="42" t="inlineStr">
        <is>
          <t xml:space="preserve">B119 </t>
        </is>
      </c>
      <c r="B5" s="42" t="inlineStr">
        <is>
          <t xml:space="preserve">FUNDAMENTOS DEL ANÁLISIS ECONÓMICO </t>
        </is>
      </c>
      <c r="C5" s="42" t="inlineStr">
        <is>
          <t xml:space="preserve">DOCTORADO EN ECONOMÍA </t>
        </is>
      </c>
      <c r="D5" s="42" t="inlineStr">
        <is>
          <t xml:space="preserve">Serrano Quintero, Rafael </t>
        </is>
      </c>
      <c r="E5" s="42" t="inlineStr">
        <is>
          <t xml:space="preserve">Essays in macroeconomics and productivity </t>
        </is>
      </c>
      <c r="F5" s="42" t="inlineStr">
        <is>
          <t xml:space="preserve">28/07/2021 </t>
        </is>
      </c>
      <c r="G5" s="42" t="inlineStr">
        <is>
          <t xml:space="preserve">29091879F </t>
        </is>
      </c>
      <c r="H5" s="42" t="inlineStr">
        <is>
          <t xml:space="preserve">Director de tesis </t>
        </is>
      </c>
      <c r="I5" s="42" t="inlineStr">
        <is>
          <t xml:space="preserve">B119 </t>
        </is>
      </c>
      <c r="J5" s="42" t="inlineStr">
        <is>
          <t xml:space="preserve">FUNDAMENTOS DEL ANÁLISIS ECONÓMICO </t>
        </is>
      </c>
      <c r="K5" s="42" t="n">
        <v>1</v>
      </c>
      <c r="L5" s="42" t="inlineStr">
        <is>
          <t>B119</t>
        </is>
      </c>
      <c r="M5" s="42" t="n">
        <v>2020</v>
      </c>
      <c r="N5" s="42" t="inlineStr"/>
      <c r="O5" s="42" t="inlineStr"/>
      <c r="P5" s="42" t="inlineStr"/>
      <c r="Q5" s="42" t="inlineStr"/>
      <c r="R5" s="42" t="n">
        <v>100</v>
      </c>
      <c r="S5" s="42" t="n">
        <v>1</v>
      </c>
      <c r="T5" s="42" t="n">
        <v>0</v>
      </c>
      <c r="U5" s="42" t="n">
        <v>0</v>
      </c>
    </row>
    <row r="6">
      <c r="A6" s="42" t="inlineStr">
        <is>
          <t xml:space="preserve">B119 </t>
        </is>
      </c>
      <c r="B6" s="42" t="inlineStr">
        <is>
          <t xml:space="preserve">FUNDAMENTOS DEL ANÁLISIS ECONÓMICO </t>
        </is>
      </c>
      <c r="C6" s="42" t="inlineStr">
        <is>
          <t xml:space="preserve">DOCTORADO EN ECONOMÍA </t>
        </is>
      </c>
      <c r="D6" s="42" t="inlineStr">
        <is>
          <t xml:space="preserve">Burbano Valencia, Enrique Javier </t>
        </is>
      </c>
      <c r="E6" s="42" t="inlineStr">
        <is>
          <t xml:space="preserve">Ensayos de crimen, conflicto y asuntos electorales: análisis económico para Colombia </t>
        </is>
      </c>
      <c r="F6" s="42" t="inlineStr">
        <is>
          <t xml:space="preserve">18/02/2021 </t>
        </is>
      </c>
      <c r="G6" s="42" t="inlineStr">
        <is>
          <t xml:space="preserve">Y2052656N </t>
        </is>
      </c>
      <c r="H6" s="42" t="inlineStr">
        <is>
          <t xml:space="preserve">Codirector de tesis </t>
        </is>
      </c>
      <c r="I6" s="42" t="inlineStr">
        <is>
          <t xml:space="preserve">B119 </t>
        </is>
      </c>
      <c r="J6" s="42" t="inlineStr">
        <is>
          <t xml:space="preserve">FUNDAMENTOS DEL ANÁLISIS ECONÓMICO </t>
        </is>
      </c>
      <c r="K6" s="42" t="n">
        <v>0.5</v>
      </c>
      <c r="L6" s="42" t="inlineStr">
        <is>
          <t>B119</t>
        </is>
      </c>
      <c r="M6" s="42" t="n">
        <v>2020</v>
      </c>
      <c r="N6" s="42" t="inlineStr"/>
      <c r="O6" s="42" t="inlineStr"/>
      <c r="P6" s="42" t="inlineStr"/>
      <c r="Q6" s="42" t="inlineStr"/>
      <c r="R6" s="42" t="n">
        <v>100</v>
      </c>
      <c r="S6" s="42" t="n">
        <v>0.5</v>
      </c>
      <c r="T6" s="42" t="n">
        <v>0</v>
      </c>
      <c r="U6" s="42" t="n">
        <v>0</v>
      </c>
    </row>
    <row r="7">
      <c r="A7" s="42" t="inlineStr">
        <is>
          <t xml:space="preserve">B119 </t>
        </is>
      </c>
      <c r="B7" s="42" t="inlineStr">
        <is>
          <t xml:space="preserve">FUNDAMENTOS DEL ANÁLISIS ECONÓMICO </t>
        </is>
      </c>
      <c r="C7" s="42" t="inlineStr">
        <is>
          <t xml:space="preserve">DOCTORADO EN ECONOMÍA </t>
        </is>
      </c>
      <c r="D7" s="42" t="inlineStr">
        <is>
          <t xml:space="preserve">Burbano Valencia, Enrique Javier </t>
        </is>
      </c>
      <c r="E7" s="42" t="inlineStr">
        <is>
          <t xml:space="preserve">Ensayos de crimen, conflicto y asuntos electorales: análisis económico para Colombia </t>
        </is>
      </c>
      <c r="F7" s="42" t="inlineStr">
        <is>
          <t xml:space="preserve">18/02/2021 </t>
        </is>
      </c>
      <c r="G7" s="42" t="inlineStr">
        <is>
          <t xml:space="preserve">73908310H </t>
        </is>
      </c>
      <c r="H7" s="42" t="inlineStr">
        <is>
          <t xml:space="preserve">Codirector de tesis </t>
        </is>
      </c>
      <c r="I7" s="42" t="inlineStr">
        <is>
          <t xml:space="preserve">B119 </t>
        </is>
      </c>
      <c r="J7" s="42" t="inlineStr">
        <is>
          <t xml:space="preserve">FUNDAMENTOS DEL ANÁLISIS ECONÓMICO </t>
        </is>
      </c>
      <c r="K7" s="42" t="n">
        <v>0.5</v>
      </c>
      <c r="L7" s="42" t="inlineStr">
        <is>
          <t>B119</t>
        </is>
      </c>
      <c r="M7" s="42" t="n">
        <v>2020</v>
      </c>
      <c r="N7" s="42" t="inlineStr">
        <is>
          <t>10.22</t>
        </is>
      </c>
      <c r="O7" s="42" t="n">
        <v>100</v>
      </c>
      <c r="P7" s="42" t="inlineStr"/>
      <c r="Q7" s="42" t="n">
        <v>0</v>
      </c>
      <c r="R7" s="42" t="n">
        <v>0</v>
      </c>
      <c r="S7" s="42" t="n">
        <v>0</v>
      </c>
      <c r="T7" s="42" t="n">
        <v>0.5</v>
      </c>
      <c r="U7" s="42" t="n">
        <v>0</v>
      </c>
    </row>
    <row r="8">
      <c r="A8" s="42" t="inlineStr">
        <is>
          <t xml:space="preserve">B119 </t>
        </is>
      </c>
      <c r="B8" s="42" t="inlineStr">
        <is>
          <t xml:space="preserve">FUNDAMENTOS DEL ANÁLISIS ECONÓMICO </t>
        </is>
      </c>
      <c r="C8" s="42" t="inlineStr">
        <is>
          <t xml:space="preserve">DOCTORADO EN ECONOMÍA </t>
        </is>
      </c>
      <c r="D8" s="42" t="inlineStr">
        <is>
          <t xml:space="preserve">Mieres Brevis, Michelle Stephanie </t>
        </is>
      </c>
      <c r="E8" s="42" t="inlineStr">
        <is>
          <t xml:space="preserve">LA DESIGUALDAD DEL INGRESO Y EL CRECIMIENTO ECONÓMICO EN CHILE: UNA MIRADA DESDE SUS REGIONES </t>
        </is>
      </c>
      <c r="F8" s="42" t="inlineStr">
        <is>
          <t xml:space="preserve">17/09/2021 </t>
        </is>
      </c>
      <c r="G8" s="42" t="inlineStr">
        <is>
          <t xml:space="preserve">74182605S </t>
        </is>
      </c>
      <c r="H8" s="42" t="inlineStr">
        <is>
          <t xml:space="preserve">Director de tesis </t>
        </is>
      </c>
      <c r="I8" s="42" t="inlineStr">
        <is>
          <t xml:space="preserve">B119 </t>
        </is>
      </c>
      <c r="J8" s="42" t="inlineStr">
        <is>
          <t xml:space="preserve">FUNDAMENTOS DEL ANÁLISIS ECONÓMICO </t>
        </is>
      </c>
      <c r="K8" s="42" t="n">
        <v>1</v>
      </c>
      <c r="L8" s="42" t="inlineStr">
        <is>
          <t>B119</t>
        </is>
      </c>
      <c r="M8" s="42" t="n">
        <v>2020</v>
      </c>
      <c r="N8" s="42" t="inlineStr">
        <is>
          <t>10.22</t>
        </is>
      </c>
      <c r="O8" s="42" t="n">
        <v>50</v>
      </c>
      <c r="P8" s="42" t="inlineStr"/>
      <c r="Q8" s="42" t="n">
        <v>0</v>
      </c>
      <c r="R8" s="42" t="n">
        <v>50</v>
      </c>
      <c r="S8" s="42" t="n">
        <v>0.5</v>
      </c>
      <c r="T8" s="42" t="n">
        <v>0.5</v>
      </c>
      <c r="U8" s="42" t="n">
        <v>0</v>
      </c>
    </row>
    <row r="9">
      <c r="A9" s="42" t="inlineStr">
        <is>
          <t xml:space="preserve">B138 </t>
        </is>
      </c>
      <c r="B9" s="42" t="inlineStr">
        <is>
          <t xml:space="preserve">ANALISIS ECONOMICO APLICADO </t>
        </is>
      </c>
      <c r="C9" s="42" t="inlineStr">
        <is>
          <t xml:space="preserve">DOCTORADO EN ECONOMÍA </t>
        </is>
      </c>
      <c r="D9" s="42" t="inlineStr">
        <is>
          <t xml:space="preserve">Cacicedo dos Santos, Thiago </t>
        </is>
      </c>
      <c r="E9" s="42" t="inlineStr">
        <is>
          <t xml:space="preserve">Essays on Industrial Organization </t>
        </is>
      </c>
      <c r="F9" s="42" t="inlineStr">
        <is>
          <t xml:space="preserve">07/07/2021 </t>
        </is>
      </c>
      <c r="G9" s="42" t="inlineStr">
        <is>
          <t xml:space="preserve">30586414W </t>
        </is>
      </c>
      <c r="H9" s="42" t="inlineStr">
        <is>
          <t xml:space="preserve">Director de tesis </t>
        </is>
      </c>
      <c r="I9" s="42" t="inlineStr">
        <is>
          <t xml:space="preserve">B119 </t>
        </is>
      </c>
      <c r="J9" s="42" t="inlineStr">
        <is>
          <t xml:space="preserve">FUNDAMENTOS DEL ANÁLISIS ECONÓMICO </t>
        </is>
      </c>
      <c r="K9" s="42" t="n">
        <v>1</v>
      </c>
      <c r="L9" s="42" t="inlineStr">
        <is>
          <t>B119</t>
        </is>
      </c>
      <c r="M9" s="42" t="n">
        <v>2020</v>
      </c>
      <c r="N9" s="42" t="inlineStr"/>
      <c r="O9" s="42" t="inlineStr"/>
      <c r="P9" s="42" t="inlineStr"/>
      <c r="Q9" s="42" t="inlineStr"/>
      <c r="R9" s="42" t="n">
        <v>100</v>
      </c>
      <c r="S9" s="42" t="n">
        <v>1</v>
      </c>
      <c r="T9" s="42" t="n">
        <v>0</v>
      </c>
      <c r="U9" s="42" t="n">
        <v>0</v>
      </c>
    </row>
    <row r="10">
      <c r="A10" s="42" t="inlineStr">
        <is>
          <t xml:space="preserve">B138 </t>
        </is>
      </c>
      <c r="B10" s="42" t="inlineStr">
        <is>
          <t xml:space="preserve">ANALISIS ECONOMICO APLICADO </t>
        </is>
      </c>
      <c r="C10" s="42" t="inlineStr">
        <is>
          <t xml:space="preserve">DOCTORADO EN ECONOMÍA </t>
        </is>
      </c>
      <c r="D10" s="42" t="inlineStr">
        <is>
          <t xml:space="preserve">Di Paolo , Roberto </t>
        </is>
      </c>
      <c r="E10" s="42" t="inlineStr">
        <is>
          <t xml:space="preserve">Essays on Experimental Methods Applied to Different Environments </t>
        </is>
      </c>
      <c r="F10" s="42" t="inlineStr">
        <is>
          <t xml:space="preserve">16/07/2021 </t>
        </is>
      </c>
      <c r="G10" s="42" t="inlineStr">
        <is>
          <t xml:space="preserve">X2815985A </t>
        </is>
      </c>
      <c r="H10" s="42" t="inlineStr">
        <is>
          <t xml:space="preserve">Codirector de tesis </t>
        </is>
      </c>
      <c r="I10" s="42" t="inlineStr">
        <is>
          <t xml:space="preserve">B119 </t>
        </is>
      </c>
      <c r="J10" s="42" t="inlineStr">
        <is>
          <t xml:space="preserve">FUNDAMENTOS DEL ANÁLISIS ECONÓMICO </t>
        </is>
      </c>
      <c r="K10" s="42" t="n">
        <v>0.5</v>
      </c>
      <c r="L10" s="42" t="inlineStr">
        <is>
          <t>B119</t>
        </is>
      </c>
      <c r="M10" s="42" t="n">
        <v>2020</v>
      </c>
      <c r="N10" s="42" t="inlineStr"/>
      <c r="O10" s="42" t="inlineStr"/>
      <c r="P10" s="42" t="inlineStr"/>
      <c r="Q10" s="42" t="inlineStr"/>
      <c r="R10" s="42" t="n">
        <v>100</v>
      </c>
      <c r="S10" s="42" t="n">
        <v>0.5</v>
      </c>
      <c r="T10" s="42" t="n">
        <v>0</v>
      </c>
      <c r="U10" s="42" t="n">
        <v>0</v>
      </c>
    </row>
    <row r="11">
      <c r="A11" s="42" t="inlineStr">
        <is>
          <t xml:space="preserve">B138 </t>
        </is>
      </c>
      <c r="B11" s="42" t="inlineStr">
        <is>
          <t xml:space="preserve">ANALISIS ECONOMICO APLICADO </t>
        </is>
      </c>
      <c r="C11" s="42" t="inlineStr">
        <is>
          <t xml:space="preserve">DOCTORADO EN ECONOMÍA </t>
        </is>
      </c>
      <c r="D11" s="42" t="inlineStr">
        <is>
          <t xml:space="preserve">Di Paolo , Roberto </t>
        </is>
      </c>
      <c r="E11" s="42" t="inlineStr">
        <is>
          <t xml:space="preserve">Essays on Experimental Methods Applied to Different Environments </t>
        </is>
      </c>
      <c r="F11" s="42" t="inlineStr">
        <is>
          <t xml:space="preserve">16/07/2021 </t>
        </is>
      </c>
      <c r="G11" s="42" t="inlineStr">
        <is>
          <t xml:space="preserve">- </t>
        </is>
      </c>
      <c r="H11" s="42" t="inlineStr">
        <is>
          <t xml:space="preserve">Codirector de tesis </t>
        </is>
      </c>
      <c r="I11" s="42" t="inlineStr">
        <is>
          <t xml:space="preserve">B119 </t>
        </is>
      </c>
      <c r="J11" s="42" t="inlineStr">
        <is>
          <t xml:space="preserve">FUNDAMENTOS DEL ANÁLISIS ECONÓMICO </t>
        </is>
      </c>
      <c r="K11" s="42" t="n">
        <v>0.5</v>
      </c>
      <c r="L11" s="42" t="inlineStr">
        <is>
          <t>B119</t>
        </is>
      </c>
      <c r="M11" s="42" t="n">
        <v>2020</v>
      </c>
      <c r="N11" s="42" t="inlineStr"/>
      <c r="O11" s="42" t="inlineStr"/>
      <c r="P11" s="42" t="inlineStr"/>
      <c r="Q11" s="42" t="inlineStr"/>
      <c r="R11" s="42" t="n">
        <v>100</v>
      </c>
      <c r="S11" s="42" t="n">
        <v>0.5</v>
      </c>
      <c r="T11" s="42" t="n">
        <v>0</v>
      </c>
      <c r="U11" s="42" t="n">
        <v>0</v>
      </c>
    </row>
    <row r="12">
      <c r="A12" s="42" t="inlineStr">
        <is>
          <t xml:space="preserve">B138 </t>
        </is>
      </c>
      <c r="B12" s="42" t="inlineStr">
        <is>
          <t xml:space="preserve">ANALISIS ECONOMICO APLICADO </t>
        </is>
      </c>
      <c r="C12" s="42" t="inlineStr">
        <is>
          <t xml:space="preserve">DOCTORADO EN ECONOMÍA </t>
        </is>
      </c>
      <c r="D12" s="42" t="inlineStr">
        <is>
          <t xml:space="preserve">Upegui Pachon, Angie Gisseth </t>
        </is>
      </c>
      <c r="E12" s="42" t="inlineStr">
        <is>
          <t xml:space="preserve">Essays in Applied Microeconomics, Health Economics and Genomics </t>
        </is>
      </c>
      <c r="F12" s="42" t="inlineStr">
        <is>
          <t xml:space="preserve">16/06/2021 </t>
        </is>
      </c>
      <c r="G12" s="42" t="inlineStr">
        <is>
          <t xml:space="preserve">24368913E </t>
        </is>
      </c>
      <c r="H12" s="42" t="inlineStr">
        <is>
          <t xml:space="preserve">Codirector de tesis </t>
        </is>
      </c>
      <c r="I12" s="42" t="inlineStr">
        <is>
          <t xml:space="preserve">B119 </t>
        </is>
      </c>
      <c r="J12" s="42" t="inlineStr">
        <is>
          <t xml:space="preserve">FUNDAMENTOS DEL ANÁLISIS ECONÓMICO </t>
        </is>
      </c>
      <c r="K12" s="42" t="n">
        <v>0.5</v>
      </c>
      <c r="L12" s="42" t="inlineStr">
        <is>
          <t>B119</t>
        </is>
      </c>
      <c r="M12" s="42" t="n">
        <v>2020</v>
      </c>
      <c r="N12" s="42" t="inlineStr"/>
      <c r="O12" s="42" t="inlineStr"/>
      <c r="P12" s="42" t="inlineStr"/>
      <c r="Q12" s="42" t="inlineStr"/>
      <c r="R12" s="42" t="n">
        <v>100</v>
      </c>
      <c r="S12" s="42" t="n">
        <v>0.5</v>
      </c>
      <c r="T12" s="42" t="n">
        <v>0</v>
      </c>
      <c r="U12" s="42" t="n">
        <v>0</v>
      </c>
    </row>
    <row r="13">
      <c r="A13" s="42" t="inlineStr">
        <is>
          <t xml:space="preserve">B138 </t>
        </is>
      </c>
      <c r="B13" s="42" t="inlineStr">
        <is>
          <t xml:space="preserve">ANALISIS ECONOMICO APLICADO </t>
        </is>
      </c>
      <c r="C13" s="42" t="inlineStr">
        <is>
          <t xml:space="preserve">DOCTORADO EN ECONOMÍA </t>
        </is>
      </c>
      <c r="D13" s="42" t="inlineStr">
        <is>
          <t xml:space="preserve">Upegui Pachon, Angie Gisseth </t>
        </is>
      </c>
      <c r="E13" s="42" t="inlineStr">
        <is>
          <t xml:space="preserve">Essays in Applied Microeconomics, Health Economics and Genomics </t>
        </is>
      </c>
      <c r="F13" s="42" t="inlineStr">
        <is>
          <t xml:space="preserve">16/06/2021 </t>
        </is>
      </c>
      <c r="G13" s="42" t="inlineStr">
        <is>
          <t xml:space="preserve">- </t>
        </is>
      </c>
      <c r="H13" s="42" t="inlineStr">
        <is>
          <t xml:space="preserve">Codirector de tesis </t>
        </is>
      </c>
      <c r="I13" s="42" t="inlineStr">
        <is>
          <t xml:space="preserve">B119 </t>
        </is>
      </c>
      <c r="J13" s="42" t="inlineStr">
        <is>
          <t xml:space="preserve">FUNDAMENTOS DEL ANÁLISIS ECONÓMICO </t>
        </is>
      </c>
      <c r="K13" s="42" t="n">
        <v>0.5</v>
      </c>
      <c r="L13" s="42" t="inlineStr">
        <is>
          <t>B119</t>
        </is>
      </c>
      <c r="M13" s="42" t="n">
        <v>2020</v>
      </c>
      <c r="N13" s="42" t="inlineStr"/>
      <c r="O13" s="42" t="inlineStr"/>
      <c r="P13" s="42" t="inlineStr"/>
      <c r="Q13" s="42" t="inlineStr"/>
      <c r="R13" s="42" t="n">
        <v>100</v>
      </c>
      <c r="S13" s="42" t="n">
        <v>0.5</v>
      </c>
      <c r="T13" s="42" t="n">
        <v>0</v>
      </c>
      <c r="U13" s="42" t="n">
        <v>0</v>
      </c>
    </row>
    <row r="14">
      <c r="A14" s="42" t="inlineStr">
        <is>
          <t xml:space="preserve">B119 </t>
        </is>
      </c>
      <c r="B14" s="42" t="inlineStr">
        <is>
          <t xml:space="preserve">FUNDAMENTOS DEL ANÁLISIS ECONÓMICO </t>
        </is>
      </c>
      <c r="C14" s="42" t="inlineStr">
        <is>
          <t xml:space="preserve">DOCTORADO EN ECONOMÍA </t>
        </is>
      </c>
      <c r="D14" s="42" t="inlineStr">
        <is>
          <t xml:space="preserve">Lartey , Abraham </t>
        </is>
      </c>
      <c r="E14" s="42" t="inlineStr">
        <is>
          <t xml:space="preserve">Windfalls and economic development: The effect of natural resource booms and chinese development finance </t>
        </is>
      </c>
      <c r="F14" s="42" t="inlineStr">
        <is>
          <t xml:space="preserve">19/07/2022 </t>
        </is>
      </c>
      <c r="G14" s="42" t="inlineStr">
        <is>
          <t xml:space="preserve">29091879F </t>
        </is>
      </c>
      <c r="H14" s="42" t="inlineStr">
        <is>
          <t xml:space="preserve">Codirector de tesis </t>
        </is>
      </c>
      <c r="I14" s="42" t="inlineStr">
        <is>
          <t xml:space="preserve">B119 </t>
        </is>
      </c>
      <c r="J14" s="42" t="inlineStr">
        <is>
          <t xml:space="preserve">FUNDAMENTOS DEL ANÁLISIS ECONÓMICO </t>
        </is>
      </c>
      <c r="K14" s="42" t="n">
        <v>0.5</v>
      </c>
      <c r="L14" s="42" t="inlineStr">
        <is>
          <t>B119</t>
        </is>
      </c>
      <c r="M14" s="42" t="n">
        <v>2021</v>
      </c>
      <c r="N14" s="42" t="inlineStr"/>
      <c r="O14" s="42" t="inlineStr"/>
      <c r="P14" s="42" t="inlineStr"/>
      <c r="Q14" s="42" t="inlineStr"/>
      <c r="R14" s="42" t="n">
        <v>100</v>
      </c>
      <c r="S14" s="42" t="n">
        <v>0.5</v>
      </c>
      <c r="T14" s="42" t="n">
        <v>0</v>
      </c>
      <c r="U14" s="42" t="n">
        <v>0</v>
      </c>
    </row>
    <row r="15">
      <c r="A15" s="42" t="inlineStr">
        <is>
          <t xml:space="preserve">B119 </t>
        </is>
      </c>
      <c r="B15" s="42" t="inlineStr">
        <is>
          <t xml:space="preserve">FUNDAMENTOS DEL ANÁLISIS ECONÓMICO </t>
        </is>
      </c>
      <c r="C15" s="42" t="inlineStr">
        <is>
          <t xml:space="preserve">DOCTORADO EN ECONOMÍA </t>
        </is>
      </c>
      <c r="D15" s="42" t="inlineStr">
        <is>
          <t xml:space="preserve">Lartey , Abraham </t>
        </is>
      </c>
      <c r="E15" s="42" t="inlineStr">
        <is>
          <t xml:space="preserve">Windfalls and economic development: The effect of natural resource booms and chinese development finance </t>
        </is>
      </c>
      <c r="F15" s="42" t="inlineStr">
        <is>
          <t xml:space="preserve">19/07/2022 </t>
        </is>
      </c>
      <c r="G15" s="42" t="inlineStr">
        <is>
          <t xml:space="preserve">52975861F </t>
        </is>
      </c>
      <c r="H15" s="42" t="inlineStr">
        <is>
          <t xml:space="preserve">Codirector de tesis </t>
        </is>
      </c>
      <c r="I15" s="42" t="inlineStr">
        <is>
          <t xml:space="preserve">B119 </t>
        </is>
      </c>
      <c r="J15" s="42" t="inlineStr">
        <is>
          <t xml:space="preserve">FUNDAMENTOS DEL ANÁLISIS ECONÓMICO </t>
        </is>
      </c>
      <c r="K15" s="42" t="n">
        <v>0.5</v>
      </c>
      <c r="L15" s="42" t="inlineStr">
        <is>
          <t>B119</t>
        </is>
      </c>
      <c r="M15" s="42" t="n">
        <v>2021</v>
      </c>
      <c r="N15" s="42" t="inlineStr"/>
      <c r="O15" s="42" t="inlineStr"/>
      <c r="P15" s="42" t="inlineStr"/>
      <c r="Q15" s="42" t="inlineStr"/>
      <c r="R15" s="42" t="n">
        <v>100</v>
      </c>
      <c r="S15" s="42" t="n">
        <v>0.5</v>
      </c>
      <c r="T15" s="42" t="n">
        <v>0</v>
      </c>
      <c r="U15" s="42" t="n">
        <v>0</v>
      </c>
    </row>
    <row r="16">
      <c r="A16" s="42" t="inlineStr">
        <is>
          <t xml:space="preserve">B119 </t>
        </is>
      </c>
      <c r="B16" s="42" t="inlineStr">
        <is>
          <t xml:space="preserve">FUNDAMENTOS DEL ANÁLISIS ECONÓMICO </t>
        </is>
      </c>
      <c r="C16" s="42" t="inlineStr">
        <is>
          <t xml:space="preserve">DOCTORADO EN ECONOMÍA </t>
        </is>
      </c>
      <c r="D16" s="42" t="inlineStr">
        <is>
          <t xml:space="preserve">Landi , Sara </t>
        </is>
      </c>
      <c r="E16" s="42" t="inlineStr">
        <is>
          <t xml:space="preserve">Public policy in Italy: An empirical analysis on local governments and occupation </t>
        </is>
      </c>
      <c r="F16" s="42" t="inlineStr">
        <is>
          <t xml:space="preserve">29/11/2021 </t>
        </is>
      </c>
      <c r="G16" s="42" t="inlineStr">
        <is>
          <t xml:space="preserve">72390115F </t>
        </is>
      </c>
      <c r="H16" s="42" t="inlineStr">
        <is>
          <t xml:space="preserve">Codirector de tesis </t>
        </is>
      </c>
      <c r="I16" s="42" t="inlineStr">
        <is>
          <t xml:space="preserve">B119 </t>
        </is>
      </c>
      <c r="J16" s="42" t="inlineStr">
        <is>
          <t xml:space="preserve">FUNDAMENTOS DEL ANÁLISIS ECONÓMICO </t>
        </is>
      </c>
      <c r="K16" s="42" t="n">
        <v>0.5</v>
      </c>
      <c r="L16" s="42" t="inlineStr">
        <is>
          <t>B119</t>
        </is>
      </c>
      <c r="M16" s="42" t="n">
        <v>2021</v>
      </c>
      <c r="N16" s="42" t="inlineStr"/>
      <c r="O16" s="42" t="inlineStr"/>
      <c r="P16" s="42" t="inlineStr"/>
      <c r="Q16" s="42" t="inlineStr"/>
      <c r="R16" s="42" t="n">
        <v>100</v>
      </c>
      <c r="S16" s="42" t="n">
        <v>0.5</v>
      </c>
      <c r="T16" s="42" t="n">
        <v>0</v>
      </c>
      <c r="U16" s="42" t="n">
        <v>0</v>
      </c>
    </row>
    <row r="17">
      <c r="A17" s="42" t="inlineStr">
        <is>
          <t xml:space="preserve">B119 </t>
        </is>
      </c>
      <c r="B17" s="42" t="inlineStr">
        <is>
          <t xml:space="preserve">FUNDAMENTOS DEL ANÁLISIS ECONÓMICO </t>
        </is>
      </c>
      <c r="C17" s="42" t="inlineStr">
        <is>
          <t xml:space="preserve">DOCTORADO EN ECONOMÍA </t>
        </is>
      </c>
      <c r="D17" s="42" t="inlineStr">
        <is>
          <t xml:space="preserve">Landi , Sara </t>
        </is>
      </c>
      <c r="E17" s="42" t="inlineStr">
        <is>
          <t xml:space="preserve">Public policy in Italy: An empirical analysis on local governments and occupation </t>
        </is>
      </c>
      <c r="F17" s="42" t="inlineStr">
        <is>
          <t xml:space="preserve">29/11/2021 </t>
        </is>
      </c>
      <c r="G17" s="42" t="inlineStr">
        <is>
          <t xml:space="preserve">- </t>
        </is>
      </c>
      <c r="H17" s="42" t="inlineStr">
        <is>
          <t xml:space="preserve">Codirector de tesis </t>
        </is>
      </c>
      <c r="I17" s="42" t="inlineStr">
        <is>
          <t xml:space="preserve">B119 </t>
        </is>
      </c>
      <c r="J17" s="42" t="inlineStr">
        <is>
          <t xml:space="preserve">FUNDAMENTOS DEL ANÁLISIS ECONÓMICO </t>
        </is>
      </c>
      <c r="K17" s="42" t="n">
        <v>0.5</v>
      </c>
      <c r="L17" s="42" t="inlineStr">
        <is>
          <t>B119</t>
        </is>
      </c>
      <c r="M17" s="42" t="n">
        <v>2021</v>
      </c>
      <c r="N17" s="42" t="inlineStr"/>
      <c r="O17" s="42" t="inlineStr"/>
      <c r="P17" s="42" t="inlineStr"/>
      <c r="Q17" s="42" t="inlineStr"/>
      <c r="R17" s="42" t="n">
        <v>100</v>
      </c>
      <c r="S17" s="42" t="n">
        <v>0.5</v>
      </c>
      <c r="T17" s="42" t="n">
        <v>0</v>
      </c>
      <c r="U17" s="42" t="n">
        <v>0</v>
      </c>
    </row>
    <row r="18">
      <c r="A18" s="42" t="inlineStr">
        <is>
          <t xml:space="preserve">B138 </t>
        </is>
      </c>
      <c r="B18" s="42" t="inlineStr">
        <is>
          <t xml:space="preserve">ANALISIS ECONOMICO APLICADO </t>
        </is>
      </c>
      <c r="C18" s="42" t="inlineStr">
        <is>
          <t xml:space="preserve">DOCTORADO EN ECONOMÍA </t>
        </is>
      </c>
      <c r="D18" s="42" t="inlineStr">
        <is>
          <t xml:space="preserve">González García, Concepción </t>
        </is>
      </c>
      <c r="E18" s="42" t="inlineStr">
        <is>
          <t xml:space="preserve">Essays on macroeconomics and fiscal policy </t>
        </is>
      </c>
      <c r="F18" s="42" t="inlineStr">
        <is>
          <t xml:space="preserve">28/01/2022 </t>
        </is>
      </c>
      <c r="G18" s="42" t="inlineStr">
        <is>
          <t xml:space="preserve">X6099967E </t>
        </is>
      </c>
      <c r="H18" s="42" t="inlineStr">
        <is>
          <t xml:space="preserve">Director de tesis </t>
        </is>
      </c>
      <c r="I18" s="42" t="inlineStr">
        <is>
          <t xml:space="preserve">B119 </t>
        </is>
      </c>
      <c r="J18" s="42" t="inlineStr">
        <is>
          <t xml:space="preserve">FUNDAMENTOS DEL ANÁLISIS ECONÓMICO </t>
        </is>
      </c>
      <c r="K18" s="42" t="n">
        <v>1</v>
      </c>
      <c r="L18" s="42" t="inlineStr">
        <is>
          <t>B119</t>
        </is>
      </c>
      <c r="M18" s="42" t="n">
        <v>2021</v>
      </c>
      <c r="N18" s="42" t="inlineStr"/>
      <c r="O18" s="42" t="inlineStr"/>
      <c r="P18" s="42" t="inlineStr"/>
      <c r="Q18" s="42" t="inlineStr"/>
      <c r="R18" s="42" t="n">
        <v>100</v>
      </c>
      <c r="S18" s="42" t="n">
        <v>1</v>
      </c>
      <c r="T18" s="42" t="n">
        <v>0</v>
      </c>
      <c r="U18" s="42" t="n">
        <v>0</v>
      </c>
    </row>
    <row r="19">
      <c r="A19" s="42" t="inlineStr">
        <is>
          <t xml:space="preserve">B138 </t>
        </is>
      </c>
      <c r="B19" s="42" t="inlineStr">
        <is>
          <t xml:space="preserve">ANALISIS ECONOMICO APLICADO </t>
        </is>
      </c>
      <c r="C19" s="42" t="inlineStr">
        <is>
          <t xml:space="preserve">DOCTORADO EN ECONOMÍA </t>
        </is>
      </c>
      <c r="D19" s="42" t="inlineStr">
        <is>
          <t xml:space="preserve">Castillo Brais, Brenda </t>
        </is>
      </c>
      <c r="E19" s="42" t="inlineStr">
        <is>
          <t xml:space="preserve">Four essays on risk assessment with financial econometrics models </t>
        </is>
      </c>
      <c r="F19" s="42" t="inlineStr">
        <is>
          <t xml:space="preserve">25/07/2022 </t>
        </is>
      </c>
      <c r="G19" s="42" t="inlineStr">
        <is>
          <t xml:space="preserve">05165620G </t>
        </is>
      </c>
      <c r="H19" s="42" t="inlineStr">
        <is>
          <t xml:space="preserve">Codirector de tesis </t>
        </is>
      </c>
      <c r="I19" s="42" t="inlineStr">
        <is>
          <t xml:space="preserve">B119 </t>
        </is>
      </c>
      <c r="J19" s="42" t="inlineStr">
        <is>
          <t xml:space="preserve">FUNDAMENTOS DEL ANÁLISIS ECONÓMICO </t>
        </is>
      </c>
      <c r="K19" s="42" t="n">
        <v>0.5</v>
      </c>
      <c r="L19" s="42" t="inlineStr">
        <is>
          <t>B119</t>
        </is>
      </c>
      <c r="M19" s="42" t="n">
        <v>2021</v>
      </c>
      <c r="N19" s="42" t="inlineStr"/>
      <c r="O19" s="42" t="inlineStr"/>
      <c r="P19" s="42" t="inlineStr"/>
      <c r="Q19" s="42" t="inlineStr"/>
      <c r="R19" s="42" t="n">
        <v>100</v>
      </c>
      <c r="S19" s="42" t="n">
        <v>0.5</v>
      </c>
      <c r="T19" s="42" t="n">
        <v>0</v>
      </c>
      <c r="U19" s="42" t="n">
        <v>0</v>
      </c>
    </row>
    <row r="20">
      <c r="A20" s="42" t="inlineStr">
        <is>
          <t xml:space="preserve">B138 </t>
        </is>
      </c>
      <c r="B20" s="42" t="inlineStr">
        <is>
          <t xml:space="preserve">ANALISIS ECONOMICO APLICADO </t>
        </is>
      </c>
      <c r="C20" s="42" t="inlineStr">
        <is>
          <t xml:space="preserve">DOCTORADO EN ECONOMÍA </t>
        </is>
      </c>
      <c r="D20" s="42" t="inlineStr">
        <is>
          <t xml:space="preserve">Castillo Brais, Brenda </t>
        </is>
      </c>
      <c r="E20" s="42" t="inlineStr">
        <is>
          <t xml:space="preserve">Four essays on risk assessment with financial econometrics models </t>
        </is>
      </c>
      <c r="F20" s="42" t="inlineStr">
        <is>
          <t xml:space="preserve">25/07/2022 </t>
        </is>
      </c>
      <c r="G20" s="42" t="inlineStr">
        <is>
          <t xml:space="preserve">21654944F </t>
        </is>
      </c>
      <c r="H20" s="42" t="inlineStr">
        <is>
          <t xml:space="preserve">Codirector de tesis </t>
        </is>
      </c>
      <c r="I20" s="42" t="inlineStr">
        <is>
          <t xml:space="preserve">B119 </t>
        </is>
      </c>
      <c r="J20" s="42" t="inlineStr">
        <is>
          <t xml:space="preserve">FUNDAMENTOS DEL ANÁLISIS ECONÓMICO </t>
        </is>
      </c>
      <c r="K20" s="42" t="n">
        <v>0.5</v>
      </c>
      <c r="L20" s="42" t="inlineStr">
        <is>
          <t>B119</t>
        </is>
      </c>
      <c r="M20" s="42" t="n">
        <v>2021</v>
      </c>
      <c r="N20" s="42" t="inlineStr"/>
      <c r="O20" s="42" t="inlineStr"/>
      <c r="P20" s="42" t="inlineStr"/>
      <c r="Q20" s="42" t="inlineStr"/>
      <c r="R20" s="42" t="n">
        <v>100</v>
      </c>
      <c r="S20" s="42" t="n">
        <v>0.5</v>
      </c>
      <c r="T20" s="42" t="n">
        <v>0</v>
      </c>
      <c r="U20" s="42" t="n">
        <v>0</v>
      </c>
    </row>
    <row r="21">
      <c r="A21" s="42" t="inlineStr">
        <is>
          <t xml:space="preserve">B138 </t>
        </is>
      </c>
      <c r="B21" s="42" t="inlineStr">
        <is>
          <t xml:space="preserve">ANALISIS ECONOMICO APLICADO </t>
        </is>
      </c>
      <c r="C21" s="42" t="inlineStr">
        <is>
          <t xml:space="preserve">DOCTORADO EN ECONOMÍA </t>
        </is>
      </c>
      <c r="D21" s="42" t="inlineStr">
        <is>
          <t>Alonso Berná, Judit</t>
        </is>
      </c>
      <c r="E21" s="42" t="inlineStr">
        <is>
          <t xml:space="preserve">Risk, Compound Risk and Ambiguity. Three essays on Economic Preferences </t>
        </is>
      </c>
      <c r="F21" s="42" t="inlineStr">
        <is>
          <t xml:space="preserve">16/01/2023 </t>
        </is>
      </c>
      <c r="G21" s="42" t="inlineStr">
        <is>
          <t xml:space="preserve">X2815985A </t>
        </is>
      </c>
      <c r="H21" s="42" t="inlineStr">
        <is>
          <t xml:space="preserve">Director de tesis </t>
        </is>
      </c>
      <c r="I21" s="42" t="inlineStr">
        <is>
          <t xml:space="preserve">B119 </t>
        </is>
      </c>
      <c r="J21" s="42" t="inlineStr">
        <is>
          <t xml:space="preserve">FUNDAMENTOS DEL ANÁLISIS ECONÓMICO </t>
        </is>
      </c>
      <c r="K21" s="42" t="n">
        <v>1</v>
      </c>
      <c r="L21" s="42" t="inlineStr">
        <is>
          <t>B119</t>
        </is>
      </c>
      <c r="M21" s="42" t="n">
        <v>2022</v>
      </c>
      <c r="N21" s="42" t="inlineStr"/>
      <c r="O21" s="42" t="inlineStr"/>
      <c r="P21" s="42" t="inlineStr"/>
      <c r="Q21" s="42" t="inlineStr"/>
      <c r="R21" s="42" t="n">
        <v>100</v>
      </c>
      <c r="S21" s="42" t="n">
        <v>1</v>
      </c>
      <c r="T21" s="42" t="n">
        <v>0</v>
      </c>
      <c r="U21" s="42" t="n">
        <v>0</v>
      </c>
    </row>
    <row r="22">
      <c r="A22" s="42" t="inlineStr">
        <is>
          <t xml:space="preserve">B119 </t>
        </is>
      </c>
      <c r="B22" s="42" t="inlineStr">
        <is>
          <t>FUNDAMENTOS DEL ANÁLISIS ECONÓMICO</t>
        </is>
      </c>
      <c r="C22" s="42" t="inlineStr">
        <is>
          <t>DOCTORADO EN ECONOMÍA</t>
        </is>
      </c>
      <c r="D22" s="42" t="inlineStr">
        <is>
          <t>Marín López, Blas Ángel</t>
        </is>
      </c>
      <c r="E22" s="42" t="inlineStr">
        <is>
          <t>Essays on health and behavioral economics</t>
        </is>
      </c>
      <c r="F22" s="42" t="inlineStr">
        <is>
          <t>27/09/2023</t>
        </is>
      </c>
      <c r="G22" s="42" t="inlineStr">
        <is>
          <t xml:space="preserve">24368913E </t>
        </is>
      </c>
      <c r="H22" s="42" t="inlineStr">
        <is>
          <t>Codirector de tesis</t>
        </is>
      </c>
      <c r="I22" s="42" t="inlineStr">
        <is>
          <t>B119</t>
        </is>
      </c>
      <c r="J22" s="42" t="inlineStr">
        <is>
          <t>FUNDAMENTOS DEL ANÁLISIS ECONÓMICO</t>
        </is>
      </c>
      <c r="K22" s="42" t="n">
        <v>0.5</v>
      </c>
      <c r="L22" s="42" t="inlineStr">
        <is>
          <t>B119</t>
        </is>
      </c>
      <c r="M22" s="42" t="n">
        <v>2022</v>
      </c>
      <c r="N22" s="42" t="inlineStr"/>
      <c r="O22" s="42" t="inlineStr"/>
      <c r="P22" s="42" t="inlineStr"/>
      <c r="Q22" s="42" t="inlineStr"/>
      <c r="R22" s="42" t="n">
        <v>100</v>
      </c>
      <c r="S22" s="42" t="n">
        <v>0.5</v>
      </c>
      <c r="T22" s="42" t="n">
        <v>0</v>
      </c>
      <c r="U22" s="42" t="n">
        <v>0</v>
      </c>
    </row>
    <row r="23">
      <c r="A23" s="42" t="inlineStr">
        <is>
          <t xml:space="preserve">B119 </t>
        </is>
      </c>
      <c r="B23" s="42" t="inlineStr">
        <is>
          <t>FUNDAMENTOS DEL ANÁLISIS ECONÓMICO</t>
        </is>
      </c>
      <c r="C23" s="42" t="inlineStr">
        <is>
          <t>DOCTORADO EN ECONOMÍA</t>
        </is>
      </c>
      <c r="D23" s="42" t="inlineStr">
        <is>
          <t>Marín López, Blas Ángel</t>
        </is>
      </c>
      <c r="E23" s="42" t="inlineStr">
        <is>
          <t>Essays on health and behavioral economics</t>
        </is>
      </c>
      <c r="F23" s="42" t="inlineStr">
        <is>
          <t>27/09/2023</t>
        </is>
      </c>
      <c r="G23" s="42" t="inlineStr">
        <is>
          <t xml:space="preserve">48519351T </t>
        </is>
      </c>
      <c r="H23" s="42" t="inlineStr">
        <is>
          <t>Codirector de tesis</t>
        </is>
      </c>
      <c r="I23" s="42" t="inlineStr">
        <is>
          <t>B119</t>
        </is>
      </c>
      <c r="J23" s="42" t="inlineStr">
        <is>
          <t>FUNDAMENTOS DEL ANÁLISIS ECONÓMICO</t>
        </is>
      </c>
      <c r="K23" s="42" t="n">
        <v>0.5</v>
      </c>
      <c r="L23" s="42" t="inlineStr">
        <is>
          <t>B119</t>
        </is>
      </c>
      <c r="M23" s="42" t="n">
        <v>2022</v>
      </c>
      <c r="N23" s="42" t="inlineStr"/>
      <c r="O23" s="42" t="inlineStr"/>
      <c r="P23" s="42" t="inlineStr"/>
      <c r="Q23" s="42" t="inlineStr"/>
      <c r="R23" s="42" t="n">
        <v>100</v>
      </c>
      <c r="S23" s="42" t="n">
        <v>0.5</v>
      </c>
      <c r="T23" s="42" t="n">
        <v>0</v>
      </c>
      <c r="U23" s="42" t="n">
        <v>0</v>
      </c>
    </row>
    <row r="24">
      <c r="A24" s="42" t="inlineStr">
        <is>
          <t>B119</t>
        </is>
      </c>
      <c r="B24" s="42" t="inlineStr">
        <is>
          <t>FUNDAMENTOS DEL ANÁLISIS ECONÓMICO</t>
        </is>
      </c>
      <c r="C24" s="42" t="inlineStr">
        <is>
          <t>DOCTORADO EN ECONOMÍA</t>
        </is>
      </c>
      <c r="D24" s="42" t="inlineStr">
        <is>
          <t>Fernández-Gallardo Romero, Álvaro</t>
        </is>
      </c>
      <c r="E24" s="42" t="inlineStr">
        <is>
          <t>Essays on Macroprudential Policy, Tail Risks and Financial Stability</t>
        </is>
      </c>
      <c r="F24" s="42" t="inlineStr">
        <is>
          <t>12/07/2024</t>
        </is>
      </c>
      <c r="G24" s="42" t="inlineStr">
        <is>
          <t>52773083C</t>
        </is>
      </c>
      <c r="H24" s="42" t="inlineStr">
        <is>
          <t>Director de tesis</t>
        </is>
      </c>
      <c r="I24" s="42" t="inlineStr">
        <is>
          <t>B119</t>
        </is>
      </c>
      <c r="J24" s="42" t="inlineStr">
        <is>
          <t>FUNDAMENTOS DEL ANÁLISIS ECONÓMICO</t>
        </is>
      </c>
      <c r="K24" s="42" t="n">
        <v>1</v>
      </c>
      <c r="L24" s="42" t="inlineStr">
        <is>
          <t>B119</t>
        </is>
      </c>
      <c r="M24" s="42" t="n">
        <v>2023</v>
      </c>
      <c r="N24" s="42" t="inlineStr"/>
      <c r="O24" s="42" t="inlineStr"/>
      <c r="P24" s="42" t="inlineStr"/>
      <c r="Q24" s="42" t="inlineStr"/>
      <c r="R24" s="42" t="n">
        <v>100</v>
      </c>
      <c r="S24" s="42" t="n">
        <v>1</v>
      </c>
      <c r="T24" s="42" t="n">
        <v>0</v>
      </c>
      <c r="U24" s="42" t="n">
        <v>0</v>
      </c>
    </row>
    <row r="25">
      <c r="A25" s="42" t="inlineStr">
        <is>
          <t>B119</t>
        </is>
      </c>
      <c r="B25" s="42" t="inlineStr">
        <is>
          <t>FUNDAMENTOS DEL ANÁLISIS ECONÓMICO</t>
        </is>
      </c>
      <c r="C25" s="42" t="inlineStr">
        <is>
          <t>DOCTORADO EN ECONOMÍA</t>
        </is>
      </c>
      <c r="D25" s="42" t="inlineStr">
        <is>
          <t>Soriano Harris, Julián Gabriel</t>
        </is>
      </c>
      <c r="E25" s="42" t="inlineStr">
        <is>
          <t>Two essays on macroprudential policy and one essay on banking deregulation</t>
        </is>
      </c>
      <c r="F25" s="42" t="inlineStr">
        <is>
          <t>19/07/2024</t>
        </is>
      </c>
      <c r="G25" s="42" t="inlineStr">
        <is>
          <t>'-</t>
        </is>
      </c>
      <c r="H25" s="42" t="inlineStr">
        <is>
          <t>Director de tesis</t>
        </is>
      </c>
      <c r="I25" s="42" t="inlineStr">
        <is>
          <t>B119</t>
        </is>
      </c>
      <c r="J25" s="42" t="inlineStr">
        <is>
          <t>FUNDAMENTOS DEL ANÁLISIS ECONÓMICO</t>
        </is>
      </c>
      <c r="K25" s="42" t="n">
        <v>1</v>
      </c>
      <c r="L25" s="42" t="inlineStr">
        <is>
          <t>B119</t>
        </is>
      </c>
      <c r="M25" s="42" t="n">
        <v>2023</v>
      </c>
      <c r="N25" s="42" t="inlineStr"/>
      <c r="O25" s="42" t="inlineStr"/>
      <c r="P25" s="42" t="inlineStr"/>
      <c r="Q25" s="42" t="inlineStr"/>
      <c r="R25" s="42" t="n">
        <v>100</v>
      </c>
      <c r="S25" s="42" t="n">
        <v>1</v>
      </c>
      <c r="T25" s="42" t="n">
        <v>0</v>
      </c>
      <c r="U25" s="42" t="n">
        <v>0</v>
      </c>
    </row>
    <row r="26">
      <c r="A26" s="42" t="inlineStr">
        <is>
          <t>B119</t>
        </is>
      </c>
      <c r="B26" s="42" t="inlineStr">
        <is>
          <t>FUNDAMENTOS DEL ANÁLISIS ECONÓMICO</t>
        </is>
      </c>
      <c r="C26" s="42" t="inlineStr">
        <is>
          <t>DOCTORADO EN ECONOMÍA</t>
        </is>
      </c>
      <c r="D26" s="42" t="inlineStr">
        <is>
          <t>Pinilla Torremocha, Clemente</t>
        </is>
      </c>
      <c r="E26" s="42" t="inlineStr">
        <is>
          <t>Essays in applied macroeconometrics</t>
        </is>
      </c>
      <c r="F26" s="42" t="inlineStr">
        <is>
          <t>25/07/2024</t>
        </is>
      </c>
      <c r="G26" s="42" t="inlineStr">
        <is>
          <t>'-</t>
        </is>
      </c>
      <c r="H26" s="42" t="inlineStr">
        <is>
          <t>Director de tesis</t>
        </is>
      </c>
      <c r="I26" s="42" t="inlineStr">
        <is>
          <t>B119</t>
        </is>
      </c>
      <c r="J26" s="42" t="inlineStr">
        <is>
          <t>FUNDAMENTOS DEL ANÁLISIS ECONÓMICO</t>
        </is>
      </c>
      <c r="K26" s="42" t="n">
        <v>1</v>
      </c>
      <c r="L26" s="42" t="inlineStr">
        <is>
          <t>B119</t>
        </is>
      </c>
      <c r="M26" s="42" t="n">
        <v>2023</v>
      </c>
      <c r="N26" s="42" t="inlineStr"/>
      <c r="O26" s="42" t="inlineStr"/>
      <c r="P26" s="42" t="inlineStr"/>
      <c r="Q26" s="42" t="inlineStr"/>
      <c r="R26" s="42" t="n">
        <v>100</v>
      </c>
      <c r="S26" s="42" t="n">
        <v>1</v>
      </c>
      <c r="T26" s="42" t="n">
        <v>0</v>
      </c>
      <c r="U26" s="42" t="n">
        <v>0</v>
      </c>
    </row>
    <row r="27">
      <c r="A27" s="42" t="inlineStr">
        <is>
          <t>B119</t>
        </is>
      </c>
      <c r="B27" s="42" t="inlineStr">
        <is>
          <t>FUNDAMENTOS DEL ANÁLISIS ECONÓMICO</t>
        </is>
      </c>
      <c r="C27" s="42" t="inlineStr">
        <is>
          <t>DOCTORADO EN ECONOMÍA</t>
        </is>
      </c>
      <c r="D27" s="42" t="inlineStr">
        <is>
          <t>Egyir , John</t>
        </is>
      </c>
      <c r="E27" s="42" t="inlineStr">
        <is>
          <t>Essays on Development Economics</t>
        </is>
      </c>
      <c r="F27" s="42" t="inlineStr">
        <is>
          <t>09/09/2024</t>
        </is>
      </c>
      <c r="G27" s="42" t="inlineStr">
        <is>
          <t>27434153Y</t>
        </is>
      </c>
      <c r="H27" s="42" t="inlineStr">
        <is>
          <t>Codirector de tesis</t>
        </is>
      </c>
      <c r="I27" s="42" t="inlineStr">
        <is>
          <t>B119</t>
        </is>
      </c>
      <c r="J27" s="42" t="inlineStr">
        <is>
          <t>FUNDAMENTOS DEL ANÁLISIS ECONÓMICO</t>
        </is>
      </c>
      <c r="K27" s="42" t="n">
        <v>0.5</v>
      </c>
      <c r="L27" s="42" t="inlineStr">
        <is>
          <t>B119</t>
        </is>
      </c>
      <c r="M27" s="42" t="n">
        <v>2023</v>
      </c>
      <c r="N27" s="42" t="inlineStr"/>
      <c r="O27" s="42" t="inlineStr"/>
      <c r="P27" s="42" t="inlineStr"/>
      <c r="Q27" s="42" t="inlineStr"/>
      <c r="R27" s="42" t="n">
        <v>100</v>
      </c>
      <c r="S27" s="42" t="n">
        <v>0.5</v>
      </c>
      <c r="T27" s="42" t="n">
        <v>0</v>
      </c>
      <c r="U27" s="42" t="n">
        <v>0</v>
      </c>
    </row>
    <row r="28">
      <c r="A28" s="42" t="inlineStr">
        <is>
          <t>B119</t>
        </is>
      </c>
      <c r="B28" s="42" t="inlineStr">
        <is>
          <t>FUNDAMENTOS DEL ANÁLISIS ECONÓMICO</t>
        </is>
      </c>
      <c r="C28" s="42" t="inlineStr">
        <is>
          <t>DOCTORADO EN ECONOMÍA</t>
        </is>
      </c>
      <c r="D28" s="42" t="inlineStr">
        <is>
          <t>Egyir , John</t>
        </is>
      </c>
      <c r="E28" s="42" t="inlineStr">
        <is>
          <t>Essays on Development Economics</t>
        </is>
      </c>
      <c r="F28" s="42" t="inlineStr">
        <is>
          <t>09/09/2024</t>
        </is>
      </c>
      <c r="G28" s="42" t="inlineStr">
        <is>
          <t>Y3122120E</t>
        </is>
      </c>
      <c r="H28" s="42" t="inlineStr">
        <is>
          <t>Codirector de tesis</t>
        </is>
      </c>
      <c r="I28" s="42" t="inlineStr">
        <is>
          <t>B119</t>
        </is>
      </c>
      <c r="J28" s="42" t="inlineStr">
        <is>
          <t>FUNDAMENTOS DEL ANÁLISIS ECONÓMICO</t>
        </is>
      </c>
      <c r="K28" s="42" t="n">
        <v>0.5</v>
      </c>
      <c r="L28" s="42" t="inlineStr">
        <is>
          <t>B119</t>
        </is>
      </c>
      <c r="M28" s="42" t="n">
        <v>2023</v>
      </c>
      <c r="N28" s="42" t="inlineStr"/>
      <c r="O28" s="42" t="inlineStr"/>
      <c r="P28" s="42" t="inlineStr"/>
      <c r="Q28" s="42" t="inlineStr"/>
      <c r="R28" s="42" t="n">
        <v>100</v>
      </c>
      <c r="S28" s="42" t="n">
        <v>0.5</v>
      </c>
      <c r="T28" s="42" t="n">
        <v>0</v>
      </c>
      <c r="U28" s="42" t="n">
        <v>0</v>
      </c>
    </row>
    <row r="29">
      <c r="A29" s="42" t="inlineStr">
        <is>
          <t>B119</t>
        </is>
      </c>
      <c r="B29" s="42" t="inlineStr">
        <is>
          <t>FUNDAMENTOS DEL ANÁLISIS ECONÓMICO</t>
        </is>
      </c>
      <c r="C29" s="42" t="inlineStr">
        <is>
          <t>DOCTORADO EN ECONOMÍA</t>
        </is>
      </c>
      <c r="D29" s="42" t="inlineStr">
        <is>
          <t>Acquah , Esther</t>
        </is>
      </c>
      <c r="E29" s="42" t="inlineStr">
        <is>
          <t>Essays on economic growth, firm productivity, household labor supply, and welfare</t>
        </is>
      </c>
      <c r="F29" s="42" t="inlineStr">
        <is>
          <t>01/02/2024</t>
        </is>
      </c>
      <c r="G29" s="42" t="inlineStr">
        <is>
          <t>29091879F</t>
        </is>
      </c>
      <c r="H29" s="42" t="inlineStr">
        <is>
          <t>Director de tesis</t>
        </is>
      </c>
      <c r="I29" s="42" t="inlineStr">
        <is>
          <t>B119</t>
        </is>
      </c>
      <c r="J29" s="42" t="inlineStr">
        <is>
          <t>FUNDAMENTOS DEL ANÁLISIS ECONÓMICO</t>
        </is>
      </c>
      <c r="K29" s="42" t="n">
        <v>1</v>
      </c>
      <c r="L29" s="42" t="inlineStr">
        <is>
          <t>B119</t>
        </is>
      </c>
      <c r="M29" s="42" t="n">
        <v>2023</v>
      </c>
      <c r="N29" s="42" t="inlineStr"/>
      <c r="O29" s="42" t="inlineStr"/>
      <c r="P29" s="42" t="inlineStr"/>
      <c r="Q29" s="42" t="inlineStr"/>
      <c r="R29" s="42" t="n">
        <v>100</v>
      </c>
      <c r="S29" s="42" t="n">
        <v>1</v>
      </c>
      <c r="T29" s="42" t="n">
        <v>0</v>
      </c>
      <c r="U29" s="42" t="n">
        <v>0</v>
      </c>
    </row>
    <row r="30">
      <c r="A30" s="42" t="inlineStr">
        <is>
          <t>B119</t>
        </is>
      </c>
      <c r="B30" s="42" t="inlineStr">
        <is>
          <t>FUNDAMENTOS DEL ANÁLISIS ECONÓMICO</t>
        </is>
      </c>
      <c r="C30" s="42" t="inlineStr">
        <is>
          <t>DOCTORADO EN ECONOMÍA</t>
        </is>
      </c>
      <c r="D30" s="42" t="inlineStr">
        <is>
          <t>Yermukanova , Binur</t>
        </is>
      </c>
      <c r="E30" s="42" t="inlineStr">
        <is>
          <t>Essays in Industrial Organization and Behavioral Economics</t>
        </is>
      </c>
      <c r="F30" s="42" t="inlineStr">
        <is>
          <t>16/09/2024</t>
        </is>
      </c>
      <c r="G30" s="42" t="inlineStr">
        <is>
          <t>30586414W</t>
        </is>
      </c>
      <c r="H30" s="42" t="inlineStr">
        <is>
          <t>Codirector de tesis</t>
        </is>
      </c>
      <c r="I30" s="42" t="inlineStr">
        <is>
          <t>B119</t>
        </is>
      </c>
      <c r="J30" s="42" t="inlineStr">
        <is>
          <t>FUNDAMENTOS DEL ANÁLISIS ECONÓMICO</t>
        </is>
      </c>
      <c r="K30" s="42" t="n">
        <v>0.5</v>
      </c>
      <c r="L30" s="42" t="inlineStr">
        <is>
          <t>B119</t>
        </is>
      </c>
      <c r="M30" s="42" t="n">
        <v>2023</v>
      </c>
      <c r="N30" s="42" t="inlineStr"/>
      <c r="O30" s="42" t="inlineStr"/>
      <c r="P30" s="42" t="inlineStr"/>
      <c r="Q30" s="42" t="inlineStr"/>
      <c r="R30" s="42" t="n">
        <v>100</v>
      </c>
      <c r="S30" s="42" t="n">
        <v>0.5</v>
      </c>
      <c r="T30" s="42" t="n">
        <v>0</v>
      </c>
      <c r="U30" s="42" t="n">
        <v>0</v>
      </c>
    </row>
    <row r="31">
      <c r="A31" s="42" t="inlineStr">
        <is>
          <t>B119</t>
        </is>
      </c>
      <c r="B31" s="42" t="inlineStr">
        <is>
          <t>FUNDAMENTOS DEL ANÁLISIS ECONÓMICO</t>
        </is>
      </c>
      <c r="C31" s="42" t="inlineStr">
        <is>
          <t>DOCTORADO EN ECONOMÍA</t>
        </is>
      </c>
      <c r="D31" s="42" t="inlineStr">
        <is>
          <t>Yermukanova , Binur</t>
        </is>
      </c>
      <c r="E31" s="42" t="inlineStr">
        <is>
          <t>Essays in Industrial Organization and Behavioral Economics</t>
        </is>
      </c>
      <c r="F31" s="42" t="inlineStr">
        <is>
          <t>16/09/2024</t>
        </is>
      </c>
      <c r="G31" s="42" t="inlineStr">
        <is>
          <t>48519351T</t>
        </is>
      </c>
      <c r="H31" s="42" t="inlineStr">
        <is>
          <t>Codirector de tesis</t>
        </is>
      </c>
      <c r="I31" s="42" t="inlineStr">
        <is>
          <t>B119</t>
        </is>
      </c>
      <c r="J31" s="42" t="inlineStr">
        <is>
          <t>FUNDAMENTOS DEL ANÁLISIS ECONÓMICO</t>
        </is>
      </c>
      <c r="K31" s="42" t="n">
        <v>0.5</v>
      </c>
      <c r="L31" s="42" t="inlineStr">
        <is>
          <t>B119</t>
        </is>
      </c>
      <c r="M31" s="42" t="n">
        <v>2023</v>
      </c>
      <c r="N31" s="42" t="inlineStr"/>
      <c r="O31" s="42" t="inlineStr"/>
      <c r="P31" s="42" t="inlineStr"/>
      <c r="Q31" s="42" t="inlineStr"/>
      <c r="R31" s="42" t="n">
        <v>100</v>
      </c>
      <c r="S31" s="42" t="n">
        <v>0.5</v>
      </c>
      <c r="T31" s="42" t="n">
        <v>0</v>
      </c>
      <c r="U31" s="42" t="n">
        <v>0</v>
      </c>
    </row>
    <row r="32" customFormat="1" s="43">
      <c r="A32" s="42" t="inlineStr">
        <is>
          <t>B119</t>
        </is>
      </c>
      <c r="B32" s="42" t="inlineStr">
        <is>
          <t>FUNDAMENTOS DEL ANÁLISIS ECONÓMICO</t>
        </is>
      </c>
      <c r="C32" s="42" t="inlineStr">
        <is>
          <t>DOCTORADO EN ECONOMÍA</t>
        </is>
      </c>
      <c r="D32" s="42" t="inlineStr">
        <is>
          <t>Sóñora Noya, Alba</t>
        </is>
      </c>
      <c r="E32" s="42" t="inlineStr">
        <is>
          <t>Essays on Human Capital Formation</t>
        </is>
      </c>
      <c r="F32" s="42" t="inlineStr">
        <is>
          <t>26/09/2024</t>
        </is>
      </c>
      <c r="G32" s="42" t="inlineStr">
        <is>
          <t>24368913E</t>
        </is>
      </c>
      <c r="H32" s="42" t="inlineStr">
        <is>
          <t>Codirector de tesis</t>
        </is>
      </c>
      <c r="I32" s="42" t="inlineStr">
        <is>
          <t>B119</t>
        </is>
      </c>
      <c r="J32" s="42" t="inlineStr">
        <is>
          <t>FUNDAMENTOS DEL ANÁLISIS ECONÓMICO</t>
        </is>
      </c>
      <c r="K32" s="42" t="n">
        <v>0.5</v>
      </c>
      <c r="L32" s="42" t="inlineStr">
        <is>
          <t>B119</t>
        </is>
      </c>
      <c r="M32" s="42" t="n">
        <v>2023</v>
      </c>
      <c r="N32" s="42" t="inlineStr"/>
      <c r="O32" s="42" t="inlineStr"/>
      <c r="P32" s="42" t="inlineStr"/>
      <c r="Q32" s="42" t="inlineStr"/>
      <c r="R32" s="42" t="n">
        <v>100</v>
      </c>
      <c r="S32" s="42" t="n">
        <v>0.5</v>
      </c>
      <c r="T32" s="42" t="n">
        <v>0</v>
      </c>
      <c r="U32" s="42" t="n">
        <v>0</v>
      </c>
    </row>
    <row r="33" customFormat="1" s="43">
      <c r="A33" s="42" t="inlineStr">
        <is>
          <t>B119</t>
        </is>
      </c>
      <c r="B33" s="42" t="inlineStr">
        <is>
          <t>FUNDAMENTOS DEL ANÁLISIS ECONÓMICO</t>
        </is>
      </c>
      <c r="C33" s="42" t="inlineStr">
        <is>
          <t>DOCTORADO EN ECONOMÍA</t>
        </is>
      </c>
      <c r="D33" s="42" t="inlineStr">
        <is>
          <t>Sóñora Noya, Alba</t>
        </is>
      </c>
      <c r="E33" s="42" t="inlineStr">
        <is>
          <t>Essays on Human Capital Formation</t>
        </is>
      </c>
      <c r="F33" s="42" t="inlineStr">
        <is>
          <t>26/09/2024</t>
        </is>
      </c>
      <c r="G33" s="42" t="inlineStr">
        <is>
          <t>'-</t>
        </is>
      </c>
      <c r="H33" s="42" t="inlineStr">
        <is>
          <t>Codirector de tesis</t>
        </is>
      </c>
      <c r="I33" s="42" t="inlineStr">
        <is>
          <t>B119</t>
        </is>
      </c>
      <c r="J33" s="42" t="inlineStr">
        <is>
          <t>FUNDAMENTOS DEL ANÁLISIS ECONÓMICO</t>
        </is>
      </c>
      <c r="K33" s="42" t="n">
        <v>0.5</v>
      </c>
      <c r="L33" s="42" t="inlineStr">
        <is>
          <t>B119</t>
        </is>
      </c>
      <c r="M33" s="42" t="n">
        <v>2023</v>
      </c>
      <c r="N33" s="42" t="inlineStr"/>
      <c r="O33" s="42" t="inlineStr"/>
      <c r="P33" s="42" t="inlineStr"/>
      <c r="Q33" s="42" t="inlineStr"/>
      <c r="R33" s="42" t="n">
        <v>100</v>
      </c>
      <c r="S33" s="42" t="n">
        <v>0.5</v>
      </c>
      <c r="T33" s="42" t="n">
        <v>0</v>
      </c>
      <c r="U33" s="42" t="n">
        <v>0</v>
      </c>
    </row>
    <row r="34">
      <c r="A34" s="42" t="inlineStr">
        <is>
          <t>B119</t>
        </is>
      </c>
      <c r="B34" s="42" t="inlineStr">
        <is>
          <t>FUNDAMENTOS DEL ANÁLISIS ECONÓMICO</t>
        </is>
      </c>
      <c r="C34" s="42" t="inlineStr">
        <is>
          <t>DOCTORADO EN ECONOMÍA</t>
        </is>
      </c>
      <c r="D34" s="42" t="inlineStr">
        <is>
          <t>Acereda Serrano, Beatriz</t>
        </is>
      </c>
      <c r="E34" s="42" t="inlineStr">
        <is>
          <t>Análisis de la estimación y la especificación de diversos modelos econométricos utilizados para evaluar el riesgo financiero</t>
        </is>
      </c>
      <c r="F34" s="42" t="inlineStr">
        <is>
          <t>25/07/2024</t>
        </is>
      </c>
      <c r="G34" s="42" t="inlineStr">
        <is>
          <t>05165620G</t>
        </is>
      </c>
      <c r="H34" s="42" t="inlineStr">
        <is>
          <t>Codirector de tesis</t>
        </is>
      </c>
      <c r="I34" s="42" t="inlineStr">
        <is>
          <t>B119</t>
        </is>
      </c>
      <c r="J34" s="42" t="inlineStr">
        <is>
          <t>FUNDAMENTOS DEL ANÁLISIS ECONÓMICO</t>
        </is>
      </c>
      <c r="K34" s="42" t="n">
        <v>0.5</v>
      </c>
      <c r="L34" s="42" t="inlineStr">
        <is>
          <t>B119</t>
        </is>
      </c>
      <c r="M34" s="42" t="n">
        <v>2023</v>
      </c>
      <c r="N34" s="42" t="inlineStr"/>
      <c r="O34" s="42" t="inlineStr"/>
      <c r="P34" s="42" t="inlineStr"/>
      <c r="Q34" s="42" t="inlineStr"/>
      <c r="R34" s="42" t="n">
        <v>100</v>
      </c>
      <c r="S34" s="42" t="n">
        <v>0.5</v>
      </c>
      <c r="T34" s="42" t="n">
        <v>0</v>
      </c>
      <c r="U34" s="42" t="n">
        <v>0</v>
      </c>
    </row>
    <row r="35">
      <c r="A35" s="42" t="inlineStr">
        <is>
          <t>B119</t>
        </is>
      </c>
      <c r="B35" s="42" t="inlineStr">
        <is>
          <t>FUNDAMENTOS DEL ANÁLISIS ECONÓMICO</t>
        </is>
      </c>
      <c r="C35" s="42" t="inlineStr">
        <is>
          <t>DOCTORADO EN ECONOMÍA</t>
        </is>
      </c>
      <c r="D35" s="42" t="inlineStr">
        <is>
          <t>Acereda Serrano, Beatriz</t>
        </is>
      </c>
      <c r="E35" s="42" t="inlineStr">
        <is>
          <t>Análisis de la estimación y la especificación de diversos modelos econométricos utilizados para evaluar el riesgo financiero</t>
        </is>
      </c>
      <c r="F35" s="42" t="inlineStr">
        <is>
          <t>25/07/2024</t>
        </is>
      </c>
      <c r="G35" s="42" t="inlineStr">
        <is>
          <t>21654944F</t>
        </is>
      </c>
      <c r="H35" s="42" t="inlineStr">
        <is>
          <t>Codirector de tesis</t>
        </is>
      </c>
      <c r="I35" s="42" t="inlineStr">
        <is>
          <t>B119</t>
        </is>
      </c>
      <c r="J35" s="42" t="inlineStr">
        <is>
          <t>FUNDAMENTOS DEL ANÁLISIS ECONÓMICO</t>
        </is>
      </c>
      <c r="K35" s="42" t="n">
        <v>0.5</v>
      </c>
      <c r="L35" s="42" t="inlineStr">
        <is>
          <t>B119</t>
        </is>
      </c>
      <c r="M35" s="42" t="n">
        <v>2023</v>
      </c>
      <c r="N35" s="42" t="inlineStr"/>
      <c r="O35" s="42" t="inlineStr"/>
      <c r="P35" s="42" t="inlineStr"/>
      <c r="Q35" s="42" t="inlineStr"/>
      <c r="R35" s="42" t="n">
        <v>100</v>
      </c>
      <c r="S35" s="42" t="n">
        <v>0.5</v>
      </c>
      <c r="T35" s="42" t="n">
        <v>0</v>
      </c>
      <c r="U35" s="42" t="n">
        <v>0</v>
      </c>
    </row>
    <row r="36">
      <c r="A36" s="42" t="inlineStr">
        <is>
          <t>B138</t>
        </is>
      </c>
      <c r="B36" s="42" t="inlineStr">
        <is>
          <t>Análisis Económico Aplicado</t>
        </is>
      </c>
      <c r="C36" s="42" t="inlineStr">
        <is>
          <t>DOCTORADO EN ECONOMÍA</t>
        </is>
      </c>
      <c r="D36" s="42" t="inlineStr">
        <is>
          <t>Robles Rossello, Antonio</t>
        </is>
      </c>
      <c r="E36" s="42" t="inlineStr">
        <is>
          <t>Essays in Applied Microeconomics</t>
        </is>
      </c>
      <c r="F36" s="42" t="inlineStr">
        <is>
          <t>05/06/2025</t>
        </is>
      </c>
      <c r="G36" s="42" t="inlineStr">
        <is>
          <t>52975861F</t>
        </is>
      </c>
      <c r="H36" s="42" t="inlineStr">
        <is>
          <t>Codirector de tesis</t>
        </is>
      </c>
      <c r="I36" s="42" t="inlineStr">
        <is>
          <t>B119</t>
        </is>
      </c>
      <c r="J36" s="42" t="inlineStr">
        <is>
          <t>Fundamentos del Análisis Económico</t>
        </is>
      </c>
      <c r="K36" s="42" t="n">
        <v>0.5</v>
      </c>
      <c r="L36" s="42" t="inlineStr">
        <is>
          <t>B119</t>
        </is>
      </c>
      <c r="M36" s="42" t="n">
        <v>2024</v>
      </c>
      <c r="N36" s="42" t="inlineStr"/>
      <c r="O36" s="42" t="inlineStr"/>
      <c r="P36" s="42" t="inlineStr"/>
      <c r="Q36" s="42" t="inlineStr"/>
      <c r="R36" s="42" t="n">
        <v>100</v>
      </c>
      <c r="S36" s="42" t="n">
        <v>0.5</v>
      </c>
      <c r="T36" s="42" t="n">
        <v>0</v>
      </c>
      <c r="U36" s="42" t="n">
        <v>0</v>
      </c>
    </row>
    <row r="37">
      <c r="A37" s="42" t="inlineStr">
        <is>
          <t>B138</t>
        </is>
      </c>
      <c r="B37" s="42" t="inlineStr">
        <is>
          <t>Análisis Económico Aplicado</t>
        </is>
      </c>
      <c r="C37" s="42" t="inlineStr">
        <is>
          <t>DOCTORADO EN ECONOMÍA</t>
        </is>
      </c>
      <c r="D37" s="42" t="inlineStr">
        <is>
          <t>Robles Rossello, Antonio</t>
        </is>
      </c>
      <c r="E37" s="42" t="inlineStr">
        <is>
          <t>Essays in Applied Microeconomics</t>
        </is>
      </c>
      <c r="F37" s="42" t="inlineStr">
        <is>
          <t>05/06/2025</t>
        </is>
      </c>
      <c r="G37" s="42" t="inlineStr">
        <is>
          <t>Y3122120E</t>
        </is>
      </c>
      <c r="H37" s="42" t="inlineStr">
        <is>
          <t>Codirector de tesis</t>
        </is>
      </c>
      <c r="I37" s="42" t="inlineStr">
        <is>
          <t>B119</t>
        </is>
      </c>
      <c r="J37" s="42" t="inlineStr">
        <is>
          <t>Fundamentos del Análisis Económico</t>
        </is>
      </c>
      <c r="K37" s="42" t="n">
        <v>0.5</v>
      </c>
      <c r="L37" s="42" t="inlineStr">
        <is>
          <t>B119</t>
        </is>
      </c>
      <c r="M37" s="42" t="n">
        <v>2024</v>
      </c>
      <c r="N37" s="42" t="inlineStr"/>
      <c r="O37" s="42" t="inlineStr"/>
      <c r="P37" s="42" t="inlineStr"/>
      <c r="Q37" s="42" t="inlineStr"/>
      <c r="R37" s="42" t="n">
        <v>100</v>
      </c>
      <c r="S37" s="42" t="n">
        <v>0.5</v>
      </c>
      <c r="T37" s="42" t="n">
        <v>0</v>
      </c>
      <c r="U37" s="42" t="n">
        <v>0</v>
      </c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6" t="n"/>
      <c r="P38" s="25" t="n"/>
      <c r="Q38" s="26" t="n"/>
      <c r="R38" s="25" t="n"/>
      <c r="S38" s="30">
        <f>SUM(S2:S37)</f>
        <v/>
      </c>
      <c r="T38" s="25" t="n"/>
      <c r="U38" s="25" t="n"/>
    </row>
  </sheetData>
  <autoFilter ref="A1:U1">
    <sortState ref="A2:S1885">
      <sortCondition ref="K2:K1885"/>
      <sortCondition ref="D2:D1885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zoomScale="85" zoomScaleNormal="85" workbookViewId="0">
      <selection activeCell="V10" sqref="V10"/>
    </sheetView>
  </sheetViews>
  <sheetFormatPr baseColWidth="10" defaultColWidth="11.44140625" defaultRowHeight="13.2"/>
  <cols>
    <col width="10.88671875" bestFit="1" customWidth="1" style="10" min="1" max="1"/>
    <col width="39.88671875" bestFit="1" customWidth="1" style="10" min="2" max="2"/>
    <col width="17" bestFit="1" customWidth="1" style="10" min="3" max="3"/>
    <col width="3.33203125" bestFit="1" customWidth="1" style="10" min="4" max="9"/>
    <col width="13.109375" bestFit="1" customWidth="1" style="10" min="10" max="10"/>
    <col width="5.33203125" bestFit="1" customWidth="1" style="10" min="11" max="11"/>
    <col width="5.6640625" bestFit="1" customWidth="1" style="10" min="12" max="13"/>
    <col width="5.6640625" bestFit="1" customWidth="1" style="11" min="14" max="14"/>
    <col width="5.6640625" bestFit="1" customWidth="1" style="10" min="15" max="15"/>
    <col width="5.6640625" bestFit="1" customWidth="1" style="11" min="16" max="16"/>
    <col width="5.6640625" bestFit="1" customWidth="1" style="10" min="17" max="19"/>
    <col width="11.44140625" customWidth="1" style="10" min="20" max="16384"/>
  </cols>
  <sheetData>
    <row r="1" ht="30" customHeight="1">
      <c r="A1" s="12" t="inlineStr">
        <is>
          <t>NIF</t>
        </is>
      </c>
      <c r="B1" s="12" t="inlineStr">
        <is>
          <t>NOMBRE_COMPLETO</t>
        </is>
      </c>
      <c r="C1" s="12" t="inlineStr">
        <is>
          <t>TIPO_SEXENIO</t>
        </is>
      </c>
      <c r="D1" s="13" t="inlineStr">
        <is>
          <t>2020</t>
        </is>
      </c>
      <c r="E1" s="13" t="inlineStr">
        <is>
          <t>2021</t>
        </is>
      </c>
      <c r="F1" s="13" t="inlineStr">
        <is>
          <t>2022</t>
        </is>
      </c>
      <c r="G1" s="13" t="inlineStr">
        <is>
          <t>2023</t>
        </is>
      </c>
      <c r="H1" s="13" t="inlineStr">
        <is>
          <t>2024</t>
        </is>
      </c>
      <c r="I1" s="13" t="inlineStr">
        <is>
          <t>2025</t>
        </is>
      </c>
      <c r="J1" s="12" t="inlineStr">
        <is>
          <t>Total general</t>
        </is>
      </c>
      <c r="K1" s="14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 ht="14.4" customHeight="1">
      <c r="A2" s="15" t="inlineStr">
        <is>
          <t>01889872P</t>
        </is>
      </c>
      <c r="B2" s="15" t="inlineStr">
        <is>
          <t>Sanjurjo McNamara, Adam</t>
        </is>
      </c>
      <c r="C2" s="15" t="inlineStr">
        <is>
          <t>FUNCIONARIO</t>
        </is>
      </c>
      <c r="D2" s="15" t="n"/>
      <c r="E2" s="15" t="n">
        <v>1</v>
      </c>
      <c r="F2" s="15" t="n"/>
      <c r="G2" s="15" t="n"/>
      <c r="H2" s="15" t="n"/>
      <c r="I2" s="15" t="n"/>
      <c r="J2" s="15" t="n">
        <v>1</v>
      </c>
      <c r="K2" s="15" t="inlineStr">
        <is>
          <t>B119</t>
        </is>
      </c>
      <c r="L2" s="16" t="n">
        <v>0</v>
      </c>
      <c r="M2" s="16" t="n">
        <v>0</v>
      </c>
      <c r="N2" s="16" t="inlineStr"/>
      <c r="O2" s="16" t="inlineStr"/>
      <c r="P2" s="16" t="n">
        <v>100</v>
      </c>
      <c r="Q2" s="16" t="n">
        <v>0</v>
      </c>
      <c r="R2" s="16" t="n">
        <v>0</v>
      </c>
      <c r="S2" s="16" t="n">
        <v>1</v>
      </c>
    </row>
    <row r="3" ht="14.4" customHeight="1">
      <c r="A3" s="15" t="inlineStr">
        <is>
          <t>05165620G</t>
        </is>
      </c>
      <c r="B3" s="15" t="inlineStr">
        <is>
          <t>Mora López, Juan</t>
        </is>
      </c>
      <c r="C3" s="15" t="inlineStr">
        <is>
          <t>FUNCIONARIO</t>
        </is>
      </c>
      <c r="D3" s="15" t="n"/>
      <c r="E3" s="15" t="n"/>
      <c r="F3" s="15" t="n"/>
      <c r="G3" s="15" t="n">
        <v>1</v>
      </c>
      <c r="H3" s="15" t="n"/>
      <c r="I3" s="15" t="n"/>
      <c r="J3" s="15" t="n">
        <v>1</v>
      </c>
      <c r="K3" s="15" t="inlineStr">
        <is>
          <t>B119</t>
        </is>
      </c>
      <c r="L3" s="16" t="n">
        <v>0</v>
      </c>
      <c r="M3" s="16" t="n">
        <v>0</v>
      </c>
      <c r="N3" s="16" t="inlineStr"/>
      <c r="O3" s="16" t="inlineStr"/>
      <c r="P3" s="16" t="n">
        <v>100</v>
      </c>
      <c r="Q3" s="16" t="n">
        <v>0</v>
      </c>
      <c r="R3" s="16" t="n">
        <v>0</v>
      </c>
      <c r="S3" s="16" t="n">
        <v>1</v>
      </c>
    </row>
    <row r="4" ht="14.4" customHeight="1">
      <c r="A4" s="15" t="inlineStr">
        <is>
          <t>05304402G</t>
        </is>
      </c>
      <c r="B4" s="15" t="inlineStr">
        <is>
          <t>Cueva Herrero, Carlos</t>
        </is>
      </c>
      <c r="C4" s="15" t="inlineStr">
        <is>
          <t>NO FUNCIONARIO</t>
        </is>
      </c>
      <c r="D4" s="15" t="n"/>
      <c r="E4" s="15" t="n"/>
      <c r="F4" s="15" t="n"/>
      <c r="G4" s="15" t="n">
        <v>1</v>
      </c>
      <c r="H4" s="15" t="n"/>
      <c r="I4" s="15" t="n"/>
      <c r="J4" s="15" t="n">
        <v>1</v>
      </c>
      <c r="K4" s="15" t="inlineStr">
        <is>
          <t>B119</t>
        </is>
      </c>
      <c r="L4" s="16" t="n">
        <v>0</v>
      </c>
      <c r="M4" s="16" t="n">
        <v>0</v>
      </c>
      <c r="N4" s="16" t="inlineStr"/>
      <c r="O4" s="16" t="inlineStr"/>
      <c r="P4" s="16" t="n">
        <v>100</v>
      </c>
      <c r="Q4" s="16" t="n">
        <v>0</v>
      </c>
      <c r="R4" s="16" t="n">
        <v>0</v>
      </c>
      <c r="S4" s="16" t="n">
        <v>1</v>
      </c>
    </row>
    <row r="5" ht="14.4" customHeight="1">
      <c r="A5" s="15" t="inlineStr">
        <is>
          <t>14304945A</t>
        </is>
      </c>
      <c r="B5" s="15" t="inlineStr">
        <is>
          <t>Molina Millán, Teresa</t>
        </is>
      </c>
      <c r="C5" s="15" t="inlineStr">
        <is>
          <t>NO FUNCIONARIO</t>
        </is>
      </c>
      <c r="D5" s="15" t="n"/>
      <c r="E5" s="15" t="n"/>
      <c r="F5" s="15" t="n"/>
      <c r="G5" s="15" t="n"/>
      <c r="H5" s="15" t="n"/>
      <c r="I5" s="15" t="n">
        <v>1</v>
      </c>
      <c r="J5" s="15" t="n">
        <v>1</v>
      </c>
      <c r="K5" s="15" t="inlineStr">
        <is>
          <t>B119</t>
        </is>
      </c>
      <c r="L5" s="16" t="n">
        <v>0</v>
      </c>
      <c r="M5" s="16" t="n">
        <v>0</v>
      </c>
      <c r="N5" s="16" t="inlineStr"/>
      <c r="O5" s="16" t="inlineStr"/>
      <c r="P5" s="16" t="n">
        <v>100</v>
      </c>
      <c r="Q5" s="16" t="n">
        <v>0</v>
      </c>
      <c r="R5" s="16" t="n">
        <v>0</v>
      </c>
      <c r="S5" s="16" t="n">
        <v>1</v>
      </c>
    </row>
    <row r="6" ht="14.4" customHeight="1">
      <c r="A6" s="15" t="inlineStr">
        <is>
          <t>21422324D</t>
        </is>
      </c>
      <c r="B6" s="15" t="inlineStr">
        <is>
          <t>Carmona Martínez, Julio</t>
        </is>
      </c>
      <c r="C6" s="15" t="inlineStr">
        <is>
          <t>FUNCIONARIO</t>
        </is>
      </c>
      <c r="D6" s="15" t="n"/>
      <c r="E6" s="15" t="n"/>
      <c r="F6" s="15" t="n"/>
      <c r="G6" s="15" t="n"/>
      <c r="H6" s="15" t="n">
        <v>1</v>
      </c>
      <c r="I6" s="15" t="n"/>
      <c r="J6" s="15" t="n">
        <v>1</v>
      </c>
      <c r="K6" s="15" t="inlineStr">
        <is>
          <t>B119</t>
        </is>
      </c>
      <c r="L6" s="16" t="n">
        <v>0</v>
      </c>
      <c r="M6" s="16" t="n">
        <v>0</v>
      </c>
      <c r="N6" s="16" t="inlineStr"/>
      <c r="O6" s="16" t="inlineStr"/>
      <c r="P6" s="16" t="n">
        <v>100</v>
      </c>
      <c r="Q6" s="16" t="n">
        <v>0</v>
      </c>
      <c r="R6" s="16" t="n">
        <v>0</v>
      </c>
      <c r="S6" s="16" t="n">
        <v>1</v>
      </c>
    </row>
    <row r="7" ht="14.4" customHeight="1">
      <c r="A7" s="15" t="inlineStr">
        <is>
          <t>21459294H</t>
        </is>
      </c>
      <c r="B7" s="15" t="inlineStr">
        <is>
          <t>Beviá Baeza, María del Carmen</t>
        </is>
      </c>
      <c r="C7" s="15" t="inlineStr">
        <is>
          <t>FUNCIONARIO</t>
        </is>
      </c>
      <c r="D7" s="15" t="n"/>
      <c r="E7" s="15" t="n"/>
      <c r="F7" s="15" t="n">
        <v>1</v>
      </c>
      <c r="G7" s="15" t="n"/>
      <c r="H7" s="15" t="n"/>
      <c r="I7" s="15" t="n"/>
      <c r="J7" s="15" t="n">
        <v>1</v>
      </c>
      <c r="K7" s="15" t="inlineStr">
        <is>
          <t>B119</t>
        </is>
      </c>
      <c r="L7" s="16" t="n">
        <v>0</v>
      </c>
      <c r="M7" s="16" t="n">
        <v>0</v>
      </c>
      <c r="N7" s="16" t="inlineStr"/>
      <c r="O7" s="16" t="inlineStr"/>
      <c r="P7" s="16" t="n">
        <v>100</v>
      </c>
      <c r="Q7" s="16" t="n">
        <v>0</v>
      </c>
      <c r="R7" s="16" t="n">
        <v>0</v>
      </c>
      <c r="S7" s="16" t="n">
        <v>1</v>
      </c>
    </row>
    <row r="8" ht="14.4" customHeight="1">
      <c r="A8" s="15" t="inlineStr">
        <is>
          <t>21463437K</t>
        </is>
      </c>
      <c r="B8" s="15" t="inlineStr">
        <is>
          <t>Alcalde Pérez, José</t>
        </is>
      </c>
      <c r="C8" s="15" t="inlineStr">
        <is>
          <t>FUNCIONARIO</t>
        </is>
      </c>
      <c r="D8" s="15" t="n"/>
      <c r="E8" s="15" t="n"/>
      <c r="F8" s="15" t="n"/>
      <c r="G8" s="15" t="n"/>
      <c r="H8" s="15" t="n"/>
      <c r="I8" s="15" t="n">
        <v>1</v>
      </c>
      <c r="J8" s="15" t="n">
        <v>1</v>
      </c>
      <c r="K8" s="15" t="inlineStr">
        <is>
          <t>B119</t>
        </is>
      </c>
      <c r="L8" s="16" t="inlineStr">
        <is>
          <t>10.22</t>
        </is>
      </c>
      <c r="M8" s="16" t="inlineStr">
        <is>
          <t>100</t>
        </is>
      </c>
      <c r="N8" s="16" t="inlineStr"/>
      <c r="O8" s="16" t="inlineStr"/>
      <c r="P8" s="16" t="n">
        <v>0</v>
      </c>
      <c r="Q8" s="16" t="n">
        <v>1</v>
      </c>
      <c r="R8" s="16" t="n">
        <v>0</v>
      </c>
      <c r="S8" s="16" t="n">
        <v>0</v>
      </c>
    </row>
    <row r="9" ht="14.4" customHeight="1">
      <c r="A9" s="15" t="inlineStr">
        <is>
          <t>21654944F</t>
        </is>
      </c>
      <c r="B9" s="15" t="inlineStr">
        <is>
          <t>León Valle, Ángel Manuel</t>
        </is>
      </c>
      <c r="C9" s="15" t="inlineStr">
        <is>
          <t>FUNCIONARIO</t>
        </is>
      </c>
      <c r="D9" s="15" t="n"/>
      <c r="E9" s="15" t="n">
        <v>1</v>
      </c>
      <c r="F9" s="15" t="n"/>
      <c r="G9" s="15" t="n"/>
      <c r="H9" s="15" t="n"/>
      <c r="I9" s="15" t="n"/>
      <c r="J9" s="15" t="n">
        <v>1</v>
      </c>
      <c r="K9" s="15" t="inlineStr">
        <is>
          <t>B119</t>
        </is>
      </c>
      <c r="L9" s="16" t="n">
        <v>0</v>
      </c>
      <c r="M9" s="16" t="n">
        <v>0</v>
      </c>
      <c r="N9" s="16" t="inlineStr"/>
      <c r="O9" s="16" t="inlineStr"/>
      <c r="P9" s="16" t="n">
        <v>100</v>
      </c>
      <c r="Q9" s="16" t="n">
        <v>0</v>
      </c>
      <c r="R9" s="16" t="n">
        <v>0</v>
      </c>
      <c r="S9" s="16" t="n">
        <v>1</v>
      </c>
    </row>
    <row r="10" ht="14.4" customHeight="1">
      <c r="A10" s="15" t="inlineStr">
        <is>
          <t>21985548D</t>
        </is>
      </c>
      <c r="B10" s="15" t="inlineStr">
        <is>
          <t>Subiza Martínez, María Begoña</t>
        </is>
      </c>
      <c r="C10" s="17" t="inlineStr">
        <is>
          <t>FUNCIONARIO</t>
        </is>
      </c>
      <c r="D10" s="15" t="n"/>
      <c r="E10" s="15" t="n"/>
      <c r="F10" s="15" t="n"/>
      <c r="G10" s="15" t="n">
        <v>1</v>
      </c>
      <c r="H10" s="15" t="n"/>
      <c r="I10" s="15" t="n"/>
      <c r="J10" s="15" t="n">
        <v>1</v>
      </c>
      <c r="K10" s="15" t="inlineStr">
        <is>
          <t>B119</t>
        </is>
      </c>
      <c r="L10" s="16" t="inlineStr">
        <is>
          <t>10.22</t>
        </is>
      </c>
      <c r="M10" s="16" t="inlineStr">
        <is>
          <t>100</t>
        </is>
      </c>
      <c r="N10" s="16" t="inlineStr"/>
      <c r="O10" s="16" t="inlineStr"/>
      <c r="P10" s="16" t="n">
        <v>0</v>
      </c>
      <c r="Q10" s="16" t="n">
        <v>1</v>
      </c>
      <c r="R10" s="16" t="n">
        <v>0</v>
      </c>
      <c r="S10" s="16" t="n">
        <v>0</v>
      </c>
    </row>
    <row r="11" ht="14.4" customHeight="1">
      <c r="A11" s="15" t="inlineStr">
        <is>
          <t>27434153Y</t>
        </is>
      </c>
      <c r="B11" s="15" t="inlineStr">
        <is>
          <t>Collado Vindel, María Dolores</t>
        </is>
      </c>
      <c r="C11" s="15" t="inlineStr">
        <is>
          <t>Vivos</t>
        </is>
      </c>
      <c r="D11" s="15" t="n"/>
      <c r="E11" s="15" t="n"/>
      <c r="F11" s="15" t="n"/>
      <c r="G11" s="15" t="n"/>
      <c r="H11" s="15" t="n"/>
      <c r="I11" s="15" t="n">
        <v>1</v>
      </c>
      <c r="J11" s="15" t="n">
        <v>1</v>
      </c>
      <c r="K11" s="15" t="inlineStr">
        <is>
          <t>B119</t>
        </is>
      </c>
      <c r="L11" s="16" t="n">
        <v>0</v>
      </c>
      <c r="M11" s="16" t="n">
        <v>0</v>
      </c>
      <c r="N11" s="16" t="inlineStr"/>
      <c r="O11" s="16" t="inlineStr"/>
      <c r="P11" s="16" t="n">
        <v>100</v>
      </c>
      <c r="Q11" s="16" t="n">
        <v>0</v>
      </c>
      <c r="R11" s="16" t="n">
        <v>0</v>
      </c>
      <c r="S11" s="16" t="n">
        <v>1</v>
      </c>
    </row>
    <row r="12" ht="14.4" customHeight="1">
      <c r="A12" s="15" t="inlineStr">
        <is>
          <t>29091879F</t>
        </is>
      </c>
      <c r="B12" s="15" t="inlineStr">
        <is>
          <t>Pérez Sebastián, Fidel</t>
        </is>
      </c>
      <c r="C12" s="15" t="inlineStr">
        <is>
          <t>FUNCIONARIO</t>
        </is>
      </c>
      <c r="D12" s="15" t="n"/>
      <c r="E12" s="15" t="n"/>
      <c r="F12" s="15" t="n"/>
      <c r="G12" s="15" t="n">
        <v>1</v>
      </c>
      <c r="H12" s="15" t="n"/>
      <c r="I12" s="15" t="n"/>
      <c r="J12" s="15" t="n">
        <v>1</v>
      </c>
      <c r="K12" s="15" t="inlineStr">
        <is>
          <t>B119</t>
        </is>
      </c>
      <c r="L12" s="16" t="n">
        <v>0</v>
      </c>
      <c r="M12" s="16" t="n">
        <v>0</v>
      </c>
      <c r="N12" s="16" t="inlineStr"/>
      <c r="O12" s="16" t="inlineStr"/>
      <c r="P12" s="16" t="n">
        <v>100</v>
      </c>
      <c r="Q12" s="16" t="n">
        <v>0</v>
      </c>
      <c r="R12" s="16" t="n">
        <v>0</v>
      </c>
      <c r="S12" s="16" t="n">
        <v>1</v>
      </c>
    </row>
    <row r="13" ht="14.4" customHeight="1">
      <c r="A13" s="15" t="inlineStr">
        <is>
          <t>30586414W</t>
        </is>
      </c>
      <c r="B13" s="15" t="inlineStr">
        <is>
          <t>Sandonis Díez, Joel</t>
        </is>
      </c>
      <c r="C13" s="15" t="inlineStr">
        <is>
          <t>FUNCIONARIO</t>
        </is>
      </c>
      <c r="D13" s="15" t="n"/>
      <c r="E13" s="15" t="n"/>
      <c r="F13" s="15" t="n"/>
      <c r="G13" s="15" t="n">
        <v>1</v>
      </c>
      <c r="H13" s="15" t="n"/>
      <c r="I13" s="15" t="n"/>
      <c r="J13" s="15" t="n">
        <v>1</v>
      </c>
      <c r="K13" s="15" t="inlineStr">
        <is>
          <t>B119</t>
        </is>
      </c>
      <c r="L13" s="16" t="n">
        <v>0</v>
      </c>
      <c r="M13" s="16" t="n">
        <v>0</v>
      </c>
      <c r="N13" s="16" t="inlineStr"/>
      <c r="O13" s="16" t="inlineStr"/>
      <c r="P13" s="16" t="n">
        <v>100</v>
      </c>
      <c r="Q13" s="16" t="n">
        <v>0</v>
      </c>
      <c r="R13" s="16" t="n">
        <v>0</v>
      </c>
      <c r="S13" s="16" t="n">
        <v>1</v>
      </c>
    </row>
    <row r="14" ht="14.4" customHeight="1">
      <c r="A14" s="15" t="inlineStr">
        <is>
          <t>34979778K</t>
        </is>
      </c>
      <c r="B14" s="15" t="inlineStr">
        <is>
          <t>Carnero Fernández, María Ángeles</t>
        </is>
      </c>
      <c r="C14" s="15" t="inlineStr">
        <is>
          <t>Vivos</t>
        </is>
      </c>
      <c r="D14" s="15" t="n"/>
      <c r="E14" s="15" t="n"/>
      <c r="F14" s="15" t="n"/>
      <c r="G14" s="15" t="n"/>
      <c r="H14" s="15" t="n"/>
      <c r="I14" s="15" t="n">
        <v>1</v>
      </c>
      <c r="J14" s="15" t="n">
        <v>1</v>
      </c>
      <c r="K14" s="15" t="inlineStr">
        <is>
          <t>B119</t>
        </is>
      </c>
      <c r="L14" s="16" t="n">
        <v>0</v>
      </c>
      <c r="M14" s="16" t="n">
        <v>0</v>
      </c>
      <c r="N14" s="16" t="inlineStr"/>
      <c r="O14" s="16" t="inlineStr"/>
      <c r="P14" s="16" t="n">
        <v>100</v>
      </c>
      <c r="Q14" s="16" t="n">
        <v>0</v>
      </c>
      <c r="R14" s="16" t="n">
        <v>0</v>
      </c>
      <c r="S14" s="16" t="n">
        <v>1</v>
      </c>
    </row>
    <row r="15" ht="14.4" customHeight="1">
      <c r="A15" s="15" t="inlineStr">
        <is>
          <t>37744110Y</t>
        </is>
      </c>
      <c r="B15" s="15" t="inlineStr">
        <is>
          <t>Faulí Oller, Ramon</t>
        </is>
      </c>
      <c r="C15" s="15" t="inlineStr">
        <is>
          <t>FUNCIONARIO</t>
        </is>
      </c>
      <c r="D15" s="15" t="n"/>
      <c r="E15" s="15" t="n"/>
      <c r="F15" s="15" t="n"/>
      <c r="G15" s="15" t="n"/>
      <c r="H15" s="15" t="n"/>
      <c r="I15" s="15" t="n">
        <v>1</v>
      </c>
      <c r="J15" s="15" t="n">
        <v>1</v>
      </c>
      <c r="K15" s="15" t="inlineStr">
        <is>
          <t>B119</t>
        </is>
      </c>
      <c r="L15" s="16" t="n">
        <v>0</v>
      </c>
      <c r="M15" s="16" t="n">
        <v>0</v>
      </c>
      <c r="N15" s="16" t="inlineStr"/>
      <c r="O15" s="16" t="inlineStr"/>
      <c r="P15" s="16" t="n">
        <v>100</v>
      </c>
      <c r="Q15" s="16" t="n">
        <v>0</v>
      </c>
      <c r="R15" s="16" t="n">
        <v>0</v>
      </c>
      <c r="S15" s="16" t="n">
        <v>1</v>
      </c>
    </row>
    <row r="16" ht="14.4" customHeight="1">
      <c r="A16" s="15" t="inlineStr">
        <is>
          <t>51061335R</t>
        </is>
      </c>
      <c r="B16" s="15" t="inlineStr">
        <is>
          <t>Messina Granovsky, Julián Santiago</t>
        </is>
      </c>
      <c r="C16" s="15" t="inlineStr">
        <is>
          <t>FUNCIONARIO</t>
        </is>
      </c>
      <c r="D16" s="15" t="n"/>
      <c r="E16" s="15" t="n"/>
      <c r="F16" s="15" t="n"/>
      <c r="G16" s="15" t="n"/>
      <c r="H16" s="15" t="n"/>
      <c r="I16" s="15" t="n">
        <v>3</v>
      </c>
      <c r="J16" s="15" t="n">
        <v>3</v>
      </c>
      <c r="K16" s="15" t="inlineStr">
        <is>
          <t>B119</t>
        </is>
      </c>
      <c r="L16" s="16" t="n">
        <v>0</v>
      </c>
      <c r="M16" s="16" t="n">
        <v>0</v>
      </c>
      <c r="N16" s="16" t="inlineStr"/>
      <c r="O16" s="16" t="inlineStr"/>
      <c r="P16" s="16" t="n">
        <v>100</v>
      </c>
      <c r="Q16" s="16" t="n">
        <v>0</v>
      </c>
      <c r="R16" s="16" t="n">
        <v>0</v>
      </c>
      <c r="S16" s="16" t="n">
        <v>3</v>
      </c>
    </row>
    <row r="17" ht="14.4" customHeight="1">
      <c r="A17" s="15" t="inlineStr">
        <is>
          <t>52773083C</t>
        </is>
      </c>
      <c r="B17" s="15" t="inlineStr">
        <is>
          <t>Payá Sastre, Iván</t>
        </is>
      </c>
      <c r="C17" s="15" t="inlineStr">
        <is>
          <t>FUNCIONARIO</t>
        </is>
      </c>
      <c r="D17" s="15" t="n"/>
      <c r="E17" s="15" t="n"/>
      <c r="F17" s="15" t="n"/>
      <c r="G17" s="15" t="n">
        <v>4</v>
      </c>
      <c r="H17" s="15" t="n"/>
      <c r="I17" s="15" t="n"/>
      <c r="J17" s="15" t="n">
        <v>4</v>
      </c>
      <c r="K17" s="15" t="inlineStr">
        <is>
          <t>B119</t>
        </is>
      </c>
      <c r="L17" s="16" t="n">
        <v>0</v>
      </c>
      <c r="M17" s="16" t="n">
        <v>0</v>
      </c>
      <c r="N17" s="16" t="inlineStr"/>
      <c r="O17" s="16" t="inlineStr"/>
      <c r="P17" s="16" t="n">
        <v>100</v>
      </c>
      <c r="Q17" s="16" t="n">
        <v>0</v>
      </c>
      <c r="R17" s="16" t="n">
        <v>0</v>
      </c>
      <c r="S17" s="16" t="n">
        <v>4</v>
      </c>
    </row>
    <row r="18" ht="14.4" customHeight="1">
      <c r="A18" s="15" t="inlineStr">
        <is>
          <t>52975861F</t>
        </is>
      </c>
      <c r="B18" s="15" t="inlineStr">
        <is>
          <t>Albarrán Pérez, Pedro</t>
        </is>
      </c>
      <c r="C18" s="15" t="inlineStr">
        <is>
          <t>NO FUNCIONARIO</t>
        </is>
      </c>
      <c r="D18" s="15" t="n"/>
      <c r="E18" s="15" t="n"/>
      <c r="F18" s="15" t="n">
        <v>2</v>
      </c>
      <c r="G18" s="15" t="n"/>
      <c r="H18" s="15" t="n"/>
      <c r="I18" s="15" t="n">
        <v>1</v>
      </c>
      <c r="J18" s="15" t="n">
        <v>3</v>
      </c>
      <c r="K18" s="15" t="inlineStr">
        <is>
          <t>B119</t>
        </is>
      </c>
      <c r="L18" s="16" t="n">
        <v>0</v>
      </c>
      <c r="M18" s="16" t="n">
        <v>0</v>
      </c>
      <c r="N18" s="16" t="inlineStr"/>
      <c r="O18" s="16" t="inlineStr"/>
      <c r="P18" s="16" t="n">
        <v>100</v>
      </c>
      <c r="Q18" s="16" t="n">
        <v>0</v>
      </c>
      <c r="R18" s="16" t="n">
        <v>0</v>
      </c>
      <c r="S18" s="16" t="n">
        <v>3</v>
      </c>
    </row>
    <row r="19" ht="14.4" customHeight="1">
      <c r="A19" s="15" t="inlineStr">
        <is>
          <t>52999363A</t>
        </is>
      </c>
      <c r="B19" s="15" t="inlineStr">
        <is>
          <t>Franjo García, Luis</t>
        </is>
      </c>
      <c r="C19" s="17" t="inlineStr">
        <is>
          <t>NO FUNCIONARIO</t>
        </is>
      </c>
      <c r="D19" s="15" t="n"/>
      <c r="E19" s="15" t="n"/>
      <c r="F19" s="15" t="n"/>
      <c r="G19" s="15" t="n"/>
      <c r="H19" s="15" t="n"/>
      <c r="I19" s="15" t="n">
        <v>1</v>
      </c>
      <c r="J19" s="15" t="n">
        <v>1</v>
      </c>
      <c r="K19" s="15" t="inlineStr">
        <is>
          <t>B119</t>
        </is>
      </c>
      <c r="L19" s="16" t="n">
        <v>0</v>
      </c>
      <c r="M19" s="16" t="n">
        <v>0</v>
      </c>
      <c r="N19" s="16" t="inlineStr"/>
      <c r="O19" s="16" t="inlineStr"/>
      <c r="P19" s="16" t="n">
        <v>100</v>
      </c>
      <c r="Q19" s="16" t="n">
        <v>0</v>
      </c>
      <c r="R19" s="16" t="n">
        <v>0</v>
      </c>
      <c r="S19" s="16" t="n">
        <v>1</v>
      </c>
    </row>
    <row r="20" ht="14.4" customHeight="1">
      <c r="A20" s="15" t="inlineStr">
        <is>
          <t>72390115F</t>
        </is>
      </c>
      <c r="B20" s="15" t="inlineStr">
        <is>
          <t>Iturbe-Ormaeche Cortajarena, Íñigo</t>
        </is>
      </c>
      <c r="C20" s="17" t="inlineStr">
        <is>
          <t>FUNCIONARIO</t>
        </is>
      </c>
      <c r="D20" s="15" t="n"/>
      <c r="E20" s="15" t="n"/>
      <c r="F20" s="15" t="n"/>
      <c r="G20" s="15" t="n">
        <v>1</v>
      </c>
      <c r="H20" s="15" t="n"/>
      <c r="I20" s="15" t="n"/>
      <c r="J20" s="15" t="n">
        <v>1</v>
      </c>
      <c r="K20" s="15" t="inlineStr">
        <is>
          <t>B119</t>
        </is>
      </c>
      <c r="L20" s="16" t="n">
        <v>0</v>
      </c>
      <c r="M20" s="16" t="n">
        <v>0</v>
      </c>
      <c r="N20" s="16" t="inlineStr"/>
      <c r="O20" s="16" t="inlineStr"/>
      <c r="P20" s="16" t="n">
        <v>100</v>
      </c>
      <c r="Q20" s="16" t="n">
        <v>0</v>
      </c>
      <c r="R20" s="16" t="n">
        <v>0</v>
      </c>
      <c r="S20" s="16" t="n">
        <v>1</v>
      </c>
    </row>
    <row r="21" ht="14.4" customHeight="1">
      <c r="A21" s="15" t="inlineStr">
        <is>
          <t>73908310H</t>
        </is>
      </c>
      <c r="B21" s="15" t="inlineStr">
        <is>
          <t>Peris Ferrando, Josep Enric</t>
        </is>
      </c>
      <c r="C21" s="17" t="inlineStr">
        <is>
          <t>FUNCIONARIO</t>
        </is>
      </c>
      <c r="D21" s="15" t="n"/>
      <c r="E21" s="15" t="n"/>
      <c r="F21" s="15" t="n">
        <v>1</v>
      </c>
      <c r="G21" s="15" t="n"/>
      <c r="H21" s="15" t="n"/>
      <c r="I21" s="15" t="n"/>
      <c r="J21" s="15" t="n">
        <v>1</v>
      </c>
      <c r="K21" s="15" t="inlineStr">
        <is>
          <t>B119</t>
        </is>
      </c>
      <c r="L21" s="16" t="inlineStr">
        <is>
          <t>10.22</t>
        </is>
      </c>
      <c r="M21" s="16" t="inlineStr">
        <is>
          <t>100</t>
        </is>
      </c>
      <c r="N21" s="16" t="inlineStr"/>
      <c r="O21" s="16" t="inlineStr"/>
      <c r="P21" s="16" t="n">
        <v>0</v>
      </c>
      <c r="Q21" s="16" t="n">
        <v>1</v>
      </c>
      <c r="R21" s="16" t="n">
        <v>0</v>
      </c>
      <c r="S21" s="16" t="n">
        <v>0</v>
      </c>
    </row>
    <row r="22" ht="14.4" customHeight="1">
      <c r="A22" s="15" t="inlineStr">
        <is>
          <t>74182605S</t>
        </is>
      </c>
      <c r="B22" s="15" t="inlineStr">
        <is>
          <t>Guilló Fuentes, María Dolores</t>
        </is>
      </c>
      <c r="C22" s="17" t="inlineStr">
        <is>
          <t>Vivos</t>
        </is>
      </c>
      <c r="D22" s="15" t="n"/>
      <c r="E22" s="15" t="n"/>
      <c r="F22" s="15" t="n"/>
      <c r="G22" s="15" t="n"/>
      <c r="H22" s="15" t="n"/>
      <c r="I22" s="15" t="n">
        <v>1</v>
      </c>
      <c r="J22" s="15" t="n">
        <v>1</v>
      </c>
      <c r="K22" s="15" t="inlineStr">
        <is>
          <t>B119</t>
        </is>
      </c>
      <c r="L22" s="21" t="inlineStr">
        <is>
          <t>10.22</t>
        </is>
      </c>
      <c r="M22" s="21" t="inlineStr">
        <is>
          <t>50</t>
        </is>
      </c>
      <c r="N22" s="21" t="inlineStr"/>
      <c r="O22" s="21" t="inlineStr"/>
      <c r="P22" s="21" t="n">
        <v>50</v>
      </c>
      <c r="Q22" s="21" t="n">
        <v>0.5</v>
      </c>
      <c r="R22" s="21" t="n">
        <v>0</v>
      </c>
      <c r="S22" s="21" t="n">
        <v>0.5</v>
      </c>
    </row>
    <row r="23" ht="14.4" customHeight="1">
      <c r="A23" s="15" t="inlineStr">
        <is>
          <t>X2815985A</t>
        </is>
      </c>
      <c r="B23" s="15" t="inlineStr">
        <is>
          <t>Ponti, Giovanni</t>
        </is>
      </c>
      <c r="C23" s="17" t="inlineStr">
        <is>
          <t>FUNCIONARIO</t>
        </is>
      </c>
      <c r="D23" s="15" t="n"/>
      <c r="E23" s="15" t="n"/>
      <c r="F23" s="15" t="n">
        <v>1</v>
      </c>
      <c r="G23" s="15" t="n"/>
      <c r="H23" s="15" t="n"/>
      <c r="I23" s="15" t="n"/>
      <c r="J23" s="15" t="n">
        <v>1</v>
      </c>
      <c r="K23" s="15" t="inlineStr">
        <is>
          <t>B119</t>
        </is>
      </c>
      <c r="L23" s="21" t="n">
        <v>0</v>
      </c>
      <c r="M23" s="21" t="n">
        <v>0</v>
      </c>
      <c r="N23" s="21" t="inlineStr"/>
      <c r="O23" s="21" t="inlineStr"/>
      <c r="P23" s="21" t="n">
        <v>100</v>
      </c>
      <c r="Q23" s="21" t="n">
        <v>0</v>
      </c>
      <c r="R23" s="21" t="n">
        <v>0</v>
      </c>
      <c r="S23" s="21" t="n">
        <v>1</v>
      </c>
    </row>
    <row r="24" ht="14.4" customHeight="1">
      <c r="A24" s="15" t="inlineStr">
        <is>
          <t>X6032506C</t>
        </is>
      </c>
      <c r="B24" s="15" t="inlineStr">
        <is>
          <t>Bleichrodt, Han</t>
        </is>
      </c>
      <c r="C24" s="17" t="inlineStr">
        <is>
          <t>FUNCIONARIO</t>
        </is>
      </c>
      <c r="D24" s="15" t="n"/>
      <c r="E24" s="15" t="n"/>
      <c r="F24" s="15" t="n"/>
      <c r="G24" s="15" t="n">
        <v>5</v>
      </c>
      <c r="H24" s="15" t="n"/>
      <c r="I24" s="15" t="n"/>
      <c r="J24" s="15" t="n">
        <v>5</v>
      </c>
      <c r="K24" s="15" t="inlineStr">
        <is>
          <t>B119</t>
        </is>
      </c>
      <c r="L24" s="21" t="n">
        <v>0</v>
      </c>
      <c r="M24" s="21" t="n">
        <v>0</v>
      </c>
      <c r="N24" s="21" t="inlineStr"/>
      <c r="O24" s="21" t="inlineStr"/>
      <c r="P24" s="21" t="n">
        <v>100</v>
      </c>
      <c r="Q24" s="21" t="n">
        <v>0</v>
      </c>
      <c r="R24" s="21" t="n">
        <v>0</v>
      </c>
      <c r="S24" s="21" t="n">
        <v>5</v>
      </c>
    </row>
    <row r="25" ht="14.4" customHeight="1">
      <c r="A25" s="15" t="inlineStr">
        <is>
          <t>X6099967E</t>
        </is>
      </c>
      <c r="B25" s="15" t="inlineStr">
        <is>
          <t>Turino, Francesco</t>
        </is>
      </c>
      <c r="C25" s="17" t="inlineStr">
        <is>
          <t>FUNCIONARIO</t>
        </is>
      </c>
      <c r="D25" s="15" t="n">
        <v>1</v>
      </c>
      <c r="E25" s="15" t="n"/>
      <c r="F25" s="15" t="n"/>
      <c r="G25" s="15" t="n"/>
      <c r="H25" s="15" t="n"/>
      <c r="I25" s="15" t="n"/>
      <c r="J25" s="15" t="n">
        <v>1</v>
      </c>
      <c r="K25" s="15" t="inlineStr">
        <is>
          <t>B119</t>
        </is>
      </c>
      <c r="L25" s="21" t="n">
        <v>0</v>
      </c>
      <c r="M25" s="21" t="n">
        <v>0</v>
      </c>
      <c r="N25" s="21" t="inlineStr"/>
      <c r="O25" s="21" t="inlineStr"/>
      <c r="P25" s="21" t="n">
        <v>100</v>
      </c>
      <c r="Q25" s="21" t="n">
        <v>0</v>
      </c>
      <c r="R25" s="21" t="n">
        <v>0</v>
      </c>
      <c r="S25" s="21" t="n">
        <v>1</v>
      </c>
    </row>
    <row r="26" ht="14.4" customHeight="1">
      <c r="A26" s="15" t="inlineStr">
        <is>
          <t>Y3122120E</t>
        </is>
      </c>
      <c r="B26" s="15" t="inlineStr">
        <is>
          <t>Battaglia, Marianna</t>
        </is>
      </c>
      <c r="C26" s="17" t="inlineStr">
        <is>
          <t>FUNCIONARIO</t>
        </is>
      </c>
      <c r="D26" s="15" t="n"/>
      <c r="E26" s="15" t="n"/>
      <c r="F26" s="15" t="n"/>
      <c r="G26" s="15" t="n">
        <v>1</v>
      </c>
      <c r="H26" s="15" t="n"/>
      <c r="I26" s="15" t="n"/>
      <c r="J26" s="15" t="n">
        <v>1</v>
      </c>
      <c r="K26" s="15" t="inlineStr">
        <is>
          <t>B119</t>
        </is>
      </c>
      <c r="L26" s="21" t="n">
        <v>0</v>
      </c>
      <c r="M26" s="21" t="n">
        <v>0</v>
      </c>
      <c r="N26" s="21" t="inlineStr"/>
      <c r="O26" s="21" t="inlineStr"/>
      <c r="P26" s="21" t="n">
        <v>100</v>
      </c>
      <c r="Q26" s="21" t="n">
        <v>0</v>
      </c>
      <c r="R26" s="21" t="n">
        <v>0</v>
      </c>
      <c r="S26" s="21" t="n">
        <v>1</v>
      </c>
    </row>
    <row r="27" ht="14.4" customHeight="1">
      <c r="A27" s="15" t="inlineStr">
        <is>
          <t>Z1057202N</t>
        </is>
      </c>
      <c r="B27" s="15" t="inlineStr">
        <is>
          <t>Pinter, Julien Matthieu Albert</t>
        </is>
      </c>
      <c r="C27" s="17" t="inlineStr">
        <is>
          <t>NO FUNCIONARIO</t>
        </is>
      </c>
      <c r="D27" s="15" t="n"/>
      <c r="E27" s="15" t="n"/>
      <c r="F27" s="15" t="n"/>
      <c r="G27" s="15" t="n"/>
      <c r="H27" s="15" t="n">
        <v>1</v>
      </c>
      <c r="I27" s="15" t="n"/>
      <c r="J27" s="15" t="n">
        <v>1</v>
      </c>
      <c r="K27" s="15" t="inlineStr">
        <is>
          <t>B119</t>
        </is>
      </c>
      <c r="L27" s="21" t="n">
        <v>0</v>
      </c>
      <c r="M27" s="21" t="n">
        <v>0</v>
      </c>
      <c r="N27" s="21" t="inlineStr"/>
      <c r="O27" s="21" t="inlineStr"/>
      <c r="P27" s="21" t="n">
        <v>100</v>
      </c>
      <c r="Q27" s="21" t="n">
        <v>0</v>
      </c>
      <c r="R27" s="21" t="n">
        <v>0</v>
      </c>
      <c r="S27" s="21" t="n">
        <v>1</v>
      </c>
    </row>
    <row r="28" ht="14.4" customHeight="1">
      <c r="A28" s="27" t="n"/>
      <c r="B28" s="27" t="n"/>
      <c r="C28" s="28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9">
        <f>SUM(S2:S27)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B25" sqref="B25"/>
    </sheetView>
  </sheetViews>
  <sheetFormatPr baseColWidth="10" defaultRowHeight="14.4"/>
  <cols>
    <col width="17" customWidth="1" min="1" max="1"/>
    <col width="96" customWidth="1" min="2" max="2"/>
    <col width="16" customWidth="1" min="3" max="3"/>
  </cols>
  <sheetData>
    <row r="1">
      <c r="A1" s="31" t="inlineStr">
        <is>
          <t>Cód. org. aplic.</t>
        </is>
      </c>
      <c r="B1" s="31" t="inlineStr">
        <is>
          <t>Descripción justificante</t>
        </is>
      </c>
      <c r="C1" s="31" t="inlineStr">
        <is>
          <t>Imp.cob.aplic.</t>
        </is>
      </c>
    </row>
    <row r="2">
      <c r="A2" s="22" t="inlineStr">
        <is>
          <t>33.00.6C.00.03</t>
        </is>
      </c>
      <c r="B2" s="22" t="inlineStr">
        <is>
          <t>Evaluación Desigualdad Comunitat Valenciana</t>
        </is>
      </c>
      <c r="C2" s="57" t="n">
        <v>5280</v>
      </c>
    </row>
    <row r="3">
      <c r="A3" s="23" t="inlineStr">
        <is>
          <t>33.00.6H.00.01</t>
        </is>
      </c>
      <c r="B3" s="23" t="inlineStr">
        <is>
          <t>INVEST/2023/448</t>
        </is>
      </c>
      <c r="C3" s="58" t="n">
        <v>132435.68</v>
      </c>
    </row>
    <row r="4">
      <c r="A4" s="22" t="inlineStr">
        <is>
          <t>33.00.6P.00.27</t>
        </is>
      </c>
      <c r="B4" s="22" t="inlineStr">
        <is>
          <t>DEVOLUCIÓN DE INGRESOS_CARTA DE PAGO_ Reintegro en voluntaria de la referencia PID2019-107081GB-I00, anualidad: 2020</t>
        </is>
      </c>
      <c r="C4" s="57" t="n">
        <v>-1134.76</v>
      </c>
    </row>
    <row r="5">
      <c r="A5" s="23" t="inlineStr">
        <is>
          <t>33.00.6P.00.29</t>
        </is>
      </c>
      <c r="B5" s="23" t="inlineStr">
        <is>
          <t xml:space="preserve">PID2019-104980GB-I00/107265GB-I00/108192GB-I00/109627GB-I00/111208GB-I00/105542RB-I00/106230RB-I00/106601RB-I00 </t>
        </is>
      </c>
      <c r="C5" s="58" t="n">
        <v>14112</v>
      </c>
    </row>
    <row r="6">
      <c r="A6" s="22" t="inlineStr">
        <is>
          <t>33.00.6P.00.32</t>
        </is>
      </c>
      <c r="B6" s="22" t="inlineStr">
        <is>
          <t xml:space="preserve">CDEIGENT/2020/016 </t>
        </is>
      </c>
      <c r="C6" s="57" t="n">
        <v>24890</v>
      </c>
    </row>
    <row r="7">
      <c r="A7" s="23" t="inlineStr">
        <is>
          <t>33.00.6P.00.32</t>
        </is>
      </c>
      <c r="B7" s="23" t="inlineStr">
        <is>
          <t>DEVOLUCIÓN DE INGRESOS_MODELO 047_Nº de liquidación:46/2023/RAS/10300/1_ Número de justificante:047/1/002382606_Nº de referencia:047/1/002382606</t>
        </is>
      </c>
      <c r="C7" s="58" t="n">
        <v>-299.31</v>
      </c>
    </row>
    <row r="8">
      <c r="A8" s="22" t="inlineStr">
        <is>
          <t>33.00.6P.00.33</t>
        </is>
      </c>
      <c r="B8" s="22" t="inlineStr">
        <is>
          <t xml:space="preserve">PROMETEO/2020/093/006/017/024/030/055/057/073/079/088 </t>
        </is>
      </c>
      <c r="C8" s="57" t="n">
        <v>125306.55</v>
      </c>
    </row>
    <row r="9">
      <c r="A9" s="22" t="inlineStr">
        <is>
          <t>33.00.6P.00.35</t>
        </is>
      </c>
      <c r="B9" s="22" t="inlineStr">
        <is>
          <t>CIPROM/2021/001/006/017/021/022/027/057/060/062/068/070/074</t>
        </is>
      </c>
      <c r="C9" s="57" t="n">
        <v>137575.8</v>
      </c>
    </row>
    <row r="10">
      <c r="A10" s="23" t="inlineStr">
        <is>
          <t>33.00.6P.00.36</t>
        </is>
      </c>
      <c r="B10" s="23" t="inlineStr">
        <is>
          <t>CIPROM/2021/001/006/017/021/022/027/057/060/062/068/070/074</t>
        </is>
      </c>
      <c r="C10" s="58" t="n">
        <v>142403.7</v>
      </c>
    </row>
    <row r="11">
      <c r="A11" s="22" t="inlineStr">
        <is>
          <t>33.00.6P.00.38</t>
        </is>
      </c>
      <c r="B11" s="22" t="inlineStr">
        <is>
          <t xml:space="preserve">PID2021-122320NA-I00/123699NB-I00/124741NB-I00/124860NB-I00/125387NB-I00/126485OB-I00/127332NB-I00/127566NB-I00/127967NB-I00 </t>
        </is>
      </c>
      <c r="C11" s="57" t="n">
        <v>12358</v>
      </c>
    </row>
    <row r="12">
      <c r="A12" s="23" t="inlineStr">
        <is>
          <t>33.00.6P.00.39</t>
        </is>
      </c>
      <c r="B12" s="23" t="inlineStr">
        <is>
          <t>DEVOLUCIÓN DE INGRESOS_MODELO 047_Nº de liquidación:46/2023/RSC/10285/1_Número de justificante: 047/1/002365005_Nº de referencia:047/1/002365005</t>
        </is>
      </c>
      <c r="C12" s="58" t="n">
        <v>-40.97</v>
      </c>
    </row>
    <row r="13">
      <c r="A13" s="22" t="inlineStr">
        <is>
          <t>33.00.6P.00.39</t>
        </is>
      </c>
      <c r="B13" s="22" t="inlineStr">
        <is>
          <t>HIECPU/2022/3 Resolución de la Secretaria Autonómica de Modelo Económico y Financiación</t>
        </is>
      </c>
      <c r="C13" s="57" t="n">
        <v>25000</v>
      </c>
    </row>
    <row r="14">
      <c r="A14" s="32" t="inlineStr">
        <is>
          <t>33.00.6P.00.41</t>
        </is>
      </c>
      <c r="B14" s="32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14" s="59" t="n">
        <v>55855.2</v>
      </c>
    </row>
    <row r="15">
      <c r="A15" s="34" t="inlineStr">
        <is>
          <t>Total</t>
        </is>
      </c>
      <c r="B15" s="34" t="n"/>
      <c r="C15" s="60">
        <f>SUBTOTAL(109,Tabla2[Imp.cob.aplic.])</f>
        <v/>
      </c>
    </row>
    <row r="16">
      <c r="C16" s="6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27" sqref="B27:C27"/>
    </sheetView>
  </sheetViews>
  <sheetFormatPr baseColWidth="10" defaultRowHeight="14.4"/>
  <cols>
    <col width="12" customWidth="1" min="1" max="1"/>
    <col width="58.33203125" customWidth="1" min="2" max="2"/>
    <col width="18.109375" customWidth="1" min="3" max="3"/>
  </cols>
  <sheetData>
    <row r="1">
      <c r="A1" s="38" t="inlineStr">
        <is>
          <t>Org. aplic.</t>
        </is>
      </c>
      <c r="B1" s="38" t="inlineStr">
        <is>
          <t>Descripción justificante</t>
        </is>
      </c>
      <c r="C1" s="62" t="inlineStr">
        <is>
          <t>Imp. aplic.</t>
        </is>
      </c>
    </row>
    <row r="2">
      <c r="A2" s="36" t="inlineStr">
        <is>
          <t>33.00.6F.00.06</t>
        </is>
      </c>
      <c r="B2" s="36" t="inlineStr">
        <is>
          <t>INGRESO PERCIBIDO POR LA UA EN CONCEPTO DE REINTEGRO DE PAGO A PERSONAL PROPIO REALIZADO POR DUPLICADO EN 2023.</t>
        </is>
      </c>
      <c r="C2" s="57" t="n">
        <v>1249.48</v>
      </c>
    </row>
    <row r="3">
      <c r="A3" s="37" t="inlineStr">
        <is>
          <t>33.00.6H.00.01</t>
        </is>
      </c>
      <c r="B3" s="37" t="inlineStr">
        <is>
          <t>INVEST/2023/448. 9900 322M_O_D S.G. LÍNEA S1140_UA DESPLAZ INVESTIG (linea subvención S1140.  num fact: 6003178093)</t>
        </is>
      </c>
      <c r="C3" s="58" t="n">
        <v>2000</v>
      </c>
    </row>
    <row r="4">
      <c r="A4" s="36" t="inlineStr">
        <is>
          <t>33.00.6M.00.03</t>
        </is>
      </c>
      <c r="B4" s="36" t="inlineStr">
        <is>
          <t>Mecenazgo de las actividades de organización y realización del experimento "Informal Risk Sharing and Formal Insurance: A Laboratory Experiment" por la Universidad de Alicante. Segundo pago.</t>
        </is>
      </c>
      <c r="C4" s="57" t="n">
        <v>1171.62</v>
      </c>
    </row>
    <row r="5">
      <c r="A5" s="37" t="inlineStr">
        <is>
          <t>33.00.6M.00.03</t>
        </is>
      </c>
      <c r="B5" s="37" t="inlineStr">
        <is>
          <t>Mecenazgo de las actividades de organización y realización del experimento "Informal Risk Sharing and Formal Insurance: A Laboratory Experiment" por la Universidad de Alicante</t>
        </is>
      </c>
      <c r="C5" s="58" t="n">
        <v>1468.38</v>
      </c>
    </row>
    <row r="6">
      <c r="A6" s="36" t="inlineStr">
        <is>
          <t>33.00.6P.00.28</t>
        </is>
      </c>
      <c r="B6" s="36" t="inlineStr">
        <is>
          <t>DEVOLUCIÓN DE INGRESOS_CARTA DE PAGO_ REFERENCIA:PID2019-108193GB-I00, ANUALIDAD: 2020</t>
        </is>
      </c>
      <c r="C6" s="57" t="n">
        <v>-21.73</v>
      </c>
    </row>
    <row r="7">
      <c r="A7" s="37" t="inlineStr">
        <is>
          <t>33.00.6P.00.32</t>
        </is>
      </c>
      <c r="B7" s="37" t="inlineStr">
        <is>
          <t xml:space="preserve">ayudas CDEIGENT/2020/016, CDEIGENT/2020/016 </t>
        </is>
      </c>
      <c r="C7" s="58" t="n">
        <v>22640</v>
      </c>
    </row>
    <row r="8">
      <c r="A8" s="36" t="inlineStr">
        <is>
          <t>33.00.6P.00.33</t>
        </is>
      </c>
      <c r="B8" s="36" t="inlineStr">
        <is>
          <t xml:space="preserve">ayudas PROMETEO/2021/006, PROMETEO/2021/017, PROMETEO/2021/030, PROMETEO/2021/055, PROMETEO/2021/057, PROMETEO/2021/073, PROMETEO/2021/079, PROMETEO/2021/088 </t>
        </is>
      </c>
      <c r="C8" s="57" t="n">
        <v>128512.91</v>
      </c>
    </row>
    <row r="9">
      <c r="A9" s="37" t="inlineStr">
        <is>
          <t>33.00.6P.00.35</t>
        </is>
      </c>
      <c r="B9" s="37" t="inlineStr">
        <is>
          <t>AYUDA CIPROM/2021/001, CIPROM/2021/006, CIPROM/2021/017, CIPROM/2021/021, CIPROM/2021/022, CIPROM/2021/027, CIPROM/2021/057, CIPROM/2021/060, CIPROM/2021/062, CIPROM/2021/068, CIPROM/2021/070, CIPROM/2021/074</t>
        </is>
      </c>
      <c r="C9" s="58" t="n">
        <v>130393.8</v>
      </c>
    </row>
    <row r="10">
      <c r="A10" s="36" t="inlineStr">
        <is>
          <t>33.00.6P.00.35</t>
        </is>
      </c>
      <c r="B10" s="36" t="inlineStr">
        <is>
          <t>Abono parcial del justificante 2023/26454 de la empresa Viajes el Corte Inglés con número de abono 2024/A00014 y compensando en el justificante 2024/2078</t>
        </is>
      </c>
      <c r="C10" s="57" t="n">
        <v>125.34</v>
      </c>
    </row>
    <row r="11">
      <c r="A11" s="37" t="inlineStr">
        <is>
          <t>33.00.6P.00.36</t>
        </is>
      </c>
      <c r="B11" s="37" t="inlineStr">
        <is>
          <t>AYUDA CIPROM/2021/001, CIPROM/2021/006, CIPROM/2021/017, CIPROM/2021/021, CIPROM/2021/022, CIPROM/2021/027, CIPROM/2021/057, CIPROM/2021/060, CIPROM/2021/062, CIPROM/2021/068, CIPROM/2021/070, CIPROM/2021/074</t>
        </is>
      </c>
      <c r="C11" s="58" t="n">
        <v>142403.7</v>
      </c>
    </row>
    <row r="12">
      <c r="A12" s="36" t="inlineStr">
        <is>
          <t>33.00.6P.00.37</t>
        </is>
      </c>
      <c r="B12" s="36" t="inlineStr">
        <is>
          <t>PID2021-124139NB-C21 -124237NB-I00 -124721NB-I00 -124741NB-I00 -124860NB-I00 -125175OB-I00 -125279OB-I00 -125387NB-I00 -125517OB-I00 -125883NB-C21-126056OA-I00 -126114NB-C41 -126155OB-I00</t>
        </is>
      </c>
      <c r="C12" s="57" t="n">
        <v>9000</v>
      </c>
    </row>
    <row r="13">
      <c r="A13" s="37" t="inlineStr">
        <is>
          <t>33.00.6P.00.38</t>
        </is>
      </c>
      <c r="B13" s="37" t="inlineStr">
        <is>
          <t>PID2021-124139NB-C21 -124237NB-I00 -124721NB-I00 -124741NB-I00 -124860NB-I00 -125175OB-I00 -125279OB-I00 -125387NB-I00 -125517OB-I00 -125883NB-C21-126056OA-I00 -126114NB-C41 -126155OB-I00</t>
        </is>
      </c>
      <c r="C13" s="58" t="n">
        <v>4440</v>
      </c>
    </row>
    <row r="14">
      <c r="A14" s="36" t="inlineStr">
        <is>
          <t>33.00.6P.00.39</t>
        </is>
      </c>
      <c r="B14" s="36" t="inlineStr">
        <is>
          <t>HIECPU/2022/3</t>
        </is>
      </c>
      <c r="C14" s="57" t="n">
        <v>25000</v>
      </c>
    </row>
    <row r="15">
      <c r="A15" s="37" t="inlineStr">
        <is>
          <t>33.00.6P.00.39</t>
        </is>
      </c>
      <c r="B15" s="37" t="inlineStr">
        <is>
          <t>DEVOLUCIÓN DE INGRESOS_MODELO 047_ Nº DE LIQUIDACIÓN: 46/2024/RSC/10701/1_ Nº DE REFERENCIA: 047/1/002504512_Nº DE JUSTIFICANTE: 047/1/002504512</t>
        </is>
      </c>
      <c r="C15" s="58" t="n">
        <v>-2800</v>
      </c>
    </row>
    <row r="16">
      <c r="A16" s="36" t="inlineStr">
        <is>
          <t>33.00.6P.00.41</t>
        </is>
      </c>
      <c r="B16" s="36" t="inlineStr">
        <is>
          <t>PID2022-139105OB-I00-141712NB-C22-142356NB-I00-141694NB-I00-136399NB-C21-142159OB-I00-137566OB-I00-139552OB-C22-137302NB-C33-139820NB-I00-142960OB-C21</t>
        </is>
      </c>
      <c r="C16" s="57" t="n">
        <v>69819</v>
      </c>
    </row>
    <row r="17">
      <c r="A17" s="37" t="inlineStr">
        <is>
          <t>33.00.6P.00.42</t>
        </is>
      </c>
      <c r="B17" s="37" t="inlineStr">
        <is>
          <t>PROGRAMA AYUDAS ICAR 2023 PROYECTO SHOCKDIVGEN</t>
        </is>
      </c>
      <c r="C17" s="58" t="n">
        <v>14903.36</v>
      </c>
    </row>
    <row r="18">
      <c r="A18" s="36" t="inlineStr">
        <is>
          <t>33.00.6P.00.43</t>
        </is>
      </c>
      <c r="B18" s="36" t="inlineStr">
        <is>
          <t xml:space="preserve">AYUDAS CNS2023-145404, CNS2023-144791, CNS2023-145354 </t>
        </is>
      </c>
      <c r="C18" s="57" t="n">
        <v>116000</v>
      </c>
    </row>
    <row r="19">
      <c r="A19" s="37" t="inlineStr">
        <is>
          <t>33.00.6P.00.44</t>
        </is>
      </c>
      <c r="B19" s="37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19" s="58" t="n">
        <v>60000</v>
      </c>
    </row>
    <row r="20">
      <c r="A20" s="36" t="inlineStr">
        <is>
          <t>33.00.6P.00.44</t>
        </is>
      </c>
      <c r="B20" s="36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20" s="57" t="n">
        <v>10760</v>
      </c>
    </row>
    <row r="21">
      <c r="A21" s="37" t="inlineStr">
        <is>
          <t>33.00.6P.00.45</t>
        </is>
      </c>
      <c r="B21" s="37" t="inlineStr">
        <is>
          <t>Ayudas HIUNPU/2024/02-PT1/02-PT2</t>
        </is>
      </c>
      <c r="C21" s="58" t="n">
        <v>4083.33</v>
      </c>
    </row>
    <row r="22">
      <c r="A22" s="36" t="inlineStr">
        <is>
          <t>33.00.6P.00.46</t>
        </is>
      </c>
      <c r="B22" s="36" t="inlineStr">
        <is>
          <t>Ayudas HIUNPU/2024/02-PT1/02-PT2</t>
        </is>
      </c>
      <c r="C22" s="57" t="n">
        <v>4083.33</v>
      </c>
    </row>
    <row r="23">
      <c r="A23" s="41" t="inlineStr">
        <is>
          <t>33.00.6X.00.01</t>
        </is>
      </c>
      <c r="B23" s="41" t="inlineStr">
        <is>
          <t>Advance payment for "Unaccompanied migrant youth: design and complementarities between labor, mental health, and community interventions" program-J-PAL GRANT ID: DLI-23-02264. Amount: 4.612,81 EURO (equivalent to 4.980,50 USD on 28.10.2024)</t>
        </is>
      </c>
      <c r="C23" s="59" t="n">
        <v>4612.81</v>
      </c>
    </row>
    <row r="24">
      <c r="A24" s="41" t="inlineStr">
        <is>
          <t>Total</t>
        </is>
      </c>
      <c r="B24" s="41" t="n"/>
      <c r="C24" s="60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C28" sqref="C28"/>
    </sheetView>
  </sheetViews>
  <sheetFormatPr baseColWidth="10" defaultRowHeight="14.4"/>
  <cols>
    <col width="18.21875" customWidth="1" min="1" max="1"/>
    <col width="49.21875" customWidth="1" min="2" max="2"/>
    <col width="17.44140625" customWidth="1" min="3" max="3"/>
  </cols>
  <sheetData>
    <row r="1">
      <c r="A1" s="46" t="inlineStr">
        <is>
          <t>Org. aplic.</t>
        </is>
      </c>
      <c r="B1" s="47" t="inlineStr">
        <is>
          <t>Descripción justificante</t>
        </is>
      </c>
      <c r="C1" s="47" t="inlineStr">
        <is>
          <t>Imp. aplic.</t>
        </is>
      </c>
    </row>
    <row r="2">
      <c r="A2" s="48" t="inlineStr">
        <is>
          <t>33.00.6C.00.04</t>
        </is>
      </c>
      <c r="B2" s="49" t="inlineStr">
        <is>
          <t>Evaluación de contenido por parte de la experta técnica del proyecto expediente 950.788</t>
        </is>
      </c>
      <c r="C2" s="63" t="n">
        <v>114.4</v>
      </c>
    </row>
    <row r="3">
      <c r="A3" s="51" t="inlineStr">
        <is>
          <t>33.00.6G.00.03</t>
        </is>
      </c>
      <c r="B3" s="52" t="inlineStr">
        <is>
          <t>Ingresos por inscripciones al Workshop Prospect Theory: State of the Art, 29-30 mayo 2025</t>
        </is>
      </c>
      <c r="C3" s="64" t="n">
        <v>2550</v>
      </c>
    </row>
    <row r="4">
      <c r="A4" s="48" t="inlineStr">
        <is>
          <t>33.00.6G.00.04</t>
        </is>
      </c>
      <c r="B4" s="49" t="inlineStr">
        <is>
          <t>Ingresos por inscripciones al Workshop "Macroeconomics and Productivity" 12-13 junio 2025</t>
        </is>
      </c>
      <c r="C4" s="63" t="n">
        <v>3610</v>
      </c>
    </row>
    <row r="5">
      <c r="A5" s="51" t="inlineStr">
        <is>
          <t>33.00.6P.00.29</t>
        </is>
      </c>
      <c r="B5" s="52" t="inlineStr">
        <is>
          <t>DEVOLUCIÓN DE INGRESOS_CARTA DE PAGO_ REFERENCIA: PID2019-111208GB-I00, ANUALIDAD: 2020</t>
        </is>
      </c>
      <c r="C5" s="64" t="n">
        <v>-1442.7</v>
      </c>
    </row>
    <row r="6">
      <c r="A6" s="48" t="inlineStr">
        <is>
          <t>33.00.6P.00.32</t>
        </is>
      </c>
      <c r="B6" s="49" t="inlineStr">
        <is>
          <t>CDEIGENT/2020/016 (PRÓRROGA)</t>
        </is>
      </c>
      <c r="C6" s="63" t="n">
        <v>22141.87</v>
      </c>
    </row>
    <row r="7">
      <c r="A7" s="51" t="inlineStr">
        <is>
          <t>33.00.6P.00.32</t>
        </is>
      </c>
      <c r="B7" s="52" t="inlineStr">
        <is>
          <t>DEVOLUCIÓN DE INGRESOS_MODELO 047_ CIDEGENT 2020/016/ANUALIDAD 2023.</t>
        </is>
      </c>
      <c r="C7" s="64" t="n">
        <v>-4828.09</v>
      </c>
    </row>
    <row r="8">
      <c r="A8" s="48" t="inlineStr">
        <is>
          <t>33.00.6P.00.32</t>
        </is>
      </c>
      <c r="B8" s="49" t="inlineStr">
        <is>
          <t>DEVOLUCIÓN DE INGRESO_ MODELO 047_ REFERENCIA: CDEIGENT/2020/016_ ANUALIDAD 2024.</t>
        </is>
      </c>
      <c r="C8" s="63" t="n">
        <v>-1608.08</v>
      </c>
    </row>
    <row r="9">
      <c r="A9" s="51" t="inlineStr">
        <is>
          <t>33.00.6P.00.33</t>
        </is>
      </c>
      <c r="B9" s="52" t="inlineStr">
        <is>
          <t xml:space="preserve">DEVOLUCIÓN DE INGRESOS_MODELO 047_ REFERENCIA: PROMETEO 2021 EN 2024_PROMETEO/2021/006, PROMETEO/2021/017, PROMETEO/2021/030, PROMETEO/2021/055, PROMETEO/2021/057, PROMETEO/2021/073, PROMETEO/2021/079, PROMETEO/2021/088 </t>
        </is>
      </c>
      <c r="C9" s="64" t="n">
        <v>-54585.14</v>
      </c>
    </row>
    <row r="10">
      <c r="A10" s="48" t="inlineStr">
        <is>
          <t>33.00.6P.00.35</t>
        </is>
      </c>
      <c r="B10" s="49" t="inlineStr">
        <is>
          <t xml:space="preserve">CIPROM/2021/001/006/017/021/022/027/057/060/062/068/070/074 </t>
        </is>
      </c>
      <c r="C10" s="63" t="n">
        <v>140582.66</v>
      </c>
    </row>
    <row r="11">
      <c r="A11" s="51" t="inlineStr">
        <is>
          <t>33.00.6P.00.36</t>
        </is>
      </c>
      <c r="B11" s="52" t="inlineStr">
        <is>
          <t xml:space="preserve">CIPROM/2021/001/006/017/021/022/027/057/060/062/068/070/074 </t>
        </is>
      </c>
      <c r="C11" s="64" t="n">
        <v>142418.06</v>
      </c>
    </row>
    <row r="12">
      <c r="A12" s="48" t="inlineStr">
        <is>
          <t>33.00.6P.00.38</t>
        </is>
      </c>
      <c r="B12" s="49" t="inlineStr">
        <is>
          <t xml:space="preserve">ayudas PID2021-122320NA-I00, PID2021-123699NB-I00, PID2021-124741NB-I00, PID2021-124860NB-I00,PID2021-125387NB-I00, PID2021-126485OB-I00, PID2021-127332NB-I00, PID2021-127566NB-I00, PID2021-127967NB-I00, </t>
        </is>
      </c>
      <c r="C12" s="63" t="n">
        <v>29600</v>
      </c>
    </row>
    <row r="13">
      <c r="A13" s="51" t="inlineStr">
        <is>
          <t>33.00.6P.00.39</t>
        </is>
      </c>
      <c r="B13" s="52" t="inlineStr">
        <is>
          <t xml:space="preserve">Ayuda HIECPU/2022/3 </t>
        </is>
      </c>
      <c r="C13" s="64" t="n">
        <v>25000</v>
      </c>
    </row>
    <row r="14">
      <c r="A14" s="48" t="inlineStr">
        <is>
          <t>33.00.6P.00.39</t>
        </is>
      </c>
      <c r="B14" s="49" t="inlineStr">
        <is>
          <t>Anulación Concesión Ayudas HIECPU2022 ANULIDAD 2022 (HIECPU/2022/3) (CONSELLERÍA HACIENDA)</t>
        </is>
      </c>
      <c r="C14" s="63" t="n">
        <v>-3650</v>
      </c>
    </row>
    <row r="15">
      <c r="A15" s="51" t="inlineStr">
        <is>
          <t>33.00.6P.00.39</t>
        </is>
      </c>
      <c r="B15" s="52" t="inlineStr">
        <is>
          <t>Minoración Ayuda HIECPU/2022/3</t>
        </is>
      </c>
      <c r="C15" s="64" t="n">
        <v>-2800</v>
      </c>
    </row>
    <row r="16">
      <c r="A16" s="48" t="inlineStr">
        <is>
          <t>33.00.6P.00.40</t>
        </is>
      </c>
      <c r="B16" s="49" t="inlineStr">
        <is>
          <t>DEVOLUCIÓN DE INGRESOS_CARTA DE PAGO_ REFERENCIA:FJC2021-047366-I, ANUALIDAD: 2022</t>
        </is>
      </c>
      <c r="C16" s="63" t="n">
        <v>-0.5</v>
      </c>
    </row>
    <row r="17">
      <c r="A17" s="51" t="inlineStr">
        <is>
          <t>33.00.6P.00.41</t>
        </is>
      </c>
      <c r="B17" s="52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17" s="64" t="n">
        <v>48188.8</v>
      </c>
    </row>
    <row r="18">
      <c r="A18" s="48" t="inlineStr">
        <is>
          <t>33.00.6P.00.44</t>
        </is>
      </c>
      <c r="B18" s="49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18" s="63" t="n">
        <v>8880</v>
      </c>
    </row>
    <row r="19">
      <c r="A19" s="51" t="inlineStr">
        <is>
          <t>33.00.6P.00.45</t>
        </is>
      </c>
      <c r="B19" s="52" t="inlineStr">
        <is>
          <t xml:space="preserve">Ayudas HIUNPU/2024/02-PT1, HIUNPU/2024/02-PT2 </t>
        </is>
      </c>
      <c r="C19" s="64" t="n">
        <v>24500</v>
      </c>
    </row>
    <row r="20">
      <c r="A20" s="48" t="inlineStr">
        <is>
          <t>33.00.6P.00.46</t>
        </is>
      </c>
      <c r="B20" s="49" t="inlineStr">
        <is>
          <t xml:space="preserve">Ayudas HIUNPU/2024/02-PT1, HIUNPU/2024/02-PT2 </t>
        </is>
      </c>
      <c r="C20" s="63" t="n">
        <v>24500</v>
      </c>
    </row>
    <row r="21">
      <c r="A21" s="51" t="inlineStr">
        <is>
          <t>33.00.6P.00.47</t>
        </is>
      </c>
      <c r="B21" s="52" t="inlineStr">
        <is>
          <t>INGRESO PERCIBIDO POR LA UNIVERSIDAD DE ALICANTE EN VIRTUD DE CONVENIO DE COLABORACIÓN CON LA FUNDACIÓN RAMÓN ARECES.</t>
        </is>
      </c>
      <c r="C21" s="64" t="n">
        <v>1700</v>
      </c>
    </row>
    <row r="22">
      <c r="A22" s="48" t="inlineStr">
        <is>
          <t>33.00.6P.00.49</t>
        </is>
      </c>
      <c r="B22" s="49" t="inlineStr">
        <is>
          <t>CIPROM/2024/03/13//90/92</t>
        </is>
      </c>
      <c r="C22" s="63" t="n">
        <v>39500</v>
      </c>
    </row>
    <row r="23" ht="15" customHeight="1" thickBot="1">
      <c r="A23" s="51" t="inlineStr">
        <is>
          <t>33.00.6P.00.50</t>
        </is>
      </c>
      <c r="B23" s="52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23" s="64" t="n">
        <v>92532</v>
      </c>
    </row>
    <row r="24" ht="15" customHeight="1" thickTop="1">
      <c r="A24" s="54" t="inlineStr">
        <is>
          <t>Total</t>
        </is>
      </c>
      <c r="B24" s="55" t="n"/>
      <c r="C24" s="65" t="n">
        <v>536903.28</v>
      </c>
    </row>
    <row r="27">
      <c r="B27" s="44" t="inlineStr">
        <is>
          <t>Total ingresos investigación 2023-25</t>
        </is>
      </c>
      <c r="C27" s="66">
        <f>C24+Tabla2[[#Totals],[Imp.cob.aplic.]]+Tabla3[[#Totals],[Imp.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dfapl@ua.es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2026-05-28T21:59:13Z</dcterms:modified>
  <cp:lastModifiedBy>MARIA TERESA PUJALTE DEVIS</cp:lastModifiedBy>
</cp:coreProperties>
</file>