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9" firstSheet="0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'Tesis'!$A$1:$T$7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Verdana"/>
      <family val="2"/>
      <sz val="8"/>
    </font>
    <font>
      <name val="Calibri"/>
      <family val="2"/>
      <b val="1"/>
      <color theme="0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  <xf numFmtId="43" fontId="13" fillId="0" borderId="0"/>
  </cellStyleXfs>
  <cellXfs count="108">
    <xf numFmtId="0" fontId="0" fillId="0" borderId="0" pivotButton="0" quotePrefix="0" xfId="0"/>
    <xf numFmtId="0" fontId="4" fillId="3" borderId="1" applyAlignment="1" pivotButton="0" quotePrefix="0" xfId="1">
      <alignment horizontal="center"/>
    </xf>
    <xf numFmtId="0" fontId="5" fillId="3" borderId="1" applyAlignment="1" pivotButton="0" quotePrefix="0" xfId="1">
      <alignment horizontal="center"/>
    </xf>
    <xf numFmtId="0" fontId="5" fillId="3" borderId="1" applyAlignment="1" pivotButton="0" quotePrefix="0" xfId="2">
      <alignment horizontal="center"/>
    </xf>
    <xf numFmtId="0" fontId="5" fillId="3" borderId="1" applyAlignment="1" pivotButton="0" quotePrefix="0" xfId="3">
      <alignment horizontal="center" wrapText="1"/>
    </xf>
    <xf numFmtId="0" fontId="5" fillId="3" borderId="1" applyAlignment="1" pivotButton="0" quotePrefix="0" xfId="3">
      <alignment horizontal="right" wrapText="1"/>
    </xf>
    <xf numFmtId="0" fontId="3" fillId="4" borderId="0" pivotButton="0" quotePrefix="0" xfId="1"/>
    <xf numFmtId="0" fontId="3" fillId="4" borderId="0" applyAlignment="1" pivotButton="0" quotePrefix="0" xfId="1">
      <alignment horizontal="right"/>
    </xf>
    <xf numFmtId="0" fontId="9" fillId="5" borderId="1" applyAlignment="1" pivotButton="0" quotePrefix="0" xfId="3">
      <alignment horizontal="center" textRotation="90" wrapText="1"/>
    </xf>
    <xf numFmtId="0" fontId="9" fillId="3" borderId="1" applyAlignment="1" pivotButton="0" quotePrefix="0" xfId="3">
      <alignment horizontal="center" textRotation="90" wrapText="1"/>
    </xf>
    <xf numFmtId="0" fontId="6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right"/>
    </xf>
    <xf numFmtId="0" fontId="8" fillId="2" borderId="1" pivotButton="0" quotePrefix="0" xfId="0"/>
    <xf numFmtId="0" fontId="8" fillId="2" borderId="1" applyAlignment="1" pivotButton="0" quotePrefix="0" xfId="0">
      <alignment textRotation="90"/>
    </xf>
    <xf numFmtId="0" fontId="9" fillId="3" borderId="1" applyAlignment="1" pivotButton="0" quotePrefix="0" xfId="3">
      <alignment horizontal="center" wrapText="1"/>
    </xf>
    <xf numFmtId="0" fontId="3" fillId="4" borderId="1" pivotButton="0" quotePrefix="0" xfId="1"/>
    <xf numFmtId="164" fontId="3" fillId="4" borderId="1" pivotButton="0" quotePrefix="0" xfId="1"/>
    <xf numFmtId="0" fontId="3" fillId="4" borderId="1" applyAlignment="1" pivotButton="0" quotePrefix="0" xfId="1">
      <alignment horizontal="right"/>
    </xf>
    <xf numFmtId="1" fontId="3" fillId="4" borderId="1" pivotButton="0" quotePrefix="0" xfId="1"/>
    <xf numFmtId="165" fontId="3" fillId="4" borderId="1" pivotButton="0" quotePrefix="0" xfId="1"/>
    <xf numFmtId="0" fontId="3" fillId="0" borderId="1" pivotButton="0" quotePrefix="0" xfId="1"/>
    <xf numFmtId="0" fontId="3" fillId="4" borderId="2" pivotButton="0" quotePrefix="0" xfId="1"/>
    <xf numFmtId="0" fontId="12" fillId="6" borderId="1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0" fillId="7" borderId="6" pivotButton="0" quotePrefix="0" xfId="0"/>
    <xf numFmtId="166" fontId="7" fillId="7" borderId="6" pivotButton="0" quotePrefix="0" xfId="6"/>
    <xf numFmtId="0" fontId="10" fillId="0" borderId="6" pivotButton="0" quotePrefix="0" xfId="0"/>
    <xf numFmtId="166" fontId="7" fillId="0" borderId="6" pivotButton="0" quotePrefix="0" xfId="6"/>
    <xf numFmtId="0" fontId="16" fillId="0" borderId="0" pivotButton="0" quotePrefix="0" xfId="0"/>
    <xf numFmtId="0" fontId="3" fillId="9" borderId="0" pivotButton="0" quotePrefix="0" xfId="1"/>
    <xf numFmtId="0" fontId="3" fillId="9" borderId="0" applyAlignment="1" pivotButton="0" quotePrefix="0" xfId="1">
      <alignment horizontal="right"/>
    </xf>
    <xf numFmtId="0" fontId="11" fillId="2" borderId="0" pivotButton="0" quotePrefix="0" xfId="5"/>
    <xf numFmtId="0" fontId="11" fillId="2" borderId="0" applyAlignment="1" pivotButton="0" quotePrefix="0" xfId="5">
      <alignment horizontal="right"/>
    </xf>
    <xf numFmtId="0" fontId="10" fillId="0" borderId="1" pivotButton="0" quotePrefix="0" xfId="5"/>
    <xf numFmtId="0" fontId="10" fillId="0" borderId="1" applyAlignment="1" pivotButton="0" quotePrefix="0" xfId="5">
      <alignment horizontal="right"/>
    </xf>
    <xf numFmtId="0" fontId="3" fillId="4" borderId="1" pivotButton="0" quotePrefix="0" xfId="1"/>
    <xf numFmtId="0" fontId="3" fillId="0" borderId="1" pivotButton="0" quotePrefix="0" xfId="1"/>
    <xf numFmtId="0" fontId="3" fillId="0" borderId="1" pivotButton="0" quotePrefix="0" xfId="0"/>
    <xf numFmtId="164" fontId="4" fillId="9" borderId="0" pivotButton="0" quotePrefix="0" xfId="1"/>
    <xf numFmtId="166" fontId="14" fillId="0" borderId="0" pivotButton="0" quotePrefix="0" xfId="0"/>
    <xf numFmtId="0" fontId="0" fillId="7" borderId="6" pivotButton="0" quotePrefix="0" xfId="0"/>
    <xf numFmtId="166" fontId="0" fillId="7" borderId="6" pivotButton="0" quotePrefix="0" xfId="6"/>
    <xf numFmtId="0" fontId="0" fillId="0" borderId="6" pivotButton="0" quotePrefix="0" xfId="0"/>
    <xf numFmtId="166" fontId="0" fillId="0" borderId="6" pivotButton="0" quotePrefix="0" xfId="6"/>
    <xf numFmtId="0" fontId="14" fillId="0" borderId="0" applyAlignment="1" pivotButton="0" quotePrefix="0" xfId="0">
      <alignment horizontal="right"/>
    </xf>
    <xf numFmtId="4" fontId="14" fillId="0" borderId="0" pivotButton="0" quotePrefix="0" xfId="0"/>
    <xf numFmtId="0" fontId="14" fillId="0" borderId="1" pivotButton="0" quotePrefix="0" xfId="0"/>
    <xf numFmtId="167" fontId="14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4" fontId="2" fillId="0" borderId="0" pivotButton="0" quotePrefix="0" xfId="0"/>
    <xf numFmtId="0" fontId="15" fillId="8" borderId="7" pivotButton="0" quotePrefix="0" xfId="0"/>
    <xf numFmtId="0" fontId="0" fillId="0" borderId="8" pivotButton="0" quotePrefix="0" xfId="0"/>
    <xf numFmtId="0" fontId="10" fillId="0" borderId="8" pivotButton="0" quotePrefix="0" xfId="0"/>
    <xf numFmtId="166" fontId="7" fillId="0" borderId="8" pivotButton="0" quotePrefix="0" xfId="6"/>
    <xf numFmtId="166" fontId="7" fillId="0" borderId="8" pivotButton="0" quotePrefix="0" xfId="0"/>
    <xf numFmtId="0" fontId="17" fillId="8" borderId="7" pivotButton="0" quotePrefix="0" xfId="0"/>
    <xf numFmtId="166" fontId="17" fillId="8" borderId="7" pivotButton="0" quotePrefix="0" xfId="6"/>
    <xf numFmtId="0" fontId="0" fillId="0" borderId="8" pivotButton="0" quotePrefix="0" xfId="0"/>
    <xf numFmtId="166" fontId="0" fillId="0" borderId="8" pivotButton="0" quotePrefix="0" xfId="6"/>
    <xf numFmtId="0" fontId="0" fillId="0" borderId="8" pivotButton="0" quotePrefix="0" xfId="0"/>
    <xf numFmtId="166" fontId="0" fillId="0" borderId="8" pivotButton="0" quotePrefix="0" xfId="0"/>
    <xf numFmtId="0" fontId="10" fillId="7" borderId="8" pivotButton="0" quotePrefix="0" xfId="0"/>
    <xf numFmtId="166" fontId="7" fillId="7" borderId="8" pivotButton="0" quotePrefix="0" xfId="6"/>
    <xf numFmtId="166" fontId="7" fillId="7" borderId="8" pivotButton="0" quotePrefix="0" xfId="0"/>
    <xf numFmtId="0" fontId="0" fillId="7" borderId="8" pivotButton="0" quotePrefix="0" xfId="0"/>
    <xf numFmtId="166" fontId="0" fillId="7" borderId="8" pivotButton="0" quotePrefix="0" xfId="6"/>
    <xf numFmtId="166" fontId="0" fillId="0" borderId="8" pivotButton="0" quotePrefix="0" xfId="0"/>
    <xf numFmtId="0" fontId="18" fillId="10" borderId="9" pivotButton="0" quotePrefix="0" xfId="0"/>
    <xf numFmtId="0" fontId="18" fillId="10" borderId="10" pivotButton="0" quotePrefix="0" xfId="0"/>
    <xf numFmtId="0" fontId="19" fillId="11" borderId="9" pivotButton="0" quotePrefix="0" xfId="0"/>
    <xf numFmtId="0" fontId="19" fillId="11" borderId="10" pivotButton="0" quotePrefix="0" xfId="0"/>
    <xf numFmtId="167" fontId="19" fillId="11" borderId="10" pivotButton="0" quotePrefix="0" xfId="6"/>
    <xf numFmtId="0" fontId="19" fillId="0" borderId="9" pivotButton="0" quotePrefix="0" xfId="0"/>
    <xf numFmtId="0" fontId="19" fillId="0" borderId="10" pivotButton="0" quotePrefix="0" xfId="0"/>
    <xf numFmtId="167" fontId="19" fillId="0" borderId="10" pivotButton="0" quotePrefix="0" xfId="6"/>
    <xf numFmtId="0" fontId="20" fillId="0" borderId="11" pivotButton="0" quotePrefix="0" xfId="0"/>
    <xf numFmtId="0" fontId="20" fillId="0" borderId="12" pivotButton="0" quotePrefix="0" xfId="0"/>
    <xf numFmtId="167" fontId="20" fillId="0" borderId="12" pivotButton="0" quotePrefix="0" xfId="6"/>
    <xf numFmtId="0" fontId="14" fillId="0" borderId="0" pivotButton="0" quotePrefix="0" xfId="0"/>
    <xf numFmtId="167" fontId="14" fillId="0" borderId="0" applyAlignment="1" pivotButton="0" quotePrefix="0" xfId="0">
      <alignment horizontal="right"/>
    </xf>
    <xf numFmtId="167" fontId="18" fillId="10" borderId="10" pivotButton="0" quotePrefix="0" xfId="6"/>
    <xf numFmtId="167" fontId="20" fillId="0" borderId="12" pivotButton="0" quotePrefix="0" xfId="0"/>
    <xf numFmtId="165" fontId="3" fillId="4" borderId="1" pivotButton="0" quotePrefix="0" xfId="1"/>
    <xf numFmtId="164" fontId="3" fillId="4" borderId="1" pivotButton="0" quotePrefix="0" xfId="1"/>
    <xf numFmtId="164" fontId="4" fillId="9" borderId="0" pivotButton="0" quotePrefix="0" xfId="1"/>
    <xf numFmtId="166" fontId="7" fillId="7" borderId="6" pivotButton="0" quotePrefix="0" xfId="6"/>
    <xf numFmtId="166" fontId="7" fillId="0" borderId="6" pivotButton="0" quotePrefix="0" xfId="6"/>
    <xf numFmtId="166" fontId="7" fillId="0" borderId="8" pivotButton="0" quotePrefix="0" xfId="6"/>
    <xf numFmtId="166" fontId="7" fillId="0" borderId="8" pivotButton="0" quotePrefix="0" xfId="0"/>
    <xf numFmtId="166" fontId="14" fillId="0" borderId="0" pivotButton="0" quotePrefix="0" xfId="0"/>
    <xf numFmtId="166" fontId="17" fillId="8" borderId="7" pivotButton="0" quotePrefix="0" xfId="6"/>
    <xf numFmtId="166" fontId="0" fillId="7" borderId="6" pivotButton="0" quotePrefix="0" xfId="6"/>
    <xf numFmtId="166" fontId="0" fillId="0" borderId="6" pivotButton="0" quotePrefix="0" xfId="6"/>
    <xf numFmtId="166" fontId="0" fillId="0" borderId="8" pivotButton="0" quotePrefix="0" xfId="6"/>
    <xf numFmtId="166" fontId="0" fillId="0" borderId="8" pivotButton="0" quotePrefix="0" xfId="0"/>
    <xf numFmtId="167" fontId="14" fillId="0" borderId="0" applyAlignment="1" pivotButton="0" quotePrefix="0" xfId="0">
      <alignment horizontal="right"/>
    </xf>
    <xf numFmtId="167" fontId="19" fillId="11" borderId="10" pivotButton="0" quotePrefix="0" xfId="6"/>
    <xf numFmtId="167" fontId="19" fillId="0" borderId="10" pivotButton="0" quotePrefix="0" xfId="6"/>
    <xf numFmtId="167" fontId="20" fillId="0" borderId="12" pivotButton="0" quotePrefix="0" xfId="6"/>
    <xf numFmtId="167" fontId="14" fillId="0" borderId="1" applyAlignment="1" pivotButton="0" quotePrefix="0" xfId="0">
      <alignment horizontal="right"/>
    </xf>
    <xf numFmtId="166" fontId="7" fillId="7" borderId="8" pivotButton="0" quotePrefix="0" xfId="6"/>
    <xf numFmtId="166" fontId="7" fillId="7" borderId="8" pivotButton="0" quotePrefix="0" xfId="0"/>
    <xf numFmtId="166" fontId="0" fillId="7" borderId="8" pivotButton="0" quotePrefix="0" xfId="6"/>
    <xf numFmtId="167" fontId="18" fillId="10" borderId="10" pivotButton="0" quotePrefix="0" xfId="6"/>
    <xf numFmtId="167" fontId="20" fillId="0" borderId="12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7"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32" headerRowCount="1" totalsRowCount="1" headerRowDxfId="36" dataDxfId="34" headerRowBorderDxfId="35" tableBorderDxfId="33" totalsRowBorderDxfId="32">
  <autoFilter ref="A1:C31"/>
  <tableColumns count="3">
    <tableColumn id="1" name="Cód. org. aplic." totalsRowLabel="Total" dataDxfId="31" totalsRowDxfId="30"/>
    <tableColumn id="2" name="Descripción justificante" dataDxfId="29" totalsRowDxfId="28"/>
    <tableColumn id="3" name="Imp.cob.aplic." totalsRowFunction="sum" dataDxfId="27" totalsRowDxfId="26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34" headerRowCount="1" totalsRowCount="1" headerRowDxfId="25" dataDxfId="23" headerRowBorderDxfId="24" tableBorderDxfId="22" totalsRowBorderDxfId="21">
  <autoFilter ref="A1:C33"/>
  <tableColumns count="3">
    <tableColumn id="1" name="Org. aplic." totalsRowLabel="Total" dataDxfId="20" totalsRowDxfId="19"/>
    <tableColumn id="2" name="Descripción justificante" dataDxfId="18" totalsRowDxfId="17"/>
    <tableColumn id="3" name="Imp. aplic." totalsRowFunction="sum" dataDxfId="16" totalsRowDxfId="15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9" headerRowCount="1" totalsRowCount="1" headerRowDxfId="14" headerRowBorderDxfId="13" tableBorderDxfId="12" totalsRowBorderDxfId="11">
  <autoFilter ref="A1:C8"/>
  <tableColumns count="3">
    <tableColumn id="1" name="Cód. org. aplic." totalsRowLabel="Total" dataDxfId="10" totalsRowDxfId="9"/>
    <tableColumn id="2" name="Descripción justificante" dataDxfId="8" totalsRowDxfId="7"/>
    <tableColumn id="3" name="Imp.cob.aplic." totalsRowFunction="sum" dataDxfId="6" totalsRowDxfId="5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E5" headerRowCount="1" totalsRowCount="1" headerRowDxfId="4" headerRowBorderDxfId="3" tableBorderDxfId="2" totalsRowBorderDxfId="1">
  <autoFilter ref="A1:E4"/>
  <tableColumns count="5">
    <tableColumn id="1" name="Org. aplic." totalsRowLabel="Total"/>
    <tableColumn id="2" name="Descripción justificante"/>
    <tableColumn id="3" name="Imp. aplic." totalsRowFunction="sum" totalsRowDxfId="0"/>
    <tableColumn id="4" name="Tipo cuenta"/>
    <tableColumn id="5" name="D-I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J25" sqref="J25"/>
    </sheetView>
  </sheetViews>
  <sheetFormatPr baseColWidth="10" defaultColWidth="10.28515625" defaultRowHeight="11.25"/>
  <cols>
    <col width="23.14062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1"/>
    <col width="4.42578125" customWidth="1" style="6" min="12" max="12"/>
    <col width="4.85546875" customWidth="1" style="6" min="13" max="13"/>
    <col width="4.85546875" customWidth="1" style="7" min="14" max="14"/>
    <col width="4.85546875" customWidth="1" style="6" min="15" max="15"/>
    <col width="3.5703125" customWidth="1" style="7" min="16" max="16"/>
    <col width="3.5703125" customWidth="1" style="6" min="17" max="17"/>
    <col width="5.140625" customWidth="1" style="6" min="18" max="20"/>
    <col width="10.28515625" customWidth="1" style="6" min="21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2" t="inlineStr">
        <is>
          <t>ASIGNACIÓN</t>
        </is>
      </c>
      <c r="L1" s="3" t="inlineStr">
        <is>
          <t>DEP.ASIG.</t>
        </is>
      </c>
      <c r="M1" s="4" t="inlineStr">
        <is>
          <t>EJERCICIO</t>
        </is>
      </c>
      <c r="N1" s="5" t="inlineStr">
        <is>
          <t>INS 1</t>
        </is>
      </c>
      <c r="O1" s="4" t="inlineStr">
        <is>
          <t>DED INS 1</t>
        </is>
      </c>
      <c r="P1" s="5" t="inlineStr">
        <is>
          <t>INS 2</t>
        </is>
      </c>
      <c r="Q1" s="4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38" t="inlineStr">
        <is>
          <t xml:space="preserve">B164 </t>
        </is>
      </c>
      <c r="B2" s="38" t="inlineStr">
        <is>
          <t xml:space="preserve">FISIOLOGÍA, GENÉTICA Y MICROBIOLOGÍA </t>
        </is>
      </c>
      <c r="C2" s="38" t="inlineStr">
        <is>
          <t xml:space="preserve">DOCTORADO EN BIOLOGÍA EXPERIMENTAL Y APLICADA </t>
        </is>
      </c>
      <c r="D2" s="38" t="inlineStr">
        <is>
          <t xml:space="preserve">Hurtado Gaitan, Elias </t>
        </is>
      </c>
      <c r="E2" s="38" t="inlineStr">
        <is>
          <t xml:space="preserve">Exploring phosphoenolpyruvate carboxylase kinase as a potential key regulator of carbon flow towards phenylpropanoid - stilbenoid pathways in grapevine (Vitis vinifera L.) </t>
        </is>
      </c>
      <c r="F2" s="38" t="inlineStr">
        <is>
          <t xml:space="preserve">26/11/2020 </t>
        </is>
      </c>
      <c r="G2" s="38" t="inlineStr">
        <is>
          <t xml:space="preserve">74187810E </t>
        </is>
      </c>
      <c r="H2" s="38" t="inlineStr">
        <is>
          <t xml:space="preserve">Director de tesis </t>
        </is>
      </c>
      <c r="I2" s="38" t="inlineStr">
        <is>
          <t xml:space="preserve">B101 </t>
        </is>
      </c>
      <c r="J2" s="38" t="inlineStr">
        <is>
          <t xml:space="preserve">AGROQUIMICA Y BIOQUIMICA </t>
        </is>
      </c>
      <c r="K2" s="85" t="n">
        <v>1</v>
      </c>
      <c r="L2" s="38" t="inlineStr">
        <is>
          <t>B101</t>
        </is>
      </c>
      <c r="M2" s="38" t="n">
        <v>2019</v>
      </c>
      <c r="N2" s="38" t="inlineStr">
        <is>
          <t>10.16</t>
        </is>
      </c>
      <c r="O2" s="18" t="n">
        <v>50</v>
      </c>
      <c r="P2" s="38" t="inlineStr"/>
      <c r="Q2" s="18" t="n">
        <v>0</v>
      </c>
      <c r="R2" s="19" t="n">
        <v>50</v>
      </c>
      <c r="S2" s="86" t="n">
        <v>0.5</v>
      </c>
      <c r="T2" s="86" t="n">
        <v>0.5</v>
      </c>
      <c r="U2" s="86" t="n">
        <v>0</v>
      </c>
    </row>
    <row r="3">
      <c r="A3" s="38" t="inlineStr">
        <is>
          <t xml:space="preserve">B164 </t>
        </is>
      </c>
      <c r="B3" s="38" t="inlineStr">
        <is>
          <t xml:space="preserve">FISIOLOGÍA, GENÉTICA Y MICROBIOLOGÍA </t>
        </is>
      </c>
      <c r="C3" s="38" t="inlineStr">
        <is>
          <t xml:space="preserve">DOCTORADO EN BIOLOGÍA EXPERIMENTAL Y APLICADA </t>
        </is>
      </c>
      <c r="D3" s="38" t="inlineStr">
        <is>
          <t xml:space="preserve">Rodríguez Herrero, Verónica </t>
        </is>
      </c>
      <c r="E3" s="38" t="inlineStr">
        <is>
          <t xml:space="preserve">Análisis de los genes glnA y su relación con el metabolismo del nitrógeno en Haloferax mediterranei </t>
        </is>
      </c>
      <c r="F3" s="38" t="inlineStr">
        <is>
          <t xml:space="preserve">06/05/2021 </t>
        </is>
      </c>
      <c r="G3" s="38" t="inlineStr">
        <is>
          <t xml:space="preserve">48316865Y </t>
        </is>
      </c>
      <c r="H3" s="38" t="inlineStr">
        <is>
          <t xml:space="preserve">Codirector de tesis </t>
        </is>
      </c>
      <c r="I3" s="38" t="inlineStr">
        <is>
          <t xml:space="preserve">B101 </t>
        </is>
      </c>
      <c r="J3" s="38" t="inlineStr">
        <is>
          <t xml:space="preserve">AGROQUIMICA Y BIOQUIMICA </t>
        </is>
      </c>
      <c r="K3" s="85" t="n">
        <v>0.5</v>
      </c>
      <c r="L3" s="38" t="inlineStr">
        <is>
          <t>B101</t>
        </is>
      </c>
      <c r="M3" s="38" t="n">
        <v>2020</v>
      </c>
      <c r="N3" s="38" t="inlineStr">
        <is>
          <t>10.16</t>
        </is>
      </c>
      <c r="O3" s="18" t="n">
        <v>20</v>
      </c>
      <c r="P3" s="38" t="inlineStr"/>
      <c r="Q3" s="18" t="n">
        <v>0</v>
      </c>
      <c r="R3" s="19" t="n">
        <v>80</v>
      </c>
      <c r="S3" s="86" t="n">
        <v>0.4</v>
      </c>
      <c r="T3" s="86" t="n">
        <v>0.1</v>
      </c>
      <c r="U3" s="86" t="n">
        <v>0</v>
      </c>
    </row>
    <row r="4">
      <c r="A4" s="38" t="inlineStr">
        <is>
          <t xml:space="preserve">B164 </t>
        </is>
      </c>
      <c r="B4" s="38" t="inlineStr">
        <is>
          <t xml:space="preserve">FISIOLOGÍA, GENÉTICA Y MICROBIOLOGÍA </t>
        </is>
      </c>
      <c r="C4" s="38" t="inlineStr">
        <is>
          <t xml:space="preserve">DOCTORADO EN BIOLOGÍA EXPERIMENTAL Y APLICADA </t>
        </is>
      </c>
      <c r="D4" s="38" t="inlineStr">
        <is>
          <t xml:space="preserve">Rodríguez Herrero, Verónica </t>
        </is>
      </c>
      <c r="E4" s="38" t="inlineStr">
        <is>
          <t xml:space="preserve">Análisis de los genes glnA y su relación con el metabolismo del nitrógeno en Haloferax mediterranei </t>
        </is>
      </c>
      <c r="F4" s="38" t="inlineStr">
        <is>
          <t xml:space="preserve">06/05/2021 </t>
        </is>
      </c>
      <c r="G4" s="38" t="inlineStr">
        <is>
          <t xml:space="preserve">22106650Q </t>
        </is>
      </c>
      <c r="H4" s="38" t="inlineStr">
        <is>
          <t xml:space="preserve">Codirector de tesis </t>
        </is>
      </c>
      <c r="I4" s="38" t="inlineStr">
        <is>
          <t xml:space="preserve">B101 </t>
        </is>
      </c>
      <c r="J4" s="38" t="inlineStr">
        <is>
          <t xml:space="preserve">AGROQUIMICA Y BIOQUIMICA </t>
        </is>
      </c>
      <c r="K4" s="85" t="n">
        <v>0.5</v>
      </c>
      <c r="L4" s="38" t="inlineStr">
        <is>
          <t>B101</t>
        </is>
      </c>
      <c r="M4" s="38" t="n">
        <v>2020</v>
      </c>
      <c r="N4" s="38" t="inlineStr">
        <is>
          <t>10.16</t>
        </is>
      </c>
      <c r="O4" s="18" t="n">
        <v>10</v>
      </c>
      <c r="P4" s="38" t="inlineStr"/>
      <c r="Q4" s="18" t="n">
        <v>0</v>
      </c>
      <c r="R4" s="19" t="n">
        <v>90</v>
      </c>
      <c r="S4" s="86" t="n">
        <v>0.45</v>
      </c>
      <c r="T4" s="86" t="n">
        <v>0.05</v>
      </c>
      <c r="U4" s="86" t="n">
        <v>0</v>
      </c>
    </row>
    <row r="5" ht="12" customHeight="1" thickBot="1">
      <c r="A5" s="38" t="inlineStr">
        <is>
          <t xml:space="preserve">B164 </t>
        </is>
      </c>
      <c r="B5" s="38" t="inlineStr">
        <is>
          <t xml:space="preserve">FISIOLOGÍA, GENÉTICA Y MICROBIOLOGÍA </t>
        </is>
      </c>
      <c r="C5" s="38" t="inlineStr">
        <is>
          <t xml:space="preserve">DOCTORADO EN BIOLOGÍA EXPERIMENTAL Y APLICADA </t>
        </is>
      </c>
      <c r="D5" s="38" t="inlineStr">
        <is>
          <t xml:space="preserve">Payá Cuadra, Gloria </t>
        </is>
      </c>
      <c r="E5" s="38" t="inlineStr">
        <is>
          <t xml:space="preserve">Small RNAs y proteínas reguladoras relacionadas con el metabolismo del nitrógeno en </t>
        </is>
      </c>
      <c r="F5" s="38" t="inlineStr">
        <is>
          <t xml:space="preserve">25/07/2022 </t>
        </is>
      </c>
      <c r="G5" s="38" t="inlineStr">
        <is>
          <t xml:space="preserve">48321668W </t>
        </is>
      </c>
      <c r="H5" s="38" t="inlineStr">
        <is>
          <t xml:space="preserve">Codirector de tesis </t>
        </is>
      </c>
      <c r="I5" s="38" t="inlineStr">
        <is>
          <t xml:space="preserve">B101 </t>
        </is>
      </c>
      <c r="J5" s="38" t="inlineStr">
        <is>
          <t xml:space="preserve">AGROQUIMICA Y BIOQUIMICA </t>
        </is>
      </c>
      <c r="K5" s="39" t="n">
        <v>0.5</v>
      </c>
      <c r="L5" s="39" t="inlineStr">
        <is>
          <t>B101</t>
        </is>
      </c>
      <c r="M5" s="22" t="n">
        <v>2021</v>
      </c>
      <c r="N5" s="38" t="inlineStr"/>
      <c r="O5" s="18" t="inlineStr"/>
      <c r="P5" s="38" t="inlineStr"/>
      <c r="Q5" s="18" t="inlineStr"/>
      <c r="R5" s="38" t="n">
        <v>100</v>
      </c>
      <c r="S5" s="38" t="n">
        <v>0.5</v>
      </c>
      <c r="T5" s="38" t="n">
        <v>0</v>
      </c>
      <c r="U5" s="38" t="n">
        <v>0</v>
      </c>
    </row>
    <row r="6" ht="12" customHeight="1" thickBot="1">
      <c r="A6" s="23" t="inlineStr">
        <is>
          <t xml:space="preserve">B164 </t>
        </is>
      </c>
      <c r="B6" s="23" t="inlineStr">
        <is>
          <t xml:space="preserve">FISIOLOGÍA, GENÉTICA Y MICROBIOLOGÍA </t>
        </is>
      </c>
      <c r="C6" s="23" t="inlineStr">
        <is>
          <t xml:space="preserve">DOCTORADO EN BIOLOGÍA EXPERIMENTAL Y APLICADA </t>
        </is>
      </c>
      <c r="D6" s="23" t="inlineStr">
        <is>
          <t xml:space="preserve">Payá Cuadra, Gloria </t>
        </is>
      </c>
      <c r="E6" s="23" t="inlineStr">
        <is>
          <t xml:space="preserve">Small RNAs y proteínas reguladoras relacionadas con el metabolismo del nitrógeno en </t>
        </is>
      </c>
      <c r="F6" s="23" t="inlineStr">
        <is>
          <t xml:space="preserve">25/07/2022 </t>
        </is>
      </c>
      <c r="G6" s="24" t="inlineStr">
        <is>
          <t xml:space="preserve">22106650Q </t>
        </is>
      </c>
      <c r="H6" s="25" t="inlineStr">
        <is>
          <t xml:space="preserve">Codirector de tesis </t>
        </is>
      </c>
      <c r="I6" s="25" t="inlineStr">
        <is>
          <t xml:space="preserve">B101 </t>
        </is>
      </c>
      <c r="J6" s="26" t="inlineStr">
        <is>
          <t xml:space="preserve">AGROQUIMICA Y BIOQUIMICA </t>
        </is>
      </c>
      <c r="K6" s="39" t="n">
        <v>0.5</v>
      </c>
      <c r="L6" s="39" t="inlineStr">
        <is>
          <t>B101</t>
        </is>
      </c>
      <c r="M6" s="38" t="n">
        <v>2021</v>
      </c>
      <c r="N6" s="38" t="inlineStr">
        <is>
          <t>10.16</t>
        </is>
      </c>
      <c r="O6" s="18" t="n">
        <v>10</v>
      </c>
      <c r="P6" s="38" t="inlineStr"/>
      <c r="Q6" s="18" t="n">
        <v>0</v>
      </c>
      <c r="R6" s="38" t="n">
        <v>90</v>
      </c>
      <c r="S6" s="38" t="n">
        <v>0.45</v>
      </c>
      <c r="T6" s="38" t="n">
        <v>0.05</v>
      </c>
      <c r="U6" s="38" t="n">
        <v>0</v>
      </c>
    </row>
    <row r="7" ht="12" customHeight="1" thickBot="1">
      <c r="A7" s="23" t="inlineStr">
        <is>
          <t xml:space="preserve">B164 </t>
        </is>
      </c>
      <c r="B7" s="23" t="inlineStr">
        <is>
          <t xml:space="preserve">FISIOLOGÍA, GENÉTICA Y MICROBIOLOGÍA </t>
        </is>
      </c>
      <c r="C7" s="23" t="inlineStr">
        <is>
          <t xml:space="preserve">DOCTORADO EN BIOLOGÍA EXPERIMENTAL Y APLICADA </t>
        </is>
      </c>
      <c r="D7" s="23" t="inlineStr">
        <is>
          <t xml:space="preserve">Esquerrà Ruvira, Belén </t>
        </is>
      </c>
      <c r="E7" s="23" t="inlineStr">
        <is>
          <t xml:space="preserve">Caracterización funcional y aplicación biotecnológica de nuevos sistemas CRISPR¿Cas identificados en ambientes naturales de la provincia de Alicante </t>
        </is>
      </c>
      <c r="F7" s="23" t="inlineStr">
        <is>
          <t xml:space="preserve">19/12/2022 </t>
        </is>
      </c>
      <c r="G7" s="24" t="inlineStr">
        <is>
          <t xml:space="preserve">22106650Q </t>
        </is>
      </c>
      <c r="H7" s="25" t="inlineStr">
        <is>
          <t xml:space="preserve">Codirector de tesis </t>
        </is>
      </c>
      <c r="I7" s="25" t="inlineStr">
        <is>
          <t xml:space="preserve">B188 </t>
        </is>
      </c>
      <c r="J7" s="26" t="inlineStr">
        <is>
          <t xml:space="preserve">BIOQUÍMICA Y BIOLOGÍA MOLECULAR Y EDAFOLOGÍA Y QUÍMICA AGRÍCOLA </t>
        </is>
      </c>
      <c r="K7" s="39" t="n">
        <v>0.5</v>
      </c>
      <c r="L7" s="39" t="inlineStr">
        <is>
          <t>B188</t>
        </is>
      </c>
      <c r="M7" s="38" t="n">
        <v>2022</v>
      </c>
      <c r="N7" s="38" t="inlineStr">
        <is>
          <t>10.16</t>
        </is>
      </c>
      <c r="O7" s="18" t="n">
        <v>10</v>
      </c>
      <c r="P7" s="38" t="inlineStr"/>
      <c r="Q7" s="18" t="n">
        <v>0</v>
      </c>
      <c r="R7" s="38" t="n">
        <v>90</v>
      </c>
      <c r="S7" s="38" t="n">
        <v>0.45</v>
      </c>
      <c r="T7" s="38" t="n">
        <v>0.05</v>
      </c>
      <c r="U7" s="38" t="n">
        <v>0</v>
      </c>
    </row>
    <row r="8">
      <c r="A8" s="38" t="inlineStr">
        <is>
          <t xml:space="preserve">U022 </t>
        </is>
      </c>
      <c r="B8" s="38" t="inlineStr">
        <is>
          <t xml:space="preserve">ADM. FACULTAD DE CIENCIAS </t>
        </is>
      </c>
      <c r="C8" s="38" t="inlineStr">
        <is>
          <t xml:space="preserve">DOCTORADO EN CIENCIAS EXPERIMENTALES Y BIOSANITARIAS </t>
        </is>
      </c>
      <c r="D8" s="38" t="inlineStr">
        <is>
          <t xml:space="preserve">Giani Alonso, Micaela </t>
        </is>
      </c>
      <c r="E8" s="38" t="inlineStr">
        <is>
          <t xml:space="preserve">CAROTENOGENESIS IN HALOARCHAEA. FROM GENETICS TO BIOTECHNOLOGICAL AND BIOMEDICAL APPLICATIONS </t>
        </is>
      </c>
      <c r="F8" s="38" t="inlineStr">
        <is>
          <t xml:space="preserve">04/02/2023 </t>
        </is>
      </c>
      <c r="G8" s="38" t="inlineStr">
        <is>
          <t xml:space="preserve">44754725Z </t>
        </is>
      </c>
      <c r="H8" s="38" t="inlineStr">
        <is>
          <t xml:space="preserve">Codirector de tesis </t>
        </is>
      </c>
      <c r="I8" s="38" t="inlineStr">
        <is>
          <t xml:space="preserve">B188 </t>
        </is>
      </c>
      <c r="J8" s="38" t="inlineStr">
        <is>
          <t xml:space="preserve">BIOQUÍMICA Y BIOLOGÍA MOLECULAR Y EDAFOLOGÍA Y QUÍMICA AGRÍCOLA </t>
        </is>
      </c>
      <c r="K8" s="39" t="n">
        <v>0.5</v>
      </c>
      <c r="L8" s="39" t="inlineStr">
        <is>
          <t>B188</t>
        </is>
      </c>
      <c r="M8" s="38" t="n">
        <v>2022</v>
      </c>
      <c r="N8" s="38" t="inlineStr">
        <is>
          <t>10.16</t>
        </is>
      </c>
      <c r="O8" s="18" t="n">
        <v>50</v>
      </c>
      <c r="P8" s="38" t="inlineStr"/>
      <c r="Q8" s="18" t="n">
        <v>0</v>
      </c>
      <c r="R8" s="38" t="n">
        <v>50</v>
      </c>
      <c r="S8" s="38" t="n">
        <v>0.25</v>
      </c>
      <c r="T8" s="38" t="n">
        <v>0.25</v>
      </c>
      <c r="U8" s="38" t="n">
        <v>0</v>
      </c>
    </row>
    <row r="9">
      <c r="A9" s="38" t="inlineStr">
        <is>
          <t xml:space="preserve">U022 </t>
        </is>
      </c>
      <c r="B9" s="38" t="inlineStr">
        <is>
          <t xml:space="preserve">ADM. FACULTAD DE CIENCIAS </t>
        </is>
      </c>
      <c r="C9" s="38" t="inlineStr">
        <is>
          <t xml:space="preserve">DOCTORADO EN CIENCIAS EXPERIMENTALES Y BIOSANITARIAS </t>
        </is>
      </c>
      <c r="D9" s="38" t="inlineStr">
        <is>
          <t xml:space="preserve">Badaoui , Warda </t>
        </is>
      </c>
      <c r="E9" s="38" t="inlineStr">
        <is>
          <t xml:space="preserve">Traceability and food safety in escaped fish from marine aquaculture facilities. A metabolomic approach. </t>
        </is>
      </c>
      <c r="F9" s="38" t="inlineStr">
        <is>
          <t xml:space="preserve">28/09/2023 </t>
        </is>
      </c>
      <c r="G9" s="38" t="inlineStr">
        <is>
          <t xml:space="preserve">21463234W </t>
        </is>
      </c>
      <c r="H9" s="38" t="inlineStr">
        <is>
          <t xml:space="preserve">Codirector de tesis </t>
        </is>
      </c>
      <c r="I9" s="38" t="inlineStr">
        <is>
          <t xml:space="preserve">B188 </t>
        </is>
      </c>
      <c r="J9" s="38" t="inlineStr">
        <is>
          <t xml:space="preserve">BIOQUÍMICA Y BIOLOGÍA MOLECULAR Y EDAFOLOGÍA Y QUÍMICA AGRÍCOLA </t>
        </is>
      </c>
      <c r="K9" s="39" t="n">
        <v>0.5</v>
      </c>
      <c r="L9" s="39" t="inlineStr">
        <is>
          <t>B188</t>
        </is>
      </c>
      <c r="M9" s="38" t="n">
        <v>2022</v>
      </c>
      <c r="N9" s="38" t="inlineStr">
        <is>
          <t>10.16</t>
        </is>
      </c>
      <c r="O9" s="18" t="n">
        <v>50</v>
      </c>
      <c r="P9" s="38" t="inlineStr"/>
      <c r="Q9" s="18" t="n">
        <v>0</v>
      </c>
      <c r="R9" s="38" t="n">
        <v>50</v>
      </c>
      <c r="S9" s="38" t="n">
        <v>0.25</v>
      </c>
      <c r="T9" s="38" t="n">
        <v>0.25</v>
      </c>
      <c r="U9" s="38" t="n">
        <v>0</v>
      </c>
    </row>
    <row r="10" ht="10.15" customHeight="1">
      <c r="A10" s="38" t="inlineStr">
        <is>
          <t>B164</t>
        </is>
      </c>
      <c r="B10" s="38" t="inlineStr">
        <is>
          <t>FISIOLOGÍA, GENÉTICA Y MICROBIOLOGÍA</t>
        </is>
      </c>
      <c r="C10" s="38" t="inlineStr">
        <is>
          <t>DOCTORADO EN BIOLOGÍA EXPERIMENTAL Y APLICADA</t>
        </is>
      </c>
      <c r="D10" s="38" t="inlineStr">
        <is>
          <t>Pastor Soler, Sandra</t>
        </is>
      </c>
      <c r="E10" s="38" t="inlineStr">
        <is>
          <t>Reguladores transcripcionales implicados en la asimilación del nitrógeno en Haloferax mediterranei</t>
        </is>
      </c>
      <c r="F10" s="38" t="inlineStr">
        <is>
          <t>01/12/2023</t>
        </is>
      </c>
      <c r="G10" s="38" t="inlineStr">
        <is>
          <t>48316865Y</t>
        </is>
      </c>
      <c r="H10" s="38" t="inlineStr">
        <is>
          <t>Codirector de tesis</t>
        </is>
      </c>
      <c r="I10" s="39" t="inlineStr">
        <is>
          <t>B188</t>
        </is>
      </c>
      <c r="J10" s="38" t="inlineStr">
        <is>
          <t>BIOQUÍMICA Y BIOLOGÍA MOLECULAR Y EDAFOLOGÍA Y QUÍMICA AGRÍCOLA</t>
        </is>
      </c>
      <c r="K10" s="40" t="n">
        <v>0.5</v>
      </c>
      <c r="L10" s="40" t="inlineStr">
        <is>
          <t>B188</t>
        </is>
      </c>
      <c r="M10" s="40" t="n">
        <v>2023</v>
      </c>
      <c r="N10" s="40" t="inlineStr">
        <is>
          <t>10.16</t>
        </is>
      </c>
      <c r="O10" s="40" t="inlineStr">
        <is>
          <t>20</t>
        </is>
      </c>
      <c r="P10" s="40" t="inlineStr"/>
      <c r="Q10" s="40" t="inlineStr"/>
      <c r="R10" s="40" t="n">
        <v>80</v>
      </c>
      <c r="S10" s="40" t="n">
        <v>0.4</v>
      </c>
      <c r="T10" s="40" t="n">
        <v>0.1</v>
      </c>
      <c r="U10" s="40" t="n">
        <v>0</v>
      </c>
      <c r="V10" s="6" t="n"/>
      <c r="W10" s="31" t="n"/>
      <c r="Z10" s="6" t="n"/>
    </row>
    <row r="11" ht="10.15" customHeight="1">
      <c r="A11" s="38" t="inlineStr">
        <is>
          <t>B164</t>
        </is>
      </c>
      <c r="B11" s="38" t="inlineStr">
        <is>
          <t>FISIOLOGÍA, GENÉTICA Y MICROBIOLOGÍA</t>
        </is>
      </c>
      <c r="C11" s="38" t="inlineStr">
        <is>
          <t>DOCTORADO EN BIOLOGÍA EXPERIMENTAL Y APLICADA</t>
        </is>
      </c>
      <c r="D11" s="38" t="inlineStr">
        <is>
          <t>Pastor Soler, Sandra</t>
        </is>
      </c>
      <c r="E11" s="38" t="inlineStr">
        <is>
          <t>Reguladores transcripcionales implicados en la asimilación del nitrógeno en Haloferax mediterranei</t>
        </is>
      </c>
      <c r="F11" s="38" t="inlineStr">
        <is>
          <t>01/12/2023</t>
        </is>
      </c>
      <c r="G11" s="38" t="inlineStr">
        <is>
          <t>22106650Q</t>
        </is>
      </c>
      <c r="H11" s="38" t="inlineStr">
        <is>
          <t>Codirector de tesis</t>
        </is>
      </c>
      <c r="I11" s="39" t="inlineStr">
        <is>
          <t>B188</t>
        </is>
      </c>
      <c r="J11" s="38" t="inlineStr">
        <is>
          <t>BIOQUÍMICA Y BIOLOGÍA MOLECULAR Y EDAFOLOGÍA Y QUÍMICA AGRÍCOLA</t>
        </is>
      </c>
      <c r="K11" s="40" t="n">
        <v>0.5</v>
      </c>
      <c r="L11" s="40" t="inlineStr">
        <is>
          <t>B188</t>
        </is>
      </c>
      <c r="M11" s="40" t="n">
        <v>2023</v>
      </c>
      <c r="N11" s="40" t="inlineStr">
        <is>
          <t>10.16</t>
        </is>
      </c>
      <c r="O11" s="40" t="inlineStr">
        <is>
          <t>10</t>
        </is>
      </c>
      <c r="P11" s="40" t="inlineStr"/>
      <c r="Q11" s="40" t="inlineStr"/>
      <c r="R11" s="40" t="n">
        <v>90</v>
      </c>
      <c r="S11" s="40" t="n">
        <v>0.45</v>
      </c>
      <c r="T11" s="40" t="n">
        <v>0.05</v>
      </c>
      <c r="U11" s="40" t="n">
        <v>0</v>
      </c>
      <c r="V11" s="6" t="n"/>
      <c r="W11" s="31" t="n"/>
      <c r="Z11" s="6" t="n"/>
    </row>
    <row r="12" ht="10.15" customHeight="1">
      <c r="A12" s="38" t="inlineStr">
        <is>
          <t>B164</t>
        </is>
      </c>
      <c r="B12" s="38" t="inlineStr">
        <is>
          <t>FISIOLOGÍA, GENÉTICA Y MICROBIOLOGÍA</t>
        </is>
      </c>
      <c r="C12" s="38" t="inlineStr">
        <is>
          <t>DOCTORADO EN BIOLOGÍA EXPERIMENTAL Y APLICADA</t>
        </is>
      </c>
      <c r="D12" s="38" t="inlineStr">
        <is>
          <t>Sánchez Matarredona, Laura</t>
        </is>
      </c>
      <c r="E12" s="38" t="inlineStr">
        <is>
          <t>Respuesta de Haloferax mediterranei a condiciones de estrés: regulador Lrp y proteínas de estrés universal</t>
        </is>
      </c>
      <c r="F12" s="38" t="inlineStr">
        <is>
          <t>15/12/2023</t>
        </is>
      </c>
      <c r="G12" s="38" t="inlineStr">
        <is>
          <t>48316865Y</t>
        </is>
      </c>
      <c r="H12" s="38" t="inlineStr">
        <is>
          <t>Codirector de tesis</t>
        </is>
      </c>
      <c r="I12" s="39" t="inlineStr">
        <is>
          <t>B188</t>
        </is>
      </c>
      <c r="J12" s="38" t="inlineStr">
        <is>
          <t>BIOQUÍMICA Y BIOLOGÍA MOLECULAR Y EDAFOLOGÍA Y QUÍMICA AGRÍCOLA</t>
        </is>
      </c>
      <c r="K12" s="40" t="n">
        <v>0.5</v>
      </c>
      <c r="L12" s="40" t="inlineStr">
        <is>
          <t>B188</t>
        </is>
      </c>
      <c r="M12" s="40" t="n">
        <v>2023</v>
      </c>
      <c r="N12" s="40" t="inlineStr">
        <is>
          <t>10.16</t>
        </is>
      </c>
      <c r="O12" s="40" t="inlineStr">
        <is>
          <t>20</t>
        </is>
      </c>
      <c r="P12" s="40" t="inlineStr"/>
      <c r="Q12" s="40" t="inlineStr"/>
      <c r="R12" s="40" t="n">
        <v>80</v>
      </c>
      <c r="S12" s="40" t="n">
        <v>0.4</v>
      </c>
      <c r="T12" s="40" t="n">
        <v>0.1</v>
      </c>
      <c r="U12" s="40" t="n">
        <v>0</v>
      </c>
      <c r="V12" s="6" t="n"/>
      <c r="W12" s="31" t="n"/>
      <c r="Z12" s="6" t="n"/>
    </row>
    <row r="13" ht="10.15" customHeight="1">
      <c r="A13" s="38" t="inlineStr">
        <is>
          <t>B164</t>
        </is>
      </c>
      <c r="B13" s="38" t="inlineStr">
        <is>
          <t>FISIOLOGÍA, GENÉTICA Y MICROBIOLOGÍA</t>
        </is>
      </c>
      <c r="C13" s="38" t="inlineStr">
        <is>
          <t>DOCTORADO EN BIOLOGÍA EXPERIMENTAL Y APLICADA</t>
        </is>
      </c>
      <c r="D13" s="38" t="inlineStr">
        <is>
          <t>Sánchez Matarredona, Laura</t>
        </is>
      </c>
      <c r="E13" s="38" t="inlineStr">
        <is>
          <t>Respuesta de Haloferax mediterranei a condiciones de estrés: regulador Lrp y proteínas de estrés universal</t>
        </is>
      </c>
      <c r="F13" s="38" t="inlineStr">
        <is>
          <t>15/12/2023</t>
        </is>
      </c>
      <c r="G13" s="38" t="inlineStr">
        <is>
          <t>22106650Q</t>
        </is>
      </c>
      <c r="H13" s="38" t="inlineStr">
        <is>
          <t>Codirector de tesis</t>
        </is>
      </c>
      <c r="I13" s="39" t="inlineStr">
        <is>
          <t>B188</t>
        </is>
      </c>
      <c r="J13" s="38" t="inlineStr">
        <is>
          <t>BIOQUÍMICA Y BIOLOGÍA MOLECULAR Y EDAFOLOGÍA Y QUÍMICA AGRÍCOLA</t>
        </is>
      </c>
      <c r="K13" s="40" t="n">
        <v>0.5</v>
      </c>
      <c r="L13" s="40" t="inlineStr">
        <is>
          <t>B188</t>
        </is>
      </c>
      <c r="M13" s="40" t="n">
        <v>2023</v>
      </c>
      <c r="N13" s="40" t="inlineStr">
        <is>
          <t>10.16</t>
        </is>
      </c>
      <c r="O13" s="40" t="inlineStr">
        <is>
          <t>10</t>
        </is>
      </c>
      <c r="P13" s="40" t="inlineStr"/>
      <c r="Q13" s="40" t="inlineStr"/>
      <c r="R13" s="40" t="n">
        <v>90</v>
      </c>
      <c r="S13" s="40" t="n">
        <v>0.45</v>
      </c>
      <c r="T13" s="40" t="n">
        <v>0.05</v>
      </c>
      <c r="U13" s="40" t="n">
        <v>0</v>
      </c>
      <c r="V13" s="6" t="n"/>
      <c r="W13" s="31" t="n"/>
      <c r="Z13" s="6" t="n"/>
    </row>
    <row r="14" ht="10.15" customHeight="1">
      <c r="A14" s="38" t="inlineStr">
        <is>
          <t>B164</t>
        </is>
      </c>
      <c r="B14" s="38" t="inlineStr">
        <is>
          <t>FISIOLOGÍA, GENÉTICA Y MICROBIOLOGÍA</t>
        </is>
      </c>
      <c r="C14" s="38" t="inlineStr">
        <is>
          <t>DOCTORADO EN BIOLOGÍA EXPERIMENTAL Y APLICADA</t>
        </is>
      </c>
      <c r="D14" s="38" t="inlineStr">
        <is>
          <t>Miralles Robledillo, Jose María</t>
        </is>
      </c>
      <c r="E14" s="38" t="inlineStr">
        <is>
          <t>ESTUDIOS BIOINFORMÁTICOS Y MOLECULARES DE LA RUTA DE DESNITRIFICACIÓN EN HALOARQUEAS: UN ANÁLISIS INTEGRAL</t>
        </is>
      </c>
      <c r="F14" s="38" t="inlineStr">
        <is>
          <t>13/03/2024</t>
        </is>
      </c>
      <c r="G14" s="38" t="inlineStr">
        <is>
          <t>21487724C</t>
        </is>
      </c>
      <c r="H14" s="38" t="inlineStr">
        <is>
          <t>Director de tesis</t>
        </is>
      </c>
      <c r="I14" s="39" t="inlineStr">
        <is>
          <t>B188</t>
        </is>
      </c>
      <c r="J14" s="38" t="inlineStr">
        <is>
          <t>BIOQUÍMICA Y BIOLOGÍA MOLECULAR Y EDAFOLOGÍA Y QUÍMICA AGRÍCOLA</t>
        </is>
      </c>
      <c r="K14" s="40" t="n">
        <v>1</v>
      </c>
      <c r="L14" s="40" t="inlineStr">
        <is>
          <t>B188</t>
        </is>
      </c>
      <c r="M14" s="40" t="n">
        <v>2023</v>
      </c>
      <c r="N14" s="40" t="inlineStr">
        <is>
          <t>10.16</t>
        </is>
      </c>
      <c r="O14" s="40" t="inlineStr">
        <is>
          <t>50</t>
        </is>
      </c>
      <c r="P14" s="40" t="inlineStr"/>
      <c r="Q14" s="40" t="inlineStr"/>
      <c r="R14" s="40" t="n">
        <v>50</v>
      </c>
      <c r="S14" s="40" t="n">
        <v>0.5</v>
      </c>
      <c r="T14" s="40" t="n">
        <v>0.5</v>
      </c>
      <c r="U14" s="40" t="n">
        <v>0</v>
      </c>
      <c r="V14" s="6" t="n"/>
      <c r="W14" s="31" t="n"/>
      <c r="Z14" s="6" t="n"/>
    </row>
    <row r="15" ht="10.15" customHeight="1">
      <c r="A15" s="38" t="inlineStr">
        <is>
          <t>B164</t>
        </is>
      </c>
      <c r="B15" s="38" t="inlineStr">
        <is>
          <t>Fisiología, Genética y Microbiología</t>
        </is>
      </c>
      <c r="C15" s="38" t="inlineStr">
        <is>
          <t>DOCTORADO EN BIOLOGÍA EXPERIMENTAL Y APLICADA</t>
        </is>
      </c>
      <c r="D15" s="38" t="inlineStr">
        <is>
          <t>Bernabeu Sempere, Eric</t>
        </is>
      </c>
      <c r="E15" s="38" t="inlineStr">
        <is>
          <t>From structure to function: integrative analysis of the TetR-family transcriptional regulator in Haloferax
mediterranei</t>
        </is>
      </c>
      <c r="F15" s="38" t="inlineStr">
        <is>
          <t>26/09/2025</t>
        </is>
      </c>
      <c r="G15" s="38" t="inlineStr">
        <is>
          <t>21487724C</t>
        </is>
      </c>
      <c r="H15" s="38" t="inlineStr">
        <is>
          <t>Director de tesis</t>
        </is>
      </c>
      <c r="I15" s="39" t="inlineStr">
        <is>
          <t>B188</t>
        </is>
      </c>
      <c r="J15" s="38" t="inlineStr">
        <is>
          <t>Bioquímica y Biología Molecular y Edafología y Química agrícola</t>
        </is>
      </c>
      <c r="K15" s="40" t="n">
        <v>1</v>
      </c>
      <c r="L15" s="40" t="inlineStr">
        <is>
          <t>B188</t>
        </is>
      </c>
      <c r="M15" s="40" t="n">
        <v>2024</v>
      </c>
      <c r="N15" s="40" t="inlineStr">
        <is>
          <t>10.16</t>
        </is>
      </c>
      <c r="O15" s="40" t="inlineStr">
        <is>
          <t>50</t>
        </is>
      </c>
      <c r="P15" s="40" t="inlineStr"/>
      <c r="Q15" s="40" t="inlineStr"/>
      <c r="R15" s="40" t="n">
        <v>50</v>
      </c>
      <c r="S15" s="40" t="n">
        <v>0.5</v>
      </c>
      <c r="T15" s="40" t="n">
        <v>0.5</v>
      </c>
      <c r="U15" s="40" t="n">
        <v>0</v>
      </c>
      <c r="V15" s="6" t="n"/>
      <c r="W15" s="31" t="n"/>
      <c r="Z15" s="6" t="n"/>
    </row>
    <row r="16" ht="10.15" customHeight="1">
      <c r="A16" s="38" t="inlineStr">
        <is>
          <t>U022</t>
        </is>
      </c>
      <c r="B16" s="38" t="inlineStr">
        <is>
          <t>Administración Facultad de Ciencias</t>
        </is>
      </c>
      <c r="C16" s="38" t="inlineStr">
        <is>
          <t>DOCTORADO EN CIENCIAS EXPERIMENTALES Y BIOSANITARIAS</t>
        </is>
      </c>
      <c r="D16" s="38" t="inlineStr">
        <is>
          <t>Narro Serrano, Jennifer</t>
        </is>
      </c>
      <c r="E16" s="38" t="inlineStr">
        <is>
          <t>Biomarcadores en orina y alteraciones metabólicas en la COVID-19: Integración de análisis clínicos y
metabolómicos</t>
        </is>
      </c>
      <c r="F16" s="38" t="inlineStr">
        <is>
          <t>23/09/2025</t>
        </is>
      </c>
      <c r="G16" s="38" t="inlineStr">
        <is>
          <t>21463234W</t>
        </is>
      </c>
      <c r="H16" s="38" t="inlineStr">
        <is>
          <t>Codirector de tesis</t>
        </is>
      </c>
      <c r="I16" s="39" t="inlineStr">
        <is>
          <t>B188</t>
        </is>
      </c>
      <c r="J16" s="38" t="inlineStr">
        <is>
          <t>Bioquímica y Biología Molecular y Edafología y Química agrícola</t>
        </is>
      </c>
      <c r="K16" s="40" t="n">
        <v>0.5</v>
      </c>
      <c r="L16" s="40" t="inlineStr">
        <is>
          <t>B188</t>
        </is>
      </c>
      <c r="M16" s="40" t="n">
        <v>2024</v>
      </c>
      <c r="N16" s="40" t="inlineStr">
        <is>
          <t>10.16</t>
        </is>
      </c>
      <c r="O16" s="40" t="inlineStr">
        <is>
          <t>50</t>
        </is>
      </c>
      <c r="P16" s="40" t="inlineStr"/>
      <c r="Q16" s="40" t="inlineStr"/>
      <c r="R16" s="40" t="n">
        <v>50</v>
      </c>
      <c r="S16" s="40" t="n">
        <v>0.25</v>
      </c>
      <c r="T16" s="40" t="n">
        <v>0.25</v>
      </c>
      <c r="U16" s="40" t="n">
        <v>0</v>
      </c>
      <c r="V16" s="6" t="n"/>
      <c r="W16" s="31" t="n"/>
      <c r="Z16" s="6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3" t="n"/>
      <c r="O17" s="32" t="n"/>
      <c r="P17" s="33" t="n"/>
      <c r="Q17" s="32" t="n"/>
      <c r="R17" s="32" t="n"/>
      <c r="S17" s="87">
        <f>SUM(S2:S16)</f>
        <v/>
      </c>
      <c r="T17" s="32" t="n"/>
      <c r="U17" s="32" t="n"/>
    </row>
  </sheetData>
  <autoFilter ref="A1:T7">
    <sortState ref="A2:T1906">
      <sortCondition ref="K2:K1906"/>
      <sortCondition ref="L2:L1906"/>
      <sortCondition ref="D2:D1906"/>
    </sortState>
  </autoFilter>
  <printOptions horizontalCentered="1"/>
  <pageMargins left="0.3937007874015748" right="0.3937007874015748" top="0.3937007874015748" bottom="0.3937007874015748" header="0.7874015748031497" footer="0"/>
  <pageSetup orientation="landscape" paperSize="9"/>
  <headerFooter alignWithMargins="0">
    <oddHeader>&amp;C&amp;"Arial,Negrita"TESIS DOCTORALES POR DEPARTAMENTO / INSTITUTO_x000a_CURSOS 2006-2012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topLeftCell="B1" zoomScale="150" zoomScaleNormal="150" workbookViewId="0">
      <selection activeCell="B9" sqref="B9"/>
    </sheetView>
  </sheetViews>
  <sheetFormatPr baseColWidth="10" defaultColWidth="11.42578125" defaultRowHeight="12.75"/>
  <cols>
    <col width="10.85546875" bestFit="1" customWidth="1" style="11" min="1" max="1"/>
    <col width="39" bestFit="1" customWidth="1" style="11" min="2" max="2"/>
    <col width="17" bestFit="1" customWidth="1" style="11" min="3" max="3"/>
    <col width="3" customWidth="1" style="11" min="4" max="9"/>
    <col width="5.140625" customWidth="1" style="11" min="10" max="10"/>
    <col width="5.28515625" bestFit="1" customWidth="1" style="11" min="11" max="11"/>
    <col width="5.28515625" customWidth="1" style="11" min="12" max="12"/>
    <col width="4.85546875" customWidth="1" style="11" min="13" max="13"/>
    <col width="4.7109375" customWidth="1" style="12" min="14" max="14"/>
    <col width="4.85546875" customWidth="1" style="11" min="15" max="15"/>
    <col width="4.7109375" customWidth="1" style="12" min="16" max="16"/>
    <col width="4.85546875" customWidth="1" style="11" min="17" max="19"/>
    <col width="11.42578125" customWidth="1" style="11" min="20" max="16384"/>
  </cols>
  <sheetData>
    <row r="1" ht="26.25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>
      <c r="A2" s="36" t="inlineStr">
        <is>
          <t>21422350N</t>
        </is>
      </c>
      <c r="B2" s="36" t="inlineStr">
        <is>
          <t>Camacho Carrasco, Mónica-Lourdes</t>
        </is>
      </c>
      <c r="C2" s="36" t="inlineStr">
        <is>
          <t>FUNCIONARIO</t>
        </is>
      </c>
      <c r="D2" s="36" t="n"/>
      <c r="E2" s="36" t="n"/>
      <c r="F2" s="36" t="n">
        <v>1</v>
      </c>
      <c r="G2" s="36" t="n"/>
      <c r="H2" s="36" t="n"/>
      <c r="I2" s="36" t="n"/>
      <c r="J2" s="36" t="n">
        <v>1</v>
      </c>
      <c r="K2" s="36" t="inlineStr">
        <is>
          <t>B188</t>
        </is>
      </c>
      <c r="L2" s="36" t="inlineStr">
        <is>
          <t>10.16</t>
        </is>
      </c>
      <c r="M2" s="36" t="inlineStr">
        <is>
          <t>10</t>
        </is>
      </c>
      <c r="N2" s="37" t="inlineStr"/>
      <c r="O2" s="36" t="inlineStr"/>
      <c r="P2" s="37" t="n">
        <v>90</v>
      </c>
      <c r="Q2" s="36" t="n">
        <v>0.1</v>
      </c>
      <c r="R2" s="36" t="n">
        <v>0</v>
      </c>
      <c r="S2" s="36" t="n">
        <v>0.9</v>
      </c>
    </row>
    <row r="3">
      <c r="A3" s="36" t="inlineStr">
        <is>
          <t>21431941N</t>
        </is>
      </c>
      <c r="B3" s="36" t="inlineStr">
        <is>
          <t>Ferrer Casanova, Juan</t>
        </is>
      </c>
      <c r="C3" s="36" t="inlineStr">
        <is>
          <t>Vivos</t>
        </is>
      </c>
      <c r="D3" s="36" t="n"/>
      <c r="E3" s="36" t="n"/>
      <c r="F3" s="36" t="n"/>
      <c r="G3" s="36" t="n"/>
      <c r="H3" s="36" t="n"/>
      <c r="I3" s="36" t="n">
        <v>1</v>
      </c>
      <c r="J3" s="36" t="n">
        <v>1</v>
      </c>
      <c r="K3" s="36" t="inlineStr">
        <is>
          <t>B188</t>
        </is>
      </c>
      <c r="L3" s="36" t="inlineStr">
        <is>
          <t>10.16</t>
        </is>
      </c>
      <c r="M3" s="36" t="inlineStr">
        <is>
          <t>50</t>
        </is>
      </c>
      <c r="N3" s="37" t="inlineStr"/>
      <c r="O3" s="36" t="inlineStr"/>
      <c r="P3" s="37" t="n">
        <v>50</v>
      </c>
      <c r="Q3" s="36" t="n">
        <v>0.5</v>
      </c>
      <c r="R3" s="36" t="n">
        <v>0</v>
      </c>
      <c r="S3" s="36" t="n">
        <v>0.5</v>
      </c>
    </row>
    <row r="4">
      <c r="A4" s="36" t="inlineStr">
        <is>
          <t>21434080N</t>
        </is>
      </c>
      <c r="B4" s="36" t="inlineStr">
        <is>
          <t>Jordá Guijarro, Juana Dolores</t>
        </is>
      </c>
      <c r="C4" s="36" t="inlineStr">
        <is>
          <t>FUNCIONARIO</t>
        </is>
      </c>
      <c r="D4" s="36" t="n"/>
      <c r="E4" s="36" t="n"/>
      <c r="F4" s="36" t="n"/>
      <c r="G4" s="36" t="n"/>
      <c r="H4" s="36" t="n">
        <v>1</v>
      </c>
      <c r="I4" s="36" t="n"/>
      <c r="J4" s="36" t="n">
        <v>1</v>
      </c>
      <c r="K4" s="36" t="inlineStr">
        <is>
          <t>B188</t>
        </is>
      </c>
      <c r="L4" s="36" t="inlineStr">
        <is>
          <t>10.16</t>
        </is>
      </c>
      <c r="M4" s="36" t="inlineStr">
        <is>
          <t>50</t>
        </is>
      </c>
      <c r="N4" s="37" t="inlineStr"/>
      <c r="O4" s="36" t="inlineStr"/>
      <c r="P4" s="37" t="n">
        <v>50</v>
      </c>
      <c r="Q4" s="36" t="n">
        <v>0.5</v>
      </c>
      <c r="R4" s="36" t="n">
        <v>0</v>
      </c>
      <c r="S4" s="36" t="n">
        <v>0.5</v>
      </c>
    </row>
    <row r="5">
      <c r="A5" s="36" t="inlineStr">
        <is>
          <t>21463234W</t>
        </is>
      </c>
      <c r="B5" s="36" t="inlineStr">
        <is>
          <t>Marhuenda Egea, Frutos Carlos</t>
        </is>
      </c>
      <c r="C5" s="36" t="inlineStr">
        <is>
          <t>FUNCIONARIO</t>
        </is>
      </c>
      <c r="D5" s="36" t="n"/>
      <c r="E5" s="36" t="n"/>
      <c r="F5" s="36" t="n"/>
      <c r="G5" s="36" t="n">
        <v>1</v>
      </c>
      <c r="H5" s="36" t="n"/>
      <c r="I5" s="36" t="n"/>
      <c r="J5" s="36" t="n">
        <v>1</v>
      </c>
      <c r="K5" s="36" t="inlineStr">
        <is>
          <t>B188</t>
        </is>
      </c>
      <c r="L5" s="36" t="inlineStr">
        <is>
          <t>10.16</t>
        </is>
      </c>
      <c r="M5" s="36" t="inlineStr">
        <is>
          <t>50</t>
        </is>
      </c>
      <c r="N5" s="37" t="inlineStr"/>
      <c r="O5" s="36" t="inlineStr"/>
      <c r="P5" s="37" t="n">
        <v>50</v>
      </c>
      <c r="Q5" s="36" t="n">
        <v>0.5</v>
      </c>
      <c r="R5" s="36" t="n">
        <v>0</v>
      </c>
      <c r="S5" s="36" t="n">
        <v>0.5</v>
      </c>
    </row>
    <row r="6">
      <c r="A6" s="36" t="inlineStr">
        <is>
          <t>21487724C</t>
        </is>
      </c>
      <c r="B6" s="36" t="inlineStr">
        <is>
          <t>Pire Galiana, Carmen Lucía</t>
        </is>
      </c>
      <c r="C6" s="36" t="inlineStr">
        <is>
          <t>FUNCIONARIO</t>
        </is>
      </c>
      <c r="D6" s="36" t="n"/>
      <c r="E6" s="36" t="n">
        <v>1</v>
      </c>
      <c r="F6" s="36" t="n"/>
      <c r="G6" s="36" t="n"/>
      <c r="H6" s="36" t="n"/>
      <c r="I6" s="36" t="n"/>
      <c r="J6" s="36" t="n">
        <v>1</v>
      </c>
      <c r="K6" s="36" t="inlineStr">
        <is>
          <t>B188</t>
        </is>
      </c>
      <c r="L6" s="36" t="inlineStr">
        <is>
          <t>10.16</t>
        </is>
      </c>
      <c r="M6" s="36" t="inlineStr">
        <is>
          <t>50</t>
        </is>
      </c>
      <c r="N6" s="37" t="inlineStr"/>
      <c r="O6" s="36" t="inlineStr"/>
      <c r="P6" s="37" t="n">
        <v>50</v>
      </c>
      <c r="Q6" s="36" t="n">
        <v>0.5</v>
      </c>
      <c r="R6" s="36" t="n">
        <v>0</v>
      </c>
      <c r="S6" s="36" t="n">
        <v>0.5</v>
      </c>
    </row>
    <row r="7">
      <c r="A7" s="36" t="inlineStr">
        <is>
          <t>21511536G</t>
        </is>
      </c>
      <c r="B7" s="36" t="inlineStr">
        <is>
          <t>Cerdán Sala, María del Mar</t>
        </is>
      </c>
      <c r="C7" s="36" t="inlineStr">
        <is>
          <t>NO FUNCIONARIO</t>
        </is>
      </c>
      <c r="D7" s="36" t="n">
        <v>1</v>
      </c>
      <c r="E7" s="36" t="n"/>
      <c r="F7" s="36" t="n"/>
      <c r="G7" s="36" t="n"/>
      <c r="H7" s="36" t="n"/>
      <c r="I7" s="36" t="n"/>
      <c r="J7" s="36" t="n">
        <v>1</v>
      </c>
      <c r="K7" s="36" t="inlineStr">
        <is>
          <t>B188</t>
        </is>
      </c>
      <c r="L7" s="36" t="inlineStr">
        <is>
          <t>10.13</t>
        </is>
      </c>
      <c r="M7" s="36" t="inlineStr">
        <is>
          <t>50</t>
        </is>
      </c>
      <c r="N7" s="37" t="inlineStr"/>
      <c r="O7" s="36" t="inlineStr"/>
      <c r="P7" s="37" t="n">
        <v>50</v>
      </c>
      <c r="Q7" s="36" t="n">
        <v>0.5</v>
      </c>
      <c r="R7" s="36" t="n">
        <v>0</v>
      </c>
      <c r="S7" s="36" t="n">
        <v>0.5</v>
      </c>
    </row>
    <row r="8">
      <c r="A8" s="36" t="inlineStr">
        <is>
          <t>22106650Q</t>
        </is>
      </c>
      <c r="B8" s="36" t="inlineStr">
        <is>
          <t>Bonete Pérez, María José</t>
        </is>
      </c>
      <c r="C8" s="36" t="inlineStr">
        <is>
          <t>FUNCIONARIO</t>
        </is>
      </c>
      <c r="D8" s="36" t="n"/>
      <c r="E8" s="36" t="n"/>
      <c r="F8" s="36" t="n"/>
      <c r="G8" s="36" t="n">
        <v>1</v>
      </c>
      <c r="H8" s="36" t="n"/>
      <c r="I8" s="36" t="n"/>
      <c r="J8" s="36" t="n">
        <v>1</v>
      </c>
      <c r="K8" s="36" t="inlineStr">
        <is>
          <t>B188</t>
        </is>
      </c>
      <c r="L8" s="36" t="inlineStr">
        <is>
          <t>10.16</t>
        </is>
      </c>
      <c r="M8" s="36" t="inlineStr">
        <is>
          <t>10</t>
        </is>
      </c>
      <c r="N8" s="37" t="inlineStr"/>
      <c r="O8" s="36" t="inlineStr"/>
      <c r="P8" s="37" t="n">
        <v>90</v>
      </c>
      <c r="Q8" s="36" t="n">
        <v>0.1</v>
      </c>
      <c r="R8" s="36" t="n">
        <v>0</v>
      </c>
      <c r="S8" s="36" t="n">
        <v>0.9</v>
      </c>
    </row>
    <row r="9">
      <c r="A9" s="36" t="inlineStr">
        <is>
          <t>34804871Y</t>
        </is>
      </c>
      <c r="B9" s="36" t="inlineStr">
        <is>
          <t>Sánchez Sánchez, Antonio</t>
        </is>
      </c>
      <c r="C9" s="36" t="inlineStr">
        <is>
          <t>NO FUNCIONARIO</t>
        </is>
      </c>
      <c r="D9" s="36" t="n"/>
      <c r="E9" s="36" t="n"/>
      <c r="F9" s="36" t="n"/>
      <c r="G9" s="36" t="n">
        <v>1</v>
      </c>
      <c r="H9" s="36" t="n"/>
      <c r="I9" s="36" t="n"/>
      <c r="J9" s="36" t="n">
        <v>1</v>
      </c>
      <c r="K9" s="36" t="inlineStr">
        <is>
          <t>B188</t>
        </is>
      </c>
      <c r="L9" s="36" t="inlineStr">
        <is>
          <t>10.13</t>
        </is>
      </c>
      <c r="M9" s="36" t="inlineStr">
        <is>
          <t>50</t>
        </is>
      </c>
      <c r="N9" s="37" t="inlineStr"/>
      <c r="O9" s="36" t="inlineStr"/>
      <c r="P9" s="37" t="n">
        <v>50</v>
      </c>
      <c r="Q9" s="36" t="n">
        <v>0.5</v>
      </c>
      <c r="R9" s="36" t="n">
        <v>0</v>
      </c>
      <c r="S9" s="36" t="n">
        <v>0.5</v>
      </c>
    </row>
    <row r="10">
      <c r="A10" s="36" t="inlineStr">
        <is>
          <t>41537096Q</t>
        </is>
      </c>
      <c r="B10" s="36" t="inlineStr">
        <is>
          <t>Martínez Márquez, Ascensión</t>
        </is>
      </c>
      <c r="C10" s="36" t="inlineStr">
        <is>
          <t>NO FUNCIONARIO</t>
        </is>
      </c>
      <c r="D10" s="36" t="n"/>
      <c r="E10" s="36" t="n"/>
      <c r="F10" s="36" t="n"/>
      <c r="G10" s="36" t="n"/>
      <c r="H10" s="36" t="n">
        <v>1</v>
      </c>
      <c r="I10" s="36" t="n"/>
      <c r="J10" s="36" t="n">
        <v>1</v>
      </c>
      <c r="K10" s="36" t="inlineStr">
        <is>
          <t>B188</t>
        </is>
      </c>
      <c r="L10" s="36" t="n">
        <v>0</v>
      </c>
      <c r="M10" s="36" t="n">
        <v>0</v>
      </c>
      <c r="N10" s="37" t="inlineStr"/>
      <c r="O10" s="36" t="inlineStr"/>
      <c r="P10" s="37" t="n">
        <v>100</v>
      </c>
      <c r="Q10" s="36" t="n">
        <v>0</v>
      </c>
      <c r="R10" s="36" t="n">
        <v>0</v>
      </c>
      <c r="S10" s="36" t="n">
        <v>1</v>
      </c>
    </row>
    <row r="11">
      <c r="A11" s="36" t="inlineStr">
        <is>
          <t>44754725Z</t>
        </is>
      </c>
      <c r="B11" s="36" t="inlineStr">
        <is>
          <t>Martínez Espinosa, Rosa María</t>
        </is>
      </c>
      <c r="C11" s="36" t="inlineStr">
        <is>
          <t>FUNCIONARIO</t>
        </is>
      </c>
      <c r="D11" s="36" t="n"/>
      <c r="E11" s="36" t="n"/>
      <c r="F11" s="36" t="n"/>
      <c r="G11" s="36" t="n"/>
      <c r="H11" s="36" t="n">
        <v>1</v>
      </c>
      <c r="I11" s="36" t="n"/>
      <c r="J11" s="36" t="n">
        <v>1</v>
      </c>
      <c r="K11" s="36" t="inlineStr">
        <is>
          <t>B188</t>
        </is>
      </c>
      <c r="L11" s="36" t="inlineStr">
        <is>
          <t>10.16</t>
        </is>
      </c>
      <c r="M11" s="36" t="inlineStr">
        <is>
          <t>50</t>
        </is>
      </c>
      <c r="N11" s="37" t="inlineStr"/>
      <c r="O11" s="36" t="inlineStr"/>
      <c r="P11" s="37" t="n">
        <v>50</v>
      </c>
      <c r="Q11" s="36" t="n">
        <v>0.5</v>
      </c>
      <c r="R11" s="36" t="n">
        <v>0</v>
      </c>
      <c r="S11" s="36" t="n">
        <v>0.5</v>
      </c>
    </row>
    <row r="12">
      <c r="A12" s="36" t="inlineStr">
        <is>
          <t>48316865Y</t>
        </is>
      </c>
      <c r="B12" s="36" t="inlineStr">
        <is>
          <t>Esclapez Espliego, Julia María</t>
        </is>
      </c>
      <c r="C12" s="36" t="inlineStr">
        <is>
          <t>FUNCIONARIO</t>
        </is>
      </c>
      <c r="D12" s="36" t="n">
        <v>1</v>
      </c>
      <c r="E12" s="36" t="n"/>
      <c r="F12" s="36" t="n"/>
      <c r="G12" s="36" t="n"/>
      <c r="H12" s="36" t="n"/>
      <c r="I12" s="36" t="n">
        <v>1</v>
      </c>
      <c r="J12" s="36" t="n">
        <v>2</v>
      </c>
      <c r="K12" s="36" t="inlineStr">
        <is>
          <t>B188</t>
        </is>
      </c>
      <c r="L12" s="36" t="inlineStr">
        <is>
          <t>10.16</t>
        </is>
      </c>
      <c r="M12" s="36" t="inlineStr">
        <is>
          <t>20</t>
        </is>
      </c>
      <c r="N12" s="37" t="inlineStr"/>
      <c r="O12" s="36" t="inlineStr"/>
      <c r="P12" s="37" t="n">
        <v>80</v>
      </c>
      <c r="Q12" s="36" t="n">
        <v>0.4</v>
      </c>
      <c r="R12" s="36" t="n">
        <v>0</v>
      </c>
      <c r="S12" s="36" t="n">
        <v>1.6</v>
      </c>
    </row>
    <row r="13">
      <c r="A13" s="36" t="inlineStr">
        <is>
          <t>48321668W</t>
        </is>
      </c>
      <c r="B13" s="36" t="inlineStr">
        <is>
          <t>Bautista Sáiz, Vanesa</t>
        </is>
      </c>
      <c r="C13" s="36" t="inlineStr">
        <is>
          <t>NO FUNCIONARIO</t>
        </is>
      </c>
      <c r="D13" s="36" t="n"/>
      <c r="E13" s="36" t="n"/>
      <c r="F13" s="36" t="n">
        <v>1</v>
      </c>
      <c r="G13" s="36" t="n"/>
      <c r="H13" s="36" t="n"/>
      <c r="I13" s="36" t="n"/>
      <c r="J13" s="36" t="n">
        <v>1</v>
      </c>
      <c r="K13" s="36" t="inlineStr">
        <is>
          <t>B188</t>
        </is>
      </c>
      <c r="L13" s="36" t="n">
        <v>0</v>
      </c>
      <c r="M13" s="36" t="n">
        <v>0</v>
      </c>
      <c r="N13" s="37" t="inlineStr"/>
      <c r="O13" s="36" t="inlineStr"/>
      <c r="P13" s="37" t="n">
        <v>100</v>
      </c>
      <c r="Q13" s="36" t="n">
        <v>0</v>
      </c>
      <c r="R13" s="36" t="n">
        <v>0</v>
      </c>
      <c r="S13" s="36" t="n">
        <v>1</v>
      </c>
    </row>
    <row r="14">
      <c r="A14" s="36" t="inlineStr">
        <is>
          <t>48470535J</t>
        </is>
      </c>
      <c r="B14" s="36" t="inlineStr">
        <is>
          <t>Zafrilla Requena, Basilio Jose</t>
        </is>
      </c>
      <c r="C14" s="36" t="inlineStr">
        <is>
          <t>NO FUNCIONARIO</t>
        </is>
      </c>
      <c r="D14" s="36" t="n"/>
      <c r="E14" s="36" t="n"/>
      <c r="F14" s="36" t="n"/>
      <c r="G14" s="36" t="n"/>
      <c r="H14" s="36" t="n"/>
      <c r="I14" s="36" t="n">
        <v>1</v>
      </c>
      <c r="J14" s="36" t="n">
        <v>1</v>
      </c>
      <c r="K14" s="36" t="inlineStr">
        <is>
          <t>B188</t>
        </is>
      </c>
      <c r="L14" s="36" t="n">
        <v>0</v>
      </c>
      <c r="M14" s="36" t="n">
        <v>0</v>
      </c>
      <c r="N14" s="37" t="inlineStr"/>
      <c r="O14" s="36" t="inlineStr"/>
      <c r="P14" s="37" t="n">
        <v>100</v>
      </c>
      <c r="Q14" s="36" t="n">
        <v>0</v>
      </c>
      <c r="R14" s="36" t="n">
        <v>0</v>
      </c>
      <c r="S14" s="36" t="n">
        <v>1</v>
      </c>
    </row>
    <row r="15">
      <c r="A15" s="36" t="inlineStr">
        <is>
          <t>48629553D</t>
        </is>
      </c>
      <c r="B15" s="36" t="inlineStr">
        <is>
          <t>García Bonete, María José</t>
        </is>
      </c>
      <c r="C15" s="36" t="inlineStr">
        <is>
          <t>NO FUNCIONARIO</t>
        </is>
      </c>
      <c r="D15" s="36" t="n"/>
      <c r="E15" s="36" t="n"/>
      <c r="F15" s="36" t="n"/>
      <c r="G15" s="36" t="n"/>
      <c r="H15" s="36" t="n"/>
      <c r="I15" s="36" t="n">
        <v>1</v>
      </c>
      <c r="J15" s="36" t="n">
        <v>1</v>
      </c>
      <c r="K15" s="36" t="inlineStr">
        <is>
          <t>B188</t>
        </is>
      </c>
      <c r="L15" s="36" t="n">
        <v>0</v>
      </c>
      <c r="M15" s="36" t="n">
        <v>0</v>
      </c>
      <c r="N15" s="37" t="inlineStr"/>
      <c r="O15" s="36" t="inlineStr"/>
      <c r="P15" s="37" t="n">
        <v>100</v>
      </c>
      <c r="Q15" s="36" t="n">
        <v>0</v>
      </c>
      <c r="R15" s="36" t="n">
        <v>0</v>
      </c>
      <c r="S15" s="36" t="n">
        <v>1</v>
      </c>
    </row>
    <row r="16">
      <c r="A16" s="36" t="inlineStr">
        <is>
          <t>53232559W</t>
        </is>
      </c>
      <c r="B16" s="36" t="inlineStr">
        <is>
          <t>Martínez Esteso, María José</t>
        </is>
      </c>
      <c r="C16" s="36" t="inlineStr">
        <is>
          <t>NO FUNCIONARIO</t>
        </is>
      </c>
      <c r="D16" s="36" t="n"/>
      <c r="E16" s="36" t="n"/>
      <c r="F16" s="36" t="n"/>
      <c r="G16" s="36" t="n">
        <v>2</v>
      </c>
      <c r="H16" s="36" t="n"/>
      <c r="I16" s="36" t="n">
        <v>1</v>
      </c>
      <c r="J16" s="36" t="n">
        <v>3</v>
      </c>
      <c r="K16" s="36" t="inlineStr">
        <is>
          <t>B188</t>
        </is>
      </c>
      <c r="L16" s="36" t="n">
        <v>0</v>
      </c>
      <c r="M16" s="36" t="n">
        <v>0</v>
      </c>
      <c r="N16" s="37" t="inlineStr"/>
      <c r="O16" s="36" t="inlineStr"/>
      <c r="P16" s="37" t="n">
        <v>100</v>
      </c>
      <c r="Q16" s="36" t="n">
        <v>0</v>
      </c>
      <c r="R16" s="36" t="n">
        <v>0</v>
      </c>
      <c r="S16" s="36" t="n">
        <v>3</v>
      </c>
    </row>
    <row r="17">
      <c r="A17" s="36" t="inlineStr">
        <is>
          <t>74187810E</t>
        </is>
      </c>
      <c r="B17" s="36" t="inlineStr">
        <is>
          <t>Bru Martínez, Roque</t>
        </is>
      </c>
      <c r="C17" s="36" t="inlineStr">
        <is>
          <t>FUNCIONARIO</t>
        </is>
      </c>
      <c r="D17" s="36" t="n"/>
      <c r="E17" s="36" t="n"/>
      <c r="F17" s="36" t="n"/>
      <c r="G17" s="36" t="n"/>
      <c r="H17" s="36" t="n"/>
      <c r="I17" s="36" t="n">
        <v>1</v>
      </c>
      <c r="J17" s="36" t="n">
        <v>1</v>
      </c>
      <c r="K17" s="36" t="inlineStr">
        <is>
          <t>B188</t>
        </is>
      </c>
      <c r="L17" s="36" t="inlineStr">
        <is>
          <t>10.16</t>
        </is>
      </c>
      <c r="M17" s="36" t="inlineStr">
        <is>
          <t>50</t>
        </is>
      </c>
      <c r="N17" s="37" t="inlineStr"/>
      <c r="O17" s="36" t="inlineStr"/>
      <c r="P17" s="37" t="n">
        <v>50</v>
      </c>
      <c r="Q17" s="36" t="n">
        <v>0.5</v>
      </c>
      <c r="R17" s="36" t="n">
        <v>0</v>
      </c>
      <c r="S17" s="36" t="n">
        <v>0.5</v>
      </c>
    </row>
    <row r="18">
      <c r="A18" s="36" t="inlineStr">
        <is>
          <t>X8504886S</t>
        </is>
      </c>
      <c r="B18" s="36" t="inlineStr">
        <is>
          <t>Morante Carriel, Jaime Alfredo</t>
        </is>
      </c>
      <c r="C18" s="36" t="inlineStr">
        <is>
          <t>NO FUNCIONARIO</t>
        </is>
      </c>
      <c r="D18" s="36" t="n"/>
      <c r="E18" s="36" t="n"/>
      <c r="F18" s="36" t="n"/>
      <c r="G18" s="36" t="n"/>
      <c r="H18" s="36" t="n"/>
      <c r="I18" s="36" t="n">
        <v>1</v>
      </c>
      <c r="J18" s="36" t="n">
        <v>1</v>
      </c>
      <c r="K18" s="36" t="inlineStr">
        <is>
          <t>B188</t>
        </is>
      </c>
      <c r="L18" s="36" t="n">
        <v>0</v>
      </c>
      <c r="M18" s="36" t="n">
        <v>0</v>
      </c>
      <c r="N18" s="37" t="inlineStr"/>
      <c r="O18" s="36" t="inlineStr"/>
      <c r="P18" s="37" t="n">
        <v>100</v>
      </c>
      <c r="Q18" s="36" t="n">
        <v>0</v>
      </c>
      <c r="R18" s="36" t="n">
        <v>0</v>
      </c>
      <c r="S18" s="36" t="n">
        <v>1</v>
      </c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5" t="n"/>
      <c r="O19" s="34" t="n"/>
      <c r="P19" s="35" t="n"/>
      <c r="Q19" s="34" t="n"/>
      <c r="R19" s="34" t="n"/>
      <c r="S19" s="34">
        <f>SUM(S2:S18)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D1" sqref="D1:E1048576"/>
    </sheetView>
  </sheetViews>
  <sheetFormatPr baseColWidth="10" defaultRowHeight="15"/>
  <cols>
    <col width="22" customWidth="1" min="1" max="1"/>
    <col width="65.42578125" customWidth="1" min="2" max="2"/>
    <col width="14.85546875" customWidth="1" min="3" max="3"/>
  </cols>
  <sheetData>
    <row r="1">
      <c r="A1" s="53" t="inlineStr">
        <is>
          <t>Cód. org. aplic.</t>
        </is>
      </c>
      <c r="B1" s="53" t="inlineStr">
        <is>
          <t>Descripción justificante</t>
        </is>
      </c>
      <c r="C1" s="53" t="inlineStr">
        <is>
          <t>Imp.cob.aplic.</t>
        </is>
      </c>
    </row>
    <row r="2">
      <c r="A2" s="27" t="inlineStr">
        <is>
          <t>30.90.6C.00.02</t>
        </is>
      </c>
      <c r="B2" s="27" t="inlineStr">
        <is>
          <t>Regalías por transferencia de tecnología 2022. Explotación comercial de la patente P200803107 "Uso de las ciclodextrinas  para la producción y extracción de fitoesteroles en cultivos celulares". 40% correspondiente a la UA.</t>
        </is>
      </c>
      <c r="C2" s="88" t="n">
        <v>1428.4</v>
      </c>
    </row>
    <row r="3">
      <c r="A3" s="29" t="inlineStr">
        <is>
          <t>30.90.6C.00.64</t>
        </is>
      </c>
      <c r="B3" s="29" t="inlineStr">
        <is>
          <t>Determinación de perfiles proteicos en las siguientes muestras: AB/SEV/1985/23: A-012. CUPRESSUS ARIZONICA E.T. L-019.B AB/SEV/1986/23: G-004. CYNODON DACTYLON L.023.A AB/SEV/1987/23: H-073. SALSOIA KALL L.022.C MY/SEV/2113/23: G-002. AGROSTIS ALBA L-021.A. MY/SEV/2114/23: H-052. MEDICAGO SATIVA L-022.A.</t>
        </is>
      </c>
      <c r="C3" s="89" t="n">
        <v>360.8</v>
      </c>
    </row>
    <row r="4">
      <c r="A4" s="27" t="inlineStr">
        <is>
          <t>30.90.6C.00.64</t>
        </is>
      </c>
      <c r="B4" s="27" t="inlineStr">
        <is>
          <t>Determinación de perfiles proteicos en las siguientes muestras: SP/SEV/4526/23 ; H-047 LIGUSTRUM LICIDUM L-024.A</t>
        </is>
      </c>
      <c r="C4" s="88" t="n">
        <v>72.16</v>
      </c>
    </row>
    <row r="5">
      <c r="A5" s="29" t="inlineStr">
        <is>
          <t>30.90.6C.00.64</t>
        </is>
      </c>
      <c r="B5" s="29" t="inlineStr">
        <is>
          <t>Determinación de perfiles proteicos en las siguientes muestras: JL/SEV/3262/23: A-031. PLATANUS ACERIFOLIA L-021.C. JL/SEV/3263/23: A-053. QUERCUS ILEX BALLOTA  L-024.A. JL/SEV/3264/23: G-008 LOLIUM PERENNE L-024.4. JL/SEV/3265/23: G-019. TRITICUM AESTIVUM L-024.A. JL/SEV/3266/23: H-015 PARIETARIA JUDAICA L-0.24.A. JL/SEV/3267/23: H-018. PLANTAGO LANCEOLATAL-024.A.</t>
        </is>
      </c>
      <c r="C5" s="89" t="n">
        <v>432.96</v>
      </c>
    </row>
    <row r="6">
      <c r="A6" s="27" t="inlineStr">
        <is>
          <t>30.90.6C.00.64</t>
        </is>
      </c>
      <c r="B6" s="27" t="inlineStr">
        <is>
          <t>Determinación de perfiles proteicos en las siguientes 6 muestras: A-014. CURRESSUS SEMPERVIRENS L-023.C H-074. AMBROSIA ELATIOR L-020.A H-031. AREMISIA VULGARIS L-020.A A-022. 10 OLEA EUROPEA VAR. PICULA L-020.C A-022.11 OLEA EUROPEA VAR. PICUDO L-020.A A-020. JUNIPERUS OXICEDRUS. L-020. A</t>
        </is>
      </c>
      <c r="C6" s="88" t="n">
        <v>432.96</v>
      </c>
    </row>
    <row r="7">
      <c r="A7" s="29" t="inlineStr">
        <is>
          <t>30.90.6C.00.64</t>
        </is>
      </c>
      <c r="B7" s="29" t="inlineStr">
        <is>
          <t>Determinación de los periles proteicos en las siguientes muestras:  -JL/SEV/4042/23: A-022. OLEA EUROPEA L-024.A -JL/SEV/4043/23: G-035. POA PRATENSIS L. L-023.A -JL/SEV/4044/23: G-035. POA PRATENSIS L. L-023.B -JL/SEV/4045/ 23: G-021. AVENA SATIVA L. L-023.A -JL/SEV/4046/23: H-015. PARIETARIA JUDAICA L. L-024.B -JL/SEV/4047/23: H-031. ARTEMISIA VULGARIS L. L-023.A -SP/SEV/4397/23: A-020. JUNIPERUS OXYCEDRUS L-021.B -SP/SEV/4398/23: A-047 ACACIA SPP L-024.A</t>
        </is>
      </c>
      <c r="C7" s="89" t="n">
        <v>577.28</v>
      </c>
    </row>
    <row r="8">
      <c r="A8" s="27" t="inlineStr">
        <is>
          <t>30.90.6C.00.64</t>
        </is>
      </c>
      <c r="B8" s="27" t="inlineStr">
        <is>
          <t>Determinación de perfiles proteicos en las siguientes muestras: JN/SEV/2867/23: A-031. PLATANUS ACERIFOLIA L-024.A. JN/SEV/2868/23: A-031. PLATANUS ACERIFOLIA L-024.B. JN/SEV/2869/23: A-044. PHOENIX DACTYLIFERA L-024.A. JN/SEV/2870/23: A-044. PHOENIX DACTYLIFERA L-024.B.</t>
        </is>
      </c>
      <c r="C8" s="88" t="n">
        <v>288.64</v>
      </c>
    </row>
    <row r="9">
      <c r="A9" s="29" t="inlineStr">
        <is>
          <t>30.90.6C.00.94</t>
        </is>
      </c>
      <c r="B9" s="29" t="inlineStr">
        <is>
          <t>4º plazo mensual por el asesoramiento para establecer estrategias de cultivo para la producción en contínuo de b-caroteno a partir de Dunaliella salina en fotobiorreactores industriales.</t>
        </is>
      </c>
      <c r="C9" s="89" t="n">
        <v>880</v>
      </c>
    </row>
    <row r="10">
      <c r="A10" s="27" t="inlineStr">
        <is>
          <t>30.90.6C.00.94</t>
        </is>
      </c>
      <c r="B10" s="27" t="inlineStr">
        <is>
          <t>5º plazo mensual por el asesoramiento para establecer estrategias de cultivo para la producción en contínuo de b-caroteno a partir de Dunaliella salina en fotobiorreactores industriales.</t>
        </is>
      </c>
      <c r="C10" s="88" t="n">
        <v>880</v>
      </c>
    </row>
    <row r="11">
      <c r="A11" s="29" t="inlineStr">
        <is>
          <t>30.90.6C.01.04</t>
        </is>
      </c>
      <c r="B11" s="29" t="inlineStr">
        <is>
          <t>Tercer y último pago del 20% sobre el total del contrato: "Desarrollo e implementación de procesos de recuperación de compuestos de valor añadido de mostos concentrados"</t>
        </is>
      </c>
      <c r="C11" s="89" t="n">
        <v>7320.02</v>
      </c>
    </row>
    <row r="12">
      <c r="A12" s="27" t="inlineStr">
        <is>
          <t>30.90.6C.01.15</t>
        </is>
      </c>
      <c r="B12" s="27" t="inlineStr">
        <is>
          <t>Evaluación como experta del proyecto de referencia: 937.522: "Estudio epidemiológico de Mycoplasma ovipneumoniae mediante su caracterización por MLST"</t>
        </is>
      </c>
      <c r="C12" s="88" t="n">
        <v>70.40000000000001</v>
      </c>
    </row>
    <row r="13">
      <c r="A13" s="29" t="inlineStr">
        <is>
          <t>30.90.6C.01.15</t>
        </is>
      </c>
      <c r="B13" s="29" t="inlineStr">
        <is>
          <t>Evaluación como experta del proyecto de referencia 938.206. "Nuevo Desarrollo metodológico para la gestión epidemiológica no invasiva mediante uso de ADN ambiental"</t>
        </is>
      </c>
      <c r="C13" s="89" t="n">
        <v>70.40000000000001</v>
      </c>
    </row>
    <row r="14">
      <c r="A14" s="27" t="inlineStr">
        <is>
          <t>30.90.6C.01.15</t>
        </is>
      </c>
      <c r="B14" s="27" t="inlineStr">
        <is>
          <t>Evaluación de Contenido y Ejecución del proyecto 944.168, titulado: "DESARROLLO DE VAINILLINA MEDIANTE UNA NUEVA VIA ENZIMÁTICA A PARTIR DE CASCARA DE ARROZ"</t>
        </is>
      </c>
      <c r="C14" s="88" t="n">
        <v>572</v>
      </c>
    </row>
    <row r="15">
      <c r="A15" s="29" t="inlineStr">
        <is>
          <t>30.90.6C.01.19</t>
        </is>
      </c>
      <c r="B15" s="29" t="inlineStr">
        <is>
          <t>Segundo plazo de la prestación de servicios: Determinación de sEPS en el medio de cultivo Prophyridium cruenntum.</t>
        </is>
      </c>
      <c r="C15" s="89" t="n">
        <v>440</v>
      </c>
    </row>
    <row r="16">
      <c r="A16" s="27" t="inlineStr">
        <is>
          <t>30.90.6C.01.22</t>
        </is>
      </c>
      <c r="B16" s="27" t="inlineStr">
        <is>
          <t>30% del valor del proyecto tras la firma del contrato: "Cultivos celulares y de raices peludas de Erythrina fusca en biorreactores".</t>
        </is>
      </c>
      <c r="C16" s="88" t="n">
        <v>8981.280000000001</v>
      </c>
    </row>
    <row r="17">
      <c r="A17" s="29" t="inlineStr">
        <is>
          <t>30.90.6C.01.22</t>
        </is>
      </c>
      <c r="B17" s="29" t="inlineStr">
        <is>
          <t>2º PAGO CORRESPONDIENTE AL PROYECTO: CULTIVOS CELULARES Y DE RAICES PELUDAS DE ERYTHRINA FUSCA EN BIORREACTORES"</t>
        </is>
      </c>
      <c r="C17" s="89" t="n">
        <v>6985.44</v>
      </c>
    </row>
    <row r="18">
      <c r="A18" s="27" t="inlineStr">
        <is>
          <t>30.90.6C.01.22</t>
        </is>
      </c>
      <c r="B18" s="27" t="inlineStr">
        <is>
          <t>4º y último pago correspondiente al Proyecto: "Cultivos celulares y de raices peludas de Erythrina Fusca en Biorreactores"</t>
        </is>
      </c>
      <c r="C18" s="88" t="n">
        <v>6985.44</v>
      </c>
    </row>
    <row r="19">
      <c r="A19" s="29" t="inlineStr">
        <is>
          <t>30.90.6C.01.22</t>
        </is>
      </c>
      <c r="B19" s="29" t="inlineStr">
        <is>
          <t>Tercer pago correspondiente al proyecto: "Cultivos celulares y de raices peludas de Erythrina fusca en Biorreactores"</t>
        </is>
      </c>
      <c r="C19" s="89" t="n">
        <v>6985.44</v>
      </c>
    </row>
    <row r="20">
      <c r="A20" s="27" t="inlineStr">
        <is>
          <t>30.90.6C.01.23</t>
        </is>
      </c>
      <c r="B20" s="27" t="inlineStr">
        <is>
          <t>Elementary analysis of a bioplastic samples by X-Ray Fluorescence.</t>
        </is>
      </c>
      <c r="C20" s="88" t="n">
        <v>176</v>
      </c>
    </row>
    <row r="21">
      <c r="A21" s="27" t="inlineStr">
        <is>
          <t>30.90.6C.01.24</t>
        </is>
      </c>
      <c r="B21" s="27" t="inlineStr">
        <is>
          <t>50% del total a la firma de la prestación de servicio: "Evaluación de tres productos Stoller sobre el desarrollo vegetativo de plántulas de trigo y maíz".</t>
        </is>
      </c>
      <c r="C21" s="88" t="n">
        <v>3975.4</v>
      </c>
    </row>
    <row r="22">
      <c r="A22" s="27" t="inlineStr">
        <is>
          <t>30.90.6C.01.24</t>
        </is>
      </c>
      <c r="B22" s="27" t="inlineStr">
        <is>
          <t>Segundo 50% tras la recepción del informe de resultados: "Evaluación de tres productos Stoller sobre el desarrollo vegetativo en plántulas de trigo y maíz".</t>
        </is>
      </c>
      <c r="C22" s="88" t="n">
        <v>3975.4</v>
      </c>
    </row>
    <row r="23">
      <c r="A23" s="29" t="inlineStr">
        <is>
          <t>30.90.6C.01.25</t>
        </is>
      </c>
      <c r="B23" s="29" t="inlineStr">
        <is>
          <t>Estudio instrumental de biofertilizantes complejos derivados del proyecto RECOVER WP5.  Informe de resultados.</t>
        </is>
      </c>
      <c r="C23" s="89" t="n">
        <v>1760</v>
      </c>
    </row>
    <row r="24">
      <c r="A24" s="27" t="inlineStr">
        <is>
          <t>30.90.6C.01.26</t>
        </is>
      </c>
      <c r="B24" s="27" t="inlineStr">
        <is>
          <t>Análisis de 88 muestras de un proceso de degradación biológica de materiales variados. Número de pedido NP061274</t>
        </is>
      </c>
      <c r="C24" s="88" t="n">
        <v>6160</v>
      </c>
    </row>
    <row r="25">
      <c r="A25" s="29" t="inlineStr">
        <is>
          <t>30.90.6C.01.27</t>
        </is>
      </c>
      <c r="B25" s="29" t="inlineStr">
        <is>
          <t>EVALUACIÓN COMO EXPERTA DE PROYECTO DE REFERENCIA DE PROYECTO 0823/24 PREPLAST21 : INVESTIGACIÓN Y DESARROLLO DE NOVEDOSA TÉCNICA PARA LA ELIMINACIÓN BILÓGICA DE MICROPLÁSTICOS</t>
        </is>
      </c>
      <c r="C25" s="89" t="n">
        <v>235.84</v>
      </c>
    </row>
    <row r="26">
      <c r="A26" s="27" t="inlineStr">
        <is>
          <t>30.90.6H.00.03</t>
        </is>
      </c>
      <c r="B26" s="27" t="inlineStr">
        <is>
          <t xml:space="preserve">EDGJID/2021/262, EDGJID/2021/313, EDGJID/2021/330 </t>
        </is>
      </c>
      <c r="C26" s="88" t="n">
        <v>18663.62</v>
      </c>
    </row>
    <row r="27">
      <c r="A27" s="29" t="inlineStr">
        <is>
          <t>30.90.6P.00.22</t>
        </is>
      </c>
      <c r="B27" s="29" t="inlineStr">
        <is>
          <t xml:space="preserve">CIAICO/2021/019/074/124/158/167/173/221/279/305/328/335/339/345/348 </t>
        </is>
      </c>
      <c r="C27" s="89" t="n">
        <v>30000</v>
      </c>
    </row>
    <row r="28">
      <c r="A28" s="27" t="inlineStr">
        <is>
          <t>30.90.6P.00.22</t>
        </is>
      </c>
      <c r="B28" s="27" t="inlineStr">
        <is>
          <t>DEVOLUCIÓN DE INGRESOS_MODELO 047_CIACO 2021 EN 2022_Nº de liquidación:46/2023/RAS/10205/1 047/_Número de justificante:047/1/002362793_Nº de referencia:047/1/002362793</t>
        </is>
      </c>
      <c r="C28" s="88" t="n">
        <v>-1466.66</v>
      </c>
    </row>
    <row r="29">
      <c r="A29" s="29" t="inlineStr">
        <is>
          <t>30.90.6P.00.23</t>
        </is>
      </c>
      <c r="B29" s="29" t="inlineStr">
        <is>
          <t xml:space="preserve">DEVOLUCIÓN DE INGRESOS_MODELO 047_Nº de liquidación:46/2023/RAS/10276/1_ Número de justificante:047/1/002376790_Nº de referencia:047/1/002376790 </t>
        </is>
      </c>
      <c r="C29" s="89" t="n">
        <v>-433.89</v>
      </c>
    </row>
    <row r="30">
      <c r="A30" s="27" t="inlineStr">
        <is>
          <t>30.90.6P.00.24</t>
        </is>
      </c>
      <c r="B30" s="27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30" s="88" t="n">
        <v>61250</v>
      </c>
    </row>
    <row r="31">
      <c r="A31" s="55" t="inlineStr">
        <is>
          <t>30.90.6P.00.25</t>
        </is>
      </c>
      <c r="B31" s="55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31" s="90" t="n">
        <v>30000</v>
      </c>
    </row>
    <row r="32">
      <c r="A32" s="55" t="inlineStr">
        <is>
          <t>Total</t>
        </is>
      </c>
      <c r="B32" s="55" t="n"/>
      <c r="C32" s="91">
        <f>SUBTOTAL(109,Tabla2[Imp.cob.aplic.])</f>
        <v/>
      </c>
    </row>
    <row r="33">
      <c r="C33" s="92" t="n"/>
    </row>
    <row r="37">
      <c r="B37" s="47" t="n"/>
      <c r="C37" s="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topLeftCell="A19" workbookViewId="0">
      <selection activeCell="I51" sqref="I51"/>
    </sheetView>
  </sheetViews>
  <sheetFormatPr baseColWidth="10" defaultRowHeight="15"/>
  <cols>
    <col width="28.7109375" customWidth="1" min="1" max="1"/>
    <col width="35" customWidth="1" min="2" max="2"/>
    <col width="21.14062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93" t="inlineStr">
        <is>
          <t>Imp. aplic.</t>
        </is>
      </c>
    </row>
    <row r="2">
      <c r="A2" s="43" t="inlineStr">
        <is>
          <t>30.90.6C.00.02</t>
        </is>
      </c>
      <c r="B2" s="43" t="inlineStr">
        <is>
          <t>Regalías por transferencia de tecnología 2023. Explotación comercial de la patente P200803107 "Uso de las ciclodextrinas  para la producción y extracción de fitoesteroles en cultivos celulares". 40%  correspondiente a la UA</t>
        </is>
      </c>
      <c r="C2" s="94" t="n">
        <v>1383.77</v>
      </c>
    </row>
    <row r="3">
      <c r="A3" s="45" t="inlineStr">
        <is>
          <t>30.90.6C.00.64</t>
        </is>
      </c>
      <c r="B3" s="45" t="inlineStr">
        <is>
          <t>Determinación de perfiles proteicos en las siguientes muestras: -NV/SEV/5983/23: H-005   CHENOPODIUM ALBUM L-024.A -NV/SEV75984/23: H-076  SALSOLA KALI L. L-024.A. -NV/SEV/5985/23: H-076   SALSOLA KALI L. L-024.B.</t>
        </is>
      </c>
      <c r="C3" s="95" t="n">
        <v>216.48</v>
      </c>
    </row>
    <row r="4">
      <c r="A4" s="43" t="inlineStr">
        <is>
          <t>30.90.6C.00.64</t>
        </is>
      </c>
      <c r="B4" s="43" t="inlineStr">
        <is>
          <t>Determinación de perfiles proteicos en las siguientes muestras: -DC/SEV/6803/23: G-006. FESTUCA ELATIOR L. L-020.C -DC/SEV/6804/23: A-012. CUPRESSUS ARIZONICA L.019.D -DC/SEV/6805/23: A-022. OLEA EUROPAEA. L-024.A -DC/SEV/6806/23: A-031. PLATANUS ACERIFOLIA L-024.A -DC/SEV/6807/23: A-031. PLATANUS ACERIFOLIA L-024.B -DC/SEV/6808/23: H-015. PARIETARIA JUDAICA. L-024.B</t>
        </is>
      </c>
      <c r="C4" s="94" t="n">
        <v>432.96</v>
      </c>
    </row>
    <row r="5">
      <c r="A5" s="45" t="inlineStr">
        <is>
          <t>30.90.6C.00.64</t>
        </is>
      </c>
      <c r="B5" s="45" t="inlineStr">
        <is>
          <t xml:space="preserve">Determinación de perfiles proteicos en las siguientes muestras: -FE/SEV/00885/24:  A-021. JUNIPERUS OXYCEDRUS L-021.C -FE/SEV/00886/24: A-052 ROBINIA PSEUDOACACIA L-023.A -FE/SEV/00887/24: A-056 SALIX VIMINALIS L-024.A -FE/SEV/00888/24: G-018 ANTHOXANTHUM ODORATUM L-023.A -FE/SEV/00889/24: H-002 AMARANTHUS RETROFLEXUS L-023.A -FE/SEV/00890/24: H-028 PLANTAGO LANCEOLATA L-024.B -FE/SEV/00891/24:H-044 TARAXACUM VULGARE L-023.A -FE/SEV/542/24: H-074. AMBROSIA ELATIOR. L-020.A -FE/SEV/543/24: H-031. ARTEMISIA VULGARIS. L-020.A -FE/SEV/544/24: A-022.10 OLEA EUROPAEA VAR.PICUAL. L-020.C -FE/SEV/545/24: A-022.11 EUROPAEA  VAR. PICUDO. L-020.A -FE/SEV/546/24: A- 020.JUNIPERUS OXICEDRUS. L-020.A </t>
        </is>
      </c>
      <c r="C5" s="95" t="n">
        <v>865.92</v>
      </c>
    </row>
    <row r="6">
      <c r="A6" s="43" t="inlineStr">
        <is>
          <t>30.90.6C.00.64</t>
        </is>
      </c>
      <c r="B6" s="43" t="inlineStr">
        <is>
          <t xml:space="preserve">Determinación de perfiles proteicos en las siguientes muestras: FE/SEV/00620/24: A-022.Olea europaea L-024.A EE. T-15 D  FE/SEV/00621/24: A-031. Platanus acerifolia. L-024.A EE. T-15 D FE/SEV/00622/24: A-031. Platanus acerifolia. L-024.B EE. T-15 D  FE/SEV/00623/24: H-015. Parietaria judaica. L-024.B EE. T-15 D  FE/SEV/00624/24: H-076. Salsola kali. L-024.A EE. T-15 D  FE/SEV/00625/24: H-076. Salsola kali. L-024.B EE. T-15 D </t>
        </is>
      </c>
      <c r="C6" s="94" t="n">
        <v>1371.04</v>
      </c>
    </row>
    <row r="7">
      <c r="A7" s="45" t="inlineStr">
        <is>
          <t>30.90.6C.00.64</t>
        </is>
      </c>
      <c r="B7" s="45" t="inlineStr">
        <is>
          <t>Determinación de perfiles proteicos en las siguientes pruebas: -FE/SEV/00626/24: A-022. Olea europaea L-024.A EE. T-3M -FE/SEV/00627/24: A-031. Platanus acerifolia L-024.A EE. T-3M -FE/SEV/00628/24: A-031. Platanus acerifolia L-024.B EE. T-3M -FE/SEV/00629/24: H-015. Parietaria judaica L-024.B EE. T-3M -FE/SEV/00630/24: H-076. Salsola Kali L-024.A EE. T-3M -FE/SEV/00631/24: H-076. Salsola Kali L-024.B EE. T-3M</t>
        </is>
      </c>
      <c r="C7" s="95" t="n">
        <v>432.96</v>
      </c>
    </row>
    <row r="8">
      <c r="A8" s="43" t="inlineStr">
        <is>
          <t>30.90.6C.00.64</t>
        </is>
      </c>
      <c r="B8" s="43" t="inlineStr">
        <is>
          <t>Determinación de perfiles proteicos en las siguientes muestras: -MY/SEV/2462/24: A-044. PHOENIX DACTYLIFERA. L-025.A -MY/SEV/2463/24: G-021. AVENA SATIVA. L-025.A -MY/SEV/2464/24: G-020. HORDEUM VULGARE. L-025.A -MY/SEV/2465/24: G-019. TRITICUM AESTIVUM. L.025.A -MY/SEV/2466/24: H-034. URTICA DIOICA. L-021.B -MY/SEV/2467/24: H-021. RUMEX ACETOSELLA. L-024.A</t>
        </is>
      </c>
      <c r="C8" s="94" t="n">
        <v>432.96</v>
      </c>
    </row>
    <row r="9">
      <c r="A9" s="45" t="inlineStr">
        <is>
          <t>30.90.6C.00.64</t>
        </is>
      </c>
      <c r="B9" s="45" t="inlineStr">
        <is>
          <t>Determinación de perfiles proteicos de las siguientes muestras: -JN/SEV/2700/24:A-022.OLEA EUROPAEA L-024.B -JN/SEV/2701/24:A-31.PLATANUS ACERIFOLIA L-025.B -JN/SEV/2702/24:A-014.CUPRESSUS SEMPERVIRENS L-025.B -JN/SEV/2783/24:A-022.OLEA EUROPAEA. L-024.A EE,T-6M(2-8ºC) -JN/SEV/2784/24:A-031PLATANUS ACERIFOLIA. L-024.A EE.T-6M -JN/SEV/2785/24:A-031PLATANUS ACERIFOLIA. L-024.B EE.T-6M -JN/SEV/2786/24:H-015PARIETARIA JUDAICA. L-024.B EE.T-6M -JN/SEV/2787/24:H-076.SALSOSA KALI. L-024.A EE,T-6M -JN/SEV/2788/24:H.076.SALSOSA KALI. L-024.B EE,T-6M</t>
        </is>
      </c>
      <c r="C9" s="95" t="n">
        <v>649.4400000000001</v>
      </c>
    </row>
    <row r="10">
      <c r="A10" s="43" t="inlineStr">
        <is>
          <t>30.90.6C.00.64</t>
        </is>
      </c>
      <c r="B10" s="43" t="inlineStr">
        <is>
          <t>Determinación de perfiles proteicos en las siguientes muestras: -JL/SEV/3208/24: A-047 ACACIA RETINOIDES L-025.A. -JL/SEV/3209/24: G-007 HOLCUS LANATUS L-25.A. -JL/SEV/3210/24:G-008 LOLIUM PERENNE L-025.B. -JL/SEV/3211/24:A-018 PLANTAGO LANCEOLATA L-025.A.</t>
        </is>
      </c>
      <c r="C10" s="94" t="n">
        <v>288.64</v>
      </c>
    </row>
    <row r="11">
      <c r="A11" s="45" t="inlineStr">
        <is>
          <t>30.90.6C.00.64</t>
        </is>
      </c>
      <c r="B11" s="45" t="inlineStr">
        <is>
          <t>Determinación de perfiles proteicos en las siguientes muestras: FE/SEV/00614/24: A-022. Olea europaea L-024.A EE. T-6M (25ºC/60 % HR) FE/SEV/00615/24: A-031. Platanus acerifolia L-024.A EE T-6M (25ºC/60 % HR) FE/SEV/00616/24: A-031. Platanus acerifolia L-024.B EE. T-6M (25ºC/60 % HR) FE/SEV/00617/24: H-015. Parietaria judaica L-024.B EE. T-6M (25ºC/60 % HR) FE/SEV/00618/24: H-076. Salsola kali L-024.A EE. T-6M (25ºC/60 % HR) FE/SEV/ 00619/24: H-076 Salsola kali L-024.B EE. T-6M (25ºC/60 % HR)</t>
        </is>
      </c>
      <c r="C11" s="95" t="n">
        <v>432.96</v>
      </c>
    </row>
    <row r="12">
      <c r="A12" s="43" t="inlineStr">
        <is>
          <t>30.90.6C.00.64</t>
        </is>
      </c>
      <c r="B12" s="43" t="inlineStr">
        <is>
          <t>Determinación de perfiles proteicos en las siguientes muestras: SP/SEV/4394/24:A-022 OLEA EUROPAEA L-024.C SP/SEV/4395/24:A-085 EUCALYPTUS CAMALDULENSIS L-025.A SP/SEV/4396/24:H-031 ARTEMISIA VULGARIS L-025.A SP/SEV/4620/24:A-022 OLEA EUROPAEA L-024.A EE.T-9M(2-8ºC) SP/SEV/4621/24:A-031 PLATANUS ACERIFOLIA L-024,A EE.T-9M(2-8ºC) SP/SEV/4622/24:A-031 PLATANUS ACERIFOLIA L-024.B EE.T-9M(2-8ºC) SP/SEV/4623/24:H-O15 PARIETARIA JUDAICA L-024.B EE.T-9M(2-8ºC) SP/SEV/4624/24:H-076 SALSOLA KALI L-024.A EE.T-9M(2-8ºC) SP/SEV/4625/24:H-076 SALSOLA KALI L-024.B EE.T-9M(2-8ºC)</t>
        </is>
      </c>
      <c r="C12" s="94" t="n">
        <v>649.4400000000001</v>
      </c>
    </row>
    <row r="13">
      <c r="A13" s="45" t="inlineStr">
        <is>
          <t>30.90.6C.00.64</t>
        </is>
      </c>
      <c r="B13" s="45" t="inlineStr">
        <is>
          <t>Determinación de perfiles proteicos en las siguientes muestras: -SP/SEV/4795/24: G-006. FESCUDA ELADIOR L-023.A -SP/SEV/4796/24: G-006. FESCUDA ELADIOR L-024.A -SP/SEV/4797/24: G-005. DACTYLIS GLOMERATA L-023.A -SP/SEV/4798/24: G-005. DACTYLIS GLOMERATA L-024.A -SP/SEV/4799/24: G-008. LOLIUM PERENNE L-024.B -SP/SEV/4801/24: G-035. PROA PRATENSIS L-024.A -SP/SEV/4802/24: H-007.CHRYSANTHEMUM SEGETUM L-025A -SP/SEV/4880/24: G-008. LOLIUM PERENNE L-025C</t>
        </is>
      </c>
      <c r="C13" s="95" t="n">
        <v>577.28</v>
      </c>
    </row>
    <row r="14">
      <c r="A14" s="43" t="inlineStr">
        <is>
          <t>30.90.6C.01.15</t>
        </is>
      </c>
      <c r="B14" s="43" t="inlineStr">
        <is>
          <t>Evaluación  del proyecto 928.879 de la Empresa Fundación IRSI Caixa , titulado: "Bonificaciones a la S.S. por personal investigador-2023". Actuando como Experto Técnico.</t>
        </is>
      </c>
      <c r="C14" s="94" t="n">
        <v>484</v>
      </c>
    </row>
    <row r="15">
      <c r="A15" s="45" t="inlineStr">
        <is>
          <t>30.90.6C.01.15</t>
        </is>
      </c>
      <c r="B15" s="45" t="inlineStr">
        <is>
          <t>Evaluación del proyecto 928.981 de la empresa INSTITUTO BIOMAR, S.A., Títulado: "Boinficaciones a la S.S. por personal investigador-2023" Actuando como Experto Comité</t>
        </is>
      </c>
      <c r="C15" s="95" t="n">
        <v>70.40000000000001</v>
      </c>
    </row>
    <row r="16">
      <c r="A16" s="43" t="inlineStr">
        <is>
          <t>30.90.6C.01.15</t>
        </is>
      </c>
      <c r="B16" s="43" t="inlineStr">
        <is>
          <t>Evaluación de Contenido del ejercio 2023 del proyecto 929.091 de la empresa BIOTECHNOLOGY DEVELOPMENTS FOR INDUSTRY, tilulado "Bonificaciones a la S.S. por personal investigador-2023", actuando como Experto Comité.</t>
        </is>
      </c>
      <c r="C16" s="94" t="n">
        <v>70.40000000000001</v>
      </c>
    </row>
    <row r="17">
      <c r="A17" s="45" t="inlineStr">
        <is>
          <t>30.90.6C.01.15</t>
        </is>
      </c>
      <c r="B17" s="45" t="inlineStr">
        <is>
          <t>Evaluación de Contenido del ejercicio N/A del proyecto 942.241 - de la empresa CARPEMAR, S.L. Titulado IDA4-24-0028-3: "Investigación para la optimización de recursos hídricos mediante el uso de carbones activados como retenedores de agua en suelos agrícolas. Proyecto HIDROCARBONADOS".</t>
        </is>
      </c>
      <c r="C17" s="95" t="n">
        <v>176</v>
      </c>
    </row>
    <row r="18">
      <c r="A18" s="43" t="inlineStr">
        <is>
          <t>30.90.6C.01.15</t>
        </is>
      </c>
      <c r="B18" s="43" t="inlineStr">
        <is>
          <t>Evaluación de Contenido del ejercicio N/A del proyecto 942.268 de la empresa JARDINERÍA TÉCNICA NORTE EXTREMEÑA, S.L. Titulado IDA4-24-0052-3: "Estudio de la adaptación del cultivo de estevia (Stevia rebaudianaB). En régimen ecológico y uso sostenible del agua de riego en el norte de Extremadura".</t>
        </is>
      </c>
      <c r="C18" s="94" t="n">
        <v>176</v>
      </c>
    </row>
    <row r="19">
      <c r="A19" s="45" t="inlineStr">
        <is>
          <t>30.90.6C.01.15</t>
        </is>
      </c>
      <c r="B19" s="45" t="inlineStr">
        <is>
          <t>Evaluación de Contenido del ejercicio N/A del proyecto 942.270 de la empresa NEOBÉITAR, S.L. Titulado IDA4-24-0029-3: "Mejora del estado sanitario de las colmenas de Apis Mellifera mediante la suplementación alimentaria".</t>
        </is>
      </c>
      <c r="C19" s="95" t="n">
        <v>176</v>
      </c>
    </row>
    <row r="20">
      <c r="A20" s="43" t="inlineStr">
        <is>
          <t>30.90.6C.01.28</t>
        </is>
      </c>
      <c r="B20" s="43" t="inlineStr">
        <is>
          <t>Análisis de 30 muestras de pieles sometidas a un proceso de degradación biológica. Número de pedido NP063105</t>
        </is>
      </c>
      <c r="C20" s="94" t="n">
        <v>2640</v>
      </c>
    </row>
    <row r="21">
      <c r="A21" s="45" t="inlineStr">
        <is>
          <t>30.90.6C.01.29</t>
        </is>
      </c>
      <c r="B21" s="45" t="inlineStr">
        <is>
          <t xml:space="preserve">Evaluación técnica  del proyecto : "Síntesis de tintas de tatuaje y procedimientos bioquímicos para su eliminación". Con Nº de pedido: 4300034490 </t>
        </is>
      </c>
      <c r="C21" s="95" t="n">
        <v>528</v>
      </c>
    </row>
    <row r="22">
      <c r="A22" s="43" t="inlineStr">
        <is>
          <t>30.90.6C.01.30</t>
        </is>
      </c>
      <c r="B22" s="43" t="inlineStr">
        <is>
          <t>Estudio de materiales plásticos mediante espectroscopía  de infrarrojos (FTIR) y microscopía electrónica (SEM). Interpretación de resultados.</t>
        </is>
      </c>
      <c r="C22" s="94" t="n">
        <v>1760</v>
      </c>
    </row>
    <row r="23">
      <c r="A23" s="45" t="inlineStr">
        <is>
          <t>30.90.6C.01.31</t>
        </is>
      </c>
      <c r="B23" s="45" t="inlineStr">
        <is>
          <t>Evaluación por parte del Exp-4D del proyecto: "Enzimas para degradación lignocelulosa aplicable a alimentación animal y valoración subproductos", con código ACIE de Expediente 1566.027.24"</t>
        </is>
      </c>
      <c r="C23" s="95" t="n">
        <v>308</v>
      </c>
    </row>
    <row r="24">
      <c r="A24" s="43" t="inlineStr">
        <is>
          <t>30.90.6C.01.33</t>
        </is>
      </c>
      <c r="B24" s="43" t="inlineStr">
        <is>
          <t>Evaluación del Proyecto de referencia 0924/16 PREPLAST21. Titulado: Investigación y desarrollo de novedosa técnica para la eliminación biológica de microplásticos.</t>
        </is>
      </c>
      <c r="C24" s="94" t="n">
        <v>238.48</v>
      </c>
    </row>
    <row r="25">
      <c r="A25" s="45" t="inlineStr">
        <is>
          <t>30.90.6C.01.34</t>
        </is>
      </c>
      <c r="B25" s="45" t="inlineStr">
        <is>
          <t xml:space="preserve">Evaluación e informes: Análisis de microplásticos mediante espectrocopia de infrarrojos (LDIR).  </t>
        </is>
      </c>
      <c r="C25" s="95" t="n">
        <v>1760</v>
      </c>
    </row>
    <row r="26">
      <c r="A26" s="43" t="inlineStr">
        <is>
          <t>30.90.6C.01.35</t>
        </is>
      </c>
      <c r="B26" s="43" t="inlineStr">
        <is>
          <t>Informe experto sobre la naturaleza y evolución de la materia orgánica procedente de alpechines sometida a proceso de co-compostaje avanzado. Proyecto OLIVE-RELIFE TED . Acrónimo UMH:  TED2021-129481B-C3</t>
        </is>
      </c>
      <c r="C26" s="94" t="n">
        <v>3520</v>
      </c>
    </row>
    <row r="27">
      <c r="A27" s="45" t="inlineStr">
        <is>
          <t>30.90.6C.01.36</t>
        </is>
      </c>
      <c r="B27" s="45" t="inlineStr">
        <is>
          <t xml:space="preserve">Supervisión/evaluación técnica del proyecto: uso de nanobodies para terapia dirigida contracélulas madre tumorales. Nº de Pedido: 4300041057 10-24-2801-3700-00089 ZECLINICS,S.L. (NANODIRECT)  </t>
        </is>
      </c>
      <c r="C27" s="95" t="n">
        <v>176</v>
      </c>
    </row>
    <row r="28">
      <c r="A28" s="43" t="inlineStr">
        <is>
          <t>30.90.6C.01.36</t>
        </is>
      </c>
      <c r="B28" s="43" t="inlineStr">
        <is>
          <t>Supervisión/Evaluación técnica del proyecto: Cribado automatizado en pez Cebra de compuestos oncoterapéuticos mediante robótica.  Pedido Nº: 4300040963 10-24-2801-3700-00090 ZECLINICS,S.L. (ROBOFISH23)</t>
        </is>
      </c>
      <c r="C28" s="94" t="n">
        <v>176</v>
      </c>
    </row>
    <row r="29">
      <c r="A29" s="45" t="inlineStr">
        <is>
          <t>30.90.6C.01.36</t>
        </is>
      </c>
      <c r="B29" s="45" t="inlineStr">
        <is>
          <t>Revisión/Evaluación: Inicial y final 4Dígitos UNESCO RD 1432. Pedido Nº: 4300039900 08-24-2801-3700-00068 GRUPO DRV PHYTOLAB, S.L (FHOSPROCYO)</t>
        </is>
      </c>
      <c r="C29" s="95" t="n">
        <v>176</v>
      </c>
    </row>
    <row r="30">
      <c r="A30" s="43" t="inlineStr">
        <is>
          <t>30.90.6C.01.36</t>
        </is>
      </c>
      <c r="B30" s="43" t="inlineStr">
        <is>
          <t xml:space="preserve">Evaluación del proyecto: "Desarrollo de un sistema circular agroalimentario a pequeña escala basado en microalgas".  Datos del pedido: 4300040768  10-24-2801-3700-00097 GROW TO GROW ALGAE SOLUTIONS S.L. (G2GMICRO23) </t>
        </is>
      </c>
      <c r="C30" s="94" t="n">
        <v>176</v>
      </c>
    </row>
    <row r="31">
      <c r="A31" s="45" t="inlineStr">
        <is>
          <t>30.90.6P.00.22</t>
        </is>
      </c>
      <c r="B31" s="45" t="inlineStr">
        <is>
          <t xml:space="preserve">CIAICO/2021/019/074/124/158/167/173/279/305/328/335/345/348/339 </t>
        </is>
      </c>
      <c r="C31" s="95" t="n">
        <v>30000</v>
      </c>
    </row>
    <row r="32">
      <c r="A32" s="43" t="inlineStr">
        <is>
          <t>30.90.6P.00.25</t>
        </is>
      </c>
      <c r="B32" s="43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32" s="94" t="n">
        <v>30000</v>
      </c>
    </row>
    <row r="33">
      <c r="A33" s="62" t="inlineStr">
        <is>
          <t>30.90.6P.00.25</t>
        </is>
      </c>
      <c r="B33" s="62" t="inlineStr">
        <is>
          <t>DEVOLUCIÓN DE INGRESOS_MODELO 047_ REFERENCIA: CIACO 2022 EN 2023.</t>
        </is>
      </c>
      <c r="C33" s="96" t="n">
        <v>-307.57</v>
      </c>
    </row>
    <row r="34">
      <c r="A34" s="62" t="inlineStr">
        <is>
          <t>Total</t>
        </is>
      </c>
      <c r="B34" s="62" t="n"/>
      <c r="C34" s="97">
        <f>SUBTOTAL(109,Tabla3[Imp. aplic.])</f>
        <v/>
      </c>
    </row>
    <row r="38">
      <c r="B38" s="81" t="n"/>
      <c r="C38" s="98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topLeftCell="A34" workbookViewId="0">
      <selection activeCell="C64" sqref="C64"/>
    </sheetView>
  </sheetViews>
  <sheetFormatPr baseColWidth="10" defaultRowHeight="15"/>
  <cols>
    <col width="21.85546875" customWidth="1" min="1" max="1"/>
    <col width="41.140625" customWidth="1" min="2" max="2"/>
    <col width="28.28515625" customWidth="1" min="3" max="3"/>
  </cols>
  <sheetData>
    <row r="1">
      <c r="A1" s="70" t="inlineStr">
        <is>
          <t>Org. aplic.</t>
        </is>
      </c>
      <c r="B1" s="71" t="inlineStr">
        <is>
          <t>Descripción justificante</t>
        </is>
      </c>
      <c r="C1" s="71" t="inlineStr">
        <is>
          <t>Imp. aplic.</t>
        </is>
      </c>
    </row>
    <row r="2">
      <c r="A2" s="72" t="inlineStr">
        <is>
          <t>30.90.6C.00.02</t>
        </is>
      </c>
      <c r="B2" s="73" t="inlineStr">
        <is>
          <t>Regalías por transferencia de tecnología 2024. Explotación comercial de la patente P200803107 "Uso de las ciclodextrinas  para la producción y extracción de fitoesteroles en cultivos celulares". 40%  correspondiente a la UA</t>
        </is>
      </c>
      <c r="C2" s="99" t="n">
        <v>1525.07</v>
      </c>
    </row>
    <row r="3">
      <c r="A3" s="75" t="inlineStr">
        <is>
          <t>30.90.6C.00.64</t>
        </is>
      </c>
      <c r="B3" s="76" t="inlineStr">
        <is>
          <t>Determinación de perfiles proteicos en las siguientes muestras: -DC/SEV/6660/24: A-022. OLEA EUROPAEA L-024.A EE T-12M (2-8ºC) -DC/SEV/6661/24: A-031.PLATANUS ACERIFOLIA L-024.A EE T-12M (2-8ºC) -DC/SEV/6662/24: A-031.PLATANUS ACERIFOLIA L-024.B EE T-12M (2-8ºC) -DC/SEV/6663/24: H-015. PARIETARIA JUDAICA L-024.B EE T-12M (2-8ºC) -DC/SEV/6664/24: H-076. SALSOLA KALI L-024.A EE T-12M (2-8ºC) -DC/SEV/6665/24: H-076. SALSOLA KALI L-024.B EE T-12M (2-8ºC)</t>
        </is>
      </c>
      <c r="C3" s="100" t="n">
        <v>432.96</v>
      </c>
    </row>
    <row r="4">
      <c r="A4" s="72" t="inlineStr">
        <is>
          <t>30.90.6C.00.64</t>
        </is>
      </c>
      <c r="B4" s="73" t="inlineStr">
        <is>
          <t xml:space="preserve">LQM1-24TD DETERMINACIÓN DE PERFILES PROTEICOS EN MUESTRAS DE POLEN SUMINISTRADAS POR EL CLIENTE: -EN/SEV/425/25: A-020 . Juniperus oxycedrus L. L-025.A -EN/SEV/426/25: A-022. Olea europaea L. L-025.A -EN/SEV/427/25: H-005. Chenopodium album L. L-025.B </t>
        </is>
      </c>
      <c r="C4" s="99" t="n">
        <v>216.48</v>
      </c>
    </row>
    <row r="5">
      <c r="A5" s="75" t="inlineStr">
        <is>
          <t>30.90.6C.00.64</t>
        </is>
      </c>
      <c r="B5" s="76" t="inlineStr">
        <is>
          <t>Determinación de perfiles proteicos en las siguientes muestras: -FE/SEV/899/25: H-074. AMBROSIA ELATIOR L-020.A EE:T60M/5ºC -FE/SEV/900/25: H-031. ARTEMISIA VULGARIS. L-020.A EE:T-60M/5ºC -FE/SEV/901/25: A-022.10 OLEA EUROPAEA VAR. PICUAL. L-020.C EE: T-60M/5ºC -FE/SEV/902/25: A-022.11 OLEA EUROPAEA  VAR. PICUADO. L-020.A EE: T-60M/5ºC -FE/SEV/903/25: A-020. JUNIPERUS OXYCEDRUS. L-020.A EE: T-60M/5ºC</t>
        </is>
      </c>
      <c r="C5" s="100" t="n">
        <v>360.8</v>
      </c>
    </row>
    <row r="6">
      <c r="A6" s="72" t="inlineStr">
        <is>
          <t>30.90.6C.00.64</t>
        </is>
      </c>
      <c r="B6" s="73" t="inlineStr">
        <is>
          <t>Determinación de perfiles proteicos en las siguientes muestras: -MY/SEV/3114/25:A-047.ACACIA SP.L-026.A -MY/SEV/3115/25:A-031.PLATANUS HISPANICAL-026.A -MY/SEV/3116/25:A-032.POPULUS ALBA.L-026.A -MY/SEV/3117/25:A-033.POPULUS NIGRA L-026.A -MY/SEV/3118/25:A-053.QUERCUS ILEX BALLOTA.L-026.A</t>
        </is>
      </c>
      <c r="C6" s="99" t="n">
        <v>360.8</v>
      </c>
    </row>
    <row r="7">
      <c r="A7" s="75" t="inlineStr">
        <is>
          <t>30.90.6C.01.15</t>
        </is>
      </c>
      <c r="B7" s="76" t="inlineStr">
        <is>
          <t>Evaluación como experta técnica del proyecto 950.841, titulado: "Rubiscos at the boundaires of autotrophic life"</t>
        </is>
      </c>
      <c r="C7" s="100" t="n">
        <v>105.6</v>
      </c>
    </row>
    <row r="8">
      <c r="A8" s="72" t="inlineStr">
        <is>
          <t>30.90.6C.01.15</t>
        </is>
      </c>
      <c r="B8" s="73" t="inlineStr">
        <is>
          <t>Evaluación como experta del proyecto 950.875, titulado: Plastic biodegradation in the deep ocean.</t>
        </is>
      </c>
      <c r="C8" s="99" t="n">
        <v>105.6</v>
      </c>
    </row>
    <row r="9">
      <c r="A9" s="75" t="inlineStr">
        <is>
          <t>30.90.6C.01.15</t>
        </is>
      </c>
      <c r="B9" s="76" t="inlineStr">
        <is>
          <t>Evaluación como experta técnica del proyecto 948.475, titulado: "Nuevos conservantes alimentarios obtenidos por fermentación de vegetales".</t>
        </is>
      </c>
      <c r="C9" s="100" t="n">
        <v>96.8</v>
      </c>
    </row>
    <row r="10">
      <c r="A10" s="72" t="inlineStr">
        <is>
          <t>30.90.6C.01.15</t>
        </is>
      </c>
      <c r="B10" s="73" t="inlineStr">
        <is>
          <t>Evaluación como experta técnica del proyecto 929.641, titulado: " Bonificaciones a la S.S. por personal investigador-2024"</t>
        </is>
      </c>
      <c r="C10" s="99" t="n">
        <v>440</v>
      </c>
    </row>
    <row r="11">
      <c r="A11" s="75" t="inlineStr">
        <is>
          <t>30.90.6C.01.34</t>
        </is>
      </c>
      <c r="B11" s="76" t="inlineStr">
        <is>
          <t>Análisis de microplásticos mediante espectroscopia de infrarrojos (LDIR)</t>
        </is>
      </c>
      <c r="C11" s="100" t="n">
        <v>3520</v>
      </c>
    </row>
    <row r="12">
      <c r="A12" s="72" t="inlineStr">
        <is>
          <t>30.90.6C.01.37</t>
        </is>
      </c>
      <c r="B12" s="73" t="inlineStr">
        <is>
          <t>Estudio del efecto de un bioestimulante sobre el desarrollo vegetativo en plántulas de trigo a 24h y 120 días desde la aplicación de los tratamientos en semillas.</t>
        </is>
      </c>
      <c r="C12" s="99" t="n">
        <v>3975.4</v>
      </c>
    </row>
    <row r="13">
      <c r="A13" s="75" t="inlineStr">
        <is>
          <t>30.90.6C.01.37</t>
        </is>
      </c>
      <c r="B13" s="76" t="inlineStr">
        <is>
          <t>BIORIZON1-25TPA. ESTUDIO DEL EFECTO DE UN BIOESTIMULANTE SOBRE EL DESARROLLO VEGETATIVO EN PLÁNTULAS DE TRIGO.</t>
        </is>
      </c>
      <c r="C13" s="100" t="n">
        <v>3975.4</v>
      </c>
    </row>
    <row r="14">
      <c r="A14" s="72" t="inlineStr">
        <is>
          <t>30.90.6C.01.39</t>
        </is>
      </c>
      <c r="B14" s="73" t="inlineStr">
        <is>
          <t xml:space="preserve">OCA7-25TPA (FONDO CERT. (OCA-R.M.MARTINEZ ESPINOSA-3090)) FONDO CERTIFICACION PROYECTOS I+D+i OCA-ROSA MARIA MARTINEZ ESPINOSA-3090 </t>
        </is>
      </c>
      <c r="C14" s="99" t="n">
        <v>633.6</v>
      </c>
    </row>
    <row r="15">
      <c r="A15" s="75" t="inlineStr">
        <is>
          <t>30.90.6C.01.39</t>
        </is>
      </c>
      <c r="B15" s="76" t="inlineStr">
        <is>
          <t xml:space="preserve">EVALUACIÓN 4D DEL PROYECTO 0325/28/96 - MEJGENETIC, TITULADO: DESARROLLO DE UN BANCO GENÉTICO PARA LA REPRODUCCIÓN DE TRUCHA. </t>
        </is>
      </c>
      <c r="C15" s="100" t="n">
        <v>176</v>
      </c>
    </row>
    <row r="16">
      <c r="A16" s="72" t="inlineStr">
        <is>
          <t>30.90.6C.01.39</t>
        </is>
      </c>
      <c r="B16" s="73" t="inlineStr">
        <is>
          <t>Evaluación 4D del proyecto 0225/28/185 ATG SCIENCE &amp; ENGINEERING S.L. Titulado: ATGBONIS24. Nº Pedido 4300045762</t>
        </is>
      </c>
      <c r="C16" s="99" t="n">
        <v>70.40000000000001</v>
      </c>
    </row>
    <row r="17">
      <c r="A17" s="75" t="inlineStr">
        <is>
          <t>30.90.6C.01.39</t>
        </is>
      </c>
      <c r="B17" s="76" t="inlineStr">
        <is>
          <t xml:space="preserve">Evaluación final como  Experta 4D de bonificaciones. REF. PROYECTO: 0425/28/81 FCIDETEC24. Con Nº PEDIDO 4300047978. </t>
        </is>
      </c>
      <c r="C17" s="100" t="n">
        <v>70.40000000000001</v>
      </c>
    </row>
    <row r="18">
      <c r="A18" s="72" t="inlineStr">
        <is>
          <t>30.90.6C.01.39</t>
        </is>
      </c>
      <c r="B18" s="73" t="inlineStr">
        <is>
          <t>Evaluación 4D Final del proyecto 0225/98/09: DNSH CDTI. -MICROVIABLE THERAPEUTICS, S.L. Nº pedido 4300047680</t>
        </is>
      </c>
      <c r="C18" s="99" t="n">
        <v>44</v>
      </c>
    </row>
    <row r="19">
      <c r="A19" s="75" t="inlineStr">
        <is>
          <t>30.90.6C.01.39</t>
        </is>
      </c>
      <c r="B19" s="76" t="inlineStr">
        <is>
          <t>Evaluación 4D final del proyecto 0525/28/133-GRUPO DRV PHYTOLAB, S.L. FHOSPROCYO.  Nº de pedido 4300048767</t>
        </is>
      </c>
      <c r="C19" s="100" t="n">
        <v>70.40000000000001</v>
      </c>
    </row>
    <row r="20">
      <c r="A20" s="72" t="inlineStr">
        <is>
          <t>30.90.6C.01.39</t>
        </is>
      </c>
      <c r="B20" s="73" t="inlineStr">
        <is>
          <t>Evaluación inicial y final como Experta 4D del proyecto 0525/28/11 INSTITUTO BIOMAR S.A. (BIOHERBI24), titulado: "Investigación y desarrollo de nuevos herbicidas naturales de origen microbiano". Nº PEDIDO: 4300048539</t>
        </is>
      </c>
      <c r="C20" s="99" t="n">
        <v>176</v>
      </c>
    </row>
    <row r="21">
      <c r="A21" s="75" t="inlineStr">
        <is>
          <t>30.90.6C.01.39</t>
        </is>
      </c>
      <c r="B21" s="76" t="inlineStr">
        <is>
          <t xml:space="preserve">Evaluación 4D inicial y final del proyecto 0425/28/217- BIOSUFERMO. Nº de pedido: 4300050698  </t>
        </is>
      </c>
      <c r="C21" s="100" t="n">
        <v>176</v>
      </c>
    </row>
    <row r="22">
      <c r="A22" s="72" t="inlineStr">
        <is>
          <t>30.90.6C.01.39</t>
        </is>
      </c>
      <c r="B22" s="73" t="inlineStr">
        <is>
          <t xml:space="preserve">EVALUACIÓN 4D DEL PROYECTO 0725/28/371: "DISEÑO Y DESARROLLO DE UN NUEVO PROCESO DE SÍNTESIS Y CULTIVO DE FOSFOLÍPIDOS ENRIQUECIDOS CON DHA". BDRUDOMEGA   Nº PEDIDO 4300050334. </t>
        </is>
      </c>
      <c r="C22" s="99" t="n">
        <v>176</v>
      </c>
    </row>
    <row r="23">
      <c r="A23" s="75" t="inlineStr">
        <is>
          <t>30.90.6C.01.39</t>
        </is>
      </c>
      <c r="B23" s="76" t="inlineStr">
        <is>
          <t>Evaluación 4D del proyecto 0525/28/191-PROSANOF24: "Desarrollo y evaluación de productos sanitarios orientados al sector de la oftalmología".  Nº pedido 4300052220</t>
        </is>
      </c>
      <c r="C23" s="100" t="n">
        <v>176</v>
      </c>
    </row>
    <row r="24">
      <c r="A24" s="72" t="inlineStr">
        <is>
          <t>30.90.6C.01.39</t>
        </is>
      </c>
      <c r="B24" s="73" t="inlineStr">
        <is>
          <t>Evaluación inicial y final 4D del proyecto 0725/28/59-COMPDERMAS. Titulado: "Desarrollo de modelo de datos para detectar anomálias con análisis hipo y lipodérmicos". PEDIDO Nº 4300052329</t>
        </is>
      </c>
      <c r="C24" s="99" t="n">
        <v>176</v>
      </c>
    </row>
    <row r="25">
      <c r="A25" s="75" t="inlineStr">
        <is>
          <t>30.90.6C.01.39</t>
        </is>
      </c>
      <c r="B25" s="76" t="inlineStr">
        <is>
          <t>Evaluación 4D final del proyecto 0625/28/124- MICROVIABLE THERAPEUTICS-CEPAINMUNE, TITULADO: "INVESTIGACION Y DESARROLLO DE CEPAS BACTERIANAS PARA MODULAR LA RESPUESTA INMUNE". NºPEDIDO: 4300051009</t>
        </is>
      </c>
      <c r="C25" s="100" t="n">
        <v>70.40000000000001</v>
      </c>
    </row>
    <row r="26">
      <c r="A26" s="72" t="inlineStr">
        <is>
          <t>30.90.6C.01.39</t>
        </is>
      </c>
      <c r="B26" s="73" t="inlineStr">
        <is>
          <t xml:space="preserve">OCAINNOVACION14-25TPA Evaluación 4D del proyecto 0825/28/81-ARQBIOSOLU, titulado: "Diseño y desarrollo de una nueva solución catalítica de altas prestaciones".  PEDIDO Nº 4300055418 </t>
        </is>
      </c>
      <c r="C26" s="99" t="n">
        <v>176</v>
      </c>
    </row>
    <row r="27">
      <c r="A27" s="75" t="inlineStr">
        <is>
          <t>30.90.6C.01.39</t>
        </is>
      </c>
      <c r="B27" s="76" t="inlineStr">
        <is>
          <t xml:space="preserve">Evaluación 4D inicial y final del proyecto 0925/28/206-INVBRETE25, titulado: "Investigación y desarrollo de un nuevo concepto para la bioimpresión de tejidos". Nº PEDIDO 4300054146 </t>
        </is>
      </c>
      <c r="C27" s="100" t="n">
        <v>176</v>
      </c>
    </row>
    <row r="28">
      <c r="A28" s="72" t="inlineStr">
        <is>
          <t>30.90.6C.01.39</t>
        </is>
      </c>
      <c r="B28" s="73" t="inlineStr">
        <is>
          <t>OCAINNOVACION16-25TPA Evaluación 4D inicial del proyecto 1025/00251285-ZECLINICS, S.L.-ZEOFTALMO1, Titulado: "Investigación preclínica de nuevos modelos oftalmológicos toxicológicos y CNS".  nº pedido : 4300054764</t>
        </is>
      </c>
      <c r="C28" s="99" t="n">
        <v>176</v>
      </c>
    </row>
    <row r="29">
      <c r="A29" s="75" t="inlineStr">
        <is>
          <t>30.90.6C.01.41</t>
        </is>
      </c>
      <c r="B29" s="76" t="inlineStr">
        <is>
          <t>Realización de ensayos: Adquisición de mapas LCMS, analísis del proteoma diferencial, análisis biológico funcional y elaboración de informe de resultados.  Nº Pedido 2025001991</t>
        </is>
      </c>
      <c r="C29" s="100" t="n">
        <v>2904</v>
      </c>
    </row>
    <row r="30">
      <c r="A30" s="72" t="inlineStr">
        <is>
          <t>30.90.6C.01.42</t>
        </is>
      </c>
      <c r="B30" s="73" t="inlineStr">
        <is>
          <t>50% del total al inicio de la prestación de servicio: "Caracterización térmica de la biomasa de Posidonia oceánica".</t>
        </is>
      </c>
      <c r="C30" s="99" t="n">
        <v>220</v>
      </c>
    </row>
    <row r="31">
      <c r="A31" s="75" t="inlineStr">
        <is>
          <t>30.90.6C.01.42</t>
        </is>
      </c>
      <c r="B31" s="76" t="inlineStr">
        <is>
          <t>50% del total tras la recepción del informe de resultados: "Caracterización térmica de la biomasa de Posidonia oceánica"</t>
        </is>
      </c>
      <c r="C31" s="100" t="n">
        <v>220</v>
      </c>
    </row>
    <row r="32">
      <c r="A32" s="72" t="inlineStr">
        <is>
          <t>30.90.6C.01.43</t>
        </is>
      </c>
      <c r="B32" s="73" t="inlineStr">
        <is>
          <t>ANÁLISIS DE MICROPLÁSTICOS MEDIANTE ESPECTROSCOPIA DE INFRARROJOS (LDIR).  PROYECTO AGROPLAST. PROYECTO JUSTO 38389. PEDIDO REALIZADO Nº 22201.</t>
        </is>
      </c>
      <c r="C32" s="99" t="n">
        <v>5280</v>
      </c>
    </row>
    <row r="33">
      <c r="A33" s="75" t="inlineStr">
        <is>
          <t>30.90.6C.01.44</t>
        </is>
      </c>
      <c r="B33" s="76" t="inlineStr">
        <is>
          <t xml:space="preserve">"EXTRACCIÓN DE PROTEÍNAS DE POLEN Y SU ANÁLISIS ELECTROFORÉTICO EN MUESTRAS DE POLEN SUMINISTRADAS POR EL CLIENTE" REF. LQM1-25T. INVESTIGADOR RESP.  ROQUE BRU MARTÍNEZ  Determinación de perfiles proteicos  en las siguiente muestras: -JN/SEV/3629/25:A-017.FRAXINUS EXCELSIOR L-024.A -JN/SEV/3630/25:H-021.RUMEX ACETOSELLA L-026.A -JN/SEV/3569/25:A-022.OLEA EUROPAEA L-024.A -JN/SEV/3570/25:A-031.PLATANUS ACERIFOLIA L-024.A -JN/SEV/3571/25:A-031.PLATANUS ACERIFOLIA L-024.B -JN/SEV/3572/25:H-015.PARIETARIA JUDAICA L-024.B -JN/SEV/3573/25:H-076.SALSOSA KALI L-024.A -JN/SEV/3574/25:H-076.SALSOLSA KALI L-024.B  -JN/SEV/3334/25:A-012.CUPRESSUS ARIZONICA L-026.A -JN/SEV/3335/25:A-016.FAGUS SYLVATICA L-025.A </t>
        </is>
      </c>
      <c r="C33" s="100" t="n">
        <v>721.6</v>
      </c>
    </row>
    <row r="34">
      <c r="A34" s="72" t="inlineStr">
        <is>
          <t>30.90.6C.01.44</t>
        </is>
      </c>
      <c r="B34" s="73" t="inlineStr">
        <is>
          <t>"EXTRACCIÓN DE PROTEÍNAS DE POLEN Y SU ANÁLISIS ELECTROFORÉTICO EN MUESTRAS DE POLEN SUMINISTRADAS POR EL CLIENTE". REF. LQM1-25T. INVESTIGADOR RESP. ROQUE BRU MARTÍNEZ DETERMINACIÓN DE PERFILES PROTEICOS EN LAS SIGUIENTES MUESTRAS: - JL/SEV/3964/25: H-18. PLANTAGO LANCEOLATA L-026.A - AG/SEV/5029/25: G-034 PHLEUM PRATENSE. L-026. A - AG/SEV/5030/25: G-034 PHLEUM PRATENSE. L-O26. B</t>
        </is>
      </c>
      <c r="C34" s="99" t="n">
        <v>216.48</v>
      </c>
    </row>
    <row r="35">
      <c r="A35" s="75" t="inlineStr">
        <is>
          <t>30.90.6C.01.44</t>
        </is>
      </c>
      <c r="B35" s="76" t="inlineStr">
        <is>
          <t>"EXTRACCIÓN DE PROTEÍNAS Y SU ANÁLISIS ELECTROFORÉTICO EN MUESTRAS DE POLEN SUMINISTRADAS POR EL CLIENTE". REF: LQM1-25T. RESPONSABLE: ROQUE BRU MARTÍNEZ. DETERMINACIÓN DE PERFILES PROTEICOS EN LAS SIGUIENTES MUESTRAS: -SP/SEV/5389/25. G034. G-005 DACTYLIS GLOMERATA L-026.A. 10g. -OC/SEV/6379/25: A.022.10 OLEA EUROPAEA VAR. PICUAL L-026.E -OC/SEV/6380/25: H.074 AMBROSIA ELATIOR L-026.A</t>
        </is>
      </c>
      <c r="C35" s="100" t="n">
        <v>216.48</v>
      </c>
    </row>
    <row r="36">
      <c r="A36" s="72" t="inlineStr">
        <is>
          <t>30.90.6C.01.45</t>
        </is>
      </c>
      <c r="B36" s="73" t="inlineStr">
        <is>
          <t>Evaluación de contenido y ejecución  del proyecto 957.445, Titulado: "INVESTIGACIÓN Y DESARROLLO DE UN AGENTE GELANTE PARA LA FABRICACIÓN DE PLACAS DE CONTROL AMBIENTAL".</t>
        </is>
      </c>
      <c r="C36" s="99" t="n">
        <v>660</v>
      </c>
    </row>
    <row r="37">
      <c r="A37" s="75" t="inlineStr">
        <is>
          <t>30.90.6C.01.48</t>
        </is>
      </c>
      <c r="B37" s="76" t="inlineStr">
        <is>
          <t>PRIMER PLAZO DE LA PRESTACIÓN DE SERVICIOS: ESTABLECER LOS DETERMINANTES PARA LOGRAR UNA SUSPENSIÓN DE C-FICOCIANINA EN ACEITE DE GIRASOL QUE SEA ESTABLE A NIVEL REOLÓGICO.</t>
        </is>
      </c>
      <c r="C37" s="100" t="n">
        <v>528</v>
      </c>
    </row>
    <row r="38">
      <c r="A38" s="72" t="inlineStr">
        <is>
          <t>30.90.6P.00.24</t>
        </is>
      </c>
      <c r="B38" s="73" t="inlineStr">
        <is>
          <t>DEVOLUCIÓN DE INGRESOS_CARTA DE PAGO_REFERENCIA: TED2021-129617B-I00, ANUALIDAD: 2023</t>
        </is>
      </c>
      <c r="C38" s="99" t="n">
        <v>-731.41</v>
      </c>
    </row>
    <row r="39">
      <c r="A39" s="75" t="inlineStr">
        <is>
          <t>30.90.6P.00.25</t>
        </is>
      </c>
      <c r="B39" s="76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39" s="100" t="n">
        <v>30000</v>
      </c>
    </row>
    <row r="40">
      <c r="A40" s="72" t="inlineStr">
        <is>
          <t>30.90.6P.00.25</t>
        </is>
      </c>
      <c r="B40" s="73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40" s="99" t="n">
        <v>-143.86</v>
      </c>
    </row>
    <row r="41">
      <c r="A41" s="75" t="inlineStr">
        <is>
          <t>30.90.6P.00.26</t>
        </is>
      </c>
      <c r="B41" s="76" t="inlineStr">
        <is>
          <t>PROGRAMA PROPIO DEL CENTRO DE GASTRONOMÍA DEL MEDITERRÁNEO (GASTERRA) UA_DENIA PARA EL FOMENTO DE LA I+D+I EN EL ÁMBITO DE LA GASTRONOMÍA 2025</t>
        </is>
      </c>
      <c r="C41" s="100" t="n">
        <v>3000</v>
      </c>
    </row>
    <row r="42">
      <c r="A42" s="72" t="inlineStr">
        <is>
          <t>30.90.6P.00.27</t>
        </is>
      </c>
      <c r="B42" s="73" t="inlineStr">
        <is>
          <t>PROGRAMA PROPIO DEL CENTRO DE GASTRONOMÍA DEL MEDITERRÁNEO (GASTERRA) UA_DENIA PARA EL FOMENTO DE LA I+D+I EN EL ÁMBITO DE LA GASTRONOMÍA 2025</t>
        </is>
      </c>
      <c r="C42" s="99" t="n">
        <v>3000</v>
      </c>
    </row>
    <row r="43">
      <c r="A43" s="75" t="inlineStr">
        <is>
          <t>30.90.6P.00.28</t>
        </is>
      </c>
      <c r="B43" s="76" t="inlineStr">
        <is>
          <t>PROGRAMA PROPIO DEL CENTRO DE GASTRONOMÍA DEL MEDITERRÁNEO (GASTERRA) UA_DENIA PARA EL FOMENTO DE LA I+D+I EN EL ÁMBITO DE LA GASTRONOMÍA 2025</t>
        </is>
      </c>
      <c r="C43" s="100" t="n">
        <v>1800</v>
      </c>
    </row>
    <row r="44">
      <c r="A44" s="72" t="inlineStr">
        <is>
          <t>30.90.6P.00.29</t>
        </is>
      </c>
      <c r="B44" s="73" t="inlineStr">
        <is>
          <t>Ingreso ayudas CIGE/2024/56/95/108/145/178/184/194/199/200/201/202/203/204/205/208/209/212/213</t>
        </is>
      </c>
      <c r="C44" s="99" t="n">
        <v>5000</v>
      </c>
    </row>
    <row r="45" ht="15.75" customHeight="1" thickBot="1">
      <c r="A45" s="75" t="inlineStr">
        <is>
          <t>30.90.6P.00.30</t>
        </is>
      </c>
      <c r="B45" s="76" t="inlineStr">
        <is>
          <t>INNVA1/2025/19/10</t>
        </is>
      </c>
      <c r="C45" s="100" t="n">
        <v>38450</v>
      </c>
    </row>
    <row r="46" ht="15.75" customHeight="1" thickTop="1">
      <c r="A46" s="78" t="inlineStr">
        <is>
          <t>Total</t>
        </is>
      </c>
      <c r="B46" s="79" t="n"/>
      <c r="C46" s="101" t="n">
        <v>108999.4</v>
      </c>
    </row>
    <row r="50">
      <c r="B50" s="49" t="inlineStr">
        <is>
          <t>Total ingresos investigación 2023-25</t>
        </is>
      </c>
      <c r="C50" s="102">
        <f>+Tabla3[[#Totals],[Imp. aplic.]]+Tabla2[[#Totals],[Imp.cob.aplic.]]+C46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8" sqref="C18"/>
    </sheetView>
  </sheetViews>
  <sheetFormatPr baseColWidth="10" defaultRowHeight="15"/>
  <cols>
    <col width="16.28515625" customWidth="1" min="1" max="1"/>
    <col width="80.28515625" customWidth="1" min="2" max="2"/>
    <col width="14.85546875" customWidth="1" min="3" max="3"/>
  </cols>
  <sheetData>
    <row r="1">
      <c r="A1" s="53" t="inlineStr">
        <is>
          <t>Cód. org. aplic.</t>
        </is>
      </c>
      <c r="B1" s="53" t="inlineStr">
        <is>
          <t>Descripción justificante</t>
        </is>
      </c>
      <c r="C1" s="53" t="inlineStr">
        <is>
          <t>Imp.cob.aplic.</t>
        </is>
      </c>
    </row>
    <row r="2">
      <c r="A2" s="27" t="inlineStr">
        <is>
          <t>30.90.2T.00.04</t>
        </is>
      </c>
      <c r="B2" s="27" t="inlineStr">
        <is>
          <t xml:space="preserve">Plan_G729 Curso_2022-23 Emitido_2022-23 - LA MICROCERVECERÍA COMO MODELO DE NEGOCIO </t>
        </is>
      </c>
      <c r="C2" s="88" t="n">
        <v>6120.72</v>
      </c>
    </row>
    <row r="3">
      <c r="A3" s="29" t="inlineStr">
        <is>
          <t>30.90.2T.00.05</t>
        </is>
      </c>
      <c r="B3" s="29" t="inlineStr">
        <is>
          <t>Inscripción de Jose Tort Esteban, en el Curso de especialización Fundamentos técnicos de la Elaboración de Cerveza (G730)</t>
        </is>
      </c>
      <c r="C3" s="89" t="n">
        <v>1300</v>
      </c>
    </row>
    <row r="4">
      <c r="A4" s="27" t="inlineStr">
        <is>
          <t>30.90.2T.00.06</t>
        </is>
      </c>
      <c r="B4" s="27" t="inlineStr">
        <is>
          <t>Solicitud de factura por matrícula del alumno Adrián Burgos Blasco en el curso de especialización Cata, Evaluación y Sumillería de Cerveza (GH42)</t>
        </is>
      </c>
      <c r="C4" s="88" t="n">
        <v>1000</v>
      </c>
    </row>
    <row r="5">
      <c r="A5" s="29" t="inlineStr">
        <is>
          <t>30.90.2T.00.06</t>
        </is>
      </c>
      <c r="B5" s="29" t="inlineStr">
        <is>
          <t xml:space="preserve">Plan_GH42 Curso_2022-23 Emitido_2022-23 - CATA, EVALUACIÓN Y SUMILLERÍA DE CERVEZA </t>
        </is>
      </c>
      <c r="C5" s="89" t="n">
        <v>8100</v>
      </c>
    </row>
    <row r="6">
      <c r="A6" s="27" t="inlineStr">
        <is>
          <t>30.90.2T.00.07</t>
        </is>
      </c>
      <c r="B6" s="27" t="inlineStr">
        <is>
          <t>Solicitud de factura por matrícula del alumno José Torres Bellón en el curso Fundamentos técnicos de la Elaboración de Cerveza (GI22)</t>
        </is>
      </c>
      <c r="C6" s="88" t="n">
        <v>1300</v>
      </c>
    </row>
    <row r="7">
      <c r="A7" s="29" t="inlineStr">
        <is>
          <t>30.90.2T.00.07</t>
        </is>
      </c>
      <c r="B7" s="29" t="inlineStr">
        <is>
          <t xml:space="preserve">Plan_GI22 Curso_2023-24 Emitido_2023-24 - FUNDAMENTOS TÉCNICOS DE LA ELABORACIÓN DE CERVEZA </t>
        </is>
      </c>
      <c r="C7" s="89" t="n">
        <v>55326.92</v>
      </c>
    </row>
    <row r="8">
      <c r="A8" s="64" t="inlineStr">
        <is>
          <t>30.90.2T.00.07</t>
        </is>
      </c>
      <c r="B8" s="64" t="inlineStr">
        <is>
          <t>Solicitud de factura por matrícula del alumno Carlos Alonso González Monje, en el curso Fundamentos técnicos de la Elaboración de Cerveza (GI22)</t>
        </is>
      </c>
      <c r="C8" s="103" t="n">
        <v>1431</v>
      </c>
    </row>
    <row r="9">
      <c r="A9" s="64" t="inlineStr">
        <is>
          <t>Total</t>
        </is>
      </c>
      <c r="B9" s="64" t="n"/>
      <c r="C9" s="104">
        <f>SUBTOTAL(109,Tabla5[Imp.cob.aplic.])</f>
        <v/>
      </c>
    </row>
    <row r="10">
      <c r="C10" s="92" t="n"/>
    </row>
    <row r="14">
      <c r="B14" s="51" t="n"/>
      <c r="C14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C12" sqref="C12"/>
    </sheetView>
  </sheetViews>
  <sheetFormatPr baseColWidth="10" defaultRowHeight="15"/>
  <cols>
    <col width="18" customWidth="1" min="1" max="1"/>
    <col width="43.7109375" customWidth="1" min="2" max="2"/>
    <col width="13" bestFit="1" customWidth="1" min="3" max="3"/>
    <col width="12.7109375" customWidth="1" min="4" max="4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58" t="inlineStr">
        <is>
          <t>Imp. aplic.</t>
        </is>
      </c>
      <c r="D1" s="58" t="inlineStr">
        <is>
          <t>Tipo cuenta</t>
        </is>
      </c>
      <c r="E1" s="58" t="inlineStr">
        <is>
          <t>D-I</t>
        </is>
      </c>
    </row>
    <row r="2">
      <c r="A2" s="43" t="inlineStr">
        <is>
          <t>30.90.2T.00.06</t>
        </is>
      </c>
      <c r="B2" s="43" t="inlineStr">
        <is>
          <t xml:space="preserve">LIQ-TitProp_GK13-1 Curso_2023-24 AñoCont_2023 - CATA, EVALUACIÓN Y SUMILLERÍA DE CERVEZA </t>
        </is>
      </c>
      <c r="C2" s="94" t="n">
        <v>8100</v>
      </c>
      <c r="D2" s="43" t="inlineStr">
        <is>
          <t>2T</t>
        </is>
      </c>
      <c r="E2" s="43" t="inlineStr">
        <is>
          <t>S</t>
        </is>
      </c>
    </row>
    <row r="3">
      <c r="A3" s="45" t="inlineStr">
        <is>
          <t>30.90.2T.00.06</t>
        </is>
      </c>
      <c r="B3" s="45" t="inlineStr">
        <is>
          <t>Carolina Simal Sánchez, alumna del curso Cata, Evaluación y Sumillería de Cerveza (GK13)</t>
        </is>
      </c>
      <c r="C3" s="95" t="n">
        <v>1000</v>
      </c>
      <c r="D3" s="45" t="inlineStr">
        <is>
          <t>2T</t>
        </is>
      </c>
      <c r="E3" s="45" t="inlineStr">
        <is>
          <t>S</t>
        </is>
      </c>
    </row>
    <row r="4">
      <c r="A4" s="67" t="inlineStr">
        <is>
          <t>30.90.2T.00.07</t>
        </is>
      </c>
      <c r="B4" s="67" t="inlineStr">
        <is>
          <t xml:space="preserve">LIQ-TitProp_GI22-1 Curso_2024-25 AñoCont_2024 - FUNDAMENTOS TÉCNICOS DE LA ELABORACIÓN DE CERVEZA </t>
        </is>
      </c>
      <c r="C4" s="105" t="n">
        <v>43029.04</v>
      </c>
      <c r="D4" s="67" t="inlineStr">
        <is>
          <t>2T</t>
        </is>
      </c>
      <c r="E4" s="67" t="inlineStr">
        <is>
          <t>S</t>
        </is>
      </c>
    </row>
    <row r="5">
      <c r="A5" s="62" t="inlineStr">
        <is>
          <t>Total</t>
        </is>
      </c>
      <c r="B5" s="62" t="n"/>
      <c r="C5" s="97">
        <f>SUBTOTAL(109,Tabla6[Imp. aplic.])</f>
        <v/>
      </c>
      <c r="D5" s="62" t="n"/>
      <c r="E5" s="62">
        <f>SUBTOTAL(103,Tabla6[D-I])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12" sqref="C12"/>
    </sheetView>
  </sheetViews>
  <sheetFormatPr baseColWidth="10" defaultRowHeight="15"/>
  <cols>
    <col width="15.85546875" customWidth="1" min="1" max="1"/>
    <col width="59" customWidth="1" min="2" max="2"/>
    <col width="17.85546875" customWidth="1" min="3" max="3"/>
  </cols>
  <sheetData>
    <row r="1">
      <c r="A1" s="70" t="inlineStr">
        <is>
          <t>Org. aplic.</t>
        </is>
      </c>
      <c r="B1" s="71" t="inlineStr">
        <is>
          <t>Descripción justificante</t>
        </is>
      </c>
      <c r="C1" s="106" t="inlineStr">
        <is>
          <t>Imp. aplic.</t>
        </is>
      </c>
    </row>
    <row r="2">
      <c r="A2" s="72" t="inlineStr">
        <is>
          <t>30.90.2T.00.09</t>
        </is>
      </c>
      <c r="B2" s="73" t="inlineStr">
        <is>
          <t xml:space="preserve">LIQ-TitProp_GM30-N Curso_2024-25 AñoCont_2025 - LA MICROCERVECERÍA COMO MODELO DE NEGOCIO </t>
        </is>
      </c>
      <c r="C2" s="99" t="n">
        <v>5062.5</v>
      </c>
    </row>
    <row r="3">
      <c r="A3" s="75" t="inlineStr">
        <is>
          <t>30.90.2T.00.08</t>
        </is>
      </c>
      <c r="B3" s="76" t="inlineStr">
        <is>
          <t>CÓD: GM30. MICROCREDENCIAL. LA MICROCERVECERÍA COMO MODELO DE NEGOCIO</t>
        </is>
      </c>
      <c r="C3" s="100" t="n">
        <v>11812.5</v>
      </c>
    </row>
    <row r="4">
      <c r="A4" s="72" t="inlineStr">
        <is>
          <t>10.91.2T.01.78</t>
        </is>
      </c>
      <c r="B4" s="73" t="inlineStr">
        <is>
          <t xml:space="preserve">LIQ-TitProp_GM30-1 Curso_2025-26 AñoCont_2025 - LA MICROCERVECERÍA COMO MODELO DE NEGOCIO </t>
        </is>
      </c>
      <c r="C4" s="99" t="n">
        <v>5593</v>
      </c>
    </row>
    <row r="5">
      <c r="A5" s="75" t="inlineStr">
        <is>
          <t>10.91.2T.01.78</t>
        </is>
      </c>
      <c r="B5" s="76" t="inlineStr">
        <is>
          <t xml:space="preserve">LIQ-TitProp_GM30-N Curso_2025-26 AñoCont_2025 - LA MICROCERVECERÍA COMO MODELO DE NEGOCIO _ (Cierre-25) (EMITIDO25 COBRADO25)  </t>
        </is>
      </c>
      <c r="C5" s="100" t="n">
        <v>1997.5</v>
      </c>
    </row>
    <row r="6">
      <c r="A6" s="72" t="inlineStr">
        <is>
          <t>10.91.2T.01.97</t>
        </is>
      </c>
      <c r="B6" s="73" t="inlineStr">
        <is>
          <t xml:space="preserve">CÓD: GN32. MICROCREDENCIAL. LIQ-TitProp_GN32-N Curso_2025-26 AñoCont_2025 - NUEVAS TENDENCIAS EN MICROCERVECERÍA  </t>
        </is>
      </c>
      <c r="C6" s="99" t="n">
        <v>5313.35</v>
      </c>
    </row>
    <row r="7" ht="15.75" customHeight="1" thickBot="1">
      <c r="A7" s="75" t="inlineStr">
        <is>
          <t>10.91.2T.01.98</t>
        </is>
      </c>
      <c r="B7" s="76" t="inlineStr">
        <is>
          <t xml:space="preserve">LIQ-TitProp_GN32-N Curso_2025-26 AñoCont_2025 - NUEVAS TENDENCIAS EN MICROCERVECERÍA </t>
        </is>
      </c>
      <c r="C7" s="100" t="n">
        <v>2277.15</v>
      </c>
    </row>
    <row r="8" ht="15.75" customHeight="1" thickTop="1">
      <c r="A8" s="78" t="inlineStr">
        <is>
          <t>Total</t>
        </is>
      </c>
      <c r="B8" s="79" t="n"/>
      <c r="C8" s="107">
        <f>SUM(C2:C7)</f>
        <v/>
      </c>
    </row>
    <row r="12">
      <c r="B12" s="49" t="inlineStr">
        <is>
          <t>Total ingresos formación 23-25</t>
        </is>
      </c>
      <c r="C12" s="102">
        <f>+Tabla6[[#Totals],[Imp. aplic.]]+Tabla5[[#Totals],[Imp.cob.aplic.]]+C8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daea@ua.es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2026-05-28T21:59:08Z</dcterms:modified>
  <cp:lastModifiedBy>mayte.pujalte</cp:lastModifiedBy>
</cp:coreProperties>
</file>