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28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_-* #,##0.00_-;\-* #,##0.00_-;_-* &quot;-&quot;??_-;_-@_-"/>
    <numFmt numFmtId="167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 tint="0.799981688894314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3" fillId="0" borderId="0"/>
  </cellStyleXfs>
  <cellXfs count="112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164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5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0" fontId="12" fillId="6" borderId="1" applyAlignment="1" pivotButton="0" quotePrefix="0" xfId="0">
      <alignment horizontal="left" vertical="center"/>
    </xf>
    <xf numFmtId="0" fontId="12" fillId="6" borderId="4" applyAlignment="1" pivotButton="0" quotePrefix="0" xfId="0">
      <alignment horizontal="left" vertical="center"/>
    </xf>
    <xf numFmtId="0" fontId="12" fillId="6" borderId="5" applyAlignment="1" pivotButton="0" quotePrefix="0" xfId="0">
      <alignment horizontal="left" vertical="center"/>
    </xf>
    <xf numFmtId="0" fontId="12" fillId="6" borderId="6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166" fontId="0" fillId="8" borderId="7" pivotButton="0" quotePrefix="0" xfId="6"/>
    <xf numFmtId="166" fontId="0" fillId="0" borderId="7" pivotButton="0" quotePrefix="0" xfId="6"/>
    <xf numFmtId="0" fontId="2" fillId="0" borderId="1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17" fillId="8" borderId="7" pivotButton="0" quotePrefix="0" xfId="0"/>
    <xf numFmtId="0" fontId="17" fillId="0" borderId="7" pivotButton="0" quotePrefix="0" xfId="0"/>
    <xf numFmtId="166" fontId="0" fillId="0" borderId="0" pivotButton="0" quotePrefix="0" xfId="0"/>
    <xf numFmtId="0" fontId="9" fillId="9" borderId="0" pivotButton="0" quotePrefix="0" xfId="5"/>
    <xf numFmtId="0" fontId="9" fillId="9" borderId="0" applyAlignment="1" pivotButton="0" quotePrefix="0" xfId="5">
      <alignment horizontal="right"/>
    </xf>
    <xf numFmtId="0" fontId="15" fillId="9" borderId="0" pivotButton="0" quotePrefix="0" xfId="5"/>
    <xf numFmtId="165" fontId="3" fillId="2" borderId="0" pivotButton="0" quotePrefix="0" xfId="1"/>
    <xf numFmtId="166" fontId="0" fillId="8" borderId="9" pivotButton="0" quotePrefix="0" xfId="6"/>
    <xf numFmtId="0" fontId="16" fillId="7" borderId="8" pivotButton="0" quotePrefix="0" xfId="0"/>
    <xf numFmtId="0" fontId="17" fillId="0" borderId="9" pivotButton="0" quotePrefix="0" xfId="0"/>
    <xf numFmtId="166" fontId="0" fillId="0" borderId="9" pivotButton="0" quotePrefix="0" xfId="6"/>
    <xf numFmtId="166" fontId="13" fillId="8" borderId="9" pivotButton="0" quotePrefix="0" xfId="0"/>
    <xf numFmtId="0" fontId="9" fillId="0" borderId="9" pivotButton="0" quotePrefix="0" xfId="0"/>
    <xf numFmtId="166" fontId="13" fillId="0" borderId="9" pivotButton="0" quotePrefix="0" xfId="0"/>
    <xf numFmtId="0" fontId="9" fillId="10" borderId="9" pivotButton="0" quotePrefix="0" xfId="0"/>
    <xf numFmtId="0" fontId="0" fillId="11" borderId="0" pivotButton="0" quotePrefix="0" xfId="0"/>
    <xf numFmtId="166" fontId="13" fillId="10" borderId="9" pivotButton="0" quotePrefix="0" xfId="0"/>
    <xf numFmtId="0" fontId="0" fillId="8" borderId="7" pivotButton="0" quotePrefix="0" xfId="0"/>
    <xf numFmtId="0" fontId="0" fillId="0" borderId="7" pivotButton="0" quotePrefix="0" xfId="0"/>
    <xf numFmtId="0" fontId="10" fillId="7" borderId="8" pivotButton="0" quotePrefix="0" xfId="0"/>
    <xf numFmtId="166" fontId="10" fillId="7" borderId="8" pivotButton="0" quotePrefix="0" xfId="6"/>
    <xf numFmtId="0" fontId="0" fillId="0" borderId="9" pivotButton="0" quotePrefix="0" xfId="0"/>
    <xf numFmtId="0" fontId="0" fillId="0" borderId="9" pivotButton="0" quotePrefix="0" xfId="0"/>
    <xf numFmtId="0" fontId="17" fillId="8" borderId="9" pivotButton="0" quotePrefix="0" xfId="0"/>
    <xf numFmtId="0" fontId="0" fillId="8" borderId="9" pivotButton="0" quotePrefix="0" xfId="0"/>
    <xf numFmtId="0" fontId="0" fillId="8" borderId="9" pivotButton="0" quotePrefix="0" xfId="0"/>
    <xf numFmtId="0" fontId="11" fillId="0" borderId="1" pivotButton="0" quotePrefix="0" xfId="0"/>
    <xf numFmtId="167" fontId="11" fillId="0" borderId="1" pivotButton="0" quotePrefix="0" xfId="6"/>
    <xf numFmtId="0" fontId="18" fillId="12" borderId="10" pivotButton="0" quotePrefix="0" xfId="0"/>
    <xf numFmtId="0" fontId="18" fillId="12" borderId="11" pivotButton="0" quotePrefix="0" xfId="0"/>
    <xf numFmtId="0" fontId="19" fillId="13" borderId="10" pivotButton="0" quotePrefix="0" xfId="0"/>
    <xf numFmtId="0" fontId="19" fillId="13" borderId="11" pivotButton="0" quotePrefix="0" xfId="0"/>
    <xf numFmtId="167" fontId="19" fillId="13" borderId="11" pivotButton="0" quotePrefix="0" xfId="6"/>
    <xf numFmtId="0" fontId="19" fillId="0" borderId="10" pivotButton="0" quotePrefix="0" xfId="0"/>
    <xf numFmtId="0" fontId="19" fillId="0" borderId="11" pivotButton="0" quotePrefix="0" xfId="0"/>
    <xf numFmtId="167" fontId="19" fillId="0" borderId="11" pivotButton="0" quotePrefix="0" xfId="6"/>
    <xf numFmtId="0" fontId="20" fillId="0" borderId="12" pivotButton="0" quotePrefix="0" xfId="0"/>
    <xf numFmtId="0" fontId="20" fillId="0" borderId="13" pivotButton="0" quotePrefix="0" xfId="0"/>
    <xf numFmtId="167" fontId="20" fillId="0" borderId="13" pivotButton="0" quotePrefix="0" xfId="6"/>
    <xf numFmtId="0" fontId="9" fillId="13" borderId="11" pivotButton="0" quotePrefix="0" xfId="0"/>
    <xf numFmtId="167" fontId="9" fillId="13" borderId="11" pivotButton="0" quotePrefix="0" xfId="6"/>
    <xf numFmtId="0" fontId="9" fillId="0" borderId="11" pivotButton="0" quotePrefix="0" xfId="0"/>
    <xf numFmtId="167" fontId="9" fillId="0" borderId="11" pivotButton="0" quotePrefix="0" xfId="6"/>
    <xf numFmtId="0" fontId="15" fillId="0" borderId="12" pivotButton="0" quotePrefix="0" xfId="0"/>
    <xf numFmtId="0" fontId="15" fillId="0" borderId="13" pivotButton="0" quotePrefix="0" xfId="0"/>
    <xf numFmtId="167" fontId="15" fillId="0" borderId="13" pivotButton="0" quotePrefix="0" xfId="0"/>
    <xf numFmtId="0" fontId="14" fillId="12" borderId="14" pivotButton="0" quotePrefix="0" xfId="0"/>
    <xf numFmtId="167" fontId="14" fillId="12" borderId="14" pivotButton="0" quotePrefix="0" xfId="6"/>
    <xf numFmtId="0" fontId="9" fillId="13" borderId="15" pivotButton="0" quotePrefix="0" xfId="0"/>
    <xf numFmtId="167" fontId="9" fillId="13" borderId="15" pivotButton="0" quotePrefix="0" xfId="6"/>
    <xf numFmtId="0" fontId="9" fillId="14" borderId="15" pivotButton="0" quotePrefix="0" xfId="0"/>
    <xf numFmtId="167" fontId="9" fillId="14" borderId="15" pivotButton="0" quotePrefix="0" xfId="0"/>
    <xf numFmtId="164" fontId="2" fillId="4" borderId="2" pivotButton="0" quotePrefix="0" xfId="1"/>
    <xf numFmtId="166" fontId="0" fillId="8" borderId="7" pivotButton="0" quotePrefix="0" xfId="6"/>
    <xf numFmtId="166" fontId="0" fillId="0" borderId="7" pivotButton="0" quotePrefix="0" xfId="6"/>
    <xf numFmtId="166" fontId="0" fillId="0" borderId="9" pivotButton="0" quotePrefix="0" xfId="6"/>
    <xf numFmtId="166" fontId="13" fillId="0" borderId="9" pivotButton="0" quotePrefix="0" xfId="0"/>
    <xf numFmtId="166" fontId="0" fillId="0" borderId="0" pivotButton="0" quotePrefix="0" xfId="0"/>
    <xf numFmtId="166" fontId="10" fillId="7" borderId="8" pivotButton="0" quotePrefix="0" xfId="6"/>
    <xf numFmtId="167" fontId="19" fillId="13" borderId="11" pivotButton="0" quotePrefix="0" xfId="6"/>
    <xf numFmtId="167" fontId="19" fillId="0" borderId="11" pivotButton="0" quotePrefix="0" xfId="6"/>
    <xf numFmtId="167" fontId="20" fillId="0" borderId="13" pivotButton="0" quotePrefix="0" xfId="6"/>
    <xf numFmtId="167" fontId="11" fillId="0" borderId="1" pivotButton="0" quotePrefix="0" xfId="6"/>
    <xf numFmtId="166" fontId="0" fillId="8" borderId="9" pivotButton="0" quotePrefix="0" xfId="6"/>
    <xf numFmtId="166" fontId="13" fillId="10" borderId="9" pivotButton="0" quotePrefix="0" xfId="0"/>
    <xf numFmtId="166" fontId="13" fillId="8" borderId="9" pivotButton="0" quotePrefix="0" xfId="0"/>
    <xf numFmtId="167" fontId="14" fillId="12" borderId="14" pivotButton="0" quotePrefix="0" xfId="6"/>
    <xf numFmtId="167" fontId="9" fillId="13" borderId="11" pivotButton="0" quotePrefix="0" xfId="6"/>
    <xf numFmtId="167" fontId="9" fillId="0" borderId="11" pivotButton="0" quotePrefix="0" xfId="6"/>
    <xf numFmtId="167" fontId="9" fillId="13" borderId="15" pivotButton="0" quotePrefix="0" xfId="6"/>
    <xf numFmtId="167" fontId="9" fillId="14" borderId="15" pivotButton="0" quotePrefix="0" xfId="0"/>
    <xf numFmtId="167" fontId="15" fillId="0" borderId="13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51">
    <dxf>
      <fill>
        <patternFill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0"/>
        </patternFill>
      </fill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8" headerRowCount="1" totalsRowCount="1" headerRowDxfId="50" headerRowBorderDxfId="49" tableBorderDxfId="48" totalsRowBorderDxfId="47">
  <autoFilter ref="A1:C7"/>
  <tableColumns count="3">
    <tableColumn id="1" name="Cód. org. aplic." totalsRowLabel="Total" dataDxfId="46" totalsRowDxfId="45"/>
    <tableColumn id="2" name="Descripción justificante" dataDxfId="44" totalsRowDxfId="43"/>
    <tableColumn id="3" name="Imp.cob.aplic." totalsRowFunction="sum" dataDxfId="42" totalsRowDxfId="41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1:C10" headerRowCount="1" totalsRowCount="1" headerRowBorderDxfId="40" tableBorderDxfId="39" totalsRowBorderDxfId="38">
  <autoFilter ref="A1:C9"/>
  <tableColumns count="3">
    <tableColumn id="1" name="Org. aplic." totalsRowLabel="Total" dataDxfId="37" totalsRowDxfId="36"/>
    <tableColumn id="2" name="Descripción justificante" dataDxfId="35" totalsRowDxfId="34"/>
    <tableColumn id="3" name="Imp. aplic." totalsRowFunction="sum" dataDxfId="33" totalsRowDxfId="32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17" headerRowCount="1" totalsRowCount="1" headerRowDxfId="31" totalsRowDxfId="28" headerRowBorderDxfId="30" tableBorderDxfId="29" totalsRowBorderDxfId="27">
  <autoFilter ref="A1:C16"/>
  <tableColumns count="3">
    <tableColumn id="1" name="Cód. org. aplic." totalsRowLabel="Total" dataDxfId="26" totalsRowDxfId="25"/>
    <tableColumn id="2" name="Descripción justificante" dataDxfId="24" totalsRowDxfId="23"/>
    <tableColumn id="3" name="Imp.cob.aplic." totalsRowFunction="sum" dataDxfId="22" totalsRowDxfId="21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6" displayName="Tabla6" ref="A1:C23" headerRowCount="1" totalsRowCount="1" headerRowDxfId="20" headerRowBorderDxfId="19" tableBorderDxfId="18" totalsRowBorderDxfId="17">
  <autoFilter ref="A1:C22"/>
  <tableColumns count="3">
    <tableColumn id="1" name="Org. aplic." totalsRowLabel="Total" dataDxfId="16" totalsRowDxfId="15"/>
    <tableColumn id="2" name="Descripción justificante" dataDxfId="14" totalsRowDxfId="13"/>
    <tableColumn id="3" name="Imp. aplic." totalsRowFunction="sum" dataDxfId="12" totalsRowDxfId="11" dataCellStyle="Millares" totalsRowCellStyle="Millar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1" displayName="Tabla1" ref="A1:C27" headerRowCount="1" totalsRowCount="1" headerRowDxfId="4" totalsRowDxfId="0" headerRowBorderDxfId="9" tableBorderDxfId="10" totalsRowBorderDxfId="8">
  <autoFilter ref="A1:C26"/>
  <tableColumns count="3">
    <tableColumn id="1" name="Org. aplic." totalsRowLabel="Total" dataDxfId="7" totalsRowDxfId="3"/>
    <tableColumn id="2" name="Descripción justificante" dataDxfId="6" totalsRowDxfId="2"/>
    <tableColumn id="3" name="Imp. aplic." totalsRowFunction="sum" dataDxfId="5" totalsRowDxfId="1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8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B32" sqref="B32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20" t="inlineStr">
        <is>
          <t xml:space="preserve">U025 </t>
        </is>
      </c>
      <c r="B2" s="20" t="inlineStr">
        <is>
          <t xml:space="preserve">ADM. FACULTAD DE DERECHO </t>
        </is>
      </c>
      <c r="C2" s="20" t="inlineStr">
        <is>
          <t xml:space="preserve">DOCTORADO EN DERECHO </t>
        </is>
      </c>
      <c r="D2" s="20" t="inlineStr">
        <is>
          <t xml:space="preserve">Aramburo Calle, Maximiliano Alberto </t>
        </is>
      </c>
      <c r="E2" s="20" t="inlineStr">
        <is>
          <t xml:space="preserve">Decisión judicial y prueba en la obra de Michele Taruffo </t>
        </is>
      </c>
      <c r="F2" s="20" t="inlineStr">
        <is>
          <t xml:space="preserve">07/07/2020 </t>
        </is>
      </c>
      <c r="G2" s="20" t="inlineStr">
        <is>
          <t xml:space="preserve">13051474D </t>
        </is>
      </c>
      <c r="H2" s="20" t="inlineStr">
        <is>
          <t xml:space="preserve">Codirector de tesis </t>
        </is>
      </c>
      <c r="I2" s="20" t="inlineStr">
        <is>
          <t xml:space="preserve">B152 </t>
        </is>
      </c>
      <c r="J2" s="20" t="inlineStr">
        <is>
          <t xml:space="preserve">FILOSOFÍA DEL DCHO .Y DCHO INTERNACIONAL PRIVADO </t>
        </is>
      </c>
      <c r="K2" s="92" t="n">
        <v>0.5</v>
      </c>
      <c r="L2" s="20" t="inlineStr">
        <is>
          <t>B152</t>
        </is>
      </c>
      <c r="M2" s="20" t="n">
        <v>2019</v>
      </c>
      <c r="N2" s="20" t="inlineStr">
        <is>
          <t>10.15</t>
        </is>
      </c>
      <c r="O2" s="22" t="inlineStr">
        <is>
          <t>10</t>
        </is>
      </c>
      <c r="P2" s="20" t="inlineStr"/>
      <c r="Q2" s="22" t="inlineStr"/>
      <c r="R2" s="23" t="n">
        <v>90</v>
      </c>
      <c r="S2" s="24" t="n">
        <v>0.45</v>
      </c>
      <c r="T2" s="24" t="n">
        <v>0.05</v>
      </c>
      <c r="U2" s="24" t="n">
        <v>0</v>
      </c>
    </row>
    <row r="3">
      <c r="A3" s="20" t="inlineStr">
        <is>
          <t xml:space="preserve">U025 </t>
        </is>
      </c>
      <c r="B3" s="20" t="inlineStr">
        <is>
          <t xml:space="preserve">ADM. FACULTAD DE DERECHO </t>
        </is>
      </c>
      <c r="C3" s="20" t="inlineStr">
        <is>
          <t xml:space="preserve">DOCTORADO EN DERECHO </t>
        </is>
      </c>
      <c r="D3" s="20" t="inlineStr">
        <is>
          <t xml:space="preserve">Aramburo Calle, Maximiliano Alberto </t>
        </is>
      </c>
      <c r="E3" s="20" t="inlineStr">
        <is>
          <t xml:space="preserve">Decisión judicial y prueba en la obra de Michele Taruffo </t>
        </is>
      </c>
      <c r="F3" s="20" t="inlineStr">
        <is>
          <t xml:space="preserve">07/07/2020 </t>
        </is>
      </c>
      <c r="G3" s="20" t="inlineStr">
        <is>
          <t xml:space="preserve">25123079H </t>
        </is>
      </c>
      <c r="H3" s="20" t="inlineStr">
        <is>
          <t xml:space="preserve">Codirector de tesis </t>
        </is>
      </c>
      <c r="I3" s="20" t="inlineStr">
        <is>
          <t xml:space="preserve">B152 </t>
        </is>
      </c>
      <c r="J3" s="20" t="inlineStr">
        <is>
          <t xml:space="preserve">FILOSOFÍA DEL DCHO .Y DCHO INTERNACIONAL PRIVADO </t>
        </is>
      </c>
      <c r="K3" s="92" t="n">
        <v>0.5</v>
      </c>
      <c r="L3" s="20" t="inlineStr">
        <is>
          <t>B152</t>
        </is>
      </c>
      <c r="M3" s="20" t="n">
        <v>2019</v>
      </c>
      <c r="N3" s="20" t="inlineStr"/>
      <c r="O3" s="22" t="inlineStr"/>
      <c r="P3" s="20" t="inlineStr"/>
      <c r="Q3" s="22" t="inlineStr"/>
      <c r="R3" s="23" t="n">
        <v>100</v>
      </c>
      <c r="S3" s="24" t="n">
        <v>0.5</v>
      </c>
      <c r="T3" s="24" t="n">
        <v>0</v>
      </c>
      <c r="U3" s="24" t="n">
        <v>0</v>
      </c>
    </row>
    <row r="4">
      <c r="A4" s="18" t="inlineStr">
        <is>
          <t xml:space="preserve">U025 </t>
        </is>
      </c>
      <c r="B4" s="18" t="inlineStr">
        <is>
          <t xml:space="preserve">ADM. FACULTAD DE DERECHO </t>
        </is>
      </c>
      <c r="C4" s="18" t="inlineStr">
        <is>
          <t xml:space="preserve">DOCTORADO EN DERECHO </t>
        </is>
      </c>
      <c r="D4" s="18" t="inlineStr">
        <is>
          <t xml:space="preserve">Ciofalo Lagos, Kira </t>
        </is>
      </c>
      <c r="E4" s="18" t="inlineStr">
        <is>
          <t xml:space="preserve">Giovanni Tarello y la Escuela Genovesa. Un estudio de filosofía analítica del derecho </t>
        </is>
      </c>
      <c r="F4" s="18" t="inlineStr">
        <is>
          <t xml:space="preserve">17/12/2020 </t>
        </is>
      </c>
      <c r="G4" s="18" t="inlineStr">
        <is>
          <t xml:space="preserve">13051474D </t>
        </is>
      </c>
      <c r="H4" s="18" t="inlineStr">
        <is>
          <t xml:space="preserve">Codirector de tesis </t>
        </is>
      </c>
      <c r="I4" s="18" t="inlineStr">
        <is>
          <t xml:space="preserve">B152 </t>
        </is>
      </c>
      <c r="J4" s="18" t="inlineStr">
        <is>
          <t xml:space="preserve">FILOSOFÍA DEL DCHO .Y DCHO INTERNACIONAL PRIVADO </t>
        </is>
      </c>
      <c r="K4" s="25" t="n">
        <v>0.5</v>
      </c>
      <c r="L4" s="25" t="inlineStr">
        <is>
          <t>B152</t>
        </is>
      </c>
      <c r="M4" s="26" t="n">
        <v>2019</v>
      </c>
      <c r="N4" s="18" t="inlineStr">
        <is>
          <t>10.15</t>
        </is>
      </c>
      <c r="O4" s="19" t="n">
        <v>10</v>
      </c>
      <c r="P4" s="18" t="inlineStr"/>
      <c r="Q4" s="19" t="n">
        <v>0</v>
      </c>
      <c r="R4" s="18" t="n">
        <v>90</v>
      </c>
      <c r="S4" s="18" t="n">
        <v>0.45</v>
      </c>
      <c r="T4" s="18" t="n">
        <v>0.05</v>
      </c>
      <c r="U4" s="18" t="n">
        <v>0</v>
      </c>
    </row>
    <row r="5" ht="10.8" customHeight="1" thickBot="1">
      <c r="A5" s="18" t="inlineStr">
        <is>
          <t xml:space="preserve">U025 </t>
        </is>
      </c>
      <c r="B5" s="18" t="inlineStr">
        <is>
          <t xml:space="preserve">ADM. FACULTAD DE DERECHO </t>
        </is>
      </c>
      <c r="C5" s="18" t="inlineStr">
        <is>
          <t xml:space="preserve">DOCTORADO EN DERECHO </t>
        </is>
      </c>
      <c r="D5" s="18" t="inlineStr">
        <is>
          <t xml:space="preserve">Ciofalo Lagos, Kira </t>
        </is>
      </c>
      <c r="E5" s="18" t="inlineStr">
        <is>
          <t xml:space="preserve">Giovanni Tarello y la Escuela Genovesa. Un estudio de filosofía analítica del derecho </t>
        </is>
      </c>
      <c r="F5" s="18" t="inlineStr">
        <is>
          <t xml:space="preserve">17/12/2020 </t>
        </is>
      </c>
      <c r="G5" s="18" t="inlineStr">
        <is>
          <t xml:space="preserve">21362427G </t>
        </is>
      </c>
      <c r="H5" s="18" t="inlineStr">
        <is>
          <t xml:space="preserve">Codirector de tesis </t>
        </is>
      </c>
      <c r="I5" s="18" t="inlineStr">
        <is>
          <t xml:space="preserve">B152 </t>
        </is>
      </c>
      <c r="J5" s="18" t="inlineStr">
        <is>
          <t xml:space="preserve">FILOSOFÍA DEL DCHO .Y DCHO INTERNACIONAL PRIVADO </t>
        </is>
      </c>
      <c r="K5" s="25" t="n">
        <v>0.5</v>
      </c>
      <c r="L5" s="25" t="inlineStr">
        <is>
          <t>B152</t>
        </is>
      </c>
      <c r="M5" s="26" t="n">
        <v>2019</v>
      </c>
      <c r="N5" s="18" t="inlineStr">
        <is>
          <t>10.22</t>
        </is>
      </c>
      <c r="O5" s="19" t="n">
        <v>70</v>
      </c>
      <c r="P5" s="18" t="inlineStr"/>
      <c r="Q5" s="19" t="n">
        <v>0</v>
      </c>
      <c r="R5" s="18" t="n">
        <v>30</v>
      </c>
      <c r="S5" s="18" t="n">
        <v>0.15</v>
      </c>
      <c r="T5" s="18" t="n">
        <v>0.35</v>
      </c>
      <c r="U5" s="18" t="n">
        <v>0</v>
      </c>
    </row>
    <row r="6" ht="10.8" customHeight="1" thickBot="1">
      <c r="A6" s="27" t="inlineStr">
        <is>
          <t xml:space="preserve">U025 </t>
        </is>
      </c>
      <c r="B6" s="27" t="inlineStr">
        <is>
          <t xml:space="preserve">ADM. FACULTAD DE DERECHO </t>
        </is>
      </c>
      <c r="C6" s="27" t="inlineStr">
        <is>
          <t xml:space="preserve">DOCTORADO EN DERECHO </t>
        </is>
      </c>
      <c r="D6" s="27" t="inlineStr">
        <is>
          <t xml:space="preserve">Della Bona, Carla </t>
        </is>
      </c>
      <c r="E6" s="27" t="inlineStr">
        <is>
          <t xml:space="preserve">A Transnacionalização do Direito como forma de miscigenação dos Sistemas Jurídicos: uma recomposição dos fundamentos do Direito </t>
        </is>
      </c>
      <c r="F6" s="27" t="inlineStr">
        <is>
          <t xml:space="preserve">13/07/2021 </t>
        </is>
      </c>
      <c r="G6" s="28" t="inlineStr">
        <is>
          <t xml:space="preserve">21461869V </t>
        </is>
      </c>
      <c r="H6" s="29" t="inlineStr">
        <is>
          <t xml:space="preserve">Codirector de tesis </t>
        </is>
      </c>
      <c r="I6" s="29" t="inlineStr">
        <is>
          <t xml:space="preserve">B152 </t>
        </is>
      </c>
      <c r="J6" s="30" t="inlineStr">
        <is>
          <t xml:space="preserve">FILOSOFÍA DEL DCHO .Y DCHO INTERNACIONAL PRIVADO </t>
        </is>
      </c>
      <c r="K6" s="25" t="n">
        <v>0.5</v>
      </c>
      <c r="L6" s="25" t="inlineStr">
        <is>
          <t>B152</t>
        </is>
      </c>
      <c r="M6" s="18" t="n">
        <v>2020</v>
      </c>
      <c r="N6" s="18" t="inlineStr">
        <is>
          <t>10.22</t>
        </is>
      </c>
      <c r="O6" s="19" t="n">
        <v>70</v>
      </c>
      <c r="P6" s="18" t="inlineStr"/>
      <c r="Q6" s="19" t="n">
        <v>0</v>
      </c>
      <c r="R6" s="18" t="n">
        <v>30</v>
      </c>
      <c r="S6" s="18" t="n">
        <v>0.15</v>
      </c>
      <c r="T6" s="18" t="n">
        <v>0.35</v>
      </c>
      <c r="U6" s="18" t="n">
        <v>0</v>
      </c>
    </row>
    <row r="7" ht="10.8" customHeight="1" thickBot="1">
      <c r="A7" s="27" t="inlineStr">
        <is>
          <t xml:space="preserve">U025 </t>
        </is>
      </c>
      <c r="B7" s="27" t="inlineStr">
        <is>
          <t xml:space="preserve">ADM. FACULTAD DE DERECHO </t>
        </is>
      </c>
      <c r="C7" s="27" t="inlineStr">
        <is>
          <t xml:space="preserve">DOCTORADO EN DERECHO </t>
        </is>
      </c>
      <c r="D7" s="27" t="inlineStr">
        <is>
          <t xml:space="preserve">Misseri , Lucas Emmanuel </t>
        </is>
      </c>
      <c r="E7" s="27" t="inlineStr">
        <is>
          <t xml:space="preserve">El Derecho en la Utopía: Análisis de la evolución histórica de ambos conceptos desde su oposición hasta su complementariedad </t>
        </is>
      </c>
      <c r="F7" s="27" t="inlineStr">
        <is>
          <t xml:space="preserve">09/07/2021 </t>
        </is>
      </c>
      <c r="G7" s="28" t="inlineStr">
        <is>
          <t xml:space="preserve">13051474D </t>
        </is>
      </c>
      <c r="H7" s="29" t="inlineStr">
        <is>
          <t xml:space="preserve">Codirector de tesis </t>
        </is>
      </c>
      <c r="I7" s="29" t="inlineStr">
        <is>
          <t xml:space="preserve">B152 </t>
        </is>
      </c>
      <c r="J7" s="30" t="inlineStr">
        <is>
          <t xml:space="preserve">FILOSOFÍA DEL DCHO .Y DCHO INTERNACIONAL PRIVADO </t>
        </is>
      </c>
      <c r="K7" s="25" t="n">
        <v>0.5</v>
      </c>
      <c r="L7" s="25" t="inlineStr">
        <is>
          <t>B152</t>
        </is>
      </c>
      <c r="M7" s="18" t="n">
        <v>2020</v>
      </c>
      <c r="N7" s="18" t="inlineStr">
        <is>
          <t>10.15</t>
        </is>
      </c>
      <c r="O7" s="19" t="n">
        <v>10</v>
      </c>
      <c r="P7" s="18" t="inlineStr"/>
      <c r="Q7" s="19" t="n">
        <v>0</v>
      </c>
      <c r="R7" s="18" t="n">
        <v>90</v>
      </c>
      <c r="S7" s="18" t="n">
        <v>0.45</v>
      </c>
      <c r="T7" s="18" t="n">
        <v>0.05</v>
      </c>
      <c r="U7" s="18" t="n">
        <v>0</v>
      </c>
    </row>
    <row r="8" ht="10.8" customHeight="1" thickBot="1">
      <c r="A8" s="27" t="inlineStr">
        <is>
          <t xml:space="preserve">U025 </t>
        </is>
      </c>
      <c r="B8" s="27" t="inlineStr">
        <is>
          <t xml:space="preserve">ADM. FACULTAD DE DERECHO </t>
        </is>
      </c>
      <c r="C8" s="27" t="inlineStr">
        <is>
          <t xml:space="preserve">DOCTORADO EN DERECHO </t>
        </is>
      </c>
      <c r="D8" s="27" t="inlineStr">
        <is>
          <t xml:space="preserve">Misseri , Lucas Emmanuel </t>
        </is>
      </c>
      <c r="E8" s="27" t="inlineStr">
        <is>
          <t xml:space="preserve">El Derecho en la Utopía: Análisis de la evolución histórica de ambos conceptos desde su oposición hasta su complementariedad </t>
        </is>
      </c>
      <c r="F8" s="27" t="inlineStr">
        <is>
          <t xml:space="preserve">09/07/2021 </t>
        </is>
      </c>
      <c r="G8" s="28" t="inlineStr">
        <is>
          <t xml:space="preserve">21474644G </t>
        </is>
      </c>
      <c r="H8" s="29" t="inlineStr">
        <is>
          <t xml:space="preserve">Codirector de tesis </t>
        </is>
      </c>
      <c r="I8" s="29" t="inlineStr">
        <is>
          <t xml:space="preserve">B152 </t>
        </is>
      </c>
      <c r="J8" s="30" t="inlineStr">
        <is>
          <t xml:space="preserve">FILOSOFÍA DEL DCHO .Y DCHO INTERNACIONAL PRIVADO </t>
        </is>
      </c>
      <c r="K8" s="25" t="n">
        <v>0.5</v>
      </c>
      <c r="L8" s="25" t="inlineStr">
        <is>
          <t>B152</t>
        </is>
      </c>
      <c r="M8" s="18" t="n">
        <v>2020</v>
      </c>
      <c r="N8" s="18" t="inlineStr"/>
      <c r="O8" s="19" t="inlineStr"/>
      <c r="P8" s="18" t="inlineStr"/>
      <c r="Q8" s="19" t="inlineStr"/>
      <c r="R8" s="18" t="n">
        <v>100</v>
      </c>
      <c r="S8" s="18" t="n">
        <v>0.5</v>
      </c>
      <c r="T8" s="18" t="n">
        <v>0</v>
      </c>
      <c r="U8" s="18" t="n">
        <v>0</v>
      </c>
    </row>
    <row r="9">
      <c r="A9" s="18" t="inlineStr">
        <is>
          <t xml:space="preserve">B152 </t>
        </is>
      </c>
      <c r="B9" s="18" t="inlineStr">
        <is>
          <t xml:space="preserve">FILOSOFÍA DEL DCHO .Y DCHO INTERNACIONAL PRIVADO </t>
        </is>
      </c>
      <c r="C9" s="18" t="inlineStr">
        <is>
          <t xml:space="preserve">DOCTORADO EUROPEO CONJUNTO EN DERECHO DE PROPIEDAD INTELECTUAL E INNOVACIÓN </t>
        </is>
      </c>
      <c r="D9" s="18" t="inlineStr">
        <is>
          <t xml:space="preserve">Kyrylenko , Anastasiia </t>
        </is>
      </c>
      <c r="E9" s="18" t="inlineStr">
        <is>
          <t xml:space="preserve">Deconstructing EU IP norm-export to the Eastern European Neighbourhood </t>
        </is>
      </c>
      <c r="F9" s="18" t="inlineStr">
        <is>
          <t xml:space="preserve">15/12/2022 </t>
        </is>
      </c>
      <c r="G9" s="18" t="inlineStr">
        <is>
          <t xml:space="preserve">21507330F </t>
        </is>
      </c>
      <c r="H9" s="18" t="inlineStr">
        <is>
          <t xml:space="preserve">Codirector de tesis </t>
        </is>
      </c>
      <c r="I9" s="18" t="inlineStr">
        <is>
          <t xml:space="preserve">B152 </t>
        </is>
      </c>
      <c r="J9" s="18" t="inlineStr">
        <is>
          <t xml:space="preserve">FILOSOFÍA DEL DCHO .Y DCHO INTERNACIONAL PRIVADO </t>
        </is>
      </c>
      <c r="K9" s="34" t="n">
        <v>0.5</v>
      </c>
      <c r="L9" s="34" t="inlineStr">
        <is>
          <t>B152</t>
        </is>
      </c>
      <c r="M9" s="18" t="n">
        <v>2022</v>
      </c>
      <c r="N9" s="34" t="inlineStr">
        <is>
          <t>10.06</t>
        </is>
      </c>
      <c r="O9" s="34" t="n">
        <v>10</v>
      </c>
      <c r="P9" s="34" t="inlineStr"/>
      <c r="Q9" s="34" t="n">
        <v>0</v>
      </c>
      <c r="R9" s="34" t="n">
        <v>90</v>
      </c>
      <c r="S9" s="34" t="n">
        <v>0.45</v>
      </c>
      <c r="T9" s="34" t="n">
        <v>0.05</v>
      </c>
      <c r="U9" s="34" t="n">
        <v>0</v>
      </c>
    </row>
    <row r="10">
      <c r="A10" s="18" t="inlineStr">
        <is>
          <t xml:space="preserve">B152 </t>
        </is>
      </c>
      <c r="B10" s="18" t="inlineStr">
        <is>
          <t xml:space="preserve">FILOSOFÍA DEL DCHO .Y DCHO INTERNACIONAL PRIVADO </t>
        </is>
      </c>
      <c r="C10" s="18" t="inlineStr">
        <is>
          <t xml:space="preserve">DOCTORADO EUROPEO CONJUNTO EN DERECHO DE PROPIEDAD INTELECTUAL E INNOVACIÓN </t>
        </is>
      </c>
      <c r="D10" s="18" t="inlineStr">
        <is>
          <t xml:space="preserve">Kyrylenko , Anastasiia </t>
        </is>
      </c>
      <c r="E10" s="18" t="inlineStr">
        <is>
          <t xml:space="preserve">Deconstructing EU IP norm-export to the Eastern European Neighbourhood </t>
        </is>
      </c>
      <c r="F10" s="18" t="inlineStr">
        <is>
          <t xml:space="preserve">15/12/2022 </t>
        </is>
      </c>
      <c r="G10" s="18" t="inlineStr">
        <is>
          <t xml:space="preserve">- </t>
        </is>
      </c>
      <c r="H10" s="18" t="inlineStr">
        <is>
          <t xml:space="preserve">Codirector de tesis </t>
        </is>
      </c>
      <c r="I10" s="18" t="inlineStr">
        <is>
          <t xml:space="preserve">B152 </t>
        </is>
      </c>
      <c r="J10" s="18" t="inlineStr">
        <is>
          <t xml:space="preserve">FILOSOFÍA DEL DCHO .Y DCHO INTERNACIONAL PRIVADO </t>
        </is>
      </c>
      <c r="K10" s="34" t="n">
        <v>0.5</v>
      </c>
      <c r="L10" s="34" t="inlineStr">
        <is>
          <t>B152</t>
        </is>
      </c>
      <c r="M10" s="18" t="n">
        <v>2022</v>
      </c>
      <c r="N10" s="34" t="inlineStr"/>
      <c r="O10" s="34" t="inlineStr"/>
      <c r="P10" s="34" t="inlineStr"/>
      <c r="Q10" s="34" t="inlineStr"/>
      <c r="R10" s="34" t="n">
        <v>100</v>
      </c>
      <c r="S10" s="34" t="n">
        <v>0.5</v>
      </c>
      <c r="T10" s="34" t="n">
        <v>0</v>
      </c>
      <c r="U10" s="34" t="n">
        <v>0</v>
      </c>
    </row>
    <row r="11">
      <c r="A11" s="18" t="inlineStr">
        <is>
          <t xml:space="preserve">U025 </t>
        </is>
      </c>
      <c r="B11" s="18" t="inlineStr">
        <is>
          <t xml:space="preserve">ADM. FACULTAD DE DERECHO </t>
        </is>
      </c>
      <c r="C11" s="18" t="inlineStr">
        <is>
          <t xml:space="preserve">DOCTORADO EN DERECHO </t>
        </is>
      </c>
      <c r="D11" s="18" t="inlineStr">
        <is>
          <t xml:space="preserve">Vergara Sandoval, Rafael Rubén </t>
        </is>
      </c>
      <c r="E11" s="18" t="inlineStr">
        <is>
          <t xml:space="preserve">Un "Tribunal Constitucional" al margen de la "Constitución" </t>
        </is>
      </c>
      <c r="F11" s="18" t="inlineStr">
        <is>
          <t xml:space="preserve">16/12/2022 </t>
        </is>
      </c>
      <c r="G11" s="18" t="inlineStr">
        <is>
          <t xml:space="preserve">13051474D </t>
        </is>
      </c>
      <c r="H11" s="18" t="inlineStr">
        <is>
          <t xml:space="preserve">Codirector de tesis </t>
        </is>
      </c>
      <c r="I11" s="18" t="inlineStr">
        <is>
          <t xml:space="preserve">B152 </t>
        </is>
      </c>
      <c r="J11" s="18" t="inlineStr">
        <is>
          <t xml:space="preserve">FILOSOFÍA DEL DCHO .Y DCHO INTERNACIONAL PRIVADO </t>
        </is>
      </c>
      <c r="K11" s="34" t="n">
        <v>0.5</v>
      </c>
      <c r="L11" s="34" t="inlineStr">
        <is>
          <t>B152</t>
        </is>
      </c>
      <c r="M11" s="18" t="n">
        <v>2022</v>
      </c>
      <c r="N11" s="34" t="inlineStr">
        <is>
          <t>10.15</t>
        </is>
      </c>
      <c r="O11" s="34" t="n">
        <v>10</v>
      </c>
      <c r="P11" s="34" t="inlineStr"/>
      <c r="Q11" s="34" t="n">
        <v>0</v>
      </c>
      <c r="R11" s="34" t="n">
        <v>90</v>
      </c>
      <c r="S11" s="34" t="n">
        <v>0.45</v>
      </c>
      <c r="T11" s="34" t="n">
        <v>0.05</v>
      </c>
      <c r="U11" s="34" t="n">
        <v>0</v>
      </c>
    </row>
    <row r="12">
      <c r="A12" s="18" t="inlineStr">
        <is>
          <t xml:space="preserve">U025 </t>
        </is>
      </c>
      <c r="B12" s="18" t="inlineStr">
        <is>
          <t xml:space="preserve">ADM. FACULTAD DE DERECHO </t>
        </is>
      </c>
      <c r="C12" s="18" t="inlineStr">
        <is>
          <t xml:space="preserve">DOCTORADO EN DERECHO </t>
        </is>
      </c>
      <c r="D12" s="18" t="inlineStr">
        <is>
          <t xml:space="preserve">Vergara Sandoval, Rafael Rubén </t>
        </is>
      </c>
      <c r="E12" s="18" t="inlineStr">
        <is>
          <t xml:space="preserve">Un "Tribunal Constitucional" al margen de la "Constitución" </t>
        </is>
      </c>
      <c r="F12" s="18" t="inlineStr">
        <is>
          <t xml:space="preserve">16/12/2022 </t>
        </is>
      </c>
      <c r="G12" s="18" t="inlineStr">
        <is>
          <t xml:space="preserve">43000084C </t>
        </is>
      </c>
      <c r="H12" s="18" t="inlineStr">
        <is>
          <t xml:space="preserve">Codirector de tesis </t>
        </is>
      </c>
      <c r="I12" s="18" t="inlineStr">
        <is>
          <t xml:space="preserve">B152 </t>
        </is>
      </c>
      <c r="J12" s="18" t="inlineStr">
        <is>
          <t xml:space="preserve">FILOSOFÍA DEL DCHO .Y DCHO INTERNACIONAL PRIVADO </t>
        </is>
      </c>
      <c r="K12" s="34" t="n">
        <v>0.5</v>
      </c>
      <c r="L12" s="34" t="inlineStr">
        <is>
          <t>B152</t>
        </is>
      </c>
      <c r="M12" s="18" t="n">
        <v>2022</v>
      </c>
      <c r="N12" s="34" t="inlineStr"/>
      <c r="O12" s="34" t="inlineStr"/>
      <c r="P12" s="34" t="inlineStr"/>
      <c r="Q12" s="34" t="inlineStr"/>
      <c r="R12" s="34" t="n">
        <v>100</v>
      </c>
      <c r="S12" s="34" t="n">
        <v>0.5</v>
      </c>
      <c r="T12" s="34" t="n">
        <v>0</v>
      </c>
      <c r="U12" s="34" t="n">
        <v>0</v>
      </c>
    </row>
    <row r="13">
      <c r="A13" s="18" t="inlineStr">
        <is>
          <t xml:space="preserve">U025 </t>
        </is>
      </c>
      <c r="B13" s="18" t="inlineStr">
        <is>
          <t xml:space="preserve">ADM. FACULTAD DE DERECHO </t>
        </is>
      </c>
      <c r="C13" s="18" t="inlineStr">
        <is>
          <t xml:space="preserve">DOCTORADO EN DERECHO </t>
        </is>
      </c>
      <c r="D13" s="18" t="inlineStr">
        <is>
          <t xml:space="preserve">Cevallos Cedeño, Danny José </t>
        </is>
      </c>
      <c r="E13" s="18" t="inlineStr">
        <is>
          <t xml:space="preserve">El constitucionalismo jurídico y la institución del amparo </t>
        </is>
      </c>
      <c r="F13" s="18" t="inlineStr">
        <is>
          <t xml:space="preserve">02/12/2022 </t>
        </is>
      </c>
      <c r="G13" s="18" t="inlineStr">
        <is>
          <t xml:space="preserve">13051474D </t>
        </is>
      </c>
      <c r="H13" s="18" t="inlineStr">
        <is>
          <t xml:space="preserve">Codirector de tesis </t>
        </is>
      </c>
      <c r="I13" s="18" t="inlineStr">
        <is>
          <t xml:space="preserve">B152 </t>
        </is>
      </c>
      <c r="J13" s="18" t="inlineStr">
        <is>
          <t xml:space="preserve">FILOSOFÍA DEL DCHO .Y DCHO INTERNACIONAL PRIVADO </t>
        </is>
      </c>
      <c r="K13" s="34" t="n">
        <v>0.5</v>
      </c>
      <c r="L13" s="34" t="inlineStr">
        <is>
          <t>B152</t>
        </is>
      </c>
      <c r="M13" s="18" t="n">
        <v>2022</v>
      </c>
      <c r="N13" s="34" t="inlineStr">
        <is>
          <t>10.15</t>
        </is>
      </c>
      <c r="O13" s="34" t="n">
        <v>10</v>
      </c>
      <c r="P13" s="34" t="inlineStr"/>
      <c r="Q13" s="34" t="n">
        <v>0</v>
      </c>
      <c r="R13" s="34" t="n">
        <v>90</v>
      </c>
      <c r="S13" s="34" t="n">
        <v>0.45</v>
      </c>
      <c r="T13" s="34" t="n">
        <v>0.05</v>
      </c>
      <c r="U13" s="34" t="n">
        <v>0</v>
      </c>
    </row>
    <row r="14">
      <c r="A14" s="18" t="inlineStr">
        <is>
          <t xml:space="preserve">U025 </t>
        </is>
      </c>
      <c r="B14" s="18" t="inlineStr">
        <is>
          <t xml:space="preserve">ADM. FACULTAD DE DERECHO </t>
        </is>
      </c>
      <c r="C14" s="18" t="inlineStr">
        <is>
          <t xml:space="preserve">DOCTORADO EN DERECHO </t>
        </is>
      </c>
      <c r="D14" s="18" t="inlineStr">
        <is>
          <t xml:space="preserve">Cevallos Cedeño, Danny José </t>
        </is>
      </c>
      <c r="E14" s="18" t="inlineStr">
        <is>
          <t xml:space="preserve">El constitucionalismo jurídico y la institución del amparo </t>
        </is>
      </c>
      <c r="F14" s="18" t="inlineStr">
        <is>
          <t xml:space="preserve">02/12/2022 </t>
        </is>
      </c>
      <c r="G14" s="18" t="inlineStr">
        <is>
          <t xml:space="preserve">43000084C </t>
        </is>
      </c>
      <c r="H14" s="18" t="inlineStr">
        <is>
          <t xml:space="preserve">Codirector de tesis </t>
        </is>
      </c>
      <c r="I14" s="18" t="inlineStr">
        <is>
          <t xml:space="preserve">B152 </t>
        </is>
      </c>
      <c r="J14" s="18" t="inlineStr">
        <is>
          <t xml:space="preserve">FILOSOFÍA DEL DCHO .Y DCHO INTERNACIONAL PRIVADO </t>
        </is>
      </c>
      <c r="K14" s="34" t="n">
        <v>0.5</v>
      </c>
      <c r="L14" s="34" t="inlineStr">
        <is>
          <t>B152</t>
        </is>
      </c>
      <c r="M14" s="18" t="n">
        <v>2022</v>
      </c>
      <c r="N14" s="34" t="inlineStr"/>
      <c r="O14" s="34" t="inlineStr"/>
      <c r="P14" s="34" t="inlineStr"/>
      <c r="Q14" s="34" t="inlineStr"/>
      <c r="R14" s="34" t="n">
        <v>100</v>
      </c>
      <c r="S14" s="34" t="n">
        <v>0.5</v>
      </c>
      <c r="T14" s="34" t="n">
        <v>0</v>
      </c>
      <c r="U14" s="34" t="n">
        <v>0</v>
      </c>
    </row>
    <row r="15">
      <c r="A15" s="18" t="inlineStr">
        <is>
          <t xml:space="preserve">U025 </t>
        </is>
      </c>
      <c r="B15" s="18" t="inlineStr">
        <is>
          <t xml:space="preserve">ADM. FACULTAD DE DERECHO </t>
        </is>
      </c>
      <c r="C15" s="18" t="inlineStr">
        <is>
          <t xml:space="preserve">DOCTORADO EN DERECHO </t>
        </is>
      </c>
      <c r="D15" s="18" t="inlineStr">
        <is>
          <t xml:space="preserve">Contardi , Magalí Anabel </t>
        </is>
      </c>
      <c r="E15" s="18" t="inlineStr">
        <is>
          <t xml:space="preserve">The interplay between patent law and medical device regulations in artificial intelligence medical devices: hindrance or spur? </t>
        </is>
      </c>
      <c r="F15" s="18" t="inlineStr">
        <is>
          <t xml:space="preserve">20/01/2023 </t>
        </is>
      </c>
      <c r="G15" s="18" t="inlineStr">
        <is>
          <t xml:space="preserve">19838491W </t>
        </is>
      </c>
      <c r="H15" s="18" t="inlineStr">
        <is>
          <t xml:space="preserve">Codirector de tesis </t>
        </is>
      </c>
      <c r="I15" s="18" t="inlineStr">
        <is>
          <t xml:space="preserve">B152 </t>
        </is>
      </c>
      <c r="J15" s="18" t="inlineStr">
        <is>
          <t xml:space="preserve">FILOSOFÍA DEL DCHO .Y DCHO INTERNACIONAL PRIVADO </t>
        </is>
      </c>
      <c r="K15" s="34" t="n">
        <v>0.5</v>
      </c>
      <c r="L15" s="34" t="inlineStr">
        <is>
          <t>B152</t>
        </is>
      </c>
      <c r="M15" s="18" t="n">
        <v>2022</v>
      </c>
      <c r="N15" s="34" t="inlineStr">
        <is>
          <t>10.06</t>
        </is>
      </c>
      <c r="O15" s="34" t="n">
        <v>10</v>
      </c>
      <c r="P15" s="34" t="inlineStr"/>
      <c r="Q15" s="34" t="n">
        <v>0</v>
      </c>
      <c r="R15" s="34" t="n">
        <v>90</v>
      </c>
      <c r="S15" s="34" t="n">
        <v>0.45</v>
      </c>
      <c r="T15" s="34" t="n">
        <v>0.05</v>
      </c>
      <c r="U15" s="34" t="n">
        <v>0</v>
      </c>
    </row>
    <row r="16">
      <c r="A16" s="18" t="inlineStr">
        <is>
          <t>B152</t>
        </is>
      </c>
      <c r="B16" s="18" t="inlineStr">
        <is>
          <t>FILOSOFÍA DEL DCHO .Y DCHO INTERNACIONAL PRIVADO</t>
        </is>
      </c>
      <c r="C16" s="18" t="inlineStr">
        <is>
          <t>DOCTORADO EUROPEO CONJUNTO EN DERECHO DE PROPIEDAD INTELECTUAL E INNOVACIÓN</t>
        </is>
      </c>
      <c r="D16" s="18" t="inlineStr">
        <is>
          <t>Zafrilla Díaz-Marta, Vicente</t>
        </is>
      </c>
      <c r="E16" s="18" t="inlineStr">
        <is>
          <t>Over and Under-disclosure of Standard Essential Patents: An EU approach to its Effects on Innovation and Competition</t>
        </is>
      </c>
      <c r="F16" s="18" t="inlineStr">
        <is>
          <t>15/11/2023</t>
        </is>
      </c>
      <c r="G16" s="18" t="inlineStr">
        <is>
          <t>19838491W</t>
        </is>
      </c>
      <c r="H16" s="18" t="inlineStr">
        <is>
          <t>Codirector de tesis</t>
        </is>
      </c>
      <c r="I16" s="18" t="inlineStr">
        <is>
          <t>B152</t>
        </is>
      </c>
      <c r="J16" s="18" t="inlineStr">
        <is>
          <t>FILOSOFÍA DEL DCHO .Y DCHO INTERNACIONAL PRIVADO</t>
        </is>
      </c>
      <c r="K16" s="34" t="n">
        <v>0.5</v>
      </c>
      <c r="L16" s="34" t="inlineStr">
        <is>
          <t>B152</t>
        </is>
      </c>
      <c r="M16" s="18" t="n">
        <v>2023</v>
      </c>
      <c r="N16" s="34" t="inlineStr">
        <is>
          <t>10.06</t>
        </is>
      </c>
      <c r="O16" s="34" t="inlineStr">
        <is>
          <t>10</t>
        </is>
      </c>
      <c r="P16" s="34" t="inlineStr"/>
      <c r="Q16" s="34" t="inlineStr"/>
      <c r="R16" s="34" t="n">
        <v>90</v>
      </c>
      <c r="S16" s="34" t="n">
        <v>0.45</v>
      </c>
      <c r="T16" s="34" t="n">
        <v>0.05</v>
      </c>
      <c r="U16" s="34" t="n">
        <v>0</v>
      </c>
    </row>
    <row r="17">
      <c r="A17" s="18" t="inlineStr">
        <is>
          <t>B152</t>
        </is>
      </c>
      <c r="B17" s="18" t="inlineStr">
        <is>
          <t>FILOSOFÍA DEL DCHO .Y DCHO INTERNACIONAL PRIVADO</t>
        </is>
      </c>
      <c r="C17" s="18" t="inlineStr">
        <is>
          <t>DOCTORADO EUROPEO CONJUNTO EN DERECHO DE PROPIEDAD INTELECTUAL E INNOVACIÓN</t>
        </is>
      </c>
      <c r="D17" s="18" t="inlineStr">
        <is>
          <t>Zafrilla Díaz-Marta, Vicente</t>
        </is>
      </c>
      <c r="E17" s="18" t="inlineStr">
        <is>
          <t>Over and Under-disclosure of Standard Essential Patents: An EU approach to its Effects on Innovation and Competition</t>
        </is>
      </c>
      <c r="F17" s="18" t="inlineStr">
        <is>
          <t>15/11/2023</t>
        </is>
      </c>
      <c r="G17" s="18" t="inlineStr">
        <is>
          <t>'-</t>
        </is>
      </c>
      <c r="H17" s="18" t="inlineStr">
        <is>
          <t>Codirector de tesis</t>
        </is>
      </c>
      <c r="I17" s="18" t="inlineStr">
        <is>
          <t>B152</t>
        </is>
      </c>
      <c r="J17" s="18" t="inlineStr">
        <is>
          <t>FILOSOFÍA DEL DCHO .Y DCHO INTERNACIONAL PRIVADO</t>
        </is>
      </c>
      <c r="K17" s="34" t="n">
        <v>0.5</v>
      </c>
      <c r="L17" s="34" t="inlineStr">
        <is>
          <t>B152</t>
        </is>
      </c>
      <c r="M17" s="18" t="n">
        <v>2023</v>
      </c>
      <c r="N17" s="34" t="inlineStr"/>
      <c r="O17" s="34" t="inlineStr"/>
      <c r="P17" s="34" t="inlineStr"/>
      <c r="Q17" s="34" t="inlineStr"/>
      <c r="R17" s="34" t="n">
        <v>100</v>
      </c>
      <c r="S17" s="34" t="n">
        <v>0.5</v>
      </c>
      <c r="T17" s="34" t="n">
        <v>0</v>
      </c>
      <c r="U17" s="34" t="n">
        <v>0</v>
      </c>
    </row>
    <row r="18">
      <c r="A18" s="18" t="inlineStr">
        <is>
          <t>B152</t>
        </is>
      </c>
      <c r="B18" s="18" t="inlineStr">
        <is>
          <t>FILOSOFÍA DEL DCHO .Y DCHO INTERNACIONAL PRIVADO</t>
        </is>
      </c>
      <c r="C18" s="18" t="inlineStr">
        <is>
          <t>DOCTORADO EUROPEO CONJUNTO EN DERECHO DE PROPIEDAD INTELECTUAL E INNOVACIÓN</t>
        </is>
      </c>
      <c r="D18" s="18" t="inlineStr">
        <is>
          <t>Tomada , Letizia</t>
        </is>
      </c>
      <c r="E18" s="18" t="inlineStr">
        <is>
          <t>The Unified Patent Court and Its Implications for Innovation of Start-ups</t>
        </is>
      </c>
      <c r="F18" s="18" t="inlineStr">
        <is>
          <t>15/11/2023</t>
        </is>
      </c>
      <c r="G18" s="18" t="inlineStr">
        <is>
          <t>19838491W</t>
        </is>
      </c>
      <c r="H18" s="18" t="inlineStr">
        <is>
          <t>Codirector de tesis</t>
        </is>
      </c>
      <c r="I18" s="18" t="inlineStr">
        <is>
          <t>B152</t>
        </is>
      </c>
      <c r="J18" s="18" t="inlineStr">
        <is>
          <t>FILOSOFÍA DEL DCHO .Y DCHO INTERNACIONAL PRIVADO</t>
        </is>
      </c>
      <c r="K18" s="34" t="n">
        <v>0.5</v>
      </c>
      <c r="L18" s="34" t="inlineStr">
        <is>
          <t>B152</t>
        </is>
      </c>
      <c r="M18" s="18" t="n">
        <v>2023</v>
      </c>
      <c r="N18" s="34" t="inlineStr">
        <is>
          <t>10.06</t>
        </is>
      </c>
      <c r="O18" s="34" t="inlineStr">
        <is>
          <t>10</t>
        </is>
      </c>
      <c r="P18" s="34" t="inlineStr"/>
      <c r="Q18" s="34" t="inlineStr"/>
      <c r="R18" s="34" t="n">
        <v>90</v>
      </c>
      <c r="S18" s="34" t="n">
        <v>0.45</v>
      </c>
      <c r="T18" s="34" t="n">
        <v>0.05</v>
      </c>
      <c r="U18" s="34" t="n">
        <v>0</v>
      </c>
    </row>
    <row r="19">
      <c r="A19" s="18" t="inlineStr">
        <is>
          <t>B152</t>
        </is>
      </c>
      <c r="B19" s="18" t="inlineStr">
        <is>
          <t>FILOSOFÍA DEL DCHO .Y DCHO INTERNACIONAL PRIVADO</t>
        </is>
      </c>
      <c r="C19" s="18" t="inlineStr">
        <is>
          <t>DOCTORADO EUROPEO CONJUNTO EN DERECHO DE PROPIEDAD INTELECTUAL E INNOVACIÓN</t>
        </is>
      </c>
      <c r="D19" s="18" t="inlineStr">
        <is>
          <t>Tomada , Letizia</t>
        </is>
      </c>
      <c r="E19" s="18" t="inlineStr">
        <is>
          <t>The Unified Patent Court and Its Implications for Innovation of Start-ups</t>
        </is>
      </c>
      <c r="F19" s="18" t="inlineStr">
        <is>
          <t>15/11/2023</t>
        </is>
      </c>
      <c r="G19" s="18" t="inlineStr">
        <is>
          <t>'-</t>
        </is>
      </c>
      <c r="H19" s="18" t="inlineStr">
        <is>
          <t>Codirector de tesis</t>
        </is>
      </c>
      <c r="I19" s="18" t="inlineStr">
        <is>
          <t>B152</t>
        </is>
      </c>
      <c r="J19" s="18" t="inlineStr">
        <is>
          <t>FILOSOFÍA DEL DCHO .Y DCHO INTERNACIONAL PRIVADO</t>
        </is>
      </c>
      <c r="K19" s="34" t="n">
        <v>0.5</v>
      </c>
      <c r="L19" s="34" t="inlineStr">
        <is>
          <t>B152</t>
        </is>
      </c>
      <c r="M19" s="18" t="n">
        <v>2023</v>
      </c>
      <c r="N19" s="34" t="inlineStr"/>
      <c r="O19" s="34" t="inlineStr"/>
      <c r="P19" s="34" t="inlineStr"/>
      <c r="Q19" s="34" t="inlineStr"/>
      <c r="R19" s="34" t="n">
        <v>100</v>
      </c>
      <c r="S19" s="34" t="n">
        <v>0.5</v>
      </c>
      <c r="T19" s="34" t="n">
        <v>0</v>
      </c>
      <c r="U19" s="34" t="n">
        <v>0</v>
      </c>
    </row>
    <row r="20">
      <c r="A20" s="18" t="inlineStr">
        <is>
          <t xml:space="preserve">U025 </t>
        </is>
      </c>
      <c r="B20" s="18" t="inlineStr">
        <is>
          <t xml:space="preserve">ADM. FACULTAD DE DERECHO </t>
        </is>
      </c>
      <c r="C20" s="18" t="inlineStr">
        <is>
          <t xml:space="preserve">DOCTORADO EN DERECHO </t>
        </is>
      </c>
      <c r="D20" s="18" t="inlineStr">
        <is>
          <t>MOLINA GONZALEZ, YOHAN</t>
        </is>
      </c>
      <c r="E20" s="18" t="inlineStr">
        <is>
          <t>La ontología de las Razones prácticas y el seguimiento racional de las reglas</t>
        </is>
      </c>
      <c r="F20" s="18" t="inlineStr">
        <is>
          <t>26/09/2024</t>
        </is>
      </c>
      <c r="G20" s="18" t="inlineStr">
        <is>
          <t>21461869V</t>
        </is>
      </c>
      <c r="H20" s="18" t="inlineStr">
        <is>
          <t>Codirector de tesis</t>
        </is>
      </c>
      <c r="I20" s="18" t="inlineStr">
        <is>
          <t>B152</t>
        </is>
      </c>
      <c r="J20" s="18" t="inlineStr">
        <is>
          <t>FILOSOFIA DEL DERECHO Y DERECHO INTERN.</t>
        </is>
      </c>
      <c r="K20" s="34" t="n">
        <v>0.5</v>
      </c>
      <c r="L20" s="34" t="inlineStr">
        <is>
          <t>B152</t>
        </is>
      </c>
      <c r="M20" s="18" t="n">
        <v>2023</v>
      </c>
      <c r="N20" s="34" t="inlineStr">
        <is>
          <t>10.22</t>
        </is>
      </c>
      <c r="O20" s="34" t="inlineStr">
        <is>
          <t>70</t>
        </is>
      </c>
      <c r="P20" s="34" t="inlineStr"/>
      <c r="Q20" s="34" t="inlineStr"/>
      <c r="R20" s="34" t="n">
        <v>30</v>
      </c>
      <c r="S20" s="34" t="n">
        <v>0.15</v>
      </c>
      <c r="T20" s="34" t="n">
        <v>0.35</v>
      </c>
      <c r="U20" s="34" t="n">
        <v>0</v>
      </c>
    </row>
    <row r="21">
      <c r="A21" s="18" t="inlineStr">
        <is>
          <t>B107</t>
        </is>
      </c>
      <c r="B21" s="18" t="inlineStr">
        <is>
          <t>Derecho Civil</t>
        </is>
      </c>
      <c r="C21" s="18" t="inlineStr">
        <is>
          <t>DOCTORADO EUROPEO CONJUNTO EN DERECHO DE PROPIEDAD INTELECTUAL E INNOVACIÓN</t>
        </is>
      </c>
      <c r="D21" s="18" t="inlineStr">
        <is>
          <t>Somawarpet Nagraj, Girish</t>
        </is>
      </c>
      <c r="E21" s="18" t="inlineStr">
        <is>
          <t>IP as a Complex Adaptive System. Contextual Emergence of Collaboration (Innovation): Does One (patent System) Size Fit All?</t>
        </is>
      </c>
      <c r="F21" s="18" t="inlineStr">
        <is>
          <t>11/07/2025</t>
        </is>
      </c>
      <c r="G21" s="18" t="inlineStr">
        <is>
          <t>19838491W</t>
        </is>
      </c>
      <c r="H21" s="18" t="inlineStr">
        <is>
          <t>Director de tesis</t>
        </is>
      </c>
      <c r="I21" s="18" t="inlineStr">
        <is>
          <t>B152</t>
        </is>
      </c>
      <c r="J21" s="18" t="inlineStr">
        <is>
          <t>Filosofía del Derecho y Derecho Internacional Privado</t>
        </is>
      </c>
      <c r="K21" s="34" t="n">
        <v>1</v>
      </c>
      <c r="L21" s="34" t="inlineStr">
        <is>
          <t>B152</t>
        </is>
      </c>
      <c r="M21" s="18" t="n">
        <v>2024</v>
      </c>
      <c r="N21" s="34" t="inlineStr"/>
      <c r="O21" s="34" t="inlineStr"/>
      <c r="P21" s="34" t="inlineStr"/>
      <c r="Q21" s="34" t="inlineStr"/>
      <c r="R21" s="34" t="n">
        <v>100</v>
      </c>
      <c r="S21" s="34" t="n">
        <v>1</v>
      </c>
      <c r="T21" s="34" t="n">
        <v>0</v>
      </c>
      <c r="U21" s="34" t="n">
        <v>0</v>
      </c>
    </row>
    <row r="22">
      <c r="A22" s="18" t="inlineStr">
        <is>
          <t>U025</t>
        </is>
      </c>
      <c r="B22" s="18" t="inlineStr">
        <is>
          <t>Administración Facultad de Derecho</t>
        </is>
      </c>
      <c r="C22" s="18" t="inlineStr">
        <is>
          <t>DOCTORADO EN DERECHO</t>
        </is>
      </c>
      <c r="D22" s="18" t="inlineStr">
        <is>
          <t>Sánchez Moreno, María de los Reyes</t>
        </is>
      </c>
      <c r="E22" s="18" t="inlineStr">
        <is>
          <t>El notario, piedra angular del nuevo sistema jurídico doméstico e internacional de la discapacidad</t>
        </is>
      </c>
      <c r="F22" s="18" t="inlineStr">
        <is>
          <t>10/07/2025</t>
        </is>
      </c>
      <c r="G22" s="18" t="inlineStr">
        <is>
          <t>19838491W</t>
        </is>
      </c>
      <c r="H22" s="18" t="inlineStr">
        <is>
          <t>Director de tesis</t>
        </is>
      </c>
      <c r="I22" s="18" t="inlineStr">
        <is>
          <t>B152</t>
        </is>
      </c>
      <c r="J22" s="18" t="inlineStr">
        <is>
          <t>Filosofía del Derecho y Derecho Internacional Privado</t>
        </is>
      </c>
      <c r="K22" s="34" t="n">
        <v>1</v>
      </c>
      <c r="L22" s="34" t="inlineStr">
        <is>
          <t>B152</t>
        </is>
      </c>
      <c r="M22" s="18" t="n">
        <v>2024</v>
      </c>
      <c r="N22" s="34" t="inlineStr"/>
      <c r="O22" s="34" t="inlineStr"/>
      <c r="P22" s="34" t="inlineStr"/>
      <c r="Q22" s="34" t="inlineStr"/>
      <c r="R22" s="34" t="n">
        <v>100</v>
      </c>
      <c r="S22" s="34" t="n">
        <v>1</v>
      </c>
      <c r="T22" s="34" t="n">
        <v>0</v>
      </c>
      <c r="U22" s="34" t="n">
        <v>0</v>
      </c>
    </row>
    <row r="23">
      <c r="A23" s="18" t="inlineStr">
        <is>
          <t>U025</t>
        </is>
      </c>
      <c r="B23" s="18" t="inlineStr">
        <is>
          <t>Administración Facultad de Derecho</t>
        </is>
      </c>
      <c r="C23" s="18" t="inlineStr">
        <is>
          <t>DOCTORADO EN DERECHO</t>
        </is>
      </c>
      <c r="D23" s="18" t="inlineStr">
        <is>
          <t>Muñoz Ferrandis, Carlos</t>
        </is>
      </c>
      <c r="E23" s="18" t="inlineStr">
        <is>
          <t>The rise of open source in interoperability standards: A challenge for the EU standardization legal framework</t>
        </is>
      </c>
      <c r="F23" s="18" t="inlineStr">
        <is>
          <t>14/03/2025</t>
        </is>
      </c>
      <c r="G23" s="18" t="inlineStr">
        <is>
          <t>21507330F</t>
        </is>
      </c>
      <c r="H23" s="18" t="inlineStr">
        <is>
          <t>Director de tesis</t>
        </is>
      </c>
      <c r="I23" s="18" t="inlineStr">
        <is>
          <t>B152</t>
        </is>
      </c>
      <c r="J23" s="18" t="inlineStr">
        <is>
          <t>Filosofía del Derecho y Derecho Internacional Privado</t>
        </is>
      </c>
      <c r="K23" s="34" t="n">
        <v>1</v>
      </c>
      <c r="L23" s="34" t="inlineStr">
        <is>
          <t>B152</t>
        </is>
      </c>
      <c r="M23" s="18" t="n">
        <v>2024</v>
      </c>
      <c r="N23" s="34" t="inlineStr">
        <is>
          <t>10.06</t>
        </is>
      </c>
      <c r="O23" s="34" t="inlineStr">
        <is>
          <t>10</t>
        </is>
      </c>
      <c r="P23" s="34" t="inlineStr"/>
      <c r="Q23" s="34" t="inlineStr"/>
      <c r="R23" s="34" t="n">
        <v>90</v>
      </c>
      <c r="S23" s="34" t="n">
        <v>0.9</v>
      </c>
      <c r="T23" s="34" t="n">
        <v>0.1</v>
      </c>
      <c r="U23" s="34" t="n">
        <v>0</v>
      </c>
    </row>
    <row r="24">
      <c r="A24" s="18" t="inlineStr">
        <is>
          <t>U025</t>
        </is>
      </c>
      <c r="B24" s="18" t="inlineStr">
        <is>
          <t>Administración Facultad de Derecho</t>
        </is>
      </c>
      <c r="C24" s="18" t="inlineStr">
        <is>
          <t>DOCTORADO EN DERECHO</t>
        </is>
      </c>
      <c r="D24" s="18" t="inlineStr">
        <is>
          <t>Ruiz Rodríguez, Raúl</t>
        </is>
      </c>
      <c r="E24" s="18" t="inlineStr">
        <is>
          <t>The alignment between the european private international law system and the trade secrets directive: A joint effort to enhance legal certainty and promote innovation</t>
        </is>
      </c>
      <c r="F24" s="18" t="inlineStr">
        <is>
          <t>25/10/2024</t>
        </is>
      </c>
      <c r="G24" s="18" t="inlineStr">
        <is>
          <t>21507330F</t>
        </is>
      </c>
      <c r="H24" s="18" t="inlineStr">
        <is>
          <t>Director de tesis</t>
        </is>
      </c>
      <c r="I24" s="18" t="inlineStr">
        <is>
          <t>B152</t>
        </is>
      </c>
      <c r="J24" s="18" t="inlineStr">
        <is>
          <t>Filosofía del Derecho y Derecho Internacional Privado</t>
        </is>
      </c>
      <c r="K24" s="34" t="n">
        <v>1</v>
      </c>
      <c r="L24" s="34" t="inlineStr">
        <is>
          <t>B152</t>
        </is>
      </c>
      <c r="M24" s="18" t="n">
        <v>2024</v>
      </c>
      <c r="N24" s="34" t="inlineStr">
        <is>
          <t>10.06</t>
        </is>
      </c>
      <c r="O24" s="34" t="inlineStr">
        <is>
          <t>10</t>
        </is>
      </c>
      <c r="P24" s="34" t="inlineStr"/>
      <c r="Q24" s="34" t="inlineStr"/>
      <c r="R24" s="34" t="n">
        <v>90</v>
      </c>
      <c r="S24" s="34" t="n">
        <v>0.9</v>
      </c>
      <c r="T24" s="34" t="n">
        <v>0.1</v>
      </c>
      <c r="U24" s="34" t="n">
        <v>0</v>
      </c>
    </row>
    <row r="25">
      <c r="A25" s="18" t="inlineStr">
        <is>
          <t>U025</t>
        </is>
      </c>
      <c r="B25" s="18" t="inlineStr">
        <is>
          <t>Administración Facultad de Derecho</t>
        </is>
      </c>
      <c r="C25" s="18" t="inlineStr">
        <is>
          <t>DOCTORADO EN DERECHO</t>
        </is>
      </c>
      <c r="D25" s="18" t="inlineStr">
        <is>
          <t>Buzón Ibáñez, Rafael</t>
        </is>
      </c>
      <c r="E25" s="18" t="inlineStr">
        <is>
          <t>La filosofía del derecho de Manuel Atienza</t>
        </is>
      </c>
      <c r="F25" s="18" t="inlineStr">
        <is>
          <t>24/01/2025</t>
        </is>
      </c>
      <c r="G25" s="18" t="inlineStr">
        <is>
          <t>21455081Z</t>
        </is>
      </c>
      <c r="H25" s="18" t="inlineStr">
        <is>
          <t>Codirector de tesis</t>
        </is>
      </c>
      <c r="I25" s="18" t="inlineStr">
        <is>
          <t>B152</t>
        </is>
      </c>
      <c r="J25" s="18" t="inlineStr">
        <is>
          <t>Filosofía del Derecho y Derecho Internacional Privado</t>
        </is>
      </c>
      <c r="K25" s="34" t="n">
        <v>0.5</v>
      </c>
      <c r="L25" s="34" t="inlineStr">
        <is>
          <t>B152</t>
        </is>
      </c>
      <c r="M25" s="18" t="n">
        <v>2024</v>
      </c>
      <c r="N25" s="34" t="inlineStr">
        <is>
          <t>10.15</t>
        </is>
      </c>
      <c r="O25" s="34" t="inlineStr">
        <is>
          <t>10</t>
        </is>
      </c>
      <c r="P25" s="34" t="inlineStr"/>
      <c r="Q25" s="34" t="inlineStr"/>
      <c r="R25" s="34" t="n">
        <v>90</v>
      </c>
      <c r="S25" s="34" t="n">
        <v>0.45</v>
      </c>
      <c r="T25" s="34" t="n">
        <v>0.05</v>
      </c>
      <c r="U25" s="34" t="n">
        <v>0</v>
      </c>
    </row>
    <row r="26">
      <c r="A26" s="18" t="inlineStr">
        <is>
          <t>U025</t>
        </is>
      </c>
      <c r="B26" s="18" t="inlineStr">
        <is>
          <t>Administración Facultad de Derecho</t>
        </is>
      </c>
      <c r="C26" s="18" t="inlineStr">
        <is>
          <t>DOCTORADO EN DERECHO</t>
        </is>
      </c>
      <c r="D26" s="18" t="inlineStr">
        <is>
          <t>Buzón Ibáñez, Rafael</t>
        </is>
      </c>
      <c r="E26" s="18" t="inlineStr">
        <is>
          <t>La filosofía del derecho de Manuel Atienza</t>
        </is>
      </c>
      <c r="F26" s="18" t="inlineStr">
        <is>
          <t>24/01/2025</t>
        </is>
      </c>
      <c r="G26" s="18" t="inlineStr">
        <is>
          <t>43000084C</t>
        </is>
      </c>
      <c r="H26" s="18" t="inlineStr">
        <is>
          <t>Codirector de tesis</t>
        </is>
      </c>
      <c r="I26" s="18" t="inlineStr">
        <is>
          <t>B152</t>
        </is>
      </c>
      <c r="J26" s="18" t="inlineStr">
        <is>
          <t>Filosofía del Derecho y Derecho Internacional Privado</t>
        </is>
      </c>
      <c r="K26" s="34" t="n">
        <v>0.5</v>
      </c>
      <c r="L26" s="34" t="inlineStr">
        <is>
          <t>B152</t>
        </is>
      </c>
      <c r="M26" s="18" t="n">
        <v>2024</v>
      </c>
      <c r="N26" s="34" t="inlineStr"/>
      <c r="O26" s="34" t="inlineStr"/>
      <c r="P26" s="34" t="inlineStr"/>
      <c r="Q26" s="34" t="inlineStr"/>
      <c r="R26" s="34" t="n">
        <v>100</v>
      </c>
      <c r="S26" s="34" t="n">
        <v>0.5</v>
      </c>
      <c r="T26" s="34" t="n">
        <v>0</v>
      </c>
      <c r="U26" s="34" t="n">
        <v>0</v>
      </c>
    </row>
    <row r="27">
      <c r="A27" s="18" t="inlineStr">
        <is>
          <t>U025</t>
        </is>
      </c>
      <c r="B27" s="18" t="inlineStr">
        <is>
          <t>Administración Facultad de Derecho</t>
        </is>
      </c>
      <c r="C27" s="18" t="inlineStr">
        <is>
          <t>DOCTORADO EN DERECHO</t>
        </is>
      </c>
      <c r="D27" s="18" t="inlineStr">
        <is>
          <t>Ruiz-Esquide Enriquez, Maria Isabel</t>
        </is>
      </c>
      <c r="E27" s="18" t="inlineStr">
        <is>
          <t>El arbitrio judicial en la determinación de la pena</t>
        </is>
      </c>
      <c r="F27" s="18" t="inlineStr">
        <is>
          <t>28/04/2025</t>
        </is>
      </c>
      <c r="G27" s="18" t="inlineStr">
        <is>
          <t>21474644G</t>
        </is>
      </c>
      <c r="H27" s="18" t="inlineStr">
        <is>
          <t>Codirector de tesis</t>
        </is>
      </c>
      <c r="I27" s="18" t="inlineStr">
        <is>
          <t>B152</t>
        </is>
      </c>
      <c r="J27" s="18" t="inlineStr">
        <is>
          <t>Filosofía del Derecho y Derecho Internacional Privado</t>
        </is>
      </c>
      <c r="K27" s="34" t="n">
        <v>0.5</v>
      </c>
      <c r="L27" s="34" t="inlineStr">
        <is>
          <t>B152</t>
        </is>
      </c>
      <c r="M27" s="18" t="n">
        <v>2024</v>
      </c>
      <c r="N27" s="34" t="inlineStr"/>
      <c r="O27" s="34" t="inlineStr"/>
      <c r="P27" s="34" t="inlineStr"/>
      <c r="Q27" s="34" t="inlineStr"/>
      <c r="R27" s="34" t="n">
        <v>100</v>
      </c>
      <c r="S27" s="34" t="n">
        <v>0.5</v>
      </c>
      <c r="T27" s="34" t="n">
        <v>0</v>
      </c>
      <c r="U27" s="34" t="n">
        <v>0</v>
      </c>
    </row>
    <row r="28">
      <c r="A28" s="35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6" t="n"/>
      <c r="P28" s="35" t="n"/>
      <c r="Q28" s="36" t="n"/>
      <c r="R28" s="35" t="n"/>
      <c r="S28" s="46">
        <f>SUM(S2:S27)</f>
        <v/>
      </c>
      <c r="T28" s="35" t="n"/>
      <c r="U28" s="35" t="n"/>
    </row>
  </sheetData>
  <autoFilter ref="A1:U1">
    <sortState ref="A2:T1892">
      <sortCondition ref="K2:K1892"/>
      <sortCondition ref="L2:L1892"/>
      <sortCondition ref="D2:D1892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7"/>
  <sheetViews>
    <sheetView zoomScaleNormal="100" workbookViewId="0">
      <selection activeCell="Q18" sqref="Q18"/>
    </sheetView>
  </sheetViews>
  <sheetFormatPr baseColWidth="10" defaultColWidth="11.44140625" defaultRowHeight="13.2"/>
  <cols>
    <col width="10.88671875" bestFit="1" customWidth="1" style="11" min="1" max="1"/>
    <col width="37.8867187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 ht="14.4" customHeight="1">
      <c r="A2" s="16" t="inlineStr">
        <is>
          <t>10066946F</t>
        </is>
      </c>
      <c r="B2" s="16" t="inlineStr">
        <is>
          <t>Morán García, Manuel Eduardo</t>
        </is>
      </c>
      <c r="C2" s="16" t="inlineStr">
        <is>
          <t>FUNCIONARIO</t>
        </is>
      </c>
      <c r="D2" s="16" t="n"/>
      <c r="E2" s="16" t="n"/>
      <c r="F2" s="16" t="n"/>
      <c r="G2" s="16" t="n"/>
      <c r="H2" s="16" t="n">
        <v>1</v>
      </c>
      <c r="I2" s="16" t="n"/>
      <c r="J2" s="16" t="n">
        <v>1</v>
      </c>
      <c r="K2" s="16" t="inlineStr">
        <is>
          <t>B152</t>
        </is>
      </c>
      <c r="L2" s="17" t="n">
        <v>0</v>
      </c>
      <c r="M2" s="17" t="n">
        <v>0</v>
      </c>
      <c r="N2" s="17" t="inlineStr"/>
      <c r="O2" s="17" t="inlineStr"/>
      <c r="P2" s="17" t="n">
        <v>100</v>
      </c>
      <c r="Q2" s="17" t="n">
        <v>0</v>
      </c>
      <c r="R2" s="17" t="n">
        <v>0</v>
      </c>
      <c r="S2" s="17" t="n">
        <v>1</v>
      </c>
    </row>
    <row r="3" ht="14.4" customHeight="1">
      <c r="A3" s="16" t="inlineStr">
        <is>
          <t>11072086R</t>
        </is>
      </c>
      <c r="B3" s="16" t="inlineStr">
        <is>
          <t>Vega López, Jesús</t>
        </is>
      </c>
      <c r="C3" s="16" t="inlineStr">
        <is>
          <t>FUNCIONARIO</t>
        </is>
      </c>
      <c r="D3" s="16" t="n"/>
      <c r="E3" s="16" t="n"/>
      <c r="F3" s="16" t="n">
        <v>1</v>
      </c>
      <c r="G3" s="16" t="n"/>
      <c r="H3" s="16" t="n"/>
      <c r="I3" s="16" t="n"/>
      <c r="J3" s="16" t="n">
        <v>1</v>
      </c>
      <c r="K3" s="16" t="inlineStr">
        <is>
          <t>B152</t>
        </is>
      </c>
      <c r="L3" s="17" t="n">
        <v>0</v>
      </c>
      <c r="M3" s="17" t="n">
        <v>0</v>
      </c>
      <c r="N3" s="17" t="inlineStr"/>
      <c r="O3" s="17" t="inlineStr"/>
      <c r="P3" s="17" t="n">
        <v>100</v>
      </c>
      <c r="Q3" s="17" t="n">
        <v>0</v>
      </c>
      <c r="R3" s="17" t="n">
        <v>0</v>
      </c>
      <c r="S3" s="17" t="n">
        <v>1</v>
      </c>
    </row>
    <row r="4" ht="14.4" customHeight="1">
      <c r="A4" s="16" t="inlineStr">
        <is>
          <t>13051474D</t>
        </is>
      </c>
      <c r="B4" s="16" t="inlineStr">
        <is>
          <t>Atienza Rodríguez, Manuel</t>
        </is>
      </c>
      <c r="C4" s="16" t="inlineStr">
        <is>
          <t>Emérito</t>
        </is>
      </c>
      <c r="D4" s="16" t="n"/>
      <c r="E4" s="16" t="n"/>
      <c r="F4" s="16" t="n"/>
      <c r="G4" s="16" t="n"/>
      <c r="H4" s="16" t="n"/>
      <c r="I4" s="16" t="n">
        <v>1</v>
      </c>
      <c r="J4" s="16" t="n">
        <v>1</v>
      </c>
      <c r="K4" s="16" t="inlineStr">
        <is>
          <t>B152</t>
        </is>
      </c>
      <c r="L4" s="17" t="inlineStr">
        <is>
          <t>10.15</t>
        </is>
      </c>
      <c r="M4" s="17" t="inlineStr">
        <is>
          <t>10</t>
        </is>
      </c>
      <c r="N4" s="17" t="inlineStr"/>
      <c r="O4" s="17" t="inlineStr"/>
      <c r="P4" s="17" t="n">
        <v>90</v>
      </c>
      <c r="Q4" s="17" t="n">
        <v>0.1</v>
      </c>
      <c r="R4" s="17" t="n">
        <v>0</v>
      </c>
      <c r="S4" s="17" t="n">
        <v>0.9</v>
      </c>
    </row>
    <row r="5" ht="14.4" customHeight="1">
      <c r="A5" s="16" t="inlineStr">
        <is>
          <t>21434053P</t>
        </is>
      </c>
      <c r="B5" s="16" t="inlineStr">
        <is>
          <t>Lafuente Sánchez, Raúl José</t>
        </is>
      </c>
      <c r="C5" s="16" t="inlineStr">
        <is>
          <t>FUNCIONARIO</t>
        </is>
      </c>
      <c r="D5" s="16" t="n"/>
      <c r="E5" s="16" t="n"/>
      <c r="F5" s="16" t="n">
        <v>3</v>
      </c>
      <c r="G5" s="16" t="n"/>
      <c r="H5" s="16" t="n"/>
      <c r="I5" s="16" t="n"/>
      <c r="J5" s="16" t="n">
        <v>3</v>
      </c>
      <c r="K5" s="16" t="inlineStr">
        <is>
          <t>B152</t>
        </is>
      </c>
      <c r="L5" s="17" t="inlineStr">
        <is>
          <t>10.06</t>
        </is>
      </c>
      <c r="M5" s="17" t="inlineStr">
        <is>
          <t>10</t>
        </is>
      </c>
      <c r="N5" s="17" t="inlineStr"/>
      <c r="O5" s="17" t="inlineStr"/>
      <c r="P5" s="17" t="n">
        <v>90</v>
      </c>
      <c r="Q5" s="17" t="n">
        <v>0.3</v>
      </c>
      <c r="R5" s="17" t="n">
        <v>0</v>
      </c>
      <c r="S5" s="17" t="n">
        <v>2.7</v>
      </c>
    </row>
    <row r="6" ht="14.4" customHeight="1">
      <c r="A6" s="16" t="inlineStr">
        <is>
          <t>21461869V</t>
        </is>
      </c>
      <c r="B6" s="16" t="inlineStr">
        <is>
          <t>Rodenas Calatayud, Mari Angeles</t>
        </is>
      </c>
      <c r="C6" s="16" t="inlineStr">
        <is>
          <t>FUNCIONARIO</t>
        </is>
      </c>
      <c r="D6" s="16" t="n"/>
      <c r="E6" s="16" t="n">
        <v>1</v>
      </c>
      <c r="F6" s="16" t="n"/>
      <c r="G6" s="16" t="n"/>
      <c r="H6" s="16" t="n"/>
      <c r="I6" s="16" t="n"/>
      <c r="J6" s="16" t="n">
        <v>1</v>
      </c>
      <c r="K6" s="16" t="inlineStr">
        <is>
          <t>B152</t>
        </is>
      </c>
      <c r="L6" s="17" t="inlineStr">
        <is>
          <t>10.22</t>
        </is>
      </c>
      <c r="M6" s="17" t="inlineStr">
        <is>
          <t>70</t>
        </is>
      </c>
      <c r="N6" s="17" t="inlineStr"/>
      <c r="O6" s="17" t="inlineStr"/>
      <c r="P6" s="17" t="n">
        <v>30</v>
      </c>
      <c r="Q6" s="17" t="n">
        <v>0.7</v>
      </c>
      <c r="R6" s="17" t="n">
        <v>0</v>
      </c>
      <c r="S6" s="17" t="n">
        <v>0.3</v>
      </c>
    </row>
    <row r="7" ht="14.4" customHeight="1">
      <c r="A7" s="16" t="inlineStr">
        <is>
          <t>21474644G</t>
        </is>
      </c>
      <c r="B7" s="16" t="inlineStr">
        <is>
          <t>Lifante Vidal, Isabel María</t>
        </is>
      </c>
      <c r="C7" s="16" t="inlineStr">
        <is>
          <t>FUNCIONARIO</t>
        </is>
      </c>
      <c r="D7" s="16" t="n"/>
      <c r="E7" s="16" t="n"/>
      <c r="F7" s="16" t="n"/>
      <c r="G7" s="16" t="n"/>
      <c r="H7" s="16" t="n"/>
      <c r="I7" s="16" t="n">
        <v>1</v>
      </c>
      <c r="J7" s="16" t="n">
        <v>1</v>
      </c>
      <c r="K7" s="16" t="inlineStr">
        <is>
          <t>B152</t>
        </is>
      </c>
      <c r="L7" s="17" t="n">
        <v>0</v>
      </c>
      <c r="M7" s="17" t="n">
        <v>0</v>
      </c>
      <c r="N7" s="17" t="inlineStr"/>
      <c r="O7" s="17" t="inlineStr"/>
      <c r="P7" s="17" t="n">
        <v>100</v>
      </c>
      <c r="Q7" s="17" t="n">
        <v>0</v>
      </c>
      <c r="R7" s="17" t="n">
        <v>0</v>
      </c>
      <c r="S7" s="17" t="n">
        <v>1</v>
      </c>
    </row>
    <row r="8" ht="14.4" customHeight="1">
      <c r="A8" s="16" t="inlineStr">
        <is>
          <t>21504756D</t>
        </is>
      </c>
      <c r="B8" s="16" t="inlineStr">
        <is>
          <t>Alemany García, Macario</t>
        </is>
      </c>
      <c r="C8" s="37" t="inlineStr">
        <is>
          <t>FUNCIONARIO</t>
        </is>
      </c>
      <c r="D8" s="16" t="n"/>
      <c r="E8" s="16" t="n"/>
      <c r="F8" s="16" t="n">
        <v>1</v>
      </c>
      <c r="G8" s="16" t="n"/>
      <c r="H8" s="16" t="n"/>
      <c r="I8" s="16" t="n"/>
      <c r="J8" s="16" t="n">
        <v>1</v>
      </c>
      <c r="K8" s="16" t="inlineStr">
        <is>
          <t>B152</t>
        </is>
      </c>
      <c r="L8" s="17" t="n">
        <v>0</v>
      </c>
      <c r="M8" s="17" t="n">
        <v>0</v>
      </c>
      <c r="N8" s="17" t="inlineStr"/>
      <c r="O8" s="17" t="inlineStr"/>
      <c r="P8" s="17" t="n">
        <v>100</v>
      </c>
      <c r="Q8" s="17" t="n">
        <v>0</v>
      </c>
      <c r="R8" s="17" t="n">
        <v>0</v>
      </c>
      <c r="S8" s="17" t="n">
        <v>1</v>
      </c>
    </row>
    <row r="9" ht="14.4" customHeight="1">
      <c r="A9" s="16" t="inlineStr">
        <is>
          <t>21507330F</t>
        </is>
      </c>
      <c r="B9" s="16" t="inlineStr">
        <is>
          <t>López-Tarruella Martínez, Aurelio</t>
        </is>
      </c>
      <c r="C9" s="16" t="inlineStr">
        <is>
          <t>Vivos</t>
        </is>
      </c>
      <c r="D9" s="16" t="n"/>
      <c r="E9" s="16" t="n"/>
      <c r="F9" s="16" t="n"/>
      <c r="G9" s="16" t="n"/>
      <c r="H9" s="16" t="n"/>
      <c r="I9" s="16" t="n">
        <v>1</v>
      </c>
      <c r="J9" s="16" t="n">
        <v>1</v>
      </c>
      <c r="K9" s="16" t="inlineStr">
        <is>
          <t>B152</t>
        </is>
      </c>
      <c r="L9" s="17" t="inlineStr">
        <is>
          <t>10.06</t>
        </is>
      </c>
      <c r="M9" s="17" t="inlineStr">
        <is>
          <t>10</t>
        </is>
      </c>
      <c r="N9" s="17" t="inlineStr"/>
      <c r="O9" s="17" t="inlineStr"/>
      <c r="P9" s="17" t="n">
        <v>90</v>
      </c>
      <c r="Q9" s="17" t="n">
        <v>0.1</v>
      </c>
      <c r="R9" s="17" t="n">
        <v>0</v>
      </c>
      <c r="S9" s="17" t="n">
        <v>0.9</v>
      </c>
    </row>
    <row r="10" ht="14.4" customHeight="1">
      <c r="A10" s="16" t="inlineStr">
        <is>
          <t>25123079H</t>
        </is>
      </c>
      <c r="B10" s="16" t="inlineStr">
        <is>
          <t>González Lagier, José Daniel</t>
        </is>
      </c>
      <c r="C10" s="16" t="inlineStr">
        <is>
          <t>FUNCIONARIO</t>
        </is>
      </c>
      <c r="D10" s="16" t="n"/>
      <c r="E10" s="16" t="n"/>
      <c r="F10" s="16" t="n"/>
      <c r="G10" s="16" t="n"/>
      <c r="H10" s="16" t="n">
        <v>1</v>
      </c>
      <c r="I10" s="16" t="n"/>
      <c r="J10" s="16" t="n">
        <v>1</v>
      </c>
      <c r="K10" s="16" t="inlineStr">
        <is>
          <t>B152</t>
        </is>
      </c>
      <c r="L10" s="17" t="n">
        <v>0</v>
      </c>
      <c r="M10" s="17" t="n">
        <v>0</v>
      </c>
      <c r="N10" s="17" t="inlineStr"/>
      <c r="O10" s="17" t="inlineStr"/>
      <c r="P10" s="17" t="n">
        <v>100</v>
      </c>
      <c r="Q10" s="17" t="n">
        <v>0</v>
      </c>
      <c r="R10" s="17" t="n">
        <v>0</v>
      </c>
      <c r="S10" s="17" t="n">
        <v>1</v>
      </c>
    </row>
    <row r="11" ht="14.4" customHeight="1">
      <c r="A11" s="16" t="inlineStr">
        <is>
          <t>43000084C</t>
        </is>
      </c>
      <c r="B11" s="16" t="inlineStr">
        <is>
          <t>Aguiló Regla, Josep</t>
        </is>
      </c>
      <c r="C11" s="16" t="inlineStr">
        <is>
          <t>FUNCIONARIO</t>
        </is>
      </c>
      <c r="D11" s="16" t="n">
        <v>1</v>
      </c>
      <c r="E11" s="16" t="n"/>
      <c r="F11" s="16" t="n"/>
      <c r="G11" s="16" t="n"/>
      <c r="H11" s="16" t="n"/>
      <c r="I11" s="16" t="n"/>
      <c r="J11" s="16" t="n">
        <v>1</v>
      </c>
      <c r="K11" s="16" t="inlineStr">
        <is>
          <t>B152</t>
        </is>
      </c>
      <c r="L11" s="17" t="n">
        <v>0</v>
      </c>
      <c r="M11" s="17" t="n">
        <v>0</v>
      </c>
      <c r="N11" s="17" t="inlineStr"/>
      <c r="O11" s="17" t="inlineStr"/>
      <c r="P11" s="17" t="n">
        <v>100</v>
      </c>
      <c r="Q11" s="17" t="n">
        <v>0</v>
      </c>
      <c r="R11" s="17" t="n">
        <v>0</v>
      </c>
      <c r="S11" s="17" t="n">
        <v>1</v>
      </c>
    </row>
    <row r="12" ht="14.4" customHeight="1">
      <c r="A12" s="16" t="inlineStr">
        <is>
          <t>74233135Z</t>
        </is>
      </c>
      <c r="B12" s="16" t="inlineStr">
        <is>
          <t>García Mirete, Carmen María</t>
        </is>
      </c>
      <c r="C12" s="31" t="inlineStr">
        <is>
          <t>FUNCIONARIO</t>
        </is>
      </c>
      <c r="D12" s="16" t="n"/>
      <c r="E12" s="16" t="n"/>
      <c r="F12" s="16" t="n"/>
      <c r="G12" s="16" t="n"/>
      <c r="H12" s="16" t="n"/>
      <c r="I12" s="16" t="n">
        <v>1</v>
      </c>
      <c r="J12" s="16" t="n">
        <v>1</v>
      </c>
      <c r="K12" s="16" t="inlineStr">
        <is>
          <t>B152</t>
        </is>
      </c>
      <c r="L12" s="17" t="n">
        <v>0</v>
      </c>
      <c r="M12" s="17" t="n">
        <v>0</v>
      </c>
      <c r="N12" s="17" t="inlineStr"/>
      <c r="O12" s="17" t="inlineStr"/>
      <c r="P12" s="17" t="n">
        <v>100</v>
      </c>
      <c r="Q12" s="17" t="n">
        <v>0</v>
      </c>
      <c r="R12" s="17" t="n">
        <v>0</v>
      </c>
      <c r="S12" s="17" t="n">
        <v>1</v>
      </c>
    </row>
    <row r="13">
      <c r="A13" s="37" t="inlineStr">
        <is>
          <t>Y6585052M</t>
        </is>
      </c>
      <c r="B13" s="37" t="inlineStr">
        <is>
          <t>Misseri, Lucas Emmanuel</t>
        </is>
      </c>
      <c r="C13" s="38" t="inlineStr">
        <is>
          <t>FUNCIONARIO</t>
        </is>
      </c>
      <c r="D13" s="37" t="n"/>
      <c r="E13" s="37" t="n"/>
      <c r="F13" s="37" t="n"/>
      <c r="G13" s="37" t="n"/>
      <c r="H13" s="37" t="n"/>
      <c r="I13" s="37" t="n">
        <v>1</v>
      </c>
      <c r="J13" s="37" t="n">
        <v>1</v>
      </c>
      <c r="K13" s="37" t="inlineStr">
        <is>
          <t>B152</t>
        </is>
      </c>
      <c r="L13" s="39" t="n">
        <v>0</v>
      </c>
      <c r="M13" s="39" t="n">
        <v>0</v>
      </c>
      <c r="N13" s="39" t="inlineStr"/>
      <c r="O13" s="39" t="inlineStr"/>
      <c r="P13" s="39" t="n">
        <v>100</v>
      </c>
      <c r="Q13" s="39" t="n">
        <v>0</v>
      </c>
      <c r="R13" s="39" t="n">
        <v>0</v>
      </c>
      <c r="S13" s="39" t="n">
        <v>1</v>
      </c>
    </row>
    <row r="14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4" t="n"/>
      <c r="O14" s="43" t="n"/>
      <c r="P14" s="44" t="n"/>
      <c r="Q14" s="43" t="n"/>
      <c r="R14" s="43" t="n"/>
      <c r="S14" s="45">
        <f>SUM(S2:S13)</f>
        <v/>
      </c>
    </row>
    <row r="17" ht="60" customFormat="1" customHeight="1" s="10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2" t="n"/>
      <c r="O17" s="11" t="n"/>
      <c r="P17" s="12" t="n"/>
      <c r="Q17" s="11" t="n"/>
      <c r="R17" s="11" t="n"/>
      <c r="S17" s="11" t="n"/>
      <c r="T17" s="11" t="n"/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12" sqref="B12"/>
    </sheetView>
  </sheetViews>
  <sheetFormatPr baseColWidth="10" defaultRowHeight="14.4"/>
  <cols>
    <col width="17" customWidth="1" min="1" max="1"/>
    <col width="72.44140625" customWidth="1" min="2" max="2"/>
    <col width="16" customWidth="1" min="3" max="3"/>
  </cols>
  <sheetData>
    <row r="1">
      <c r="A1" s="48" t="inlineStr">
        <is>
          <t>Cód. org. aplic.</t>
        </is>
      </c>
      <c r="B1" s="48" t="inlineStr">
        <is>
          <t>Descripción justificante</t>
        </is>
      </c>
      <c r="C1" s="48" t="inlineStr">
        <is>
          <t>Imp.cob.aplic.</t>
        </is>
      </c>
    </row>
    <row r="2">
      <c r="A2" s="40" t="inlineStr">
        <is>
          <t>35.10.6C.00.17</t>
        </is>
      </c>
      <c r="B2" s="40" t="inlineStr">
        <is>
          <t>Report LEGAL VALUE OF EVIDENCE PROVIDED BY BLOCKCHAIN... (Expert opinion on Blockchain and IP) PO number reference: 1020220405</t>
        </is>
      </c>
      <c r="C2" s="93" t="n">
        <v>10560</v>
      </c>
    </row>
    <row r="3">
      <c r="A3" s="41" t="inlineStr">
        <is>
          <t>35.10.6C.00.18</t>
        </is>
      </c>
      <c r="B3" s="41" t="inlineStr">
        <is>
          <t xml:space="preserve">TRAINING ON THE CONSEQUENCES OF THE ENTRY INTO FORCE OF THE UNIFIED PATENT COURT AGREEMENT-UNITARY PATENT AND UPC ARE ON: AND NOW WHAT? LITIGATION INFRINGEMENT STRATEGIES. REF: NOKIATECHNOLOGIES1-23TPA </t>
        </is>
      </c>
      <c r="C3" s="94" t="n">
        <v>880</v>
      </c>
    </row>
    <row r="4">
      <c r="A4" s="40" t="inlineStr">
        <is>
          <t>35.10.6M.00.13</t>
        </is>
      </c>
      <c r="B4" s="40" t="inlineStr">
        <is>
          <t xml:space="preserve">Curso Principios Bioética y Comunicación (impartido por Macario Alemany, Universidad de Alicante) </t>
        </is>
      </c>
      <c r="C4" s="93" t="n">
        <v>580.8</v>
      </c>
    </row>
    <row r="5">
      <c r="A5" s="41" t="inlineStr">
        <is>
          <t>35.10.6P.00.09</t>
        </is>
      </c>
      <c r="B5" s="41" t="inlineStr">
        <is>
          <t xml:space="preserve">PID2020-112540RB-C43/112611RB-I00/112930GB-I00/113343GB-I00/113472RB-I00/114381GB-I00/114517GB-I00/114896RB-I00/115140RB-I00/115735GB-I00  </t>
        </is>
      </c>
      <c r="C5" s="94" t="n">
        <v>7967.69</v>
      </c>
    </row>
    <row r="6">
      <c r="A6" s="40" t="inlineStr">
        <is>
          <t>35.10.6P.00.10</t>
        </is>
      </c>
      <c r="B6" s="40" t="inlineStr">
        <is>
          <t xml:space="preserve">PID2021-122320NA-I00/123699NB-I00/124741NB-I00/124860NB-I00/125387NB-I00/126485OB-I00/127332NB-I00/127566NB-I00/127967NB-I00 </t>
        </is>
      </c>
      <c r="C6" s="93" t="n">
        <v>10020</v>
      </c>
    </row>
    <row r="7">
      <c r="A7" s="49" t="inlineStr">
        <is>
          <t>35.10.6P.00.12</t>
        </is>
      </c>
      <c r="B7" s="49" t="inlineStr">
        <is>
          <t xml:space="preserve">DEVOLUCIÓN DE INGRESOS_MODELO 047_Nº de liquidación:46/2023/RAS/10276/1_ Número de justificante:047/1/002376790_Nº de referencia:047/1/002376790 </t>
        </is>
      </c>
      <c r="C7" s="95" t="n">
        <v>-660.8200000000001</v>
      </c>
    </row>
    <row r="8">
      <c r="A8" s="52" t="inlineStr">
        <is>
          <t>Total</t>
        </is>
      </c>
      <c r="B8" s="52" t="n"/>
      <c r="C8" s="96">
        <f>SUBTOTAL(109,Tabla2[Imp.cob.aplic.])</f>
        <v/>
      </c>
    </row>
    <row r="9">
      <c r="C9" s="9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B14" sqref="B14:C14"/>
    </sheetView>
  </sheetViews>
  <sheetFormatPr baseColWidth="10" defaultRowHeight="14.4"/>
  <cols>
    <col width="12" customWidth="1" min="1" max="1"/>
    <col width="55.88671875" customWidth="1" min="2" max="2"/>
    <col width="13.109375" customWidth="1" min="3" max="3"/>
  </cols>
  <sheetData>
    <row r="1">
      <c r="A1" s="59" t="inlineStr">
        <is>
          <t>Org. aplic.</t>
        </is>
      </c>
      <c r="B1" s="59" t="inlineStr">
        <is>
          <t>Descripción justificante</t>
        </is>
      </c>
      <c r="C1" s="98" t="inlineStr">
        <is>
          <t>Imp. aplic.</t>
        </is>
      </c>
    </row>
    <row r="2">
      <c r="A2" s="57" t="inlineStr">
        <is>
          <t>35.10.6C.00.19</t>
        </is>
      </c>
      <c r="B2" s="57" t="inlineStr">
        <is>
          <t>Prestación de asesoramiento científico-técnico especializado  por parte de Manuel Desantes (Univ de Alicante)</t>
        </is>
      </c>
      <c r="C2" s="93" t="n">
        <v>3520</v>
      </c>
    </row>
    <row r="3">
      <c r="A3" s="58" t="inlineStr">
        <is>
          <t>35.10.6K.00.01</t>
        </is>
      </c>
      <c r="B3" s="58" t="inlineStr">
        <is>
          <t>LIBROS SEGÚN ANEXO Nº F24/121</t>
        </is>
      </c>
      <c r="C3" s="94" t="n">
        <v>1211.57</v>
      </c>
    </row>
    <row r="4">
      <c r="A4" s="57" t="inlineStr">
        <is>
          <t>35.10.6M.00.14</t>
        </is>
      </c>
      <c r="B4" s="57" t="inlineStr">
        <is>
          <t>PRINCIPIOS DE BIOÉTICA (impartido por Macario Alemany, curso 2024). 3 sesiones de 4 horas, 12 horas en total.</t>
        </is>
      </c>
      <c r="C4" s="93" t="n">
        <v>580.8</v>
      </c>
    </row>
    <row r="5">
      <c r="A5" s="58" t="inlineStr">
        <is>
          <t>35.10.6P.00.09</t>
        </is>
      </c>
      <c r="B5" s="58" t="inlineStr">
        <is>
          <t>DEVOLUCIÓN DE INGRESOS_CARTA DE PAGO_REFERENCIA: PID2020-113472RB-I00, ANUALIDAD: 2021</t>
        </is>
      </c>
      <c r="C5" s="94" t="n">
        <v>-410.27</v>
      </c>
    </row>
    <row r="6">
      <c r="A6" s="57" t="inlineStr">
        <is>
          <t>35.10.6P.00.10</t>
        </is>
      </c>
      <c r="B6" s="57" t="inlineStr">
        <is>
          <t>PID2021-124139NB-C21 -124237NB-I00 -124721NB-I00 -124741NB-I00 -124860NB-I00 -125175OB-I00 -125279OB-I00 -125387NB-I00 -125517OB-I00 -125883NB-C21-126056OA-I00 -126114NB-C41 -126155OB-I00</t>
        </is>
      </c>
      <c r="C6" s="93" t="n">
        <v>3600</v>
      </c>
    </row>
    <row r="7">
      <c r="A7" s="58" t="inlineStr">
        <is>
          <t>35.10.6P.00.11</t>
        </is>
      </c>
      <c r="B7" s="58" t="inlineStr">
        <is>
          <t>PID2021-124139NB-C21 -124237NB-I00 -124721NB-I00 -124741NB-I00 -124860NB-I00 -125175OB-I00 -125279OB-I00 -125387NB-I00 -125517OB-I00 -125883NB-C21-126056OA-I00 -126114NB-C41 -126155OB-I00</t>
        </is>
      </c>
      <c r="C7" s="94" t="n">
        <v>673.08</v>
      </c>
    </row>
    <row r="8">
      <c r="A8" s="57" t="inlineStr">
        <is>
          <t>35.10.6P.00.14</t>
        </is>
      </c>
      <c r="B8" s="57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8" s="93" t="n">
        <v>15539</v>
      </c>
    </row>
    <row r="9">
      <c r="A9" s="62" t="inlineStr">
        <is>
          <t>35.10.6X.00.02</t>
        </is>
      </c>
      <c r="B9" s="62" t="inlineStr">
        <is>
          <t xml:space="preserve">Último cobro del proyecto RECOGNISE. </t>
        </is>
      </c>
      <c r="C9" s="95" t="n">
        <v>5731.76</v>
      </c>
    </row>
    <row r="10">
      <c r="A10" s="62" t="inlineStr">
        <is>
          <t>Total</t>
        </is>
      </c>
      <c r="B10" s="62" t="n"/>
      <c r="C10" s="96">
        <f>SUBTOTAL(109,Tabla4[Imp.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9" sqref="C19"/>
    </sheetView>
  </sheetViews>
  <sheetFormatPr baseColWidth="10" defaultRowHeight="14.4"/>
  <cols>
    <col width="16" customWidth="1" min="1" max="1"/>
    <col width="49.33203125" customWidth="1" min="2" max="2"/>
    <col width="17.109375" customWidth="1" min="3" max="3"/>
  </cols>
  <sheetData>
    <row r="1">
      <c r="A1" s="68" t="inlineStr">
        <is>
          <t>Org. aplic.</t>
        </is>
      </c>
      <c r="B1" s="69" t="inlineStr">
        <is>
          <t>Descripción justificante</t>
        </is>
      </c>
      <c r="C1" s="69" t="inlineStr">
        <is>
          <t>Imp. aplic.</t>
        </is>
      </c>
    </row>
    <row r="2">
      <c r="A2" s="70" t="inlineStr">
        <is>
          <t>35.10.6D.00.01</t>
        </is>
      </c>
      <c r="B2" s="71" t="inlineStr">
        <is>
          <t>INGRESO PERCIBIDO POR LA UNIVERSIDAD DE ALICANTE EN VIRTUD DE CONVENIO CON LA ENTIDAD PÚBLICA EMPRESARIAL RED.ES.</t>
        </is>
      </c>
      <c r="C2" s="99" t="n">
        <v>4591.46</v>
      </c>
    </row>
    <row r="3">
      <c r="A3" s="73" t="inlineStr">
        <is>
          <t>35.10.6D.00.01</t>
        </is>
      </c>
      <c r="B3" s="74" t="inlineStr">
        <is>
          <t>INGRESO PERCIBIDO POR LA UNIVERSIDAD DE ALICANTE EN VIRTUD DE CONVENIO CON LA ENTIDAD PÚBLICA EMPRESARIAL RED.ES.</t>
        </is>
      </c>
      <c r="C3" s="100" t="n">
        <v>20962.49</v>
      </c>
    </row>
    <row r="4">
      <c r="A4" s="70" t="inlineStr">
        <is>
          <t>35.10.6M.00.15</t>
        </is>
      </c>
      <c r="B4" s="71" t="inlineStr">
        <is>
          <t>Primer pago del primer semestre del curso 2025/26 correpondiente al proyecto ref. UOC2-25F Servicios de apoyo académico realizando las tareas de orientación y el acompañamiento en el aprendizaje de los estudiantes dela asignatura "Teoría general del derecho" (código 73.574), de los Estudios de Derecho y Ciencia Política</t>
        </is>
      </c>
      <c r="C4" s="99" t="n">
        <v>1334.08</v>
      </c>
    </row>
    <row r="5">
      <c r="A5" s="73" t="inlineStr">
        <is>
          <t>35.10.6P.00.10</t>
        </is>
      </c>
      <c r="B5" s="74" t="inlineStr">
        <is>
          <t xml:space="preserve">ayudas PID2021-122320NA-I00, PID2021-123699NB-I00, PID2021-124741NB-I00, PID2021-124860NB-I00,PID2021-125387NB-I00, PID2021-126485OB-I00, PID2021-127332NB-I00, PID2021-127566NB-I00, PID2021-127967NB-I00, </t>
        </is>
      </c>
      <c r="C5" s="100" t="n">
        <v>24000</v>
      </c>
    </row>
    <row r="6">
      <c r="A6" s="70" t="inlineStr">
        <is>
          <t>35.10.6P.00.14</t>
        </is>
      </c>
      <c r="B6" s="71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6" s="99" t="n">
        <v>2706</v>
      </c>
    </row>
    <row r="7" ht="15" customHeight="1" thickBot="1">
      <c r="A7" s="73" t="inlineStr">
        <is>
          <t>35.10.6P.00.15</t>
        </is>
      </c>
      <c r="B7" s="74" t="inlineStr">
        <is>
          <t>Ayudas JDC2024-053381-I, JDC2024-053381-I (DOT. ADICIONAL), JDC2024-055795-I, JDC2024-055795-I (DOT. ADICIONAL), JDC2024-055193-I, JDC2024-055193-I (DOT. ADICIONAL), JDC2024-054052-I,  JDC2024-053152-I, JDC2024-054052-I (DOT. ADICIONAL), JDC2024-053152-I (DOT. ADICIONAL), JDC2024-055709-I, JDC2024-055709-I (DOT. ADICIONAL)</t>
        </is>
      </c>
      <c r="C7" s="100" t="n">
        <v>3700</v>
      </c>
    </row>
    <row r="8" ht="15" customHeight="1" thickTop="1">
      <c r="A8" s="76" t="inlineStr">
        <is>
          <t>Total</t>
        </is>
      </c>
      <c r="B8" s="77" t="n"/>
      <c r="C8" s="101" t="n">
        <v>57294.03</v>
      </c>
    </row>
    <row r="12">
      <c r="B12" s="66" t="inlineStr">
        <is>
          <t>Total ingresos investigación 2023-25</t>
        </is>
      </c>
      <c r="C12" s="102">
        <f>Tabla4[[#Totals],[Imp. aplic.]]+Tabla2[[#Totals],[Imp.cob.aplic.]]+C8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B30" sqref="B30"/>
    </sheetView>
  </sheetViews>
  <sheetFormatPr baseColWidth="10" defaultRowHeight="14.4"/>
  <cols>
    <col width="17" customWidth="1" min="1" max="1"/>
    <col width="88.6640625" customWidth="1" min="2" max="2"/>
    <col width="16" customWidth="1" min="3" max="3"/>
  </cols>
  <sheetData>
    <row r="1">
      <c r="A1" s="48" t="inlineStr">
        <is>
          <t>Cód. org. aplic.</t>
        </is>
      </c>
      <c r="B1" s="48" t="inlineStr">
        <is>
          <t>Descripción justificante</t>
        </is>
      </c>
      <c r="C1" s="48" t="inlineStr">
        <is>
          <t>Imp.cob.aplic.</t>
        </is>
      </c>
    </row>
    <row r="2">
      <c r="A2" s="40" t="inlineStr">
        <is>
          <t>35.10.2T.00.04</t>
        </is>
      </c>
      <c r="B2" s="40" t="inlineStr">
        <is>
          <t>DEVOLUCIÓN DE TASAS, INGRESADAS INDEBIDAMENTE, A LA ALUMNA RELACIONADA EN LA NÓMINA NÚMERO DE CONTROL 4318. ANULACIÓN DE ASIGNATURAS POR MOTIVOS LABORALES.</t>
        </is>
      </c>
      <c r="C2" s="93" t="n">
        <v>-1666</v>
      </c>
    </row>
    <row r="3">
      <c r="A3" s="41" t="inlineStr">
        <is>
          <t>35.10.2T.00.04</t>
        </is>
      </c>
      <c r="B3" s="41" t="inlineStr">
        <is>
          <t>Juan Eduardo Guerra Ríos. MÁSTER EN ARGUMENTACIÓN JURÍDICA</t>
        </is>
      </c>
      <c r="C3" s="94" t="n">
        <v>1260</v>
      </c>
    </row>
    <row r="4">
      <c r="A4" s="40" t="inlineStr">
        <is>
          <t>35.10.2T.00.04</t>
        </is>
      </c>
      <c r="B4" s="40" t="inlineStr">
        <is>
          <t xml:space="preserve">AD_LIQ-TitProp_9361-1-2 Curso_2023-24 AñoCont_2023 - MÁSTER DE FORMACIÓN PERMANENTE EN ARGUMENTACIÓN JURÍDICA </t>
        </is>
      </c>
      <c r="C4" s="93" t="n">
        <v>-43181.16</v>
      </c>
    </row>
    <row r="5">
      <c r="A5" s="41" t="inlineStr">
        <is>
          <t>35.10.2T.00.04</t>
        </is>
      </c>
      <c r="B5" s="41" t="inlineStr">
        <is>
          <t>DEVOLUCIÓN DE TASAS, INGRESADAS INDEBIDAMENTE, A LOS ALUMNOS Y ALUMNAS DE LA UA RELACIONADOS EN  LA NÓMINA NÚMERO DE CONTROL 4352. RDT INVERSA EN EXPEDIENTE 2023EXPADM1923</t>
        </is>
      </c>
      <c r="C5" s="94" t="n">
        <v>-1309</v>
      </c>
    </row>
    <row r="6">
      <c r="A6" s="40" t="inlineStr">
        <is>
          <t>35.10.2T.00.04</t>
        </is>
      </c>
      <c r="B6" s="40" t="inlineStr">
        <is>
          <t>Jorge Rodrigo Arredondo López. MÁSTER EN ARGUMENTACIÓN JURÍDICA</t>
        </is>
      </c>
      <c r="C6" s="93" t="n">
        <v>1260</v>
      </c>
    </row>
    <row r="7">
      <c r="A7" s="41" t="inlineStr">
        <is>
          <t>35.10.2T.00.04</t>
        </is>
      </c>
      <c r="B7" s="41" t="inlineStr">
        <is>
          <t>Daniela Lemus Arévalo. MÁSTER EN ARGUMENTACIÓN JURÍDICA</t>
        </is>
      </c>
      <c r="C7" s="94" t="n">
        <v>1253</v>
      </c>
    </row>
    <row r="8">
      <c r="A8" s="40" t="inlineStr">
        <is>
          <t>35.10.2T.00.04</t>
        </is>
      </c>
      <c r="B8" s="40" t="inlineStr">
        <is>
          <t>DEVOLUCIÓN DE TASAS INGRESADAS INDEBIDAMENTE A LOS ALUMNOS Y ALUMNAS DE LA UNIVERSIDAD DE ALICANTE RELACIONADOS EN LA NÓMINA NÚMERO DE CONTROL 4340.</t>
        </is>
      </c>
      <c r="C8" s="93" t="n">
        <v>-595</v>
      </c>
    </row>
    <row r="9">
      <c r="A9" s="41" t="inlineStr">
        <is>
          <t>35.10.2T.00.04</t>
        </is>
      </c>
      <c r="B9" s="41" t="inlineStr">
        <is>
          <t>José Miguel Díaz Rodríguez. MÁSTER EN ARGUMENTACIÓN JURÍDICA</t>
        </is>
      </c>
      <c r="C9" s="94" t="n">
        <v>840</v>
      </c>
    </row>
    <row r="10">
      <c r="A10" s="40" t="inlineStr">
        <is>
          <t>35.10.2T.00.04</t>
        </is>
      </c>
      <c r="B10" s="40" t="inlineStr">
        <is>
          <t>José Miguel Díaz Rodríguez. MÁSTER EN ARGUMENTACIÓN JURÍDICA</t>
        </is>
      </c>
      <c r="C10" s="93" t="n">
        <v>1260</v>
      </c>
    </row>
    <row r="11">
      <c r="A11" s="41" t="inlineStr">
        <is>
          <t>35.10.2T.00.04</t>
        </is>
      </c>
      <c r="B11" s="41" t="inlineStr">
        <is>
          <t>Jorge Rodrigo Arredondo López. MÁSTER EN ARGUMENTACIÓN JURÍDICA</t>
        </is>
      </c>
      <c r="C11" s="94" t="n">
        <v>840</v>
      </c>
    </row>
    <row r="12">
      <c r="A12" s="40" t="inlineStr">
        <is>
          <t>35.10.2T.00.04</t>
        </is>
      </c>
      <c r="B12" s="40" t="inlineStr">
        <is>
          <t xml:space="preserve">Plan_9192 Curso_2022-23 Emitido_2022-23 - MÁSTER EN ARGUMENTACIÓN JURÍDICA </t>
        </is>
      </c>
      <c r="C12" s="93" t="n">
        <v>18707.3</v>
      </c>
    </row>
    <row r="13">
      <c r="A13" s="41" t="inlineStr">
        <is>
          <t>35.10.2T.00.04</t>
        </is>
      </c>
      <c r="B13" s="41" t="inlineStr">
        <is>
          <t>DEVOLUCIÓN DE TASAS, INGRESADAS INDEBIDAMENTE, AL ALUMNO DE LA UA RELACIONADO EN LA NÓMINA CON NÚMERO DE CONTROL 4362. RDT INVERSA 2023EXPADM2060</t>
        </is>
      </c>
      <c r="C13" s="94" t="n">
        <v>-1666</v>
      </c>
    </row>
    <row r="14">
      <c r="A14" s="40" t="inlineStr">
        <is>
          <t>35.10.2T.00.04</t>
        </is>
      </c>
      <c r="B14" s="40" t="inlineStr">
        <is>
          <t>Biuludani Altamirano Magaña. MÁSTER EN ARGUMENTACIÓN JURÍDICA</t>
        </is>
      </c>
      <c r="C14" s="93" t="n">
        <v>840</v>
      </c>
    </row>
    <row r="15">
      <c r="A15" s="41" t="inlineStr">
        <is>
          <t>35.10.2T.00.04</t>
        </is>
      </c>
      <c r="B15" s="41" t="inlineStr">
        <is>
          <t xml:space="preserve">Plan_9192 Curso_2022-23 Emitido_2022-23 - MÁSTER EN ARGUMENTACIÓN JURÍDICA </t>
        </is>
      </c>
      <c r="C15" s="94" t="n">
        <v>58807.64</v>
      </c>
    </row>
    <row r="16">
      <c r="A16" s="63" t="inlineStr">
        <is>
          <t>35.10.2T.00.04</t>
        </is>
      </c>
      <c r="B16" s="63" t="inlineStr">
        <is>
          <t xml:space="preserve">LIQ-TitProp_9361-1-2 Curso_2023-24 AñoCont_2023 - MÁSTER DE FORMACIÓN PERMANENTE EN ARGUMENTACIÓN JURÍDICA </t>
        </is>
      </c>
      <c r="C16" s="103" t="n">
        <v>243720.02</v>
      </c>
    </row>
    <row r="17" customFormat="1" s="55">
      <c r="A17" s="54" t="inlineStr">
        <is>
          <t>Total</t>
        </is>
      </c>
      <c r="B17" s="54" t="n"/>
      <c r="C17" s="104">
        <f>SUBTOTAL(109,Tabla5[Imp.cob.aplic.])</f>
        <v/>
      </c>
    </row>
    <row r="18">
      <c r="C18" s="9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topLeftCell="A7" workbookViewId="0">
      <selection activeCell="B26" sqref="B26:C26"/>
    </sheetView>
  </sheetViews>
  <sheetFormatPr baseColWidth="10" defaultRowHeight="14.4"/>
  <cols>
    <col width="15.6640625" customWidth="1" min="1" max="1"/>
    <col width="64.44140625" customWidth="1" min="2" max="2"/>
    <col width="19.6640625" customWidth="1" min="3" max="3"/>
  </cols>
  <sheetData>
    <row r="1">
      <c r="A1" s="59" t="inlineStr">
        <is>
          <t>Org. aplic.</t>
        </is>
      </c>
      <c r="B1" s="59" t="inlineStr">
        <is>
          <t>Descripción justificante</t>
        </is>
      </c>
      <c r="C1" s="59" t="inlineStr">
        <is>
          <t>Imp. aplic.</t>
        </is>
      </c>
    </row>
    <row r="2">
      <c r="A2" s="57" t="inlineStr">
        <is>
          <t>35.10.2T.00.04</t>
        </is>
      </c>
      <c r="B2" s="57" t="inlineStr">
        <is>
          <t>Luis Wilfredo Robles Trejo. MÁSTER DE FORMACIÓN PERMANENTE EN ARGUMENTACIÓN JURÍDICA</t>
        </is>
      </c>
      <c r="C2" s="93" t="n">
        <v>4236.97</v>
      </c>
    </row>
    <row r="3">
      <c r="A3" s="58" t="inlineStr">
        <is>
          <t>35.10.2T.00.04</t>
        </is>
      </c>
      <c r="B3" s="58" t="inlineStr">
        <is>
          <t xml:space="preserve">LIQ-TitProp_9361-3 Curso_2023-24 AñoCont_2023 - MÁSTER DE FORMACIÓN PERMANENTE EN ARGUMENTACIÓN JURÍDICA </t>
        </is>
      </c>
      <c r="C3" s="94" t="n">
        <v>714</v>
      </c>
    </row>
    <row r="4">
      <c r="A4" s="57" t="inlineStr">
        <is>
          <t>35.10.2T.00.04</t>
        </is>
      </c>
      <c r="B4" s="57" t="inlineStr">
        <is>
          <t xml:space="preserve">LIQ-TitProp_9361-3 Curso_2023-24 AñoCont_2023 - MÁSTER DE FORMACIÓN PERMANENTE EN ARGUMENTACIÓN JURÍDICA </t>
        </is>
      </c>
      <c r="C4" s="93" t="n">
        <v>1982.18</v>
      </c>
    </row>
    <row r="5">
      <c r="A5" s="58" t="inlineStr">
        <is>
          <t>35.10.2T.00.04</t>
        </is>
      </c>
      <c r="B5" s="58" t="inlineStr">
        <is>
          <t>LIQ-TitProp_9361-4 Curso_2023-24 AñoCont_2023 - MÁSTER DE FORMACIÓN PERMANENTE EN ARGUMENTACIÓN JURÍDICA</t>
        </is>
      </c>
      <c r="C5" s="94" t="n">
        <v>1468.74</v>
      </c>
    </row>
    <row r="6">
      <c r="A6" s="57" t="inlineStr">
        <is>
          <t>35.10.2T.00.04</t>
        </is>
      </c>
      <c r="B6" s="57" t="inlineStr">
        <is>
          <t>LIQ-TitProp_9361-4 Curso_2023-24 AñoCont_2023 - MÁSTER DE FORMACIÓN PERMANENTE EN ARGUMENTACIÓN JURÍDICA</t>
        </is>
      </c>
      <c r="C6" s="93" t="n">
        <v>2142</v>
      </c>
    </row>
    <row r="7">
      <c r="A7" s="58" t="inlineStr">
        <is>
          <t>35.10.2T.00.04</t>
        </is>
      </c>
      <c r="B7" s="58" t="inlineStr">
        <is>
          <t xml:space="preserve">LIQ-TitProp_9361-5 Curso_2023-24 AñoCont_2023 - MÁSTER DE FORMACIÓN PERMANENTE EN ARGUMENTACIÓN JURÍDICA </t>
        </is>
      </c>
      <c r="C7" s="94" t="n">
        <v>16564.37</v>
      </c>
    </row>
    <row r="8">
      <c r="A8" s="57" t="inlineStr">
        <is>
          <t>35.10.2T.00.04</t>
        </is>
      </c>
      <c r="B8" s="57" t="inlineStr">
        <is>
          <t xml:space="preserve">LIQ-TitProp_9361-5 Curso_2023-24 AñoCont_2023 - MÁSTER DE FORMACIÓN PERMANENTE EN ARGUMENTACIÓN JURÍDICA </t>
        </is>
      </c>
      <c r="C8" s="93" t="n">
        <v>22996.15</v>
      </c>
    </row>
    <row r="9">
      <c r="A9" s="58" t="inlineStr">
        <is>
          <t>35.10.2T.00.04</t>
        </is>
      </c>
      <c r="B9" s="58" t="inlineStr">
        <is>
          <t xml:space="preserve">LIQ-TitProp_9361-6 Curso_2023-24 AñoCont_2023 - MÁSTER DE FORMACIÓN PERMANENTE EN ARGUMENTACIÓN JURÍDICA </t>
        </is>
      </c>
      <c r="C9" s="94" t="n">
        <v>1574.17</v>
      </c>
    </row>
    <row r="10">
      <c r="A10" s="57" t="inlineStr">
        <is>
          <t>35.10.2T.00.04</t>
        </is>
      </c>
      <c r="B10" s="57" t="inlineStr">
        <is>
          <t xml:space="preserve">LIQ-TitProp_9361-6 Curso_2023-24 AñoCont_2023 - MÁSTER DE FORMACIÓN PERMANENTE EN ARGUMENTACIÓN JURÍDICA </t>
        </is>
      </c>
      <c r="C10" s="93" t="n">
        <v>130.9</v>
      </c>
    </row>
    <row r="11">
      <c r="A11" s="58" t="inlineStr">
        <is>
          <t>35.10.2T.00.04</t>
        </is>
      </c>
      <c r="B11" s="58" t="inlineStr">
        <is>
          <t>DEVOLUCIÓN TASAS NÓMINAS REMESA Nº 2024DTR259145/ RDT INVERSA 2024EXPADM1324</t>
        </is>
      </c>
      <c r="C11" s="94" t="n">
        <v>-2975</v>
      </c>
    </row>
    <row r="12">
      <c r="A12" s="57" t="inlineStr">
        <is>
          <t>35.10.2T.00.04</t>
        </is>
      </c>
      <c r="B12" s="57" t="inlineStr">
        <is>
          <t>DEVOLUCIÓN DE TASAS, INGRESADAS INDEBIDAMENTE, A LOS ALUMNOS Y ALUMNAS DE LA UNIVERSIDAD DE ALICANTE RELACIONADOS EN LA NÓMINA CON NÚMERO DE CONTROL 4389. RDT INVERSA 2024EXPADM1482</t>
        </is>
      </c>
      <c r="C12" s="93" t="n">
        <v>-1785</v>
      </c>
    </row>
    <row r="13">
      <c r="A13" s="58" t="inlineStr">
        <is>
          <t>35.10.2T.00.04</t>
        </is>
      </c>
      <c r="B13" s="58" t="inlineStr">
        <is>
          <t>DEVOLUCIÓN DE TASAS, INGRESADAS INDEBIDAMENTE, A LOS ALUMNOS Y ALUMNAS DE LA UNIVERSIDAD DE ALICANTE RELACIONADOS EN LA NÓMINA CON NÚMERO DE CONTROL 4390.</t>
        </is>
      </c>
      <c r="C13" s="94" t="n">
        <v>-2383.36</v>
      </c>
    </row>
    <row r="14">
      <c r="A14" s="57" t="inlineStr">
        <is>
          <t>35.10.2T.00.04</t>
        </is>
      </c>
      <c r="B14" s="57" t="inlineStr">
        <is>
          <t>DEVOLUCIÓN DE TASAS, INGRESADAS INDEBIDAMENTE, AL ALUMNO DE LA UNIVERSIDAD DE ALICANTE RELACIONADO EN LA NÓMINA CON NÚMERO DE CONTROL 4393.</t>
        </is>
      </c>
      <c r="C14" s="93" t="n">
        <v>-1666</v>
      </c>
    </row>
    <row r="15">
      <c r="A15" s="58" t="inlineStr">
        <is>
          <t>35.10.2T.00.04</t>
        </is>
      </c>
      <c r="B15" s="58" t="inlineStr">
        <is>
          <t xml:space="preserve">AD_Plan 9192 curso 2021-22, MÁSTER EN ARGUMENTACIÓN JURÍDICA </t>
        </is>
      </c>
      <c r="C15" s="94" t="n">
        <v>-89256.38</v>
      </c>
    </row>
    <row r="16">
      <c r="A16" s="57" t="inlineStr">
        <is>
          <t>35.10.2T.00.04</t>
        </is>
      </c>
      <c r="B16" s="57" t="inlineStr">
        <is>
          <t xml:space="preserve">AD_Plan 9192 curso 2021-22, MÁSTER EN ARGUMENTACIÓN JURÍDICA - 35.10.2T.00.04 </t>
        </is>
      </c>
      <c r="C16" s="93" t="n">
        <v>-50405.46</v>
      </c>
    </row>
    <row r="17">
      <c r="A17" s="58" t="inlineStr">
        <is>
          <t>35.10.2T.00.04</t>
        </is>
      </c>
      <c r="B17" s="58" t="inlineStr">
        <is>
          <t xml:space="preserve">LIQ-TitProp_9361-1 Curso_2024-25 AñoCont_2024 - MÁSTER DE FORMACIÓN PERMANENTE EN ARGUMENTACIÓN JURÍDICA </t>
        </is>
      </c>
      <c r="C17" s="94" t="n">
        <v>129537.14</v>
      </c>
    </row>
    <row r="18">
      <c r="A18" s="57" t="inlineStr">
        <is>
          <t>35.10.2T.00.04</t>
        </is>
      </c>
      <c r="B18" s="57" t="inlineStr">
        <is>
          <t xml:space="preserve">Liq.PPub_311,00__ADRmsa_2024__EFP Enseñanzas Formación Permanente - Master, Especialista y Experto. LIQ-TitProp_9361- Curso_2024-25 AñoCont_2024 - MÁSTER DE FORMACIÓN PERMANENTE EN ARGUMENTACIÓN JURÍDICA </t>
        </is>
      </c>
      <c r="C18" s="93" t="n">
        <v>99537.86</v>
      </c>
    </row>
    <row r="19">
      <c r="A19" s="58" t="inlineStr">
        <is>
          <t>35.10.2T.00.04</t>
        </is>
      </c>
      <c r="B19" s="58" t="inlineStr">
        <is>
          <t xml:space="preserve">AD_Liq.PPub_311,00__ADRmsa_2024__EFP Enseñanzas Formación Permanente - Master, Especialista y Experto. LIQ-TitProp_9361- Curso_2024-25 AñoCont_2024 - MÁSTER DE FORMACIÓN PERMANENTE EN ARGUMENTACIÓN JURÍDICA </t>
        </is>
      </c>
      <c r="C19" s="94" t="n">
        <v>-99537.86</v>
      </c>
    </row>
    <row r="20">
      <c r="A20" s="57" t="inlineStr">
        <is>
          <t>35.10.2T.00.04</t>
        </is>
      </c>
      <c r="B20" s="57" t="inlineStr">
        <is>
          <t xml:space="preserve">LIQ-EP_Plan_9361-N Curso_2023-24_AñoCont_2024 TipoRec_Emitido - MÁSTER DE FORMACIÓN PERMANENTE EN ARGUMENTACIÓN JURÍDICA _ (Cierre-24) </t>
        </is>
      </c>
      <c r="C20" s="93" t="n">
        <v>209.1</v>
      </c>
    </row>
    <row r="21">
      <c r="A21" s="58" t="inlineStr">
        <is>
          <t>35.10.2T.00.04</t>
        </is>
      </c>
      <c r="B21" s="58" t="inlineStr">
        <is>
          <t xml:space="preserve">LIQ-EP_Plan_9361-N Curso_2024-25_AñoCont_2024 TipoRec_Emitido - MÁSTER DE FORMACIÓN PERMANENTE EN ARGUMENTACIÓN JURÍDICA _ (Cierre-24) </t>
        </is>
      </c>
      <c r="C21" s="94" t="n">
        <v>314.69</v>
      </c>
    </row>
    <row r="22">
      <c r="A22" s="65" t="inlineStr">
        <is>
          <t>35.10.2T.00.05</t>
        </is>
      </c>
      <c r="B22" s="65" t="inlineStr">
        <is>
          <t xml:space="preserve">LIQ-TitProp_GK79-1 Curso_2023-24 AñoCont_2024 - CREACIÓN Y EXPLOTACIÓN DE INTANGIBLES EN LA SOCIEDAD DIGITAL </t>
        </is>
      </c>
      <c r="C22" s="103" t="n">
        <v>504</v>
      </c>
    </row>
    <row r="23">
      <c r="A23" s="65" t="inlineStr">
        <is>
          <t>Total</t>
        </is>
      </c>
      <c r="B23" s="65" t="n"/>
      <c r="C23" s="105">
        <f>SUBTOTAL(109,Tabla6[Imp.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tabSelected="1" topLeftCell="A7" workbookViewId="0">
      <selection activeCell="E33" sqref="E33"/>
    </sheetView>
  </sheetViews>
  <sheetFormatPr baseColWidth="10" defaultRowHeight="14.4"/>
  <cols>
    <col width="17.21875" customWidth="1" min="1" max="1"/>
    <col width="55.33203125" customWidth="1" min="2" max="2"/>
    <col width="18.109375" customWidth="1" min="3" max="3"/>
  </cols>
  <sheetData>
    <row r="1">
      <c r="A1" s="86" t="inlineStr">
        <is>
          <t>Org. aplic.</t>
        </is>
      </c>
      <c r="B1" s="86" t="inlineStr">
        <is>
          <t>Descripción justificante</t>
        </is>
      </c>
      <c r="C1" s="106" t="inlineStr">
        <is>
          <t>Imp. aplic.</t>
        </is>
      </c>
    </row>
    <row r="2">
      <c r="A2" s="79" t="inlineStr">
        <is>
          <t>35.10.2T.00.07</t>
        </is>
      </c>
      <c r="B2" s="79" t="inlineStr">
        <is>
          <t>DEVOLUCIÓN DE PRECIOS PÚBLICOS CORRESPONDIENTES A LA REMESA Nº 2025DTR054784_RDT INVERSA  2025EXPADM0337</t>
        </is>
      </c>
      <c r="C2" s="107" t="n">
        <v>-94.5</v>
      </c>
    </row>
    <row r="3">
      <c r="A3" s="81" t="inlineStr">
        <is>
          <t>35.10.2T.00.06</t>
        </is>
      </c>
      <c r="B3" s="81" t="inlineStr">
        <is>
          <t>CÓD: GK81. Microcredencial: Mediación Internacional e Intercultural de Carácter Civil y Mercantil</t>
        </is>
      </c>
      <c r="C3" s="108" t="n">
        <v>3811.5</v>
      </c>
    </row>
    <row r="4">
      <c r="A4" s="79" t="inlineStr">
        <is>
          <t>35.10.2T.00.07</t>
        </is>
      </c>
      <c r="B4" s="79" t="inlineStr">
        <is>
          <t>DEVOLUCIÓN DE PRECIOS PÚBLICOS INCLUIDOS EN LA REMESA DE DEVOLUCIÓN  Nº 2025DTR080718</t>
        </is>
      </c>
      <c r="C4" s="107" t="n">
        <v>-94.5</v>
      </c>
    </row>
    <row r="5">
      <c r="A5" s="81" t="inlineStr">
        <is>
          <t>35.10.2T.00.02</t>
        </is>
      </c>
      <c r="B5" s="81" t="inlineStr">
        <is>
          <t xml:space="preserve">LIQ-TitProp_GK81-N Curso_2024-25 AñoCont_2025 - MEDIACION INTERNACIONAL E INTERCULTURAL DE CARACTER CIVIL Y MERCANTIL (PARTE DEL 24) </t>
        </is>
      </c>
      <c r="C5" s="108" t="n">
        <v>1638</v>
      </c>
    </row>
    <row r="6">
      <c r="A6" s="79" t="inlineStr">
        <is>
          <t>35.10.2T.00.02</t>
        </is>
      </c>
      <c r="B6" s="79" t="inlineStr">
        <is>
          <t xml:space="preserve">LIQ-TitProp_GK81-N Curso_2024-25 AñoCont_2025 - MEDIACION INTERNACIONAL E INTERCULTURAL DE CARACTER CIVIL Y MERCANTIL (PARTE 25) </t>
        </is>
      </c>
      <c r="C6" s="107" t="n">
        <v>1480.5</v>
      </c>
    </row>
    <row r="7">
      <c r="A7" s="81" t="inlineStr">
        <is>
          <t>35.10.2T.00.04</t>
        </is>
      </c>
      <c r="B7" s="81" t="inlineStr">
        <is>
          <t>LIQ-TitProp_9361-2 Curso_2024-25 AñoCont_2025 - MÁSTER DE FORMACIÓN PERMANENTE EN ARGUMENTACIÓN JURÍDICA (PARTE DE 443 DEL AD-24-6793)</t>
        </is>
      </c>
      <c r="C7" s="108" t="n">
        <v>57953.6</v>
      </c>
    </row>
    <row r="8">
      <c r="A8" s="79" t="inlineStr">
        <is>
          <t>35.10.2T.00.04</t>
        </is>
      </c>
      <c r="B8" s="79" t="inlineStr">
        <is>
          <t>LIQ-TitProp_9361-2 Curso_2024-25 AñoCont_2025 - MÁSTER DE FORMACIÓN PERMANENTE EN ARGUMENTACIÓN JURÍDICA (PARTE 25)</t>
        </is>
      </c>
      <c r="C8" s="107" t="n">
        <v>2601</v>
      </c>
    </row>
    <row r="9">
      <c r="A9" s="81" t="inlineStr">
        <is>
          <t>35.10.2T.00.04</t>
        </is>
      </c>
      <c r="B9" s="81" t="inlineStr">
        <is>
          <t xml:space="preserve">LIQ-TitProp_9361-3 Curso_2024-25 AñoCont_2025 - MÁSTER DE FORMACIÓN PERMANENTE EN ARGUMENTACIÓN JURÍDICA (PARTE AD-2024-6793 443) </t>
        </is>
      </c>
      <c r="C9" s="108" t="n">
        <v>31109.97</v>
      </c>
    </row>
    <row r="10">
      <c r="A10" s="79" t="inlineStr">
        <is>
          <t>35.10.2T.00.04</t>
        </is>
      </c>
      <c r="B10" s="79" t="inlineStr">
        <is>
          <t xml:space="preserve">LIQ-TitProp_9361-N Curso_2024-25 AñoCont_2025 - MÁSTER DE FORMACIÓN PERMANENTE EN ARGUMENTACIÓN JURÍDICA (PARTE 25/25) </t>
        </is>
      </c>
      <c r="C10" s="107" t="n">
        <v>5703.47</v>
      </c>
    </row>
    <row r="11">
      <c r="A11" s="81" t="inlineStr">
        <is>
          <t>35.10.2T.00.04</t>
        </is>
      </c>
      <c r="B11" s="81" t="inlineStr">
        <is>
          <t>VICTORIA EUGENIA PEÑA ALARCÓN, MÁSTER DE FORMACIÓN PERMANENTE EN ARGUMENTACIÓN JURÍDICA (9361), RECIBOS 2024739236723, 2024739236831, 2024749035018</t>
        </is>
      </c>
      <c r="C11" s="108" t="n">
        <v>4236.97</v>
      </c>
    </row>
    <row r="12">
      <c r="A12" s="79" t="inlineStr">
        <is>
          <t>35.10.2T.00.04</t>
        </is>
      </c>
      <c r="B12" s="79" t="inlineStr">
        <is>
          <t xml:space="preserve">LIQ-TitProp_9361-4 Curso_2024-25 AñoCont_2025 - MÁSTER DE FORMACIÓN PERMANENTE EN ARGUMENTACIÓN JURÍDICA (parte 24 ad24-6793)  </t>
        </is>
      </c>
      <c r="C12" s="107" t="n">
        <v>1585.25</v>
      </c>
    </row>
    <row r="13">
      <c r="A13" s="81" t="inlineStr">
        <is>
          <t>35.10.2T.00.04</t>
        </is>
      </c>
      <c r="B13" s="81" t="inlineStr">
        <is>
          <t xml:space="preserve">LIQ-TitProp_9361-4 Curso_2024-25 AñoCont_2025 - MÁSTER DE FORMACIÓN PERMANENTE EN ARGUMENTACIÓN JURÍDICA (PARTE 25) </t>
        </is>
      </c>
      <c r="C13" s="108" t="n">
        <v>21.25</v>
      </c>
    </row>
    <row r="14">
      <c r="A14" s="79" t="inlineStr">
        <is>
          <t>35.10.2T.00.04</t>
        </is>
      </c>
      <c r="B14" s="79" t="inlineStr">
        <is>
          <t>DEVOLUCIÓN DE PRECIOS PÚBLICOS, INGRESADOS INDEBIDAMENTE, A LOS ALUMNOS Y ALUMNAS DE LA UNIVERSIDAD DE ALICANTE RELACIONADOS EN LA NÓMINA CON NÚMERO DE CONTROL 4486.</t>
        </is>
      </c>
      <c r="C14" s="107" t="n">
        <v>-1602.25</v>
      </c>
    </row>
    <row r="15">
      <c r="A15" s="81" t="inlineStr">
        <is>
          <t>35.10.2T.00.04</t>
        </is>
      </c>
      <c r="B15" s="81" t="inlineStr">
        <is>
          <t>DEVOLUCIÓN DE PRECIOS PÚBLICOS EN NÓMINA CON NÚMERO 4491_RDT INVERSA EN 2025EXPADM2048.</t>
        </is>
      </c>
      <c r="C15" s="108" t="n">
        <v>-1636.51</v>
      </c>
    </row>
    <row r="16">
      <c r="A16" s="79" t="inlineStr">
        <is>
          <t>35.10.2T.00.04</t>
        </is>
      </c>
      <c r="B16" s="79" t="inlineStr">
        <is>
          <t>DEVOLUCIÓN DE PRECIOS PÚBLICOS EN NÓMINA CON NÚMERO 4492_RDT INVERSA EN 2025EXPADM2048.</t>
        </is>
      </c>
      <c r="C16" s="107" t="n">
        <v>-1576.75</v>
      </c>
    </row>
    <row r="17">
      <c r="A17" s="81" t="inlineStr">
        <is>
          <t>35.10.2T.00.04</t>
        </is>
      </c>
      <c r="B17" s="81" t="inlineStr">
        <is>
          <t xml:space="preserve">LIQ-TitProp_9361-1 Curso_2025-26 AñoCont_2025 - MÁSTER DE FORMACIÓN PERMANENTE EN ARGUMENTACIÓN JURÍDICA </t>
        </is>
      </c>
      <c r="C17" s="108" t="n">
        <v>78309.60000000001</v>
      </c>
    </row>
    <row r="18">
      <c r="A18" s="79" t="inlineStr">
        <is>
          <t>35.10.2T.00.04</t>
        </is>
      </c>
      <c r="B18" s="79" t="inlineStr">
        <is>
          <t>AD_Plan 9192 curso 2021-22, MÁSTER EN ARGUMENTACIÓN JURÍDICA. Complementario del JI 2021/6244</t>
        </is>
      </c>
      <c r="C18" s="107" t="n">
        <v>-15742.19</v>
      </c>
    </row>
    <row r="19">
      <c r="A19" s="81" t="inlineStr">
        <is>
          <t>35.10.2T.00.04</t>
        </is>
      </c>
      <c r="B19" s="81" t="inlineStr">
        <is>
          <t xml:space="preserve">LIQ-TitProp_9361-N Curso_2025-26 AñoCont_2025 - MÁSTER DE FORMACIÓN PERMANENTE EN ARGUMENTACIÓN JURÍDICA (CIERRE 25 APLAZADO) </t>
        </is>
      </c>
      <c r="C19" s="108" t="n">
        <v>68657.59</v>
      </c>
    </row>
    <row r="20">
      <c r="A20" s="79" t="inlineStr">
        <is>
          <t>35.10.2T.00.04</t>
        </is>
      </c>
      <c r="B20" s="79" t="inlineStr">
        <is>
          <t xml:space="preserve">LIQ-TitProp_9361-N Curso_2025-26 AñoCont_2025 - MÁSTER DE FORMACIÓN PERMANENTE EN ARGUMENTACIÓN JURÍDICA (CIERRE 25 APLAZADO) </t>
        </is>
      </c>
      <c r="C20" s="107" t="n">
        <v>-68657.59</v>
      </c>
    </row>
    <row r="21">
      <c r="A21" s="81" t="inlineStr">
        <is>
          <t>35.10.2T.00.04</t>
        </is>
      </c>
      <c r="B21" s="81" t="inlineStr">
        <is>
          <t xml:space="preserve">LIQ-TitProp_9361-N Curso_2025-26 AñoCont_2025 - MÁSTER DE FORMACIÓN PERMANENTE EN ARGUMENTACIÓN JURÍDICA (CIERRE-25 EMITIDO-25 COBRADO-25) </t>
        </is>
      </c>
      <c r="C21" s="108" t="n">
        <v>2499</v>
      </c>
    </row>
    <row r="22">
      <c r="A22" s="79" t="inlineStr">
        <is>
          <t>35.10.2T.00.04</t>
        </is>
      </c>
      <c r="B22" s="79" t="inlineStr">
        <is>
          <t xml:space="preserve">LIQ-TitProp_9361-N Curso_2025-26 AñoCont_2025 - MÁSTER DE FORMACIÓN PERMANENTE EN ARGUMENTACIÓN JURÍDICA (CIERRE-25 EMITIDO-25 NO-COBRADO) </t>
        </is>
      </c>
      <c r="C22" s="107" t="n">
        <v>10117.19</v>
      </c>
    </row>
    <row r="23">
      <c r="A23" s="81" t="inlineStr">
        <is>
          <t>35.10.2T.00.07</t>
        </is>
      </c>
      <c r="B23" s="81" t="inlineStr">
        <is>
          <t xml:space="preserve">LIQ-TitProp_GK81-N Curso_2025-26 AñoCont_2025 - MEDIACIÓN INTERNACIONAL E INTERCULTURAL DE CARÁCTER CIVIL Y MERCANTIL _ (Cierre-25) (EMITIDO-25 COBRADO-25) </t>
        </is>
      </c>
      <c r="C23" s="108" t="n">
        <v>3483</v>
      </c>
    </row>
    <row r="24">
      <c r="A24" s="79" t="inlineStr">
        <is>
          <t>35.10.2T.00.02</t>
        </is>
      </c>
      <c r="B24" s="79" t="inlineStr">
        <is>
          <t>LIQ-TitProp_GK81-N Curso_2024-25 AñoCont_2025 - MEDIACIÓN INTERNACIONAL E INTERCULTURAL DE CARÁCTER CIVIL Y MERCANTIL _ (Cierre-25)</t>
        </is>
      </c>
      <c r="C24" s="107" t="n">
        <v>189</v>
      </c>
    </row>
    <row r="25">
      <c r="A25" s="81" t="inlineStr">
        <is>
          <t>35.10.2T.00.04</t>
        </is>
      </c>
      <c r="B25" s="81" t="inlineStr">
        <is>
          <t xml:space="preserve">LIQ-TitProp_9361-N Curso_2025-26 AñoCont_2025 - MÁSTER DE FORMACIÓN PERMANENTE EN ARGUMENTACIÓN JURÍDICA (parte de la liquidación 1 emitida y no cobrada) </t>
        </is>
      </c>
      <c r="C25" s="108" t="n">
        <v>650.17</v>
      </c>
    </row>
    <row r="26">
      <c r="A26" s="88" t="inlineStr">
        <is>
          <t>10.91.2T.01.58</t>
        </is>
      </c>
      <c r="B26" s="88" t="inlineStr">
        <is>
          <t xml:space="preserve">LIQ-TitProp_GM81-N Curso_2024-25 AñoCont_2025 - DERECHO Y POLÍTICA MUNDIAL DE LA INNOVACIÓN </t>
        </is>
      </c>
      <c r="C26" s="109" t="n">
        <v>850</v>
      </c>
    </row>
    <row r="27" ht="15" customFormat="1" customHeight="1" s="55" thickBot="1">
      <c r="A27" s="90" t="inlineStr">
        <is>
          <t>Total</t>
        </is>
      </c>
      <c r="B27" s="90" t="n"/>
      <c r="C27" s="110">
        <f>SUBTOTAL(109,Tabla1[Imp. aplic.])</f>
        <v/>
      </c>
    </row>
    <row r="28" ht="15" customHeight="1" thickTop="1">
      <c r="A28" s="83" t="n"/>
      <c r="B28" s="84" t="n"/>
      <c r="C28" s="111" t="n"/>
    </row>
    <row r="30">
      <c r="B30" s="66" t="inlineStr">
        <is>
          <t>Total ingresos formación 2023-25</t>
        </is>
      </c>
      <c r="C30" s="102">
        <f>Tabla1[[#Totals],[Imp. aplic.]]+Tabla5[[#Totals],[Imp.cob.aplic.]]+Tabla6[[#Totals],[Imp. aplic.]]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dfint@ua.es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2026-05-28T21:59:13Z</dcterms:modified>
  <cp:lastModifiedBy>MARIA TERESA PUJALTE DEVIS</cp:lastModifiedBy>
</cp:coreProperties>
</file>