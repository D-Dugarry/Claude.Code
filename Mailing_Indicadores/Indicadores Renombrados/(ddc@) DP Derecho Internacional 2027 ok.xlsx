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780"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_-* #,##0.00_-;\-* #,##0.00_-;_-* &quot;-&quot;??_-;_-@_-"/>
    <numFmt numFmtId="165" formatCode="0.0"/>
    <numFmt numFmtId="166" formatCode="_-* #,##0.00\ _€_-;\-* #,##0.00\ _€_-;_-* &quot;-&quot;??\ _€_-;_-@_-"/>
  </numFmts>
  <fonts count="19">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b val="1"/>
      <color theme="1"/>
      <sz val="10"/>
    </font>
    <font>
      <name val="Calibri"/>
      <family val="2"/>
      <color theme="1"/>
      <sz val="11"/>
      <scheme val="minor"/>
    </font>
    <font>
      <name val="Arial"/>
      <family val="2"/>
      <b val="1"/>
      <color theme="0"/>
      <sz val="10"/>
    </font>
    <font>
      <name val="Arial"/>
      <family val="2"/>
      <color theme="1"/>
      <sz val="10"/>
    </font>
    <font>
      <name val="Calibri"/>
      <family val="2"/>
      <b val="1"/>
      <color theme="0"/>
      <sz val="11"/>
      <scheme val="minor"/>
    </font>
    <font>
      <name val="Calibri"/>
      <family val="2"/>
      <b val="1"/>
      <color theme="1"/>
      <sz val="11"/>
      <scheme val="minor"/>
    </font>
    <font>
      <name val="Arial"/>
      <b val="1"/>
      <color theme="0"/>
      <sz val="10"/>
    </font>
    <font>
      <name val="Arial"/>
      <color theme="1"/>
      <sz val="10"/>
    </font>
    <font>
      <name val="Arial"/>
      <b val="1"/>
      <color theme="1"/>
      <sz val="10"/>
    </font>
  </fonts>
  <fills count="15">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0"/>
        <bgColor theme="4" tint="0.7999816888943144"/>
      </patternFill>
    </fill>
    <fill>
      <patternFill patternType="solid">
        <fgColor theme="4"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6" fontId="11" fillId="0" borderId="0"/>
  </cellStyleXfs>
  <cellXfs count="83">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2" fillId="4" borderId="1" pivotButton="0" quotePrefix="0" xfId="1"/>
    <xf numFmtId="0" fontId="2" fillId="4" borderId="1" applyAlignment="1" pivotButton="0" quotePrefix="0" xfId="1">
      <alignment horizontal="right"/>
    </xf>
    <xf numFmtId="0" fontId="2" fillId="0" borderId="1" pivotButton="0" quotePrefix="0" xfId="1"/>
    <xf numFmtId="0" fontId="2" fillId="4" borderId="2" pivotButton="0" quotePrefix="0" xfId="1"/>
    <xf numFmtId="0" fontId="8" fillId="3" borderId="1" applyAlignment="1" pivotButton="0" quotePrefix="0" xfId="3">
      <alignment horizontal="center" wrapText="1"/>
    </xf>
    <xf numFmtId="164" fontId="0" fillId="7" borderId="3" pivotButton="0" quotePrefix="0" xfId="6"/>
    <xf numFmtId="164" fontId="0" fillId="0" borderId="3" pivotButton="0" quotePrefix="0" xfId="6"/>
    <xf numFmtId="0" fontId="2" fillId="2" borderId="0" pivotButton="0" quotePrefix="0" xfId="1"/>
    <xf numFmtId="0" fontId="2" fillId="2" borderId="0" applyAlignment="1" pivotButton="0" quotePrefix="0" xfId="1">
      <alignment horizontal="right"/>
    </xf>
    <xf numFmtId="165" fontId="3" fillId="2" borderId="0" pivotButton="0" quotePrefix="0" xfId="1"/>
    <xf numFmtId="0" fontId="13" fillId="7" borderId="3" pivotButton="0" quotePrefix="0" xfId="0"/>
    <xf numFmtId="0" fontId="13" fillId="0" borderId="3" pivotButton="0" quotePrefix="0" xfId="0"/>
    <xf numFmtId="164" fontId="0" fillId="0" borderId="0" pivotButton="0" quotePrefix="0" xfId="0"/>
    <xf numFmtId="0" fontId="9" fillId="8" borderId="0" pivotButton="0" quotePrefix="0" xfId="5"/>
    <xf numFmtId="0" fontId="9" fillId="8" borderId="0" applyAlignment="1" pivotButton="0" quotePrefix="0" xfId="5">
      <alignment horizontal="right"/>
    </xf>
    <xf numFmtId="0" fontId="10" fillId="8" borderId="0" pivotButton="0" quotePrefix="0" xfId="5"/>
    <xf numFmtId="0" fontId="9" fillId="0" borderId="1" pivotButton="0" quotePrefix="0" xfId="5"/>
    <xf numFmtId="0" fontId="9" fillId="0" borderId="1" applyAlignment="1" pivotButton="0" quotePrefix="0" xfId="5">
      <alignment horizontal="right"/>
    </xf>
    <xf numFmtId="164" fontId="0" fillId="7" borderId="5" pivotButton="0" quotePrefix="0" xfId="6"/>
    <xf numFmtId="0" fontId="0" fillId="0" borderId="5" pivotButton="0" quotePrefix="0" xfId="0"/>
    <xf numFmtId="0" fontId="12" fillId="6" borderId="4" pivotButton="0" quotePrefix="0" xfId="0"/>
    <xf numFmtId="0" fontId="13" fillId="7" borderId="5" pivotButton="0" quotePrefix="0" xfId="0"/>
    <xf numFmtId="0" fontId="9" fillId="9" borderId="5" pivotButton="0" quotePrefix="0" xfId="0"/>
    <xf numFmtId="164" fontId="11" fillId="9" borderId="5" pivotButton="0" quotePrefix="0" xfId="0"/>
    <xf numFmtId="0" fontId="0" fillId="10" borderId="0" pivotButton="0" quotePrefix="0" xfId="0"/>
    <xf numFmtId="0" fontId="0" fillId="7" borderId="3" pivotButton="0" quotePrefix="0" xfId="0"/>
    <xf numFmtId="0" fontId="0" fillId="0" borderId="3" pivotButton="0" quotePrefix="0" xfId="0"/>
    <xf numFmtId="0" fontId="14" fillId="6" borderId="4" pivotButton="0" quotePrefix="0" xfId="0"/>
    <xf numFmtId="164" fontId="14" fillId="6" borderId="4" pivotButton="0" quotePrefix="0" xfId="6"/>
    <xf numFmtId="0" fontId="0" fillId="7" borderId="5" pivotButton="0" quotePrefix="0" xfId="0"/>
    <xf numFmtId="0" fontId="0" fillId="9" borderId="5" pivotButton="0" quotePrefix="0" xfId="0"/>
    <xf numFmtId="164" fontId="0" fillId="0" borderId="5" pivotButton="0" quotePrefix="0" xfId="0"/>
    <xf numFmtId="0" fontId="16" fillId="11" borderId="6" pivotButton="0" quotePrefix="0" xfId="0"/>
    <xf numFmtId="0" fontId="16" fillId="11" borderId="7" pivotButton="0" quotePrefix="0" xfId="0"/>
    <xf numFmtId="0" fontId="17" fillId="12" borderId="6" pivotButton="0" quotePrefix="0" xfId="0"/>
    <xf numFmtId="0" fontId="17" fillId="12" borderId="7" pivotButton="0" quotePrefix="0" xfId="0"/>
    <xf numFmtId="166" fontId="17" fillId="12" borderId="7" pivotButton="0" quotePrefix="0" xfId="6"/>
    <xf numFmtId="0" fontId="17" fillId="0" borderId="6" pivotButton="0" quotePrefix="0" xfId="0"/>
    <xf numFmtId="0" fontId="17" fillId="0" borderId="7" pivotButton="0" quotePrefix="0" xfId="0"/>
    <xf numFmtId="166" fontId="17" fillId="0" borderId="7" pivotButton="0" quotePrefix="0" xfId="6"/>
    <xf numFmtId="0" fontId="18" fillId="0" borderId="8" pivotButton="0" quotePrefix="0" xfId="0"/>
    <xf numFmtId="0" fontId="18" fillId="0" borderId="9" pivotButton="0" quotePrefix="0" xfId="0"/>
    <xf numFmtId="166" fontId="18" fillId="0" borderId="9" pivotButton="0" quotePrefix="0" xfId="6"/>
    <xf numFmtId="0" fontId="15" fillId="0" borderId="1" pivotButton="0" quotePrefix="0" xfId="0"/>
    <xf numFmtId="166" fontId="15" fillId="0" borderId="1" pivotButton="0" quotePrefix="0" xfId="0"/>
    <xf numFmtId="166" fontId="16" fillId="11" borderId="7" pivotButton="0" quotePrefix="0" xfId="6"/>
    <xf numFmtId="166" fontId="18" fillId="0" borderId="9" pivotButton="0" quotePrefix="0" xfId="0"/>
    <xf numFmtId="0" fontId="17" fillId="13" borderId="6" pivotButton="0" quotePrefix="0" xfId="0"/>
    <xf numFmtId="0" fontId="17" fillId="13" borderId="7" pivotButton="0" quotePrefix="0" xfId="0"/>
    <xf numFmtId="166" fontId="17" fillId="13" borderId="7" pivotButton="0" quotePrefix="0" xfId="6"/>
    <xf numFmtId="0" fontId="17" fillId="14" borderId="6" pivotButton="0" quotePrefix="0" xfId="0"/>
    <xf numFmtId="0" fontId="17" fillId="14" borderId="7" pivotButton="0" quotePrefix="0" xfId="0"/>
    <xf numFmtId="166" fontId="17" fillId="14" borderId="7" pivotButton="0" quotePrefix="0" xfId="6"/>
    <xf numFmtId="164" fontId="0" fillId="7" borderId="3" pivotButton="0" quotePrefix="0" xfId="6"/>
    <xf numFmtId="164" fontId="0" fillId="0" borderId="3" pivotButton="0" quotePrefix="0" xfId="6"/>
    <xf numFmtId="164" fontId="0" fillId="7" borderId="5" pivotButton="0" quotePrefix="0" xfId="6"/>
    <xf numFmtId="164" fontId="11" fillId="9" borderId="5" pivotButton="0" quotePrefix="0" xfId="0"/>
    <xf numFmtId="164" fontId="0" fillId="0" borderId="0" pivotButton="0" quotePrefix="0" xfId="0"/>
    <xf numFmtId="164" fontId="14" fillId="6" borderId="4" pivotButton="0" quotePrefix="0" xfId="6"/>
    <xf numFmtId="166" fontId="17" fillId="12" borderId="7" pivotButton="0" quotePrefix="0" xfId="6"/>
    <xf numFmtId="166" fontId="17" fillId="0" borderId="7" pivotButton="0" quotePrefix="0" xfId="6"/>
    <xf numFmtId="166" fontId="18" fillId="0" borderId="9" pivotButton="0" quotePrefix="0" xfId="6"/>
    <xf numFmtId="166" fontId="15" fillId="0" borderId="1" pivotButton="0" quotePrefix="0" xfId="0"/>
    <xf numFmtId="164" fontId="0" fillId="0" borderId="5" pivotButton="0" quotePrefix="0" xfId="0"/>
    <xf numFmtId="166" fontId="16" fillId="11" borderId="7" pivotButton="0" quotePrefix="0" xfId="6"/>
    <xf numFmtId="166" fontId="17" fillId="13" borderId="7" pivotButton="0" quotePrefix="0" xfId="6"/>
    <xf numFmtId="166" fontId="17" fillId="14" borderId="7" pivotButton="0" quotePrefix="0" xfId="6"/>
    <xf numFmtId="166" fontId="18" fillId="0" borderId="9"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36">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ill>
        <patternFill patternType="solid">
          <fgColor theme="9" tint="0.7999816888943144"/>
          <bgColor theme="0"/>
        </patternFill>
      </fill>
    </dxf>
    <dxf>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0"/>
        </patternFill>
      </fill>
      <border outline="0">
        <left/>
        <right/>
        <top style="thin">
          <color theme="9" tint="0.3999755851924192"/>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border outline="0">
        <left/>
        <right/>
        <top style="thin">
          <color theme="9" tint="0.3999755851924192"/>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0"/>
        </patternFill>
      </fill>
      <border outline="0">
        <left/>
        <right/>
        <top style="thin">
          <color theme="9" tint="0.3999755851924192"/>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20" headerRowCount="1" totalsRowCount="1" headerRowDxfId="35" totalsRowDxfId="32" headerRowBorderDxfId="34" tableBorderDxfId="33" totalsRowBorderDxfId="31">
  <autoFilter ref="A1:C19"/>
  <tableColumns count="3">
    <tableColumn id="1" name="Cód. org. aplic." totalsRowLabel="Total" dataDxfId="30" totalsRowDxfId="29"/>
    <tableColumn id="2" name="Descripción justificante" dataDxfId="28" totalsRowDxfId="27"/>
    <tableColumn id="3" name="Imp.cob.aplic." totalsRowFunction="sum" dataDxfId="26" totalsRowDxfId="25" dataCellStyle="Millares"/>
  </tableColumns>
  <tableStyleInfo name="TableStyleLight14" showFirstColumn="0" showLastColumn="0" showRowStripes="1" showColumnStripes="0"/>
</table>
</file>

<file path=xl/tables/table2.xml><?xml version="1.0" encoding="utf-8"?>
<table xmlns="http://schemas.openxmlformats.org/spreadsheetml/2006/main" id="2" name="Tabla3" displayName="Tabla3" ref="A1:C21" headerRowCount="1" totalsRowCount="1" totalsRowDxfId="22" headerRowBorderDxfId="24" tableBorderDxfId="23" totalsRowBorderDxfId="21">
  <autoFilter ref="A1:C20"/>
  <tableColumns count="3">
    <tableColumn id="1" name="Org. aplic." totalsRowLabel="Total" dataDxfId="20" totalsRowDxfId="19"/>
    <tableColumn id="2" name="Descripción justificante" dataDxfId="18" totalsRowDxfId="17"/>
    <tableColumn id="3" name="Imp. aplic." totalsRowFunction="sum" dataDxfId="16" totalsRowDxfId="15"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6" displayName="Tabla6" ref="A1:C5" headerRowCount="1" totalsRowCount="1" headerRowDxfId="14" headerRowBorderDxfId="13" tableBorderDxfId="12" totalsRowBorderDxfId="11">
  <autoFilter ref="A1:C4"/>
  <tableColumns count="3">
    <tableColumn id="1" name="Cód. org. aplic." totalsRowLabel="Total"/>
    <tableColumn id="2" name="Descripción justificante"/>
    <tableColumn id="3" name="Imp.cob.aplic." totalsRowFunction="sum"/>
  </tableColumns>
  <tableStyleInfo name="TableStyleMedium2" showFirstColumn="0" showLastColumn="0" showRowStripes="1" showColumnStripes="0"/>
</table>
</file>

<file path=xl/tables/table4.xml><?xml version="1.0" encoding="utf-8"?>
<table xmlns="http://schemas.openxmlformats.org/spreadsheetml/2006/main" id="4" name="Tabla4" displayName="Tabla4" ref="A1:C9" headerRowCount="1" totalsRowCount="1" headerRowDxfId="10" totalsRowDxfId="7" headerRowBorderDxfId="9" tableBorderDxfId="8" totalsRowBorderDxfId="6">
  <autoFilter ref="A1:C8"/>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U10"/>
  <sheetViews>
    <sheetView showGridLines="0" zoomScale="120" zoomScaleNormal="120" workbookViewId="0">
      <pane xSplit="1" ySplit="1" topLeftCell="I2" activePane="bottomRight" state="frozen"/>
      <selection pane="topRight" activeCell="B1" sqref="B1"/>
      <selection pane="bottomLeft" activeCell="A2" sqref="A2"/>
      <selection pane="bottomRight" activeCell="N22" sqref="N22"/>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37.33203125" customWidth="1" style="6" min="10" max="10"/>
    <col width="5.109375" customWidth="1" style="6" min="11" max="12"/>
    <col width="4.44140625" customWidth="1" style="6" min="13" max="13"/>
    <col width="4.88671875" customWidth="1" style="6" min="14" max="14"/>
    <col width="4.88671875" customWidth="1" style="7" min="15" max="15"/>
    <col width="4.88671875" customWidth="1" style="6" min="16" max="16"/>
    <col width="3.5546875" customWidth="1" style="7" min="17" max="17"/>
    <col width="3.5546875" customWidth="1" style="6" min="18" max="18"/>
    <col width="5.109375" customWidth="1" style="6" min="19"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5" t="inlineStr">
        <is>
          <t xml:space="preserve">U025 </t>
        </is>
      </c>
      <c r="B2" s="15" t="inlineStr">
        <is>
          <t xml:space="preserve">ADM. FACULTAD DE DERECHO </t>
        </is>
      </c>
      <c r="C2" s="15" t="inlineStr">
        <is>
          <t xml:space="preserve">DOCTORADO EN DERECHO </t>
        </is>
      </c>
      <c r="D2" s="15" t="inlineStr">
        <is>
          <t xml:space="preserve">Gutiérrez Pérez, Elena </t>
        </is>
      </c>
      <c r="E2" s="15" t="inlineStr">
        <is>
          <t xml:space="preserve">ALZAMIENTO DE BIENES E INSOLVENCIAS PUNIBLES. BASES PARA UNA TEORÍA GENERAL </t>
        </is>
      </c>
      <c r="F2" s="15" t="inlineStr">
        <is>
          <t xml:space="preserve">27/11/2020 </t>
        </is>
      </c>
      <c r="G2" s="15" t="inlineStr">
        <is>
          <t xml:space="preserve">15965074S </t>
        </is>
      </c>
      <c r="H2" s="15" t="inlineStr">
        <is>
          <t xml:space="preserve">Codirector de tesis </t>
        </is>
      </c>
      <c r="I2" s="15" t="inlineStr">
        <is>
          <t xml:space="preserve">B108 </t>
        </is>
      </c>
      <c r="J2" s="15" t="inlineStr">
        <is>
          <t xml:space="preserve">DCHO. INTERNACIONAL PÚBLICO Y DCHO. PENAL </t>
        </is>
      </c>
      <c r="K2" s="17" t="n">
        <v>0.5</v>
      </c>
      <c r="L2" s="17" t="inlineStr">
        <is>
          <t>B108</t>
        </is>
      </c>
      <c r="M2" s="18" t="n">
        <v>2019</v>
      </c>
      <c r="N2" s="15" t="inlineStr"/>
      <c r="O2" s="16" t="inlineStr"/>
      <c r="P2" s="15" t="inlineStr"/>
      <c r="Q2" s="16" t="inlineStr"/>
      <c r="R2" s="15" t="n">
        <v>100</v>
      </c>
      <c r="S2" s="15" t="n">
        <v>0.5</v>
      </c>
      <c r="T2" s="15" t="n">
        <v>0</v>
      </c>
      <c r="U2" s="15" t="n">
        <v>0</v>
      </c>
    </row>
    <row r="3">
      <c r="A3" s="15" t="inlineStr">
        <is>
          <t xml:space="preserve">U025 </t>
        </is>
      </c>
      <c r="B3" s="15" t="inlineStr">
        <is>
          <t xml:space="preserve">ADM. FACULTAD DE DERECHO </t>
        </is>
      </c>
      <c r="C3" s="15" t="inlineStr">
        <is>
          <t xml:space="preserve">DOCTORADO EN DERECHO </t>
        </is>
      </c>
      <c r="D3" s="15" t="inlineStr">
        <is>
          <t xml:space="preserve">Gutiérrez Pérez, Elena </t>
        </is>
      </c>
      <c r="E3" s="15" t="inlineStr">
        <is>
          <t xml:space="preserve">ALZAMIENTO DE BIENES E INSOLVENCIAS PUNIBLES. BASES PARA UNA TEORÍA GENERAL </t>
        </is>
      </c>
      <c r="F3" s="15" t="inlineStr">
        <is>
          <t xml:space="preserve">27/11/2020 </t>
        </is>
      </c>
      <c r="G3" s="15" t="inlineStr">
        <is>
          <t xml:space="preserve">48356031A </t>
        </is>
      </c>
      <c r="H3" s="15" t="inlineStr">
        <is>
          <t xml:space="preserve">Codirector de tesis </t>
        </is>
      </c>
      <c r="I3" s="15" t="inlineStr">
        <is>
          <t xml:space="preserve">B108 </t>
        </is>
      </c>
      <c r="J3" s="15" t="inlineStr">
        <is>
          <t xml:space="preserve">DCHO. INTERNACIONAL PÚBLICO Y DCHO. PENAL </t>
        </is>
      </c>
      <c r="K3" s="17" t="n">
        <v>0.5</v>
      </c>
      <c r="L3" s="17" t="inlineStr">
        <is>
          <t>B108</t>
        </is>
      </c>
      <c r="M3" s="18" t="n">
        <v>2019</v>
      </c>
      <c r="N3" s="15" t="inlineStr"/>
      <c r="O3" s="16" t="inlineStr"/>
      <c r="P3" s="15" t="inlineStr"/>
      <c r="Q3" s="16" t="inlineStr"/>
      <c r="R3" s="15" t="n">
        <v>100</v>
      </c>
      <c r="S3" s="15" t="n">
        <v>0.5</v>
      </c>
      <c r="T3" s="15" t="n">
        <v>0</v>
      </c>
      <c r="U3" s="15" t="n">
        <v>0</v>
      </c>
    </row>
    <row r="4">
      <c r="A4" s="15" t="inlineStr">
        <is>
          <t xml:space="preserve">U025 </t>
        </is>
      </c>
      <c r="B4" s="15" t="inlineStr">
        <is>
          <t xml:space="preserve">ADM. FACULTAD DE DERECHO </t>
        </is>
      </c>
      <c r="C4" s="15" t="inlineStr">
        <is>
          <t xml:space="preserve">DOCTORADO EN DERECHO </t>
        </is>
      </c>
      <c r="D4" s="15" t="inlineStr">
        <is>
          <t xml:space="preserve">Bonsignore Fouquet, Dyango </t>
        </is>
      </c>
      <c r="E4" s="15" t="inlineStr">
        <is>
          <t xml:space="preserve">La construcción del sujeto peligroso. Historia, función y formas de la peligrosidad criminal </t>
        </is>
      </c>
      <c r="F4" s="15" t="inlineStr">
        <is>
          <t xml:space="preserve">22/10/2021 </t>
        </is>
      </c>
      <c r="G4" s="15" t="inlineStr">
        <is>
          <t xml:space="preserve">15965074S </t>
        </is>
      </c>
      <c r="H4" s="15" t="inlineStr">
        <is>
          <t xml:space="preserve">Codirector de tesis </t>
        </is>
      </c>
      <c r="I4" s="15" t="inlineStr">
        <is>
          <t xml:space="preserve">B108 </t>
        </is>
      </c>
      <c r="J4" s="15" t="inlineStr">
        <is>
          <t xml:space="preserve">DCHO. INTERNACIONAL PÚBLICO Y DCHO. PENAL </t>
        </is>
      </c>
      <c r="K4" s="17" t="n">
        <v>0.5</v>
      </c>
      <c r="L4" s="17" t="inlineStr">
        <is>
          <t>B108</t>
        </is>
      </c>
      <c r="M4" s="15" t="n">
        <v>2021</v>
      </c>
      <c r="N4" s="15" t="inlineStr"/>
      <c r="O4" s="16" t="inlineStr"/>
      <c r="P4" s="15" t="inlineStr"/>
      <c r="Q4" s="16" t="inlineStr"/>
      <c r="R4" s="15" t="n">
        <v>100</v>
      </c>
      <c r="S4" s="15" t="n">
        <v>0.5</v>
      </c>
      <c r="T4" s="15" t="n">
        <v>0</v>
      </c>
      <c r="U4" s="15" t="n">
        <v>0</v>
      </c>
    </row>
    <row r="5">
      <c r="A5" s="15" t="inlineStr">
        <is>
          <t xml:space="preserve">U025 </t>
        </is>
      </c>
      <c r="B5" s="15" t="inlineStr">
        <is>
          <t xml:space="preserve">ADM. FACULTAD DE DERECHO </t>
        </is>
      </c>
      <c r="C5" s="15" t="inlineStr">
        <is>
          <t xml:space="preserve">DOCTORADO EN DERECHO </t>
        </is>
      </c>
      <c r="D5" s="15" t="inlineStr">
        <is>
          <t xml:space="preserve">Bonsignore Fouquet, Dyango </t>
        </is>
      </c>
      <c r="E5" s="15" t="inlineStr">
        <is>
          <t xml:space="preserve">La construcción del sujeto peligroso. Historia, función y formas de la peligrosidad criminal </t>
        </is>
      </c>
      <c r="F5" s="15" t="inlineStr">
        <is>
          <t xml:space="preserve">22/10/2021 </t>
        </is>
      </c>
      <c r="G5" s="15" t="inlineStr">
        <is>
          <t xml:space="preserve">33238927V </t>
        </is>
      </c>
      <c r="H5" s="15" t="inlineStr">
        <is>
          <t xml:space="preserve">Codirector de tesis </t>
        </is>
      </c>
      <c r="I5" s="15" t="inlineStr">
        <is>
          <t xml:space="preserve">B108 </t>
        </is>
      </c>
      <c r="J5" s="15" t="inlineStr">
        <is>
          <t xml:space="preserve">DCHO. INTERNACIONAL PÚBLICO Y DCHO. PENAL </t>
        </is>
      </c>
      <c r="K5" s="17" t="n">
        <v>0.5</v>
      </c>
      <c r="L5" s="17" t="inlineStr">
        <is>
          <t>B108</t>
        </is>
      </c>
      <c r="M5" s="15" t="n">
        <v>2021</v>
      </c>
      <c r="N5" s="15" t="inlineStr"/>
      <c r="O5" s="16" t="inlineStr"/>
      <c r="P5" s="15" t="inlineStr"/>
      <c r="Q5" s="16" t="inlineStr"/>
      <c r="R5" s="15" t="n">
        <v>100</v>
      </c>
      <c r="S5" s="15" t="n">
        <v>0.5</v>
      </c>
      <c r="T5" s="15" t="n">
        <v>0</v>
      </c>
      <c r="U5" s="15" t="n">
        <v>0</v>
      </c>
    </row>
    <row r="6">
      <c r="A6" s="15" t="inlineStr">
        <is>
          <t xml:space="preserve">U025 </t>
        </is>
      </c>
      <c r="B6" s="15" t="inlineStr">
        <is>
          <t xml:space="preserve">ADM. FACULTAD DE DERECHO </t>
        </is>
      </c>
      <c r="C6" s="15" t="inlineStr">
        <is>
          <t xml:space="preserve">DOCTORADO EN DERECHO </t>
        </is>
      </c>
      <c r="D6" s="15" t="inlineStr">
        <is>
          <t xml:space="preserve">Muñiz Álvarez, Ana </t>
        </is>
      </c>
      <c r="E6" s="15" t="inlineStr">
        <is>
          <t xml:space="preserve">Desafíos y posibilidades de la regulación del uso recreativo del cannabis en el marco del régimen internacional de fiscalización de estupefacientes y sustancias psicotrópicas </t>
        </is>
      </c>
      <c r="F6" s="15" t="inlineStr">
        <is>
          <t xml:space="preserve">25/03/2022 </t>
        </is>
      </c>
      <c r="G6" s="15" t="inlineStr">
        <is>
          <t xml:space="preserve">15998346Y </t>
        </is>
      </c>
      <c r="H6" s="15" t="inlineStr">
        <is>
          <t xml:space="preserve">Director de tesis </t>
        </is>
      </c>
      <c r="I6" s="15" t="inlineStr">
        <is>
          <t xml:space="preserve">B108 </t>
        </is>
      </c>
      <c r="J6" s="15" t="inlineStr">
        <is>
          <t xml:space="preserve">DCHO. INTERNACIONAL PÚBLICO Y DCHO. PENAL </t>
        </is>
      </c>
      <c r="K6" s="17" t="n">
        <v>1</v>
      </c>
      <c r="L6" s="17" t="inlineStr">
        <is>
          <t>B108</t>
        </is>
      </c>
      <c r="M6" s="15" t="n">
        <v>2021</v>
      </c>
      <c r="N6" s="15" t="inlineStr"/>
      <c r="O6" s="16" t="inlineStr"/>
      <c r="P6" s="15" t="inlineStr"/>
      <c r="Q6" s="16" t="inlineStr"/>
      <c r="R6" s="15" t="n">
        <v>100</v>
      </c>
      <c r="S6" s="15" t="n">
        <v>1</v>
      </c>
      <c r="T6" s="15" t="n">
        <v>0</v>
      </c>
      <c r="U6" s="15" t="n">
        <v>0</v>
      </c>
    </row>
    <row r="7">
      <c r="A7" s="15" t="inlineStr">
        <is>
          <t>U025</t>
        </is>
      </c>
      <c r="B7" s="15" t="inlineStr">
        <is>
          <t>Administración Facultad de Derecho</t>
        </is>
      </c>
      <c r="C7" s="15" t="inlineStr">
        <is>
          <t>DOCTORADO EN DERECHO</t>
        </is>
      </c>
      <c r="D7" s="15" t="inlineStr">
        <is>
          <t>Guardiola Lohmüller, Ana Victoria</t>
        </is>
      </c>
      <c r="E7" s="15" t="inlineStr">
        <is>
          <t>El Derecho de Asilo ante el Tribunal de Justicia de la Unión Europea: entre la Soberanía del Estado y los Derechos Humanos</t>
        </is>
      </c>
      <c r="F7" s="15" t="inlineStr">
        <is>
          <t>26/11/2024</t>
        </is>
      </c>
      <c r="G7" s="15" t="inlineStr">
        <is>
          <t>25126587F</t>
        </is>
      </c>
      <c r="H7" s="15" t="inlineStr">
        <is>
          <t>Director de tesis</t>
        </is>
      </c>
      <c r="I7" s="15" t="inlineStr">
        <is>
          <t>B108</t>
        </is>
      </c>
      <c r="J7" s="15" t="inlineStr">
        <is>
          <t>Derecho Internacional Público y Derecho Penal</t>
        </is>
      </c>
      <c r="K7" s="17" t="n">
        <v>1</v>
      </c>
      <c r="L7" s="17" t="inlineStr">
        <is>
          <t>B108</t>
        </is>
      </c>
      <c r="M7" s="15" t="n">
        <v>2024</v>
      </c>
      <c r="N7" s="15" t="inlineStr">
        <is>
          <t>10.25</t>
        </is>
      </c>
      <c r="O7" s="16" t="inlineStr">
        <is>
          <t>10</t>
        </is>
      </c>
      <c r="P7" s="15" t="inlineStr"/>
      <c r="Q7" s="16" t="inlineStr"/>
      <c r="R7" s="15" t="n">
        <v>90</v>
      </c>
      <c r="S7" s="15" t="n">
        <v>0.9</v>
      </c>
      <c r="T7" s="15" t="n">
        <v>0.1</v>
      </c>
      <c r="U7" s="15" t="n">
        <v>0</v>
      </c>
    </row>
    <row r="8">
      <c r="A8" s="15" t="inlineStr">
        <is>
          <t>U025</t>
        </is>
      </c>
      <c r="B8" s="15" t="inlineStr">
        <is>
          <t>Administración Facultad de Derecho</t>
        </is>
      </c>
      <c r="C8" s="15" t="inlineStr">
        <is>
          <t>DOCTORADO EN DERECHO</t>
        </is>
      </c>
      <c r="D8" s="15" t="inlineStr">
        <is>
          <t>Brum Miron, Rafael</t>
        </is>
      </c>
      <c r="E8" s="15" t="inlineStr">
        <is>
          <t>Centros antilavagem de dinheiro: o modelo espanhol para o aperfeiçoamento das funções de notários e registradores no sistema PLD/FTP brasileiro</t>
        </is>
      </c>
      <c r="F8" s="15" t="inlineStr">
        <is>
          <t>12/12/2024</t>
        </is>
      </c>
      <c r="G8" s="15" t="inlineStr">
        <is>
          <t>15998346Y</t>
        </is>
      </c>
      <c r="H8" s="15" t="inlineStr">
        <is>
          <t>Codirector de tesis</t>
        </is>
      </c>
      <c r="I8" s="15" t="inlineStr">
        <is>
          <t>B108</t>
        </is>
      </c>
      <c r="J8" s="15" t="inlineStr">
        <is>
          <t>Derecho Internacional Público y Derecho Penal</t>
        </is>
      </c>
      <c r="K8" s="17" t="n">
        <v>0.5</v>
      </c>
      <c r="L8" s="17" t="inlineStr">
        <is>
          <t>B108</t>
        </is>
      </c>
      <c r="M8" s="15" t="n">
        <v>2024</v>
      </c>
      <c r="N8" s="15" t="inlineStr"/>
      <c r="O8" s="16" t="inlineStr"/>
      <c r="P8" s="15" t="inlineStr"/>
      <c r="Q8" s="16" t="inlineStr"/>
      <c r="R8" s="15" t="n">
        <v>100</v>
      </c>
      <c r="S8" s="15" t="n">
        <v>0.5</v>
      </c>
      <c r="T8" s="15" t="n">
        <v>0</v>
      </c>
      <c r="U8" s="15" t="n">
        <v>0</v>
      </c>
    </row>
    <row r="9">
      <c r="A9" s="15" t="inlineStr">
        <is>
          <t>U075</t>
        </is>
      </c>
      <c r="B9" s="15" t="inlineStr">
        <is>
          <t>Instituto Universitario Investigación de Estudios Sociales de América Latina (10</t>
        </is>
      </c>
      <c r="C9" s="15" t="inlineStr">
        <is>
          <t>DOCTORADO EN HUMANIDADES Y ESTUDIOS SOCIALES DE AMÉRICA LATINA</t>
        </is>
      </c>
      <c r="D9" s="15" t="inlineStr">
        <is>
          <t>Medina Vásquez, Carlem Hade</t>
        </is>
      </c>
      <c r="E9" s="15" t="inlineStr">
        <is>
          <t>Fisuras para la Autorrealización de la persona que migra desde América Latina y el Caribe a Chile</t>
        </is>
      </c>
      <c r="F9" s="15" t="inlineStr">
        <is>
          <t>23/07/2025</t>
        </is>
      </c>
      <c r="G9" s="15" t="inlineStr">
        <is>
          <t>33486240B</t>
        </is>
      </c>
      <c r="H9" s="15" t="inlineStr">
        <is>
          <t>Director de tesis</t>
        </is>
      </c>
      <c r="I9" s="15" t="inlineStr">
        <is>
          <t>B108</t>
        </is>
      </c>
      <c r="J9" s="15" t="inlineStr">
        <is>
          <t>Derecho Internacional Público y Derecho Penal</t>
        </is>
      </c>
      <c r="K9" s="17" t="n">
        <v>1</v>
      </c>
      <c r="L9" s="17" t="inlineStr">
        <is>
          <t>B108</t>
        </is>
      </c>
      <c r="M9" s="15" t="n">
        <v>2024</v>
      </c>
      <c r="N9" s="15" t="inlineStr">
        <is>
          <t>10.25</t>
        </is>
      </c>
      <c r="O9" s="16" t="inlineStr">
        <is>
          <t>10</t>
        </is>
      </c>
      <c r="P9" s="15" t="inlineStr"/>
      <c r="Q9" s="16" t="inlineStr"/>
      <c r="R9" s="15" t="n">
        <v>90</v>
      </c>
      <c r="S9" s="15" t="n">
        <v>0.9</v>
      </c>
      <c r="T9" s="15" t="n">
        <v>0.1</v>
      </c>
      <c r="U9" s="15" t="n">
        <v>0</v>
      </c>
    </row>
    <row r="10">
      <c r="A10" s="22" t="n"/>
      <c r="B10" s="22" t="n"/>
      <c r="C10" s="22" t="n"/>
      <c r="D10" s="22" t="n"/>
      <c r="E10" s="22" t="n"/>
      <c r="F10" s="22" t="n"/>
      <c r="G10" s="22" t="n"/>
      <c r="H10" s="22" t="n"/>
      <c r="I10" s="22" t="n"/>
      <c r="J10" s="22" t="n"/>
      <c r="K10" s="22" t="n"/>
      <c r="L10" s="22" t="n"/>
      <c r="M10" s="22" t="n"/>
      <c r="N10" s="22" t="n"/>
      <c r="O10" s="23" t="n"/>
      <c r="P10" s="22" t="n"/>
      <c r="Q10" s="23" t="n"/>
      <c r="R10" s="22" t="n"/>
      <c r="S10" s="24">
        <f>SUM(S2:S9)</f>
        <v/>
      </c>
      <c r="T10" s="22" t="n"/>
      <c r="U10" s="22" t="n"/>
    </row>
  </sheetData>
  <autoFilter ref="A1:U1">
    <sortState ref="A2:U1901">
      <sortCondition ref="L2:L1901"/>
      <sortCondition ref="M2:M1901"/>
      <sortCondition ref="D2:D1901"/>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S20"/>
  <sheetViews>
    <sheetView zoomScaleNormal="100" workbookViewId="0">
      <selection activeCell="W9" sqref="W9"/>
    </sheetView>
  </sheetViews>
  <sheetFormatPr baseColWidth="10" defaultColWidth="11.44140625" defaultRowHeight="13.2"/>
  <cols>
    <col width="10.33203125" bestFit="1" customWidth="1" style="11" min="1" max="1"/>
    <col width="41.33203125" bestFit="1" customWidth="1" style="11" min="2" max="2"/>
    <col width="17" bestFit="1" customWidth="1" style="11" min="3" max="3"/>
    <col width="3.33203125" bestFit="1" customWidth="1" style="11" min="4" max="9"/>
    <col width="13.109375" bestFit="1" customWidth="1" style="11" min="10" max="10"/>
    <col width="5.33203125" bestFit="1" customWidth="1" style="11" min="11" max="11"/>
    <col width="5.6640625" bestFit="1" customWidth="1" style="11" min="12" max="13"/>
    <col width="5.6640625" bestFit="1" customWidth="1" style="12" min="14" max="14"/>
    <col width="5.6640625" bestFit="1" customWidth="1" style="11" min="15" max="15"/>
    <col width="5.6640625" bestFit="1" customWidth="1" style="12" min="16" max="16"/>
    <col width="5.6640625" bestFit="1" customWidth="1" style="11" min="17" max="19"/>
    <col width="11.44140625" customWidth="1" style="11" min="20" max="16384"/>
  </cols>
  <sheetData>
    <row r="1" ht="60" customFormat="1" customHeight="1" s="10">
      <c r="A1" s="13" t="inlineStr">
        <is>
          <t>NIF</t>
        </is>
      </c>
      <c r="B1" s="13" t="inlineStr">
        <is>
          <t>NOMBRE_COMPLETO</t>
        </is>
      </c>
      <c r="C1" s="13" t="inlineStr">
        <is>
          <t>TIPO_SEXENIO</t>
        </is>
      </c>
      <c r="D1" s="14" t="inlineStr">
        <is>
          <t>2020</t>
        </is>
      </c>
      <c r="E1" s="14" t="inlineStr">
        <is>
          <t>2021</t>
        </is>
      </c>
      <c r="F1" s="14" t="inlineStr">
        <is>
          <t>2022</t>
        </is>
      </c>
      <c r="G1" s="14" t="inlineStr">
        <is>
          <t>2023</t>
        </is>
      </c>
      <c r="H1" s="14" t="inlineStr">
        <is>
          <t>2024</t>
        </is>
      </c>
      <c r="I1" s="14" t="inlineStr">
        <is>
          <t>2025</t>
        </is>
      </c>
      <c r="J1" s="13" t="inlineStr">
        <is>
          <t>Total general</t>
        </is>
      </c>
      <c r="K1" s="19"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c r="A2" s="31" t="inlineStr">
        <is>
          <t>15965074S</t>
        </is>
      </c>
      <c r="B2" s="31" t="inlineStr">
        <is>
          <t>Doval Pais, Antonio</t>
        </is>
      </c>
      <c r="C2" s="31" t="inlineStr">
        <is>
          <t>FUNCIONARIO</t>
        </is>
      </c>
      <c r="D2" s="31" t="n"/>
      <c r="E2" s="31" t="n"/>
      <c r="F2" s="31" t="n"/>
      <c r="G2" s="31" t="n"/>
      <c r="H2" s="31" t="n"/>
      <c r="I2" s="31" t="n">
        <v>1</v>
      </c>
      <c r="J2" s="31" t="n">
        <v>1</v>
      </c>
      <c r="K2" s="31" t="inlineStr">
        <is>
          <t>B108</t>
        </is>
      </c>
      <c r="L2" s="31" t="n">
        <v>0</v>
      </c>
      <c r="M2" s="31" t="n">
        <v>0</v>
      </c>
      <c r="N2" s="32" t="inlineStr"/>
      <c r="O2" s="31" t="inlineStr"/>
      <c r="P2" s="32" t="n">
        <v>100</v>
      </c>
      <c r="Q2" s="31" t="n">
        <v>0</v>
      </c>
      <c r="R2" s="31" t="n">
        <v>0</v>
      </c>
      <c r="S2" s="31" t="n">
        <v>1</v>
      </c>
    </row>
    <row r="3">
      <c r="A3" s="31" t="inlineStr">
        <is>
          <t>15998346Y</t>
        </is>
      </c>
      <c r="B3" s="31" t="inlineStr">
        <is>
          <t>Blanco Cordero, Isidoro</t>
        </is>
      </c>
      <c r="C3" s="31" t="inlineStr">
        <is>
          <t>FUNCIONARIO</t>
        </is>
      </c>
      <c r="D3" s="31" t="n"/>
      <c r="E3" s="31" t="n">
        <v>1</v>
      </c>
      <c r="F3" s="31" t="n"/>
      <c r="G3" s="31" t="n"/>
      <c r="H3" s="31" t="n"/>
      <c r="I3" s="31" t="n"/>
      <c r="J3" s="31" t="n">
        <v>1</v>
      </c>
      <c r="K3" s="31" t="inlineStr">
        <is>
          <t>B108</t>
        </is>
      </c>
      <c r="L3" s="31" t="n">
        <v>0</v>
      </c>
      <c r="M3" s="31" t="n">
        <v>0</v>
      </c>
      <c r="N3" s="32" t="inlineStr"/>
      <c r="O3" s="31" t="inlineStr"/>
      <c r="P3" s="32" t="n">
        <v>100</v>
      </c>
      <c r="Q3" s="31" t="n">
        <v>0</v>
      </c>
      <c r="R3" s="31" t="n">
        <v>0</v>
      </c>
      <c r="S3" s="31" t="n">
        <v>1</v>
      </c>
    </row>
    <row r="4">
      <c r="A4" s="31" t="inlineStr">
        <is>
          <t>21432524C</t>
        </is>
      </c>
      <c r="B4" s="31" t="inlineStr">
        <is>
          <t>Renart García, Felipe</t>
        </is>
      </c>
      <c r="C4" s="31" t="inlineStr">
        <is>
          <t>Vivos</t>
        </is>
      </c>
      <c r="D4" s="31" t="n"/>
      <c r="E4" s="31" t="n"/>
      <c r="F4" s="31" t="n"/>
      <c r="G4" s="31" t="n"/>
      <c r="H4" s="31" t="n"/>
      <c r="I4" s="31" t="n">
        <v>1</v>
      </c>
      <c r="J4" s="31" t="n">
        <v>1</v>
      </c>
      <c r="K4" s="31" t="inlineStr">
        <is>
          <t>B108</t>
        </is>
      </c>
      <c r="L4" s="31" t="n">
        <v>0</v>
      </c>
      <c r="M4" s="31" t="n">
        <v>0</v>
      </c>
      <c r="N4" s="32" t="inlineStr"/>
      <c r="O4" s="31" t="inlineStr"/>
      <c r="P4" s="32" t="n">
        <v>100</v>
      </c>
      <c r="Q4" s="31" t="n">
        <v>0</v>
      </c>
      <c r="R4" s="31" t="n">
        <v>0</v>
      </c>
      <c r="S4" s="31" t="n">
        <v>1</v>
      </c>
    </row>
    <row r="5">
      <c r="A5" s="31" t="inlineStr">
        <is>
          <t>25126587F</t>
        </is>
      </c>
      <c r="B5" s="31" t="inlineStr">
        <is>
          <t>Ferrer Lloret, Jaume</t>
        </is>
      </c>
      <c r="C5" s="31" t="inlineStr">
        <is>
          <t>FUNCIONARIO</t>
        </is>
      </c>
      <c r="D5" s="31" t="n"/>
      <c r="E5" s="31" t="n"/>
      <c r="F5" s="31" t="n"/>
      <c r="G5" s="31" t="n">
        <v>1</v>
      </c>
      <c r="H5" s="31" t="n"/>
      <c r="I5" s="31" t="n"/>
      <c r="J5" s="31" t="n">
        <v>1</v>
      </c>
      <c r="K5" s="31" t="inlineStr">
        <is>
          <t>B108</t>
        </is>
      </c>
      <c r="L5" s="31" t="inlineStr">
        <is>
          <t>10.25</t>
        </is>
      </c>
      <c r="M5" s="31" t="inlineStr">
        <is>
          <t>10</t>
        </is>
      </c>
      <c r="N5" s="32" t="inlineStr"/>
      <c r="O5" s="31" t="inlineStr"/>
      <c r="P5" s="32" t="n">
        <v>90</v>
      </c>
      <c r="Q5" s="31" t="n">
        <v>0.1</v>
      </c>
      <c r="R5" s="31" t="n">
        <v>0</v>
      </c>
      <c r="S5" s="31" t="n">
        <v>0.9</v>
      </c>
    </row>
    <row r="6">
      <c r="A6" s="31" t="inlineStr">
        <is>
          <t>28959284F</t>
        </is>
      </c>
      <c r="B6" s="31" t="inlineStr">
        <is>
          <t>Urbaneja Cillán, Jorge</t>
        </is>
      </c>
      <c r="C6" s="31" t="inlineStr">
        <is>
          <t>FUNCIONARIO</t>
        </is>
      </c>
      <c r="D6" s="31" t="n"/>
      <c r="E6" s="31" t="n"/>
      <c r="F6" s="31" t="n"/>
      <c r="G6" s="31" t="n"/>
      <c r="H6" s="31" t="n"/>
      <c r="I6" s="31" t="n">
        <v>1</v>
      </c>
      <c r="J6" s="31" t="n">
        <v>1</v>
      </c>
      <c r="K6" s="31" t="inlineStr">
        <is>
          <t>B108</t>
        </is>
      </c>
      <c r="L6" s="31" t="inlineStr">
        <is>
          <t>10.25</t>
        </is>
      </c>
      <c r="M6" s="31" t="inlineStr">
        <is>
          <t>10</t>
        </is>
      </c>
      <c r="N6" s="32" t="inlineStr"/>
      <c r="O6" s="31" t="inlineStr"/>
      <c r="P6" s="32" t="n">
        <v>90</v>
      </c>
      <c r="Q6" s="31" t="n">
        <v>0.1</v>
      </c>
      <c r="R6" s="31" t="n">
        <v>0</v>
      </c>
      <c r="S6" s="31" t="n">
        <v>0.9</v>
      </c>
    </row>
    <row r="7">
      <c r="A7" s="31" t="inlineStr">
        <is>
          <t>31247796L</t>
        </is>
      </c>
      <c r="B7" s="31" t="inlineStr">
        <is>
          <t>Sánchez-Moraleda Vilches, Natalia</t>
        </is>
      </c>
      <c r="C7" s="31" t="inlineStr">
        <is>
          <t>NO FUNCIONARIO</t>
        </is>
      </c>
      <c r="D7" s="31" t="n"/>
      <c r="E7" s="31" t="n"/>
      <c r="F7" s="31" t="n">
        <v>1</v>
      </c>
      <c r="G7" s="31" t="n"/>
      <c r="H7" s="31" t="n"/>
      <c r="I7" s="31" t="n"/>
      <c r="J7" s="31" t="n">
        <v>1</v>
      </c>
      <c r="K7" s="31" t="inlineStr">
        <is>
          <t>B108</t>
        </is>
      </c>
      <c r="L7" s="31" t="n">
        <v>0</v>
      </c>
      <c r="M7" s="31" t="n">
        <v>0</v>
      </c>
      <c r="N7" s="32" t="inlineStr"/>
      <c r="O7" s="31" t="inlineStr"/>
      <c r="P7" s="32" t="n">
        <v>100</v>
      </c>
      <c r="Q7" s="31" t="n">
        <v>0</v>
      </c>
      <c r="R7" s="31" t="n">
        <v>0</v>
      </c>
      <c r="S7" s="31" t="n">
        <v>1</v>
      </c>
    </row>
    <row r="8">
      <c r="A8" s="31" t="inlineStr">
        <is>
          <t>33238927V</t>
        </is>
      </c>
      <c r="B8" s="31" t="inlineStr">
        <is>
          <t>Juanatey Dorado, Carmen</t>
        </is>
      </c>
      <c r="C8" s="31" t="inlineStr">
        <is>
          <t>FUNCIONARIO</t>
        </is>
      </c>
      <c r="D8" s="31" t="n"/>
      <c r="E8" s="31" t="n"/>
      <c r="F8" s="31" t="n"/>
      <c r="G8" s="31" t="n"/>
      <c r="H8" s="31" t="n">
        <v>1</v>
      </c>
      <c r="I8" s="31" t="n"/>
      <c r="J8" s="31" t="n">
        <v>1</v>
      </c>
      <c r="K8" s="31" t="inlineStr">
        <is>
          <t>B108</t>
        </is>
      </c>
      <c r="L8" s="31" t="n">
        <v>0</v>
      </c>
      <c r="M8" s="31" t="n">
        <v>0</v>
      </c>
      <c r="N8" s="32" t="inlineStr"/>
      <c r="O8" s="31" t="inlineStr"/>
      <c r="P8" s="32" t="n">
        <v>100</v>
      </c>
      <c r="Q8" s="31" t="n">
        <v>0</v>
      </c>
      <c r="R8" s="31" t="n">
        <v>0</v>
      </c>
      <c r="S8" s="31" t="n">
        <v>1</v>
      </c>
    </row>
    <row r="9">
      <c r="A9" s="31" t="inlineStr">
        <is>
          <t>33486240B</t>
        </is>
      </c>
      <c r="B9" s="31" t="inlineStr">
        <is>
          <t>Requena Casanova, Millán</t>
        </is>
      </c>
      <c r="C9" s="31" t="inlineStr">
        <is>
          <t>FUNCIONARIO</t>
        </is>
      </c>
      <c r="D9" s="31" t="n"/>
      <c r="E9" s="31" t="n">
        <v>2</v>
      </c>
      <c r="F9" s="31" t="n"/>
      <c r="G9" s="31" t="n"/>
      <c r="H9" s="31" t="n"/>
      <c r="I9" s="31" t="n"/>
      <c r="J9" s="31" t="n">
        <v>2</v>
      </c>
      <c r="K9" s="31" t="inlineStr">
        <is>
          <t>B108</t>
        </is>
      </c>
      <c r="L9" s="31" t="inlineStr">
        <is>
          <t>10.25</t>
        </is>
      </c>
      <c r="M9" s="31" t="inlineStr">
        <is>
          <t>10</t>
        </is>
      </c>
      <c r="N9" s="32" t="inlineStr"/>
      <c r="O9" s="31" t="inlineStr"/>
      <c r="P9" s="32" t="n">
        <v>90</v>
      </c>
      <c r="Q9" s="31" t="n">
        <v>0.2</v>
      </c>
      <c r="R9" s="31" t="n">
        <v>0</v>
      </c>
      <c r="S9" s="31" t="n">
        <v>1.8</v>
      </c>
    </row>
    <row r="10">
      <c r="A10" s="31" t="inlineStr">
        <is>
          <t>45840116N</t>
        </is>
      </c>
      <c r="B10" s="31" t="inlineStr">
        <is>
          <t>Gutiérrez Pérez, Elena</t>
        </is>
      </c>
      <c r="C10" s="31" t="inlineStr">
        <is>
          <t>NO FUNCIONARIO</t>
        </is>
      </c>
      <c r="D10" s="31" t="n"/>
      <c r="E10" s="31" t="n"/>
      <c r="F10" s="31" t="n"/>
      <c r="G10" s="31" t="n"/>
      <c r="H10" s="31" t="n"/>
      <c r="I10" s="31" t="n">
        <v>1</v>
      </c>
      <c r="J10" s="31" t="n">
        <v>1</v>
      </c>
      <c r="K10" s="31" t="inlineStr">
        <is>
          <t>B108</t>
        </is>
      </c>
      <c r="L10" s="31" t="n">
        <v>0</v>
      </c>
      <c r="M10" s="31" t="n">
        <v>0</v>
      </c>
      <c r="N10" s="32" t="inlineStr"/>
      <c r="O10" s="31" t="inlineStr"/>
      <c r="P10" s="32" t="n">
        <v>100</v>
      </c>
      <c r="Q10" s="31" t="n">
        <v>0</v>
      </c>
      <c r="R10" s="31" t="n">
        <v>0</v>
      </c>
      <c r="S10" s="31" t="n">
        <v>1</v>
      </c>
    </row>
    <row r="11">
      <c r="A11" s="31" t="inlineStr">
        <is>
          <t>48325573C</t>
        </is>
      </c>
      <c r="B11" s="31" t="inlineStr">
        <is>
          <t>Moya Fuentes, María del Mar</t>
        </is>
      </c>
      <c r="C11" s="31" t="inlineStr">
        <is>
          <t>FUNCIONARIO</t>
        </is>
      </c>
      <c r="D11" s="31" t="n"/>
      <c r="E11" s="31" t="n"/>
      <c r="F11" s="31" t="n"/>
      <c r="G11" s="31" t="n"/>
      <c r="H11" s="31" t="n">
        <v>2</v>
      </c>
      <c r="I11" s="31" t="n"/>
      <c r="J11" s="31" t="n">
        <v>2</v>
      </c>
      <c r="K11" s="31" t="inlineStr">
        <is>
          <t>B108</t>
        </is>
      </c>
      <c r="L11" s="31" t="n">
        <v>0</v>
      </c>
      <c r="M11" s="31" t="n">
        <v>0</v>
      </c>
      <c r="N11" s="32" t="inlineStr"/>
      <c r="O11" s="31" t="inlineStr"/>
      <c r="P11" s="32" t="n">
        <v>100</v>
      </c>
      <c r="Q11" s="31" t="n">
        <v>0</v>
      </c>
      <c r="R11" s="31" t="n">
        <v>0</v>
      </c>
      <c r="S11" s="31" t="n">
        <v>2</v>
      </c>
    </row>
    <row r="12">
      <c r="A12" s="31" t="inlineStr">
        <is>
          <t>48356031A</t>
        </is>
      </c>
      <c r="B12" s="31" t="inlineStr">
        <is>
          <t>Fernández-Pacheco Estrada, Cristina</t>
        </is>
      </c>
      <c r="C12" s="31" t="inlineStr">
        <is>
          <t>FUNCIONARIO</t>
        </is>
      </c>
      <c r="D12" s="31" t="n">
        <v>1</v>
      </c>
      <c r="E12" s="31" t="n"/>
      <c r="F12" s="31" t="n"/>
      <c r="G12" s="31" t="n"/>
      <c r="H12" s="31" t="n"/>
      <c r="I12" s="31" t="n"/>
      <c r="J12" s="31" t="n">
        <v>1</v>
      </c>
      <c r="K12" s="31" t="inlineStr">
        <is>
          <t>B108</t>
        </is>
      </c>
      <c r="L12" s="31" t="n">
        <v>0</v>
      </c>
      <c r="M12" s="31" t="n">
        <v>0</v>
      </c>
      <c r="N12" s="32" t="inlineStr"/>
      <c r="O12" s="31" t="inlineStr"/>
      <c r="P12" s="32" t="n">
        <v>100</v>
      </c>
      <c r="Q12" s="31" t="n">
        <v>0</v>
      </c>
      <c r="R12" s="31" t="n">
        <v>0</v>
      </c>
      <c r="S12" s="31" t="n">
        <v>1</v>
      </c>
    </row>
    <row r="13">
      <c r="A13" s="31" t="inlineStr">
        <is>
          <t>48578505K</t>
        </is>
      </c>
      <c r="B13" s="31" t="inlineStr">
        <is>
          <t>Moya Guillem, Clara</t>
        </is>
      </c>
      <c r="C13" s="31" t="inlineStr">
        <is>
          <t>FUNCIONARIO</t>
        </is>
      </c>
      <c r="D13" s="31" t="n"/>
      <c r="E13" s="31" t="n"/>
      <c r="F13" s="31" t="n"/>
      <c r="G13" s="31" t="n"/>
      <c r="H13" s="31" t="n">
        <v>1</v>
      </c>
      <c r="I13" s="31" t="n">
        <v>1</v>
      </c>
      <c r="J13" s="31" t="n">
        <v>2</v>
      </c>
      <c r="K13" s="31" t="inlineStr">
        <is>
          <t>B108</t>
        </is>
      </c>
      <c r="L13" s="31" t="n">
        <v>0</v>
      </c>
      <c r="M13" s="31" t="n">
        <v>0</v>
      </c>
      <c r="N13" s="32" t="inlineStr"/>
      <c r="O13" s="31" t="inlineStr"/>
      <c r="P13" s="32" t="n">
        <v>100</v>
      </c>
      <c r="Q13" s="31" t="n">
        <v>0</v>
      </c>
      <c r="R13" s="31" t="n">
        <v>0</v>
      </c>
      <c r="S13" s="31" t="n">
        <v>2</v>
      </c>
    </row>
    <row r="14">
      <c r="A14" s="31" t="inlineStr">
        <is>
          <t>48623365P</t>
        </is>
      </c>
      <c r="B14" s="31" t="inlineStr">
        <is>
          <t>Bonsignore Fouquet, Dyango</t>
        </is>
      </c>
      <c r="C14" s="31" t="inlineStr">
        <is>
          <t>NO FUNCIONARIO</t>
        </is>
      </c>
      <c r="D14" s="31" t="n"/>
      <c r="E14" s="31" t="n"/>
      <c r="F14" s="31" t="n"/>
      <c r="G14" s="31" t="n"/>
      <c r="H14" s="31" t="n">
        <v>1</v>
      </c>
      <c r="I14" s="31" t="n"/>
      <c r="J14" s="31" t="n">
        <v>1</v>
      </c>
      <c r="K14" s="31" t="inlineStr">
        <is>
          <t>B108</t>
        </is>
      </c>
      <c r="L14" s="31" t="n">
        <v>0</v>
      </c>
      <c r="M14" s="31" t="n">
        <v>0</v>
      </c>
      <c r="N14" s="32" t="inlineStr"/>
      <c r="O14" s="31" t="inlineStr"/>
      <c r="P14" s="32" t="n">
        <v>100</v>
      </c>
      <c r="Q14" s="31" t="n">
        <v>0</v>
      </c>
      <c r="R14" s="31" t="n">
        <v>0</v>
      </c>
      <c r="S14" s="31" t="n">
        <v>1</v>
      </c>
    </row>
    <row r="15">
      <c r="A15" s="31" t="inlineStr">
        <is>
          <t>48772412S</t>
        </is>
      </c>
      <c r="B15" s="31" t="inlineStr">
        <is>
          <t>Sandoval Coronado, Juan Carlos</t>
        </is>
      </c>
      <c r="C15" s="31" t="inlineStr">
        <is>
          <t>NO FUNCIONARIO</t>
        </is>
      </c>
      <c r="D15" s="31" t="n"/>
      <c r="E15" s="31" t="n"/>
      <c r="F15" s="31" t="n"/>
      <c r="G15" s="31" t="n"/>
      <c r="H15" s="31" t="n">
        <v>1</v>
      </c>
      <c r="I15" s="31" t="n"/>
      <c r="J15" s="31" t="n">
        <v>1</v>
      </c>
      <c r="K15" s="31" t="inlineStr">
        <is>
          <t>B108</t>
        </is>
      </c>
      <c r="L15" s="31" t="n">
        <v>0</v>
      </c>
      <c r="M15" s="31" t="n">
        <v>0</v>
      </c>
      <c r="N15" s="32" t="inlineStr"/>
      <c r="O15" s="31" t="inlineStr"/>
      <c r="P15" s="32" t="n">
        <v>100</v>
      </c>
      <c r="Q15" s="31" t="n">
        <v>0</v>
      </c>
      <c r="R15" s="31" t="n">
        <v>0</v>
      </c>
      <c r="S15" s="31" t="n">
        <v>1</v>
      </c>
    </row>
    <row r="16">
      <c r="A16" s="31" t="inlineStr">
        <is>
          <t>50428821X</t>
        </is>
      </c>
      <c r="B16" s="31" t="inlineStr">
        <is>
          <t>Carrasco Andrino, Mª del Mar</t>
        </is>
      </c>
      <c r="C16" s="31" t="inlineStr">
        <is>
          <t>FUNCIONARIO</t>
        </is>
      </c>
      <c r="D16" s="31" t="n"/>
      <c r="E16" s="31" t="n"/>
      <c r="F16" s="31" t="n">
        <v>1</v>
      </c>
      <c r="G16" s="31" t="n"/>
      <c r="H16" s="31" t="n"/>
      <c r="I16" s="31" t="n"/>
      <c r="J16" s="31" t="n">
        <v>1</v>
      </c>
      <c r="K16" s="31" t="inlineStr">
        <is>
          <t>B108</t>
        </is>
      </c>
      <c r="L16" s="31" t="n">
        <v>0</v>
      </c>
      <c r="M16" s="31" t="n">
        <v>0</v>
      </c>
      <c r="N16" s="32" t="inlineStr"/>
      <c r="O16" s="31" t="inlineStr"/>
      <c r="P16" s="32" t="n">
        <v>100</v>
      </c>
      <c r="Q16" s="31" t="n">
        <v>0</v>
      </c>
      <c r="R16" s="31" t="n">
        <v>0</v>
      </c>
      <c r="S16" s="31" t="n">
        <v>1</v>
      </c>
    </row>
    <row r="17">
      <c r="A17" s="31" t="inlineStr">
        <is>
          <t>74380016V</t>
        </is>
      </c>
      <c r="B17" s="31" t="inlineStr">
        <is>
          <t>Soler García, Carolina</t>
        </is>
      </c>
      <c r="C17" s="31" t="inlineStr">
        <is>
          <t>NO FUNCIONARIO</t>
        </is>
      </c>
      <c r="D17" s="31" t="n"/>
      <c r="E17" s="31" t="n"/>
      <c r="F17" s="31" t="n">
        <v>1</v>
      </c>
      <c r="G17" s="31" t="n"/>
      <c r="H17" s="31" t="n"/>
      <c r="I17" s="31" t="n"/>
      <c r="J17" s="31" t="n">
        <v>1</v>
      </c>
      <c r="K17" s="31" t="inlineStr">
        <is>
          <t>B108</t>
        </is>
      </c>
      <c r="L17" s="31" t="n">
        <v>0</v>
      </c>
      <c r="M17" s="31" t="n">
        <v>0</v>
      </c>
      <c r="N17" s="32" t="inlineStr"/>
      <c r="O17" s="31" t="inlineStr"/>
      <c r="P17" s="32" t="n">
        <v>100</v>
      </c>
      <c r="Q17" s="31" t="n">
        <v>0</v>
      </c>
      <c r="R17" s="31" t="n">
        <v>0</v>
      </c>
      <c r="S17" s="31" t="n">
        <v>1</v>
      </c>
    </row>
    <row r="18">
      <c r="A18" s="28" t="n"/>
      <c r="B18" s="28" t="n"/>
      <c r="C18" s="28" t="n"/>
      <c r="D18" s="28" t="n"/>
      <c r="E18" s="28" t="n"/>
      <c r="F18" s="28" t="n"/>
      <c r="G18" s="28" t="n"/>
      <c r="H18" s="28" t="n"/>
      <c r="I18" s="28" t="n"/>
      <c r="J18" s="28" t="n"/>
      <c r="K18" s="28" t="n"/>
      <c r="L18" s="28" t="n"/>
      <c r="M18" s="28" t="n"/>
      <c r="N18" s="29" t="n"/>
      <c r="O18" s="28" t="n"/>
      <c r="P18" s="29" t="n"/>
      <c r="Q18" s="28" t="n"/>
      <c r="R18" s="28" t="n"/>
      <c r="S18" s="30">
        <f>SUM(S2:S17)</f>
        <v/>
      </c>
    </row>
    <row r="20" ht="60" customFormat="1" customHeight="1" s="10">
      <c r="A20" s="11" t="n"/>
      <c r="B20" s="11" t="n"/>
      <c r="C20" s="11" t="n"/>
      <c r="D20" s="11" t="n"/>
      <c r="E20" s="11" t="n"/>
      <c r="F20" s="11" t="n"/>
      <c r="G20" s="11" t="n"/>
      <c r="H20" s="11" t="n"/>
      <c r="I20" s="11" t="n"/>
      <c r="J20" s="11" t="n"/>
      <c r="K20" s="11" t="n"/>
      <c r="L20" s="11" t="n"/>
      <c r="M20" s="11" t="n"/>
      <c r="N20" s="12" t="n"/>
      <c r="O20" s="11" t="n"/>
      <c r="P20" s="12" t="n"/>
      <c r="Q20" s="11" t="n"/>
      <c r="R20" s="11" t="n"/>
      <c r="S20" s="11"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F25" sqref="F25"/>
    </sheetView>
  </sheetViews>
  <sheetFormatPr baseColWidth="10" defaultRowHeight="14.4"/>
  <cols>
    <col width="16.44140625" customWidth="1" min="1" max="1"/>
    <col width="55.109375" customWidth="1" min="2" max="2"/>
    <col width="15.44140625" customWidth="1" min="3" max="3"/>
  </cols>
  <sheetData>
    <row r="1">
      <c r="A1" s="35" t="inlineStr">
        <is>
          <t>Cód. org. aplic.</t>
        </is>
      </c>
      <c r="B1" s="35" t="inlineStr">
        <is>
          <t>Descripción justificante</t>
        </is>
      </c>
      <c r="C1" s="35" t="inlineStr">
        <is>
          <t>Imp.cob.aplic.</t>
        </is>
      </c>
    </row>
    <row r="2">
      <c r="A2" s="25" t="inlineStr">
        <is>
          <t>31.70.6D.00.01</t>
        </is>
      </c>
      <c r="B2" s="25" t="inlineStr">
        <is>
          <t xml:space="preserve">AYUDAS GVA2-23T </t>
        </is>
      </c>
      <c r="C2" s="68" t="n">
        <v>15000</v>
      </c>
    </row>
    <row r="3">
      <c r="A3" s="26" t="inlineStr">
        <is>
          <t>31.70.6M.00.04</t>
        </is>
      </c>
      <c r="B3" s="26" t="inlineStr">
        <is>
          <t>Servicios de tutorización para apoyo académico realizando tareas de orientación y acompañamiento de estudiantes en la asignatura de Derecho penal I (código 73522), primer semestre del curso 2022-2023.</t>
        </is>
      </c>
      <c r="C3" s="69" t="n">
        <v>1090.67</v>
      </c>
    </row>
    <row r="4">
      <c r="A4" s="25" t="inlineStr">
        <is>
          <t>31.70.6M.00.04</t>
        </is>
      </c>
      <c r="B4" s="25" t="inlineStr">
        <is>
          <t xml:space="preserve">Servicios de tutorización para apoyo académico realizando tareas de orientación y acompañamiento de estudiantes en la asignatura de Derecho penal I (código 73522), primer semestre del curso 2022-2023. Honorarios por estudiantes tutorizados. </t>
        </is>
      </c>
      <c r="C4" s="68" t="n">
        <v>1636.8</v>
      </c>
    </row>
    <row r="5">
      <c r="A5" s="26" t="inlineStr">
        <is>
          <t>31.70.6M.00.04</t>
        </is>
      </c>
      <c r="B5" s="26" t="inlineStr">
        <is>
          <t>Servicios de tutorización para apoyo académico realizando tareas de orientación y acompañamiento de estudiantes en la asignatura  de Derecho penal I (código 73522), primer semestre del curso 2022-2023. Honorarios por pruebas de evaluación realizadas.</t>
        </is>
      </c>
      <c r="C5" s="69" t="n">
        <v>31.68</v>
      </c>
    </row>
    <row r="6">
      <c r="A6" s="26" t="inlineStr">
        <is>
          <t>31.70.6M.00.05</t>
        </is>
      </c>
      <c r="B6" s="26" t="inlineStr">
        <is>
          <t xml:space="preserve">Servicios de tutorización para apoyo académico realizando tareas de orientación y acompañamiento de estudiantes en la asignatura de política criminal (primer semestre curso 2022-2023) </t>
        </is>
      </c>
      <c r="C6" s="69" t="n">
        <v>954.89</v>
      </c>
    </row>
    <row r="7">
      <c r="A7" s="25" t="inlineStr">
        <is>
          <t>31.70.6M.00.05</t>
        </is>
      </c>
      <c r="B7" s="25" t="inlineStr">
        <is>
          <t xml:space="preserve">Servicios de tutorización para apoyo académico realizando tareas de orientación y acompañamiento de estudiantes en la asignatura de política criminal (primer semestre curso 2022-2023).   </t>
        </is>
      </c>
      <c r="C7" s="68" t="n">
        <v>1636.8</v>
      </c>
    </row>
    <row r="8">
      <c r="A8" s="26" t="inlineStr">
        <is>
          <t>31.70.6M.00.05</t>
        </is>
      </c>
      <c r="B8" s="26" t="inlineStr">
        <is>
          <t>Servicios de tutorización para apoyo académico realizando tareas de orientación y acompañamiento de estudiantes en la asignatura de política criminal (primer semestre curso 2022-2023). Honorarios por pruebas realizadas</t>
        </is>
      </c>
      <c r="C8" s="69" t="n">
        <v>31.68</v>
      </c>
    </row>
    <row r="9">
      <c r="A9" s="25" t="inlineStr">
        <is>
          <t>31.70.6P.00.16</t>
        </is>
      </c>
      <c r="B9" s="25" t="inlineStr">
        <is>
          <t>DEVOLUCIÓN DE INGRESO_MODELO 069_REINTEGRO DEL PRÉSTAMO ID: P56967-RTI2018-096398-B-I00 CUYO BENEFICIARIO ES Q0332001G_(UNIVERSIDAD DE ALICANTE MINISTERIO DE UNIVERSIDADES E INVESTIGACION) Solicitud ingreso voluntario 13/03/2023, Anualidad 2019.</t>
        </is>
      </c>
      <c r="C9" s="68" t="n">
        <v>-1872.11</v>
      </c>
    </row>
    <row r="10">
      <c r="A10" s="26" t="inlineStr">
        <is>
          <t>31.70.6P.00.16</t>
        </is>
      </c>
      <c r="B10" s="26" t="inlineStr">
        <is>
          <t>Reintegro en voluntaria de la referencia RTI2018-096398-B-I00, anualidad: 2022</t>
        </is>
      </c>
      <c r="C10" s="69" t="n">
        <v>-1872.12</v>
      </c>
    </row>
    <row r="11">
      <c r="A11" s="25" t="inlineStr">
        <is>
          <t>31.70.6P.00.24</t>
        </is>
      </c>
      <c r="B11" s="25" t="inlineStr">
        <is>
          <t>DEVOLUCIÓN DE INGRESOS_MODELO 047_ Nº de liquidación:46/2023/RAS/10224/1_Número de justificante: 047/1/002367815_Nº de referencia:047/1/002367815</t>
        </is>
      </c>
      <c r="C11" s="68" t="n">
        <v>-138.37</v>
      </c>
    </row>
    <row r="12">
      <c r="A12" s="26" t="inlineStr">
        <is>
          <t>31.70.6P.00.28</t>
        </is>
      </c>
      <c r="B12" s="26" t="inlineStr">
        <is>
          <t xml:space="preserve">DEVOLUCIÓN DE INGRESOS_MODELO 047_Nº de liquidación:46/2023/RAS/10276/1_ Número de justificante:047/1/002376790_Nº de referencia:047/1/002376790 </t>
        </is>
      </c>
      <c r="C12" s="69" t="n">
        <v>-1796.75</v>
      </c>
    </row>
    <row r="13">
      <c r="A13" s="25" t="inlineStr">
        <is>
          <t>31.70.6P.00.30</t>
        </is>
      </c>
      <c r="B13" s="25" t="inlineStr">
        <is>
          <t xml:space="preserve">AYUDAS CIAORG/2022/45, CIAORG/2022/15, CIAORG/2022/44, CIAORG/2022/140, CIAORG/2022/89, CIAORG/2022/10, CIAORG/2022/115, CIAORG/2022/27, CIAORG/2022/117, CIAORG/2022/128, CIAORG/2022/83, CIAORG/2022/74, CIAORG/2022/125 </t>
        </is>
      </c>
      <c r="C13" s="68" t="n">
        <v>9000</v>
      </c>
    </row>
    <row r="14">
      <c r="A14" s="26" t="inlineStr">
        <is>
          <t>31.70.6P.00.31</t>
        </is>
      </c>
      <c r="B14" s="26" t="inlineStr">
        <is>
          <t>ayudas CIGE/2022/4-6-8-10-15-16-21-30-36-45-46-51-52- 54-55-105-170-179</t>
        </is>
      </c>
      <c r="C14" s="69" t="n">
        <v>10000</v>
      </c>
    </row>
    <row r="15">
      <c r="A15" s="25" t="inlineStr">
        <is>
          <t>31.70.6P.00.32</t>
        </is>
      </c>
      <c r="B15" s="25" t="inlineStr">
        <is>
          <t>ANULACIÓN EN PARTE AYUDA 130-129250. CURSO SOBRE SEGURIDAD Y DEFENSA</t>
        </is>
      </c>
      <c r="C15" s="68" t="n">
        <v>-269.13</v>
      </c>
    </row>
    <row r="16">
      <c r="A16" s="26" t="inlineStr">
        <is>
          <t>31.70.6P.00.32</t>
        </is>
      </c>
      <c r="B16" s="26" t="inlineStr">
        <is>
          <t>AYUDA 130-129250. CURSO SOBRE SEGURIDAD Y DEFENSA</t>
        </is>
      </c>
      <c r="C16" s="69" t="n">
        <v>3000</v>
      </c>
    </row>
    <row r="17">
      <c r="A17" s="25" t="inlineStr">
        <is>
          <t>31.70.6P.00.33</t>
        </is>
      </c>
      <c r="B17" s="25" t="inlineStr">
        <is>
          <t>ayudas CIAICO/2022/017, CIAICO/2022/019, CIAICO/2022/038, CIAICO/2022/046, CIAICO/2022/047, CIAICO/2022/049, CIAICO/2022/077, CIAICO/2022/078, CIAICO/2022/079, CIAICO/2022/112, CIAICO/2022/132 , CIAICO/2022/167, CIAICO/2022/177</t>
        </is>
      </c>
      <c r="C17" s="68" t="n">
        <v>8000</v>
      </c>
    </row>
    <row r="18">
      <c r="A18" s="26" t="inlineStr">
        <is>
          <t>31.70.6P.00.34</t>
        </is>
      </c>
      <c r="B18" s="26" t="inlineStr">
        <is>
          <t xml:space="preserve">ayudas PID2022  138464NB-142516OB-139990NB-141382OB-137350NB-139899OB--136847NB-137385NB-139294NB-137873NA-138786NB-141712NB-136590OB-139105OB-142356NB-141694NB-136399NB  </t>
        </is>
      </c>
      <c r="C18" s="69" t="n">
        <v>7752</v>
      </c>
    </row>
    <row r="19">
      <c r="A19" s="36" t="inlineStr">
        <is>
          <t>31.70.6X.00.15</t>
        </is>
      </c>
      <c r="B19" s="36" t="inlineStr">
        <is>
          <t xml:space="preserve">INGRESO DEL PROYECTO ENP-PEUV (PREFINANCIACIÓN) </t>
        </is>
      </c>
      <c r="C19" s="70" t="n">
        <v>70000</v>
      </c>
    </row>
    <row r="20">
      <c r="A20" s="37" t="inlineStr">
        <is>
          <t>Total</t>
        </is>
      </c>
      <c r="B20" s="37" t="n"/>
      <c r="C20" s="71">
        <f>SUBTOTAL(109,Tabla2[Imp.cob.aplic.])</f>
        <v/>
      </c>
    </row>
    <row r="21" customFormat="1" s="39">
      <c r="C21" s="7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B24" sqref="B24:C24"/>
    </sheetView>
  </sheetViews>
  <sheetFormatPr baseColWidth="10" defaultRowHeight="14.4"/>
  <cols>
    <col width="17.5546875" customWidth="1" min="1" max="1"/>
    <col width="52.109375" customWidth="1" min="2" max="2"/>
    <col width="21.6640625" customWidth="1" min="3" max="3"/>
  </cols>
  <sheetData>
    <row r="1">
      <c r="A1" s="42" t="inlineStr">
        <is>
          <t>Org. aplic.</t>
        </is>
      </c>
      <c r="B1" s="42" t="inlineStr">
        <is>
          <t>Descripción justificante</t>
        </is>
      </c>
      <c r="C1" s="73" t="inlineStr">
        <is>
          <t>Imp. aplic.</t>
        </is>
      </c>
    </row>
    <row r="2">
      <c r="A2" s="40" t="inlineStr">
        <is>
          <t>31.70.6C.00.16</t>
        </is>
      </c>
      <c r="B2" s="40" t="inlineStr">
        <is>
          <t>Elaboración de informe jurídico - Ref. Carpeta fiscal 05-2017.</t>
        </is>
      </c>
      <c r="C2" s="68" t="n">
        <v>10560</v>
      </c>
    </row>
    <row r="3">
      <c r="A3" s="41" t="inlineStr">
        <is>
          <t>31.70.6C.00.18</t>
        </is>
      </c>
      <c r="B3" s="41" t="inlineStr">
        <is>
          <t>Asesoramiento y asistencia científico-técnica Definición del sistema metodológico e identificación de actores para la valoración de la integración del enfoque de Derechos Humanos en los servicios de gestión de fronteras en los siete países socios del programa EUROFRONT. Aplicación de la metodología entre los destinatarios con posible ampliación a socios implementadores y grupos de interés del proyecto EUROFRONT según la identificación realizada durante la fase anterior (trabajo de campo).</t>
        </is>
      </c>
      <c r="C3" s="69" t="n">
        <v>11000</v>
      </c>
    </row>
    <row r="4">
      <c r="A4" s="40" t="inlineStr">
        <is>
          <t>31.70.6C.00.18</t>
        </is>
      </c>
      <c r="B4" s="40" t="inlineStr">
        <is>
          <t>Asesoramiento y asistencia científico-técnica. Informe diagnóstico sobre el estado de la cuestión en materia de integración del enfoque de Derechos Humanos en la gestión integrada de fronteras de los siete países socios del programa EUROFRONT de acuerdo con el trabajo de campo previo realizado.</t>
        </is>
      </c>
      <c r="C4" s="68" t="n">
        <v>6600</v>
      </c>
    </row>
    <row r="5">
      <c r="A5" s="41" t="inlineStr">
        <is>
          <t>31.70.6D.00.01</t>
        </is>
      </c>
      <c r="B5" s="41" t="inlineStr">
        <is>
          <t xml:space="preserve">ANULACIÓN DEL DERECHO AYUDAS GVA2-23T </t>
        </is>
      </c>
      <c r="C5" s="69" t="n">
        <v>-2808.38</v>
      </c>
    </row>
    <row r="6">
      <c r="A6" s="40" t="inlineStr">
        <is>
          <t>31.70.6M.00.06</t>
        </is>
      </c>
      <c r="B6" s="40" t="inlineStr">
        <is>
          <t xml:space="preserve">Tareas de orientación y el acompañamiento en el aprendizaje de los estudiantes de la asignatura Política criminal (código 20.517), de los Estudios de Derecho y Ciencia Política, durante el primer semestre del curso académico 2023/2024. </t>
        </is>
      </c>
      <c r="C6" s="68" t="n">
        <v>941.6</v>
      </c>
    </row>
    <row r="7">
      <c r="A7" s="41" t="inlineStr">
        <is>
          <t>31.70.6M.00.06</t>
        </is>
      </c>
      <c r="B7" s="41" t="inlineStr">
        <is>
          <t>Tareas de orientación y el acompañamiento en el aprendizaje de los estudiantes de la asignatura "Política criminal" (código 20.517), de los Estudios de Derecho y Ciencia Política, durante el primer semestre del curso académico 2023/2024. Honorarios por estudiantes de evaluación continuada.</t>
        </is>
      </c>
      <c r="C7" s="69" t="n">
        <v>2072.4</v>
      </c>
    </row>
    <row r="8">
      <c r="A8" s="40" t="inlineStr">
        <is>
          <t>31.70.6P.00.20</t>
        </is>
      </c>
      <c r="B8" s="40" t="inlineStr">
        <is>
          <t>ANULACIÓN PID2019-107311RB-I00</t>
        </is>
      </c>
      <c r="C8" s="68" t="n">
        <v>-3000</v>
      </c>
    </row>
    <row r="9">
      <c r="A9" s="41" t="inlineStr">
        <is>
          <t>31.70.6P.00.27</t>
        </is>
      </c>
      <c r="B9" s="41" t="inlineStr">
        <is>
          <t>Anulación de Resolución 24/08/22 Presidencia GV concesión Subvenciones para la realización de actividades de formación y difusión en materia de la Unión Europea y de acción exterior. (PRESIDENCIA GV)</t>
        </is>
      </c>
      <c r="C9" s="69" t="n">
        <v>-9400</v>
      </c>
    </row>
    <row r="10">
      <c r="A10" s="40" t="inlineStr">
        <is>
          <t>31.70.6P.00.30</t>
        </is>
      </c>
      <c r="B10" s="40" t="inlineStr">
        <is>
          <t xml:space="preserve">DEVOLUCIÓN DE INGRESOS_MODELO 047_ Nº LIQUIDACIÓN:46/2024/RAS/10317/1 Nº DE JUSTIFICANTE: 047/1/002550144_Nº DE REFERENCIA:  047/1/002550144 </t>
        </is>
      </c>
      <c r="C10" s="68" t="n">
        <v>-243.09</v>
      </c>
    </row>
    <row r="11">
      <c r="A11" s="41" t="inlineStr">
        <is>
          <t>31.70.6P.00.31</t>
        </is>
      </c>
      <c r="B11" s="41" t="inlineStr">
        <is>
          <t>ayudas CIGE/2022/4, CIGE/2022/6, CIGE/2022/8, CIGE/2022/15, CIGE/2022/16, CIGE/2022/21, CIGE/2022/30, CIGE/2022/45, CIGE/2022/46, CIGE/2022/51, CIGE/2022/52, CIGE/2022/54, CIGE/2022/55, CIGE/2022/105, CIGE/2022/170, CIGE/2022/179</t>
        </is>
      </c>
      <c r="C11" s="69" t="n">
        <v>10000</v>
      </c>
    </row>
    <row r="12">
      <c r="A12" s="40" t="inlineStr">
        <is>
          <t>31.70.6P.00.31</t>
        </is>
      </c>
      <c r="B12" s="40" t="inlineStr">
        <is>
          <t>DEVOLUCIÓN DE INGRESOS_ MODELO 047_ Nº DE LIQUIDACIÓN: 46/2024/RAS/10325/1 Nº DE JUSTIFICANTE: 047/1/002551836_Nº DE REFERENCIA: 047/1/002551836</t>
        </is>
      </c>
      <c r="C12" s="68" t="n">
        <v>-5409.9</v>
      </c>
    </row>
    <row r="13">
      <c r="A13" s="41" t="inlineStr">
        <is>
          <t>31.70.6P.00.33</t>
        </is>
      </c>
      <c r="B13" s="41" t="inlineStr">
        <is>
          <t xml:space="preserve">AYUDAS CIAICO/2022/017, CIAICO/2022/019, CIAICO/2022/038, CIAICO/2022/046, CIAICO/2022/047, CIAICO/2022/049, CIAICO/2022/077, CIAICO/2022/078, CIAICO/2022/079, CIAICO/2022/112, CIAICO/2022/132 CIAICO/2022/167 CIAICO/2022/177 </t>
        </is>
      </c>
      <c r="C13" s="69" t="n">
        <v>13500</v>
      </c>
    </row>
    <row r="14">
      <c r="A14" s="40" t="inlineStr">
        <is>
          <t>31.70.6P.00.33</t>
        </is>
      </c>
      <c r="B14" s="40" t="inlineStr">
        <is>
          <t>DEVOLUCIÓN DE INGRESOS_MODELO 047_ REFERENCIA: CIACO 2022 EN 2023.</t>
        </is>
      </c>
      <c r="C14" s="68" t="n">
        <v>-2409.57</v>
      </c>
    </row>
    <row r="15">
      <c r="A15" s="41" t="inlineStr">
        <is>
          <t>31.70.6P.00.34</t>
        </is>
      </c>
      <c r="B15" s="41" t="inlineStr">
        <is>
          <t>PID2022-138464NB-I00-142516OB-I00-139990NB-I00-141382OB-I00-139899OB-I00-136847NB-I00-137385NB-I00-139294NB-I00-137873NA-I00-138786NB-I00-136590OB-C43</t>
        </is>
      </c>
      <c r="C15" s="69" t="n">
        <v>9690</v>
      </c>
    </row>
    <row r="16">
      <c r="A16" s="40" t="inlineStr">
        <is>
          <t>31.70.6P.00.35</t>
        </is>
      </c>
      <c r="B16" s="40" t="inlineStr">
        <is>
          <t>XIV CURSO SEGURIDAD Y DEFENSA. LA PARTICIPACIÓN DE LAS FUERZAS ARMADAS DE ESPAÑA EN MISIONES INTERNACIONALES. (130-192516)</t>
        </is>
      </c>
      <c r="C16" s="68" t="n">
        <v>3500</v>
      </c>
    </row>
    <row r="17">
      <c r="A17" s="41" t="inlineStr">
        <is>
          <t>31.70.6P.00.35</t>
        </is>
      </c>
      <c r="B17" s="41" t="inlineStr">
        <is>
          <t>Anulación en parte del Derecho Reconocido XIV CURSO SEGURIDAD Y DEFENSA. LA PARTICIPACIÓN DE LAS FUERZAS ARMADAS DE ESPAÑA EN MISIONES INTERNACIONALES. (130-192516)</t>
        </is>
      </c>
      <c r="C17" s="69" t="n">
        <v>-588.6900000000001</v>
      </c>
    </row>
    <row r="18">
      <c r="A18" s="40" t="inlineStr">
        <is>
          <t>31.70.6P.00.36</t>
        </is>
      </c>
      <c r="B18" s="40"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18" s="68" t="n">
        <v>22920</v>
      </c>
    </row>
    <row r="19">
      <c r="A19" s="41" t="inlineStr">
        <is>
          <t>31.70.6P.00.36</t>
        </is>
      </c>
      <c r="B19" s="41"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19" s="69" t="n">
        <v>4110.32</v>
      </c>
    </row>
    <row r="20">
      <c r="A20" s="44" t="inlineStr">
        <is>
          <t>31.70.6X.00.11</t>
        </is>
      </c>
      <c r="B20" s="44" t="inlineStr">
        <is>
          <t>INGRESO PERCIBIDO POR LA UNIVERSIDAD DE ALICANTE EN CONCEPTO DE PAGO FINAL DEL PROYECTO JEAN MONNET - CENTRE OF EXCELLENCE EUSSUA DIRIGIDO POR J.F.L. PERTENECIENTE AL DPTO. DE DERECHO INTERNACIONAL PÚBLICO Y DERECHO PENAL.</t>
        </is>
      </c>
      <c r="C20" s="70" t="n">
        <v>30000</v>
      </c>
    </row>
    <row r="21" customFormat="1" s="39">
      <c r="A21" s="45" t="inlineStr">
        <is>
          <t>Total</t>
        </is>
      </c>
      <c r="B21" s="45" t="n"/>
      <c r="C21" s="71">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H23" sqref="H23"/>
    </sheetView>
  </sheetViews>
  <sheetFormatPr baseColWidth="10" defaultRowHeight="14.4"/>
  <cols>
    <col width="17.109375" customWidth="1" min="1" max="1"/>
    <col width="61.44140625" customWidth="1" min="2" max="2"/>
    <col width="18.44140625" customWidth="1" min="3" max="3"/>
  </cols>
  <sheetData>
    <row r="1">
      <c r="A1" s="47" t="inlineStr">
        <is>
          <t>Org. aplic.</t>
        </is>
      </c>
      <c r="B1" s="48" t="inlineStr">
        <is>
          <t>Descripción justificante</t>
        </is>
      </c>
      <c r="C1" s="48" t="inlineStr">
        <is>
          <t>Imp. aplic.</t>
        </is>
      </c>
    </row>
    <row r="2">
      <c r="A2" s="49" t="inlineStr">
        <is>
          <t>31.70.6C.00.17</t>
        </is>
      </c>
      <c r="B2" s="50" t="inlineStr">
        <is>
          <t>Elaboración de informe jurídico (Carpeta fiscal 16-2014)</t>
        </is>
      </c>
      <c r="C2" s="74" t="n">
        <v>10560</v>
      </c>
    </row>
    <row r="3">
      <c r="A3" s="52" t="inlineStr">
        <is>
          <t>31.70.6C.00.19</t>
        </is>
      </c>
      <c r="B3" s="53" t="inlineStr">
        <is>
          <t>Actividad de asesoramiento jurídico en materia penal durante la tramitación del procedimiento que se tramita en la Audiencia Provincial de Elche.</t>
        </is>
      </c>
      <c r="C3" s="75" t="n">
        <v>352</v>
      </c>
    </row>
    <row r="4">
      <c r="A4" s="49" t="inlineStr">
        <is>
          <t>31.70.6M.00.07</t>
        </is>
      </c>
      <c r="B4" s="50" t="inlineStr">
        <is>
          <t>Servicios de tutorización para apoyo académico realizando tareas de orientación y acompañamiento en el aprendizaje de los estudiantes de la asignatura "Política criminal" (primer semestre curso 2025-2026) (UOC5-25F).</t>
        </is>
      </c>
      <c r="C4" s="74" t="n">
        <v>806.08</v>
      </c>
    </row>
    <row r="5">
      <c r="A5" s="52" t="inlineStr">
        <is>
          <t>31.70.6P.00.31</t>
        </is>
      </c>
      <c r="B5" s="53" t="inlineStr">
        <is>
          <t>DEVOLUCIÓN DE INGRESOS_MODELO 047_CIGE 2022</t>
        </is>
      </c>
      <c r="C5" s="75" t="n">
        <v>-2366.7</v>
      </c>
    </row>
    <row r="6">
      <c r="A6" s="49" t="inlineStr">
        <is>
          <t>31.70.6P.00.33</t>
        </is>
      </c>
      <c r="B6" s="50" t="inlineStr">
        <is>
          <t>Ayudas CIAICO/2022/017, CIAICO/2022/019, CIAICO/2022/038, CIAICO/2022/046, CIAICO/2022/047, CIAICO/2022/049, CIAICO/2022/077, CIAICO/2022/078,CIAICO/2022/079, CIAICO/2022/112, CIAICO/2022/132, CIAICO/2022/167, ,CIAICO/2022/177</t>
        </is>
      </c>
      <c r="C6" s="74" t="n">
        <v>16000</v>
      </c>
    </row>
    <row r="7">
      <c r="A7" s="52" t="inlineStr">
        <is>
          <t>31.70.6P.00.33</t>
        </is>
      </c>
      <c r="B7" s="53" t="inlineStr">
        <is>
          <t xml:space="preserve">Minoración AYUDAS CIAICO/2022/017, CIAICO/2022/019,  CIAICO/2022/046, CIAICO/2022/047,  CIAICO/2022/077, CIAICO/2022/078, CIAICO/2022/079, CIAICO/2022/112, CIAICO/2022/132 CIAICO/2022/167 CIAICO/2022/177 </t>
        </is>
      </c>
      <c r="C7" s="75" t="n">
        <v>-6473.45</v>
      </c>
    </row>
    <row r="8">
      <c r="A8" s="49" t="inlineStr">
        <is>
          <t>31.70.6P.00.34</t>
        </is>
      </c>
      <c r="B8" s="50"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8" s="74" t="n">
        <v>6688</v>
      </c>
    </row>
    <row r="9">
      <c r="A9" s="52" t="inlineStr">
        <is>
          <t>31.70.6P.00.36</t>
        </is>
      </c>
      <c r="B9" s="53"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9" s="75" t="n">
        <v>3392.16</v>
      </c>
    </row>
    <row r="10">
      <c r="A10" s="49" t="inlineStr">
        <is>
          <t>31.70.6X.00.12</t>
        </is>
      </c>
      <c r="B10" s="50" t="inlineStr">
        <is>
          <t>PROYECTO: EUSSUA - EUROPEAN UNION FOR SECONDARY SCHOOL: UNIVERSITY OF ALICANTE. PROGRAMA: ERASMUS+ JEAN MONNET CHAIR</t>
        </is>
      </c>
      <c r="C10" s="74" t="n">
        <v>89060.39999999999</v>
      </c>
    </row>
    <row r="11">
      <c r="A11" s="52" t="inlineStr">
        <is>
          <t>31.70.6X.00.13</t>
        </is>
      </c>
      <c r="B11" s="53" t="inlineStr">
        <is>
          <t>PROYECTO: THE EUROPEAN UNION AND THE RIGHT TO ASYLUM. PROGRAMA:ERASMUS+ JEAN MONNET CHAIR. REF PROYECTO: 101047540</t>
        </is>
      </c>
      <c r="C11" s="75" t="n">
        <v>15000</v>
      </c>
    </row>
    <row r="12">
      <c r="A12" s="49" t="inlineStr">
        <is>
          <t>31.70.6X.00.16</t>
        </is>
      </c>
      <c r="B12" s="50" t="inlineStr">
        <is>
          <t>PROYECTO: EUSSUA2.0 - EUROPEAN UNION FOR SECONDARY SCHOOL: UNIVERSITY OF ALICANTE 2.0. PROGRAMA: Erasmus+ Jean Monnet Teacher. Ref. proyecto: 01235188</t>
        </is>
      </c>
      <c r="C12" s="74" t="n">
        <v>203353.5</v>
      </c>
    </row>
    <row r="13" ht="15" customHeight="1" thickBot="1">
      <c r="A13" s="52" t="inlineStr">
        <is>
          <t>31.70.6X.00.17</t>
        </is>
      </c>
      <c r="B13" s="53" t="inlineStr">
        <is>
          <t>Proyecto: EURA2.0 - THE EUROPEAN UNION AND THE RIGHT TO ASYLUM 2.0. Programa: Erasmus+ Jean Monnet Chair. Ref. Proyecto: 101235015</t>
        </is>
      </c>
      <c r="C13" s="75" t="n">
        <v>42000</v>
      </c>
    </row>
    <row r="14" ht="15" customHeight="1" thickTop="1">
      <c r="A14" s="55" t="inlineStr">
        <is>
          <t>Total</t>
        </is>
      </c>
      <c r="B14" s="56" t="n"/>
      <c r="C14" s="76" t="n">
        <v>378371.99</v>
      </c>
    </row>
    <row r="18">
      <c r="B18" s="58" t="inlineStr">
        <is>
          <t>Total ingresos de investigación 2023-25</t>
        </is>
      </c>
      <c r="C18" s="77">
        <f>Tabla3[[#Totals],[Imp. aplic.]]+Tabla2[[#Totals],[Imp.cob.aplic.]]+C14</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6"/>
  <sheetViews>
    <sheetView workbookViewId="0">
      <selection activeCell="B21" sqref="B21"/>
    </sheetView>
  </sheetViews>
  <sheetFormatPr baseColWidth="10" defaultRowHeight="14.4"/>
  <cols>
    <col width="16.44140625" customWidth="1" min="1" max="1"/>
    <col width="82.5546875" customWidth="1" min="2" max="2"/>
    <col width="15.44140625" customWidth="1" min="3" max="3"/>
  </cols>
  <sheetData>
    <row r="1">
      <c r="A1" s="35" t="inlineStr">
        <is>
          <t>Cód. org. aplic.</t>
        </is>
      </c>
      <c r="B1" s="35" t="inlineStr">
        <is>
          <t>Descripción justificante</t>
        </is>
      </c>
      <c r="C1" s="35" t="inlineStr">
        <is>
          <t>Imp.cob.aplic.</t>
        </is>
      </c>
    </row>
    <row r="2">
      <c r="A2" s="25" t="inlineStr">
        <is>
          <t>31.70.2T.00.01</t>
        </is>
      </c>
      <c r="B2" s="25" t="inlineStr">
        <is>
          <t xml:space="preserve">LIQ-TitProp_GH86-1 Curso_2023-24 AñoCont_2023 - LA UNIÓN EUROPEA Y LOS DERECHOS HUMANOS </t>
        </is>
      </c>
      <c r="C2" s="68" t="n">
        <v>378</v>
      </c>
    </row>
    <row r="3">
      <c r="A3" s="26" t="inlineStr">
        <is>
          <t>31.70.2T.00.01</t>
        </is>
      </c>
      <c r="B3" s="26" t="inlineStr">
        <is>
          <t xml:space="preserve">Plan_G392 Curso_2022-23 Emitido_2022-23 - LA UNIÓN EUROPEA Y LOS DERECHOS HUMANOS </t>
        </is>
      </c>
      <c r="C3" s="69" t="n">
        <v>144</v>
      </c>
    </row>
    <row r="4">
      <c r="A4" s="36" t="inlineStr">
        <is>
          <t>31.70.2T.00.06</t>
        </is>
      </c>
      <c r="B4" s="36" t="inlineStr">
        <is>
          <t xml:space="preserve">Plan_GB43 Curso_2022-23 Emitido_2022-23 - INMIGRACIÓN, DERECHOS HUMANOS Y CONTROL DE FRONTERA EN LA UE </t>
        </is>
      </c>
      <c r="C4" s="70" t="n">
        <v>198</v>
      </c>
    </row>
    <row r="5">
      <c r="A5" s="34" t="inlineStr">
        <is>
          <t>Total</t>
        </is>
      </c>
      <c r="B5" s="34" t="n"/>
      <c r="C5" s="78">
        <f>SUBTOTAL(109,Tabla6[Imp.cob.aplic.])</f>
        <v/>
      </c>
    </row>
    <row r="6">
      <c r="C6" s="72"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
  <sheetViews>
    <sheetView workbookViewId="0">
      <selection activeCell="B12" sqref="B12:C12"/>
    </sheetView>
  </sheetViews>
  <sheetFormatPr baseColWidth="10" defaultRowHeight="14.4"/>
  <cols>
    <col width="13.33203125" bestFit="1" customWidth="1" min="1" max="1"/>
    <col width="81.6640625" customWidth="1" min="2" max="2"/>
    <col width="11.6640625" customWidth="1" min="3" max="3"/>
  </cols>
  <sheetData>
    <row r="1">
      <c r="A1" s="42" t="inlineStr">
        <is>
          <t>Org. aplic.</t>
        </is>
      </c>
      <c r="B1" s="42" t="inlineStr">
        <is>
          <t>Descripción justificante</t>
        </is>
      </c>
      <c r="C1" s="42" t="inlineStr">
        <is>
          <t>Imp. aplic.</t>
        </is>
      </c>
    </row>
    <row r="2">
      <c r="A2" s="40" t="inlineStr">
        <is>
          <t>31.70.2T.00.01</t>
        </is>
      </c>
      <c r="B2" s="40" t="inlineStr">
        <is>
          <t xml:space="preserve">LIQ-TitProp_GH86-2 Curso_2023-24 AñoCont_2023 - LA UNIÓN EUROPEA Y LOS DERECHOS HUMANOS </t>
        </is>
      </c>
      <c r="C2" s="68" t="n">
        <v>234</v>
      </c>
    </row>
    <row r="3">
      <c r="A3" s="41" t="inlineStr">
        <is>
          <t>31.70.2T.00.01</t>
        </is>
      </c>
      <c r="B3" s="41" t="inlineStr">
        <is>
          <t>DEVOLUCIÓN TASAS NÓMINAS REMESA Nº 2024DTR103299</t>
        </is>
      </c>
      <c r="C3" s="69" t="n">
        <v>-18</v>
      </c>
    </row>
    <row r="4">
      <c r="A4" s="40" t="inlineStr">
        <is>
          <t>31.70.2T.00.01</t>
        </is>
      </c>
      <c r="B4" s="40" t="inlineStr">
        <is>
          <t xml:space="preserve">Liq.PPub_311,03__EjeAnt_2024__AFC - Actividades de Formación Complementaria.  </t>
        </is>
      </c>
      <c r="C4" s="68" t="n">
        <v>18</v>
      </c>
    </row>
    <row r="5">
      <c r="A5" s="41" t="inlineStr">
        <is>
          <t>31.70.2T.00.01</t>
        </is>
      </c>
      <c r="B5" s="41" t="inlineStr">
        <is>
          <t>LIQ-EP_Plan_GH86-1 Curso_2024-25_AñoCont_2024 TipoRec_Emitido - LA UNIÓN EUROPEA Y LOS DERECHOS HUMANOS _ (Cierre-24)</t>
        </is>
      </c>
      <c r="C5" s="69" t="n">
        <v>288</v>
      </c>
    </row>
    <row r="6">
      <c r="A6" s="40" t="inlineStr">
        <is>
          <t>31.70.2T.00.06</t>
        </is>
      </c>
      <c r="B6" s="40" t="inlineStr">
        <is>
          <t>DEVOLUCIÓN DE TASAS NÓMINAS_REMESA Nº 2024DTR070585_2024EXPADM0262/RDT INVERSA 2024EXPADM0262</t>
        </is>
      </c>
      <c r="C6" s="68" t="n">
        <v>-18</v>
      </c>
    </row>
    <row r="7">
      <c r="A7" s="41" t="inlineStr">
        <is>
          <t>31.70.2T.00.06</t>
        </is>
      </c>
      <c r="B7" s="41" t="inlineStr">
        <is>
          <t>DEVOLUCIÓN DE TASAS NÓMINAS_REMESA Nº 2024DTR082778/RDT INVERSA 2024EXPADM0377</t>
        </is>
      </c>
      <c r="C7" s="69" t="n">
        <v>-18</v>
      </c>
    </row>
    <row r="8">
      <c r="A8" s="44" t="inlineStr">
        <is>
          <t>31.70.2T.00.06</t>
        </is>
      </c>
      <c r="B8" s="44" t="inlineStr">
        <is>
          <t xml:space="preserve">LIQ-TitProp_GK12-1 Curso_2023-24 AñoCont_2023 - INMIGRACIÓN, DERECHOS HUMANOS Y CONTROL DE FRONTERA EN LA UE </t>
        </is>
      </c>
      <c r="C8" s="70" t="n">
        <v>486</v>
      </c>
    </row>
    <row r="9" customFormat="1" s="39">
      <c r="A9" s="45" t="inlineStr">
        <is>
          <t>Total</t>
        </is>
      </c>
      <c r="B9" s="45" t="n"/>
      <c r="C9" s="71">
        <f>SUBTOTAL(109,Tabla4[Imp.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
  <sheetViews>
    <sheetView tabSelected="1" workbookViewId="0">
      <selection activeCell="B16" sqref="B16:C16"/>
    </sheetView>
  </sheetViews>
  <sheetFormatPr baseColWidth="10" defaultRowHeight="14.4"/>
  <cols>
    <col width="14.33203125" customWidth="1" min="1" max="1"/>
    <col width="57.5546875" customWidth="1" min="2" max="2"/>
    <col width="13.6640625" customWidth="1" min="3" max="3"/>
  </cols>
  <sheetData>
    <row r="1">
      <c r="A1" s="47" t="inlineStr">
        <is>
          <t>Org. aplic.</t>
        </is>
      </c>
      <c r="B1" s="48" t="inlineStr">
        <is>
          <t>Descripción justificante</t>
        </is>
      </c>
      <c r="C1" s="79" t="inlineStr">
        <is>
          <t>Imp. aplic.</t>
        </is>
      </c>
    </row>
    <row r="2">
      <c r="A2" s="49" t="inlineStr">
        <is>
          <t>31.70.2T.00.06</t>
        </is>
      </c>
      <c r="B2" s="50" t="inlineStr">
        <is>
          <t>DEVOLUCIÓN DE PRECIOS PÚBLICOS CORRESPONDIENTES A LA REMESA Nº 2025DTR054784_RDT INVERSA  2025EXPADM0337</t>
        </is>
      </c>
      <c r="C2" s="74" t="n">
        <v>-18</v>
      </c>
    </row>
    <row r="3">
      <c r="A3" s="52" t="inlineStr">
        <is>
          <t>31.70.2T.00.06</t>
        </is>
      </c>
      <c r="B3" s="53" t="inlineStr">
        <is>
          <t>DEVOLUCIÓN DE PRECIOS PÚBLICOS INCLUIDOS EN LA REMESA DE DEVOLUCIÓN  Nº 2025DTR080718</t>
        </is>
      </c>
      <c r="C3" s="75" t="n">
        <v>-36</v>
      </c>
    </row>
    <row r="4">
      <c r="A4" s="49" t="inlineStr">
        <is>
          <t>31.70.2T.00.01</t>
        </is>
      </c>
      <c r="B4" s="50" t="inlineStr">
        <is>
          <t>DEVOLUCIÓN DE PRECIOS PÚBLICOS INCLUIDOS EN LA REMESA DE DEVOLUCIÓN  Nº 2025DTR080718</t>
        </is>
      </c>
      <c r="C4" s="74" t="n">
        <v>-36</v>
      </c>
    </row>
    <row r="5">
      <c r="A5" s="52" t="inlineStr">
        <is>
          <t>31.70.2T.00.01</t>
        </is>
      </c>
      <c r="B5" s="53" t="inlineStr">
        <is>
          <t xml:space="preserve">LIQ-TitProp_GH86-1 Curso_2024-25 AñoCont_2025 - LA UNIÓN EUROPEA Y LOS DERECHOS HUMANOS </t>
        </is>
      </c>
      <c r="C5" s="75" t="n">
        <v>468</v>
      </c>
    </row>
    <row r="6">
      <c r="A6" s="49" t="inlineStr">
        <is>
          <t>31.70.2T.00.06</t>
        </is>
      </c>
      <c r="B6" s="50" t="inlineStr">
        <is>
          <t>LIQ-TitProp_GK12-N Curso_2024-25 AñoCont_2024 - INMIGRACIÓN, DERECHOS HUMANOS Y CONTROL DE FRONTERA EN LA UE</t>
        </is>
      </c>
      <c r="C6" s="74" t="n">
        <v>306</v>
      </c>
    </row>
    <row r="7">
      <c r="A7" s="52" t="inlineStr">
        <is>
          <t>31.70.2T.00.06</t>
        </is>
      </c>
      <c r="B7" s="53" t="inlineStr">
        <is>
          <t>LIQ-TitProp_GK12-N Curso_2024-25 AñoCont_2024 - INMIGRACIÓN, DERECHOS HUMANOS Y CONTROL DE FRONTERA EN LA UE</t>
        </is>
      </c>
      <c r="C7" s="75" t="n">
        <v>252</v>
      </c>
    </row>
    <row r="8">
      <c r="A8" s="49" t="inlineStr">
        <is>
          <t>31.70.2T.00.01</t>
        </is>
      </c>
      <c r="B8" s="50" t="inlineStr">
        <is>
          <t xml:space="preserve">LIQ-TitProp_GH86-N Curso_2025-26 AñoCont_2025 - LA UNIÓN EUROPEA Y LOS DERECHOS HUMANOS _ (Cierre-25) EMITIDO-25 COBRADO-25 NO-RDT  </t>
        </is>
      </c>
      <c r="C8" s="74" t="n">
        <v>468</v>
      </c>
    </row>
    <row r="9">
      <c r="A9" s="52" t="inlineStr">
        <is>
          <t>31.70.2T.00.06</t>
        </is>
      </c>
      <c r="B9" s="53" t="inlineStr">
        <is>
          <t xml:space="preserve">LIQ-TitProp_GK12-N Curso_2025-26 AñoCont_2025 - INMIGRACIÓN, DERECHOS HUMANOS Y CONTROL DE FRONTERA EN LA UE _ (Cierre-25) EMITIDO-25 COBRADO-25 NO-RDT </t>
        </is>
      </c>
      <c r="C9" s="75" t="n">
        <v>162</v>
      </c>
    </row>
    <row r="10">
      <c r="A10" s="49" t="inlineStr">
        <is>
          <t>31.70.2T.00.01</t>
        </is>
      </c>
      <c r="B10" s="50" t="inlineStr">
        <is>
          <t xml:space="preserve">LIQ-TitProp_GH86-N Curso_2024-25 AñoCont_2025 - LA UNIÓN EUROPEA Y LOS DERECHOS HUMANOS _ (Cierre-25) Recibos Anulados y Devueltos </t>
        </is>
      </c>
      <c r="C10" s="74" t="n">
        <v>36</v>
      </c>
    </row>
    <row r="11" customFormat="1" s="39">
      <c r="A11" s="62" t="inlineStr">
        <is>
          <t>10.91.2T.01.71</t>
        </is>
      </c>
      <c r="B11" s="63" t="inlineStr">
        <is>
          <t>CÓD: GM46. MICROCREDENCIAL. Desarrollos normativos y jurisprudenciales en materia de derecho de extranjería, inmigración y asilo</t>
        </is>
      </c>
      <c r="C11" s="80" t="n">
        <v>2011.1</v>
      </c>
    </row>
    <row r="12" ht="15" customHeight="1" thickBot="1">
      <c r="A12" s="65" t="inlineStr">
        <is>
          <t>10.91.2T.01.72</t>
        </is>
      </c>
      <c r="B12" s="66" t="inlineStr">
        <is>
          <t xml:space="preserve">LIQ-TitProp_GM46-N Curso_2024-25 AñoCont_2025 - DESARR NORMATIVOS Y JURISPRUDENCIALES EN DERECHO DE EXTRANJ, INMIGR Y ASILO </t>
        </is>
      </c>
      <c r="C12" s="81" t="n">
        <v>725.9</v>
      </c>
    </row>
    <row r="13" ht="15" customHeight="1" thickTop="1">
      <c r="A13" s="55" t="inlineStr">
        <is>
          <t>Total</t>
        </is>
      </c>
      <c r="B13" s="56" t="n"/>
      <c r="C13" s="82">
        <f>SUM(C2:C12)</f>
        <v/>
      </c>
    </row>
    <row r="16">
      <c r="B16" s="58" t="inlineStr">
        <is>
          <t>Total ingresos formación 2023-25</t>
        </is>
      </c>
      <c r="C16" s="77">
        <f>Tabla4[[#Totals],[Imp. aplic.]]+Tabla6[[#Totals],[Imp.cob.aplic.]]+C13</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ddc@ua.es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2026-05-28T21:59:10Z</dcterms:modified>
  <cp:lastModifiedBy>MARIA TERESA PUJALTE DEVIS</cp:lastModifiedBy>
</cp:coreProperties>
</file>