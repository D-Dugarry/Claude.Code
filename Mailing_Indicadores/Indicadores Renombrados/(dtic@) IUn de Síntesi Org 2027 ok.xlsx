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'Tesis'!$A$1:$U$39</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8">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color theme="1"/>
      <sz val="11"/>
      <scheme val="minor"/>
    </font>
    <font>
      <name val="Arial"/>
      <family val="2"/>
      <b val="1"/>
      <color theme="0"/>
      <sz val="10"/>
    </font>
    <font>
      <name val="Arial"/>
      <family val="2"/>
      <b val="1"/>
      <color theme="0"/>
      <sz val="10"/>
    </font>
    <font>
      <name val="Arial"/>
      <family val="2"/>
      <color theme="1"/>
      <sz val="10"/>
    </font>
    <font>
      <name val="Calibri"/>
      <family val="2"/>
      <b val="1"/>
      <color theme="1"/>
      <sz val="11"/>
      <scheme val="minor"/>
    </font>
    <font>
      <name val="Calibri"/>
      <family val="2"/>
      <sz val="8"/>
      <scheme val="minor"/>
    </font>
    <font>
      <name val="Arial"/>
      <family val="2"/>
      <b val="1"/>
      <color theme="1"/>
      <sz val="10"/>
    </font>
  </fonts>
  <fills count="13">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theme="4"/>
        <bgColor theme="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style="thin">
        <color indexed="64"/>
      </left>
      <right style="thin">
        <color indexed="64"/>
      </right>
      <top style="thin">
        <color indexed="64"/>
      </top>
      <bottom/>
      <diagonal/>
    </border>
    <border>
      <left/>
      <right style="medium">
        <color rgb="FF878787"/>
      </right>
      <top style="medium">
        <color rgb="FF878787"/>
      </top>
      <bottom/>
      <diagonal/>
    </border>
    <border>
      <left style="medium">
        <color rgb="FF878787"/>
      </left>
      <right style="medium">
        <color rgb="FF878787"/>
      </right>
      <top style="medium">
        <color rgb="FF878787"/>
      </top>
      <bottom/>
      <diagonal/>
    </border>
    <border>
      <left style="medium">
        <color rgb="FF878787"/>
      </left>
      <right/>
      <top style="medium">
        <color rgb="FF878787"/>
      </top>
      <bottom/>
      <diagonal/>
    </border>
    <border>
      <left/>
      <right/>
      <top/>
      <bottom style="thin">
        <color theme="9" tint="0.3999755851924192"/>
      </bottom>
      <diagonal/>
    </border>
    <border>
      <left/>
      <right/>
      <top style="thin">
        <color theme="9" tint="0.3999755851924192"/>
      </top>
      <bottom/>
      <diagonal/>
    </border>
    <border>
      <left/>
      <right style="thin">
        <color indexed="64"/>
      </right>
      <top style="thin">
        <color indexed="64"/>
      </top>
      <bottom style="thin">
        <color indexed="64"/>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7" fontId="11" fillId="0" borderId="0"/>
  </cellStyleXfs>
  <cellXfs count="101">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textRotation="90" wrapText="1"/>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2" fillId="4" borderId="1" pivotButton="0" quotePrefix="0" xfId="1"/>
    <xf numFmtId="0" fontId="2" fillId="4" borderId="1" applyAlignment="1" pivotButton="0" quotePrefix="0" xfId="1">
      <alignment horizontal="right"/>
    </xf>
    <xf numFmtId="1" fontId="2" fillId="4" borderId="1" pivotButton="0" quotePrefix="0" xfId="1"/>
    <xf numFmtId="164" fontId="2" fillId="4" borderId="1" pivotButton="0" quotePrefix="0" xfId="1"/>
    <xf numFmtId="0" fontId="2" fillId="4" borderId="2" pivotButton="0" quotePrefix="0" xfId="1"/>
    <xf numFmtId="0" fontId="2" fillId="4" borderId="2" applyAlignment="1" pivotButton="0" quotePrefix="0" xfId="1">
      <alignment horizontal="right"/>
    </xf>
    <xf numFmtId="1" fontId="2" fillId="4" borderId="2" pivotButton="0" quotePrefix="0" xfId="1"/>
    <xf numFmtId="164" fontId="2" fillId="4" borderId="2" pivotButton="0" quotePrefix="0" xfId="1"/>
    <xf numFmtId="0" fontId="2" fillId="0" borderId="1" pivotButton="0" quotePrefix="0" xfId="1"/>
    <xf numFmtId="0" fontId="10" fillId="6" borderId="1"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165" fontId="2" fillId="4" borderId="1" pivotButton="0" quotePrefix="0" xfId="1"/>
    <xf numFmtId="165" fontId="2" fillId="4" borderId="2" pivotButton="0" quotePrefix="0" xfId="1"/>
    <xf numFmtId="0" fontId="10" fillId="6" borderId="7" applyAlignment="1" pivotButton="0" quotePrefix="0" xfId="0">
      <alignment horizontal="left" vertical="center"/>
    </xf>
    <xf numFmtId="0" fontId="10" fillId="6" borderId="8" applyAlignment="1" pivotButton="0" quotePrefix="0" xfId="0">
      <alignment horizontal="left" vertical="center"/>
    </xf>
    <xf numFmtId="0" fontId="10" fillId="6" borderId="9" applyAlignment="1" pivotButton="0" quotePrefix="0" xfId="0">
      <alignment horizontal="left" vertical="center"/>
    </xf>
    <xf numFmtId="0" fontId="10" fillId="6" borderId="10" applyAlignment="1" pivotButton="0" quotePrefix="0" xfId="0">
      <alignment horizontal="left" vertical="center"/>
    </xf>
    <xf numFmtId="0" fontId="2" fillId="0" borderId="7" pivotButton="0" quotePrefix="0" xfId="1"/>
    <xf numFmtId="0" fontId="2" fillId="4" borderId="7" pivotButton="0" quotePrefix="0" xfId="1"/>
    <xf numFmtId="0" fontId="2" fillId="4" borderId="7" applyAlignment="1" pivotButton="0" quotePrefix="0" xfId="1">
      <alignment horizontal="right"/>
    </xf>
    <xf numFmtId="0" fontId="6" fillId="0" borderId="1" pivotButton="0" quotePrefix="0" xfId="0"/>
    <xf numFmtId="0" fontId="6" fillId="0" borderId="1" applyAlignment="1" pivotButton="0" quotePrefix="0" xfId="0">
      <alignment horizontal="left"/>
    </xf>
    <xf numFmtId="0" fontId="6" fillId="0" borderId="1" applyAlignment="1" pivotButton="0" quotePrefix="0" xfId="0">
      <alignment horizontal="center"/>
    </xf>
    <xf numFmtId="0" fontId="14" fillId="8" borderId="6" pivotButton="0" quotePrefix="0" xfId="0"/>
    <xf numFmtId="166" fontId="0" fillId="8" borderId="6" pivotButton="0" quotePrefix="0" xfId="6"/>
    <xf numFmtId="0" fontId="14" fillId="0" borderId="6" pivotButton="0" quotePrefix="0" xfId="0"/>
    <xf numFmtId="166" fontId="0" fillId="0" borderId="6" pivotButton="0" quotePrefix="0" xfId="6"/>
    <xf numFmtId="0" fontId="0" fillId="9" borderId="0" pivotButton="0" quotePrefix="0" xfId="0"/>
    <xf numFmtId="0" fontId="0" fillId="9" borderId="0" applyAlignment="1" pivotButton="0" quotePrefix="0" xfId="0">
      <alignment horizontal="left"/>
    </xf>
    <xf numFmtId="167" fontId="0" fillId="0" borderId="0" pivotButton="0" quotePrefix="0" xfId="0"/>
    <xf numFmtId="0" fontId="13" fillId="7" borderId="11" pivotButton="0" quotePrefix="0" xfId="0"/>
    <xf numFmtId="0" fontId="14" fillId="0" borderId="12" pivotButton="0" quotePrefix="0" xfId="0"/>
    <xf numFmtId="166" fontId="0" fillId="0" borderId="12" pivotButton="0" quotePrefix="0" xfId="6"/>
    <xf numFmtId="0" fontId="9" fillId="0" borderId="12" pivotButton="0" quotePrefix="0" xfId="0"/>
    <xf numFmtId="166" fontId="11" fillId="0" borderId="12" pivotButton="0" quotePrefix="0" xfId="0"/>
    <xf numFmtId="0" fontId="14" fillId="8" borderId="6" applyAlignment="1" pivotButton="0" quotePrefix="0" xfId="0">
      <alignment wrapText="1"/>
    </xf>
    <xf numFmtId="0" fontId="14" fillId="0" borderId="6" applyAlignment="1" pivotButton="0" quotePrefix="0" xfId="0">
      <alignment wrapText="1"/>
    </xf>
    <xf numFmtId="0" fontId="14" fillId="0" borderId="12" applyAlignment="1" pivotButton="0" quotePrefix="0" xfId="0">
      <alignment wrapText="1"/>
    </xf>
    <xf numFmtId="167" fontId="0" fillId="0" borderId="0" pivotButton="0" quotePrefix="0" xfId="6"/>
    <xf numFmtId="0" fontId="0" fillId="0" borderId="0" applyAlignment="1" pivotButton="0" quotePrefix="0" xfId="0">
      <alignment wrapText="1"/>
    </xf>
    <xf numFmtId="0" fontId="15" fillId="0" borderId="1" pivotButton="0" quotePrefix="0" xfId="0"/>
    <xf numFmtId="167" fontId="15" fillId="0" borderId="1" pivotButton="0" quotePrefix="0" xfId="6"/>
    <xf numFmtId="0" fontId="2" fillId="4" borderId="13" pivotButton="0" quotePrefix="0" xfId="1"/>
    <xf numFmtId="164" fontId="3" fillId="4" borderId="0" pivotButton="0" quotePrefix="0" xfId="1"/>
    <xf numFmtId="0" fontId="2" fillId="10" borderId="1" pivotButton="0" quotePrefix="0" xfId="1"/>
    <xf numFmtId="164" fontId="2" fillId="10" borderId="2" pivotButton="0" quotePrefix="0" xfId="1"/>
    <xf numFmtId="0" fontId="2" fillId="10" borderId="7" pivotButton="0" quotePrefix="0" xfId="1"/>
    <xf numFmtId="164" fontId="2" fillId="10" borderId="1" pivotButton="0" quotePrefix="0" xfId="1"/>
    <xf numFmtId="0" fontId="0" fillId="10" borderId="1" applyAlignment="1" pivotButton="0" quotePrefix="0" xfId="0">
      <alignment horizontal="center"/>
    </xf>
    <xf numFmtId="0" fontId="6" fillId="10" borderId="1" applyAlignment="1" pivotButton="0" quotePrefix="0" xfId="0">
      <alignment horizontal="center"/>
    </xf>
    <xf numFmtId="0" fontId="12" fillId="12" borderId="14" pivotButton="0" quotePrefix="0" xfId="0"/>
    <xf numFmtId="0" fontId="12" fillId="12" borderId="15" pivotButton="0" quotePrefix="0" xfId="0"/>
    <xf numFmtId="0" fontId="9" fillId="11" borderId="14" pivotButton="0" quotePrefix="0" xfId="0"/>
    <xf numFmtId="0" fontId="9" fillId="11" borderId="15" pivotButton="0" quotePrefix="0" xfId="0"/>
    <xf numFmtId="167" fontId="9" fillId="11" borderId="15" pivotButton="0" quotePrefix="0" xfId="6"/>
    <xf numFmtId="0" fontId="9" fillId="0" borderId="14" pivotButton="0" quotePrefix="0" xfId="0"/>
    <xf numFmtId="0" fontId="9" fillId="0" borderId="15" pivotButton="0" quotePrefix="0" xfId="0"/>
    <xf numFmtId="167" fontId="9" fillId="0" borderId="15" pivotButton="0" quotePrefix="0" xfId="6"/>
    <xf numFmtId="0" fontId="17" fillId="0" borderId="16" pivotButton="0" quotePrefix="0" xfId="0"/>
    <xf numFmtId="0" fontId="17" fillId="0" borderId="17" pivotButton="0" quotePrefix="0" xfId="0"/>
    <xf numFmtId="167" fontId="17" fillId="0" borderId="17" pivotButton="0" quotePrefix="0" xfId="6"/>
    <xf numFmtId="164" fontId="15" fillId="9" borderId="0" pivotButton="0" quotePrefix="0" xfId="0"/>
    <xf numFmtId="165" fontId="2" fillId="4" borderId="2" pivotButton="0" quotePrefix="0" xfId="1"/>
    <xf numFmtId="164" fontId="2" fillId="10" borderId="2" pivotButton="0" quotePrefix="0" xfId="1"/>
    <xf numFmtId="164" fontId="2" fillId="4" borderId="2" pivotButton="0" quotePrefix="0" xfId="1"/>
    <xf numFmtId="165" fontId="2" fillId="4" borderId="1" pivotButton="0" quotePrefix="0" xfId="1"/>
    <xf numFmtId="164" fontId="2" fillId="10" borderId="1" pivotButton="0" quotePrefix="0" xfId="1"/>
    <xf numFmtId="164" fontId="2" fillId="4" borderId="1" pivotButton="0" quotePrefix="0" xfId="1"/>
    <xf numFmtId="164" fontId="3" fillId="4" borderId="0" pivotButton="0" quotePrefix="0" xfId="1"/>
    <xf numFmtId="164" fontId="15" fillId="9" borderId="0" pivotButton="0" quotePrefix="0" xfId="0"/>
    <xf numFmtId="166" fontId="0" fillId="8" borderId="6" pivotButton="0" quotePrefix="0" xfId="6"/>
    <xf numFmtId="166" fontId="0" fillId="0" borderId="6" pivotButton="0" quotePrefix="0" xfId="6"/>
    <xf numFmtId="166" fontId="0" fillId="0" borderId="12" pivotButton="0" quotePrefix="0" xfId="6"/>
    <xf numFmtId="166" fontId="11" fillId="0" borderId="12" pivotButton="0" quotePrefix="0" xfId="0"/>
    <xf numFmtId="167" fontId="0" fillId="0" borderId="0" pivotButton="0" quotePrefix="0" xfId="6"/>
    <xf numFmtId="167" fontId="0" fillId="0" borderId="0" pivotButton="0" quotePrefix="0" xfId="0"/>
    <xf numFmtId="167" fontId="9" fillId="11" borderId="15" pivotButton="0" quotePrefix="0" xfId="6"/>
    <xf numFmtId="167" fontId="9" fillId="0" borderId="15" pivotButton="0" quotePrefix="0" xfId="6"/>
    <xf numFmtId="167" fontId="17" fillId="0" borderId="17" pivotButton="0" quotePrefix="0" xfId="6"/>
    <xf numFmtId="167" fontId="15"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1">
    <dxf>
      <alignment horizontal="general" vertical="bottom" wrapText="1"/>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alignment horizontal="general" vertical="bottom" wrapText="1"/>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22" headerRowCount="1" totalsRowCount="1" headerRowDxfId="10" headerRowBorderDxfId="9" tableBorderDxfId="8" totalsRowBorderDxfId="7">
  <autoFilter ref="A1:C21"/>
  <tableColumns count="3">
    <tableColumn id="1" name="Cód. org. aplic." totalsRowLabel="Total" dataDxfId="6" totalsRowDxfId="5"/>
    <tableColumn id="2" name="Descripción justificante" dataDxfId="4" totalsRowDxfId="3"/>
    <tableColumn id="3" name="Imp.cob.aplic." totalsRowFunction="sum" dataDxfId="2" totalsRowDxfId="1"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20" headerRowCount="1" totalsRowCount="1">
  <autoFilter ref="A1:C19"/>
  <tableColumns count="3">
    <tableColumn id="1" name="Org. aplic." totalsRowLabel="Total"/>
    <tableColumn id="2" name="Descripción justificante" dataDxfId="0"/>
    <tableColumn id="3"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40"/>
  <sheetViews>
    <sheetView showGridLines="0" tabSelected="1" topLeftCell="C10" zoomScale="120" zoomScaleNormal="120" workbookViewId="0">
      <selection activeCell="L16" sqref="L16"/>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5.28515625" customWidth="1" style="7" min="13" max="13"/>
    <col width="4.85546875" customWidth="1" style="6" min="14" max="14"/>
    <col width="5.2851562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ht="12" customHeight="1" thickBot="1">
      <c r="A2" s="23" t="inlineStr">
        <is>
          <t xml:space="preserve">U042 </t>
        </is>
      </c>
      <c r="B2" s="23" t="inlineStr">
        <is>
          <t xml:space="preserve">ADM. I.U. DE SÍNTESIS ORGÁNICA </t>
        </is>
      </c>
      <c r="C2" s="23" t="inlineStr">
        <is>
          <t xml:space="preserve">DOCTORADO EN SÍNTESIS ORGÁNICA </t>
        </is>
      </c>
      <c r="D2" s="23" t="inlineStr">
        <is>
          <t xml:space="preserve">Molina Molina, Cynthia </t>
        </is>
      </c>
      <c r="E2" s="23" t="inlineStr">
        <is>
          <t xml:space="preserve">Síntesis de 2-oxindoles 3,3-disustituidos por alquilación desacilativa </t>
        </is>
      </c>
      <c r="F2" s="23" t="inlineStr">
        <is>
          <t xml:space="preserve">30/07/2020 </t>
        </is>
      </c>
      <c r="G2" s="23" t="inlineStr">
        <is>
          <t xml:space="preserve">16492794T </t>
        </is>
      </c>
      <c r="H2" s="23" t="inlineStr">
        <is>
          <t xml:space="preserve">Codirector de tesis </t>
        </is>
      </c>
      <c r="I2" s="23" t="inlineStr">
        <is>
          <t xml:space="preserve">U042 </t>
        </is>
      </c>
      <c r="J2" s="23" t="inlineStr">
        <is>
          <t xml:space="preserve">ADM. I.U. DE SÍNTESIS ORGÁNICA </t>
        </is>
      </c>
      <c r="K2" s="83" t="n">
        <v>0.5</v>
      </c>
      <c r="L2" s="23" t="inlineStr">
        <is>
          <t>10.11</t>
        </is>
      </c>
      <c r="M2" s="23" t="n">
        <v>2019</v>
      </c>
      <c r="N2" s="23" t="inlineStr"/>
      <c r="O2" s="24" t="inlineStr"/>
      <c r="P2" s="23" t="inlineStr"/>
      <c r="Q2" s="24" t="inlineStr"/>
      <c r="R2" s="25" t="n">
        <v>100</v>
      </c>
      <c r="S2" s="84" t="n">
        <v>0.5</v>
      </c>
      <c r="T2" s="84" t="n">
        <v>0</v>
      </c>
      <c r="U2" s="85" t="n">
        <v>0</v>
      </c>
    </row>
    <row r="3" ht="12" customHeight="1" thickBot="1">
      <c r="A3" s="28" t="inlineStr">
        <is>
          <t xml:space="preserve">U042 </t>
        </is>
      </c>
      <c r="B3" s="28" t="inlineStr">
        <is>
          <t xml:space="preserve">ADM. I.U. DE SÍNTESIS ORGÁNICA </t>
        </is>
      </c>
      <c r="C3" s="28" t="inlineStr">
        <is>
          <t xml:space="preserve">DOCTORADO EN SÍNTESIS ORGÁNICA </t>
        </is>
      </c>
      <c r="D3" s="28" t="inlineStr">
        <is>
          <t xml:space="preserve">Chabour , Ihssene </t>
        </is>
      </c>
      <c r="E3" s="28" t="inlineStr">
        <is>
          <t xml:space="preserve">1,3-Dipolar cycloadditions using catalysts with double chirality and novel multicomponent [4+2] processes. </t>
        </is>
      </c>
      <c r="F3" s="28" t="inlineStr">
        <is>
          <t xml:space="preserve">08/02/2021 </t>
        </is>
      </c>
      <c r="G3" s="29" t="inlineStr">
        <is>
          <t xml:space="preserve">16492794T </t>
        </is>
      </c>
      <c r="H3" s="30" t="inlineStr">
        <is>
          <t xml:space="preserve">Codirector de tesis </t>
        </is>
      </c>
      <c r="I3" s="30" t="inlineStr">
        <is>
          <t xml:space="preserve">U042 </t>
        </is>
      </c>
      <c r="J3" s="31" t="inlineStr">
        <is>
          <t xml:space="preserve">ADM. I.U. DE SÍNTESIS ORGÁNICA </t>
        </is>
      </c>
      <c r="K3" s="27" t="n">
        <v>0.5</v>
      </c>
      <c r="L3" s="27" t="inlineStr">
        <is>
          <t>10.11</t>
        </is>
      </c>
      <c r="M3" s="19" t="n">
        <v>2020</v>
      </c>
      <c r="N3" s="19" t="inlineStr"/>
      <c r="O3" s="20" t="inlineStr"/>
      <c r="P3" s="19" t="inlineStr"/>
      <c r="Q3" s="20" t="inlineStr"/>
      <c r="R3" s="19" t="n">
        <v>100</v>
      </c>
      <c r="S3" s="65" t="n">
        <v>0.5</v>
      </c>
      <c r="T3" s="65" t="n">
        <v>0</v>
      </c>
      <c r="U3" s="19" t="n">
        <v>0</v>
      </c>
    </row>
    <row r="4" ht="12" customHeight="1" thickBot="1">
      <c r="A4" s="28" t="inlineStr">
        <is>
          <t xml:space="preserve">U042 </t>
        </is>
      </c>
      <c r="B4" s="28" t="inlineStr">
        <is>
          <t xml:space="preserve">ADM. I.U. DE SÍNTESIS ORGÁNICA </t>
        </is>
      </c>
      <c r="C4" s="28" t="inlineStr">
        <is>
          <t xml:space="preserve">DOCTORADO EN SÍNTESIS ORGÁNICA </t>
        </is>
      </c>
      <c r="D4" s="28" t="inlineStr">
        <is>
          <t xml:space="preserve">Moreno Cabrerizo, Cristina </t>
        </is>
      </c>
      <c r="E4" s="28" t="inlineStr">
        <is>
          <t xml:space="preserve">Useful strategies for the synthesis of 3,3' - disubstitued 2-oxindoles and homoallyl alcohols </t>
        </is>
      </c>
      <c r="F4" s="28" t="inlineStr">
        <is>
          <t xml:space="preserve">18/03/2021 </t>
        </is>
      </c>
      <c r="G4" s="29" t="inlineStr">
        <is>
          <t xml:space="preserve">16492794T </t>
        </is>
      </c>
      <c r="H4" s="30" t="inlineStr">
        <is>
          <t xml:space="preserve">Codirector de tesis </t>
        </is>
      </c>
      <c r="I4" s="30" t="inlineStr">
        <is>
          <t xml:space="preserve">U042 </t>
        </is>
      </c>
      <c r="J4" s="31" t="inlineStr">
        <is>
          <t xml:space="preserve">ADM. I.U. DE SÍNTESIS ORGÁNICA </t>
        </is>
      </c>
      <c r="K4" s="27" t="n">
        <v>0.5</v>
      </c>
      <c r="L4" s="27" t="inlineStr">
        <is>
          <t>10.11</t>
        </is>
      </c>
      <c r="M4" s="19" t="n">
        <v>2020</v>
      </c>
      <c r="N4" s="19" t="inlineStr"/>
      <c r="O4" s="20" t="inlineStr"/>
      <c r="P4" s="19" t="inlineStr"/>
      <c r="Q4" s="20" t="inlineStr"/>
      <c r="R4" s="19" t="n">
        <v>100</v>
      </c>
      <c r="S4" s="65" t="n">
        <v>0.5</v>
      </c>
      <c r="T4" s="65" t="n">
        <v>0</v>
      </c>
      <c r="U4" s="19" t="n">
        <v>0</v>
      </c>
    </row>
    <row r="5">
      <c r="A5" s="34" t="inlineStr">
        <is>
          <t xml:space="preserve">U042 </t>
        </is>
      </c>
      <c r="B5" s="34" t="inlineStr">
        <is>
          <t xml:space="preserve">ADM. I.U. DE SÍNTESIS ORGÁNICA </t>
        </is>
      </c>
      <c r="C5" s="34" t="inlineStr">
        <is>
          <t xml:space="preserve">DOCTORADO EN SÍNTESIS ORGÁNICA </t>
        </is>
      </c>
      <c r="D5" s="34" t="inlineStr">
        <is>
          <t xml:space="preserve">Sirvent Verdú, Ana </t>
        </is>
      </c>
      <c r="E5" s="34" t="inlineStr">
        <is>
          <t xml:space="preserve">Synthesis of nitrogen containing heterocycles and polyfunctionalized compounds from N-tert-butanesulfinyl alkyl, alkenyl and homopropargyl amine derivatives </t>
        </is>
      </c>
      <c r="F5" s="34" t="inlineStr">
        <is>
          <t xml:space="preserve">24/09/2021 </t>
        </is>
      </c>
      <c r="G5" s="35" t="inlineStr">
        <is>
          <t xml:space="preserve">76793623G </t>
        </is>
      </c>
      <c r="H5" s="36" t="inlineStr">
        <is>
          <t xml:space="preserve">Codirector de tesis </t>
        </is>
      </c>
      <c r="I5" s="36" t="inlineStr">
        <is>
          <t xml:space="preserve">U042 </t>
        </is>
      </c>
      <c r="J5" s="37" t="inlineStr">
        <is>
          <t xml:space="preserve">ADM. I.U. DE SÍNTESIS ORGÁNICA </t>
        </is>
      </c>
      <c r="K5" s="38" t="n">
        <v>0.5</v>
      </c>
      <c r="L5" s="38" t="inlineStr">
        <is>
          <t>10.11</t>
        </is>
      </c>
      <c r="M5" s="39" t="n">
        <v>2020</v>
      </c>
      <c r="N5" s="39" t="inlineStr"/>
      <c r="O5" s="40" t="inlineStr"/>
      <c r="P5" s="39" t="inlineStr"/>
      <c r="Q5" s="40" t="inlineStr"/>
      <c r="R5" s="39" t="n">
        <v>100</v>
      </c>
      <c r="S5" s="67" t="n">
        <v>0.5</v>
      </c>
      <c r="T5" s="67" t="n">
        <v>0</v>
      </c>
      <c r="U5" s="39" t="n">
        <v>0</v>
      </c>
    </row>
    <row r="6">
      <c r="A6" s="19" t="inlineStr">
        <is>
          <t xml:space="preserve">U042 </t>
        </is>
      </c>
      <c r="B6" s="19" t="inlineStr">
        <is>
          <t xml:space="preserve">ADM. I.U. DE SÍNTESIS ORGÁNICA </t>
        </is>
      </c>
      <c r="C6" s="19" t="inlineStr">
        <is>
          <t xml:space="preserve">DOCTORADO EN SÍNTESIS ORGÁNICA </t>
        </is>
      </c>
      <c r="D6" s="19" t="inlineStr">
        <is>
          <t xml:space="preserve">Molina Molina, Cynthia </t>
        </is>
      </c>
      <c r="E6" s="19" t="inlineStr">
        <is>
          <t xml:space="preserve">Síntesis de 2-oxindoles 3,3-disustituidos por alquilación desacilativa </t>
        </is>
      </c>
      <c r="F6" s="19" t="inlineStr">
        <is>
          <t xml:space="preserve">30/07/2020 </t>
        </is>
      </c>
      <c r="G6" s="19" t="inlineStr">
        <is>
          <t xml:space="preserve">21462906L </t>
        </is>
      </c>
      <c r="H6" s="19" t="inlineStr">
        <is>
          <t xml:space="preserve">Codirector de tesis </t>
        </is>
      </c>
      <c r="I6" s="19" t="inlineStr">
        <is>
          <t xml:space="preserve">B141 </t>
        </is>
      </c>
      <c r="J6" s="19" t="inlineStr">
        <is>
          <t xml:space="preserve">QUÍMICA ORGÁNICA </t>
        </is>
      </c>
      <c r="K6" s="86" t="n">
        <v>0.5</v>
      </c>
      <c r="L6" s="19" t="inlineStr">
        <is>
          <t>B141</t>
        </is>
      </c>
      <c r="M6" s="19" t="n">
        <v>2019</v>
      </c>
      <c r="N6" s="19" t="inlineStr">
        <is>
          <t>10.11</t>
        </is>
      </c>
      <c r="O6" s="20" t="inlineStr">
        <is>
          <t>80</t>
        </is>
      </c>
      <c r="P6" s="19" t="inlineStr"/>
      <c r="Q6" s="20" t="inlineStr"/>
      <c r="R6" s="21" t="n">
        <v>20</v>
      </c>
      <c r="S6" s="87" t="n">
        <v>0.1</v>
      </c>
      <c r="T6" s="87" t="n">
        <v>0.4</v>
      </c>
      <c r="U6" s="88" t="n">
        <v>0</v>
      </c>
    </row>
    <row r="7">
      <c r="A7" s="19" t="inlineStr">
        <is>
          <t xml:space="preserve">U042 </t>
        </is>
      </c>
      <c r="B7" s="19" t="inlineStr">
        <is>
          <t xml:space="preserve">ADM. I.U. DE SÍNTESIS ORGÁNICA </t>
        </is>
      </c>
      <c r="C7" s="19" t="inlineStr">
        <is>
          <t xml:space="preserve">DOCTORADO EN SÍNTESIS ORGÁNICA </t>
        </is>
      </c>
      <c r="D7" s="19" t="inlineStr">
        <is>
          <t xml:space="preserve">Albert Soriano, María </t>
        </is>
      </c>
      <c r="E7" s="19" t="inlineStr">
        <is>
          <t xml:space="preserve">TOWARDS SUSTAINABILITY IN ORGANIC TRANSFORMATIONS CATALYSED BY 1,3-BIS(CARBOXYMETHYL)IMIDAZOLE-BASED SYSTEMS </t>
        </is>
      </c>
      <c r="F7" s="19" t="inlineStr">
        <is>
          <t xml:space="preserve">28/09/2020 </t>
        </is>
      </c>
      <c r="G7" s="19" t="inlineStr">
        <is>
          <t xml:space="preserve">52774740K </t>
        </is>
      </c>
      <c r="H7" s="19" t="inlineStr">
        <is>
          <t xml:space="preserve">Director de tesis </t>
        </is>
      </c>
      <c r="I7" s="19" t="inlineStr">
        <is>
          <t xml:space="preserve">B141 </t>
        </is>
      </c>
      <c r="J7" s="19" t="inlineStr">
        <is>
          <t xml:space="preserve">QUÍMICA ORGÁNICA </t>
        </is>
      </c>
      <c r="K7" s="86" t="n">
        <v>1</v>
      </c>
      <c r="L7" s="19" t="inlineStr">
        <is>
          <t>B141</t>
        </is>
      </c>
      <c r="M7" s="19" t="n">
        <v>2019</v>
      </c>
      <c r="N7" s="19" t="inlineStr">
        <is>
          <t>10.11</t>
        </is>
      </c>
      <c r="O7" s="20" t="inlineStr">
        <is>
          <t>50</t>
        </is>
      </c>
      <c r="P7" s="19" t="inlineStr"/>
      <c r="Q7" s="20" t="inlineStr"/>
      <c r="R7" s="21" t="n">
        <v>50</v>
      </c>
      <c r="S7" s="87" t="n">
        <v>0.5</v>
      </c>
      <c r="T7" s="87" t="n">
        <v>0.5</v>
      </c>
      <c r="U7" s="88" t="n">
        <v>0</v>
      </c>
    </row>
    <row r="8">
      <c r="A8" s="19" t="inlineStr">
        <is>
          <t xml:space="preserve">U042 </t>
        </is>
      </c>
      <c r="B8" s="19" t="inlineStr">
        <is>
          <t xml:space="preserve">ADM. I.U. DE SÍNTESIS ORGÁNICA </t>
        </is>
      </c>
      <c r="C8" s="19" t="inlineStr">
        <is>
          <t xml:space="preserve">DOCTORADO EN SÍNTESIS ORGÁNICA </t>
        </is>
      </c>
      <c r="D8" s="19" t="inlineStr">
        <is>
          <t xml:space="preserve">Ferrandiz Saperas, Marcos </t>
        </is>
      </c>
      <c r="E8" s="19" t="inlineStr">
        <is>
          <t xml:space="preserve">Azomethine Ylides for the Synthesis of Antibiotics, Enantioselective Prolinates and a Graphene-supported Catalyst </t>
        </is>
      </c>
      <c r="F8" s="19" t="inlineStr">
        <is>
          <t xml:space="preserve">15/06/2020 </t>
        </is>
      </c>
      <c r="G8" s="19" t="inlineStr">
        <is>
          <t xml:space="preserve">21462906L </t>
        </is>
      </c>
      <c r="H8" s="19" t="inlineStr">
        <is>
          <t xml:space="preserve">Director de tesis </t>
        </is>
      </c>
      <c r="I8" s="19" t="inlineStr">
        <is>
          <t xml:space="preserve">B141 </t>
        </is>
      </c>
      <c r="J8" s="19" t="inlineStr">
        <is>
          <t xml:space="preserve">QUÍMICA ORGÁNICA </t>
        </is>
      </c>
      <c r="K8" s="86" t="n">
        <v>1</v>
      </c>
      <c r="L8" s="19" t="inlineStr">
        <is>
          <t>B141</t>
        </is>
      </c>
      <c r="M8" s="19" t="n">
        <v>2019</v>
      </c>
      <c r="N8" s="19" t="inlineStr">
        <is>
          <t>10.11</t>
        </is>
      </c>
      <c r="O8" s="20" t="inlineStr">
        <is>
          <t>80</t>
        </is>
      </c>
      <c r="P8" s="19" t="inlineStr"/>
      <c r="Q8" s="20" t="inlineStr"/>
      <c r="R8" s="21" t="n">
        <v>20</v>
      </c>
      <c r="S8" s="87" t="n">
        <v>0.2</v>
      </c>
      <c r="T8" s="87" t="n">
        <v>0.8</v>
      </c>
      <c r="U8" s="88" t="n">
        <v>0</v>
      </c>
    </row>
    <row r="9">
      <c r="A9" s="19" t="inlineStr">
        <is>
          <t xml:space="preserve">U042 </t>
        </is>
      </c>
      <c r="B9" s="19" t="inlineStr">
        <is>
          <t xml:space="preserve">ADM. I.U. DE SÍNTESIS ORGÁNICA </t>
        </is>
      </c>
      <c r="C9" s="19" t="inlineStr">
        <is>
          <t xml:space="preserve">DOCTORADO EN SÍNTESIS ORGÁNICA </t>
        </is>
      </c>
      <c r="D9" s="19" t="inlineStr">
        <is>
          <t xml:space="preserve">Felipe Blanco, Diego </t>
        </is>
      </c>
      <c r="E9" s="19" t="inlineStr">
        <is>
          <t xml:space="preserve">Salicylic Acid-Catalyzed Radical Arylations from In-situ Formed Arenediazonium Salts </t>
        </is>
      </c>
      <c r="F9" s="19" t="inlineStr">
        <is>
          <t xml:space="preserve">22/07/2020 </t>
        </is>
      </c>
      <c r="G9" s="19" t="inlineStr">
        <is>
          <t xml:space="preserve">45905770R </t>
        </is>
      </c>
      <c r="H9" s="19" t="inlineStr">
        <is>
          <t xml:space="preserve">Director de tesis </t>
        </is>
      </c>
      <c r="I9" s="19" t="inlineStr">
        <is>
          <t xml:space="preserve">B141 </t>
        </is>
      </c>
      <c r="J9" s="19" t="inlineStr">
        <is>
          <t xml:space="preserve">QUÍMICA ORGÁNICA </t>
        </is>
      </c>
      <c r="K9" s="86" t="n">
        <v>1</v>
      </c>
      <c r="L9" s="19" t="inlineStr">
        <is>
          <t>B141</t>
        </is>
      </c>
      <c r="M9" s="19" t="n">
        <v>2019</v>
      </c>
      <c r="N9" s="19" t="inlineStr">
        <is>
          <t>10.11</t>
        </is>
      </c>
      <c r="O9" s="20" t="inlineStr">
        <is>
          <t>80</t>
        </is>
      </c>
      <c r="P9" s="19" t="inlineStr"/>
      <c r="Q9" s="20" t="inlineStr"/>
      <c r="R9" s="21" t="n">
        <v>20</v>
      </c>
      <c r="S9" s="87" t="n">
        <v>0.2</v>
      </c>
      <c r="T9" s="87" t="n">
        <v>0.8</v>
      </c>
      <c r="U9" s="88" t="n">
        <v>0</v>
      </c>
    </row>
    <row r="10">
      <c r="A10" s="19" t="inlineStr">
        <is>
          <t xml:space="preserve">U042 </t>
        </is>
      </c>
      <c r="B10" s="19" t="inlineStr">
        <is>
          <t xml:space="preserve">ADM. I.U. DE SÍNTESIS ORGÁNICA </t>
        </is>
      </c>
      <c r="C10" s="19" t="inlineStr">
        <is>
          <t xml:space="preserve">DOCTORADO EN SÍNTESIS ORGÁNICA </t>
        </is>
      </c>
      <c r="D10" s="19" t="inlineStr">
        <is>
          <t xml:space="preserve">Martín García, María Iris </t>
        </is>
      </c>
      <c r="E10" s="19" t="inlineStr">
        <is>
          <t xml:space="preserve">NEW ADVENTURES IN SUPPORTED COPPER NANOPARTICLES </t>
        </is>
      </c>
      <c r="F10" s="19" t="inlineStr">
        <is>
          <t xml:space="preserve">30/11/2020 </t>
        </is>
      </c>
      <c r="G10" s="19" t="inlineStr">
        <is>
          <t xml:space="preserve">74215613H </t>
        </is>
      </c>
      <c r="H10" s="19" t="inlineStr">
        <is>
          <t xml:space="preserve">Director de tesis </t>
        </is>
      </c>
      <c r="I10" s="19" t="inlineStr">
        <is>
          <t xml:space="preserve">B141 </t>
        </is>
      </c>
      <c r="J10" s="19" t="inlineStr">
        <is>
          <t xml:space="preserve">QUÍMICA ORGÁNICA </t>
        </is>
      </c>
      <c r="K10" s="86" t="n">
        <v>1</v>
      </c>
      <c r="L10" s="19" t="inlineStr">
        <is>
          <t>B141</t>
        </is>
      </c>
      <c r="M10" s="19" t="n">
        <v>2019</v>
      </c>
      <c r="N10" s="19" t="inlineStr">
        <is>
          <t>10.11</t>
        </is>
      </c>
      <c r="O10" s="20" t="n">
        <v>90</v>
      </c>
      <c r="P10" s="19" t="inlineStr"/>
      <c r="Q10" s="20" t="n">
        <v>0</v>
      </c>
      <c r="R10" s="21" t="n">
        <v>10</v>
      </c>
      <c r="S10" s="87" t="n">
        <v>0.1</v>
      </c>
      <c r="T10" s="87" t="n">
        <v>0.9</v>
      </c>
      <c r="U10" s="88" t="n">
        <v>0</v>
      </c>
    </row>
    <row r="11">
      <c r="A11" s="19" t="inlineStr">
        <is>
          <t xml:space="preserve">U022 </t>
        </is>
      </c>
      <c r="B11" s="19" t="inlineStr">
        <is>
          <t xml:space="preserve">ADM. FACULTAD DE CIENCIAS </t>
        </is>
      </c>
      <c r="C11" s="19" t="inlineStr">
        <is>
          <t xml:space="preserve">DOCTORADO EN CIENCIAS EXPERIMENTALES Y BIOSANITARIAS </t>
        </is>
      </c>
      <c r="D11" s="19" t="inlineStr">
        <is>
          <t xml:space="preserve">Lledó García, David </t>
        </is>
      </c>
      <c r="E11" s="19" t="inlineStr">
        <is>
          <t xml:space="preserve">APPLICATIONS OF IONIC LIQUIDS IN CATALYSIS AND METAL EXTRACTION </t>
        </is>
      </c>
      <c r="F11" s="19" t="inlineStr">
        <is>
          <t xml:space="preserve">19/02/2021 </t>
        </is>
      </c>
      <c r="G11" s="19" t="inlineStr">
        <is>
          <t xml:space="preserve">21462906L </t>
        </is>
      </c>
      <c r="H11" s="19" t="inlineStr">
        <is>
          <t xml:space="preserve">Codirector de tesis </t>
        </is>
      </c>
      <c r="I11" s="19" t="inlineStr">
        <is>
          <t xml:space="preserve">B141 </t>
        </is>
      </c>
      <c r="J11" s="19" t="inlineStr">
        <is>
          <t xml:space="preserve">QUÍMICA ORGÁNICA </t>
        </is>
      </c>
      <c r="K11" s="86" t="n">
        <v>0.5</v>
      </c>
      <c r="L11" s="19" t="inlineStr">
        <is>
          <t>B141</t>
        </is>
      </c>
      <c r="M11" s="19" t="n">
        <v>2020</v>
      </c>
      <c r="N11" s="19" t="inlineStr">
        <is>
          <t>10.11</t>
        </is>
      </c>
      <c r="O11" s="20" t="n">
        <v>80</v>
      </c>
      <c r="P11" s="19" t="inlineStr"/>
      <c r="Q11" s="20" t="n">
        <v>0</v>
      </c>
      <c r="R11" s="21" t="n">
        <v>20</v>
      </c>
      <c r="S11" s="87" t="n">
        <v>0.1</v>
      </c>
      <c r="T11" s="87" t="n">
        <v>0.4</v>
      </c>
      <c r="U11" s="88" t="n">
        <v>0</v>
      </c>
    </row>
    <row r="12">
      <c r="A12" s="19" t="inlineStr">
        <is>
          <t xml:space="preserve">U042 </t>
        </is>
      </c>
      <c r="B12" s="19" t="inlineStr">
        <is>
          <t xml:space="preserve">ADM. I.U. DE SÍNTESIS ORGÁNICA </t>
        </is>
      </c>
      <c r="C12" s="19" t="inlineStr">
        <is>
          <t xml:space="preserve">DOCTORADO EN SÍNTESIS ORGÁNICA </t>
        </is>
      </c>
      <c r="D12" s="19" t="inlineStr">
        <is>
          <t xml:space="preserve">Chabour , Ihssene </t>
        </is>
      </c>
      <c r="E12" s="19" t="inlineStr">
        <is>
          <t xml:space="preserve">1,3-Dipolar cycloadditions using catalysts with double chirality and novel multicomponent [4+2] processes. </t>
        </is>
      </c>
      <c r="F12" s="19" t="inlineStr">
        <is>
          <t xml:space="preserve">08/02/2021 </t>
        </is>
      </c>
      <c r="G12" s="19" t="inlineStr">
        <is>
          <t xml:space="preserve">21462906L </t>
        </is>
      </c>
      <c r="H12" s="19" t="inlineStr">
        <is>
          <t xml:space="preserve">Codirector de tesis </t>
        </is>
      </c>
      <c r="I12" s="19" t="inlineStr">
        <is>
          <t xml:space="preserve">B141 </t>
        </is>
      </c>
      <c r="J12" s="19" t="inlineStr">
        <is>
          <t xml:space="preserve">QUÍMICA ORGÁNICA </t>
        </is>
      </c>
      <c r="K12" s="27" t="n">
        <v>0.5</v>
      </c>
      <c r="L12" s="27" t="inlineStr">
        <is>
          <t>B141</t>
        </is>
      </c>
      <c r="M12" s="19" t="n">
        <v>2020</v>
      </c>
      <c r="N12" s="19" t="inlineStr">
        <is>
          <t>10.11</t>
        </is>
      </c>
      <c r="O12" s="20" t="n">
        <v>80</v>
      </c>
      <c r="P12" s="19" t="inlineStr"/>
      <c r="Q12" s="20" t="n">
        <v>0</v>
      </c>
      <c r="R12" s="19" t="n">
        <v>20</v>
      </c>
      <c r="S12" s="65" t="n">
        <v>0.1</v>
      </c>
      <c r="T12" s="65" t="n">
        <v>0.4</v>
      </c>
      <c r="U12" s="19" t="n">
        <v>0</v>
      </c>
    </row>
    <row r="13">
      <c r="A13" s="28" t="inlineStr">
        <is>
          <t xml:space="preserve">U042 </t>
        </is>
      </c>
      <c r="B13" s="28" t="inlineStr">
        <is>
          <t xml:space="preserve">ADM. I.U. DE SÍNTESIS ORGÁNICA </t>
        </is>
      </c>
      <c r="C13" s="28" t="inlineStr">
        <is>
          <t xml:space="preserve">DOCTORADO EN SÍNTESIS ORGÁNICA </t>
        </is>
      </c>
      <c r="D13" s="28" t="inlineStr">
        <is>
          <t xml:space="preserve">Saavedra Guillem, Beatriz </t>
        </is>
      </c>
      <c r="E13" s="28" t="inlineStr">
        <is>
          <t xml:space="preserve">New strategies for C-C, C-O and C-S bond formation in Deep Eutectic Solvents </t>
        </is>
      </c>
      <c r="F13" s="28" t="inlineStr">
        <is>
          <t xml:space="preserve">18/06/2021 </t>
        </is>
      </c>
      <c r="G13" s="28" t="inlineStr">
        <is>
          <t xml:space="preserve">21457195N </t>
        </is>
      </c>
      <c r="H13" s="28" t="inlineStr">
        <is>
          <t xml:space="preserve">Director de tesis </t>
        </is>
      </c>
      <c r="I13" s="28" t="inlineStr">
        <is>
          <t xml:space="preserve">B141 </t>
        </is>
      </c>
      <c r="J13" s="28" t="inlineStr">
        <is>
          <t xml:space="preserve">QUÍMICA ORGÁNICA </t>
        </is>
      </c>
      <c r="K13" s="27" t="n">
        <v>1</v>
      </c>
      <c r="L13" s="27" t="inlineStr">
        <is>
          <t>B141</t>
        </is>
      </c>
      <c r="M13" s="19" t="n">
        <v>2020</v>
      </c>
      <c r="N13" s="19" t="inlineStr">
        <is>
          <t>10.11</t>
        </is>
      </c>
      <c r="O13" s="20" t="n">
        <v>60</v>
      </c>
      <c r="P13" s="19" t="inlineStr"/>
      <c r="Q13" s="20" t="n">
        <v>0</v>
      </c>
      <c r="R13" s="19" t="n">
        <v>40</v>
      </c>
      <c r="S13" s="65" t="n">
        <v>0.4</v>
      </c>
      <c r="T13" s="65" t="n">
        <v>0.6</v>
      </c>
      <c r="U13" s="19" t="n">
        <v>0</v>
      </c>
    </row>
    <row r="14">
      <c r="A14" s="28" t="inlineStr">
        <is>
          <t xml:space="preserve">U042 </t>
        </is>
      </c>
      <c r="B14" s="28" t="inlineStr">
        <is>
          <t xml:space="preserve">ADM. I.U. DE SÍNTESIS ORGÁNICA </t>
        </is>
      </c>
      <c r="C14" s="28" t="inlineStr">
        <is>
          <t xml:space="preserve">DOCTORADO EN SÍNTESIS ORGÁNICA </t>
        </is>
      </c>
      <c r="D14" s="28" t="inlineStr">
        <is>
          <t xml:space="preserve">Moreno Cabrerizo, Cristina </t>
        </is>
      </c>
      <c r="E14" s="28" t="inlineStr">
        <is>
          <t xml:space="preserve">Useful strategies for the synthesis of 3,3' - disubstitued 2-oxindoles and homoallyl alcohols </t>
        </is>
      </c>
      <c r="F14" s="28" t="inlineStr">
        <is>
          <t xml:space="preserve">18/03/2021 </t>
        </is>
      </c>
      <c r="G14" s="28" t="inlineStr">
        <is>
          <t xml:space="preserve">21462906L </t>
        </is>
      </c>
      <c r="H14" s="28" t="inlineStr">
        <is>
          <t xml:space="preserve">Codirector de tesis </t>
        </is>
      </c>
      <c r="I14" s="28" t="inlineStr">
        <is>
          <t xml:space="preserve">B141 </t>
        </is>
      </c>
      <c r="J14" s="28" t="inlineStr">
        <is>
          <t xml:space="preserve">QUÍMICA ORGÁNICA </t>
        </is>
      </c>
      <c r="K14" s="27" t="n">
        <v>0.5</v>
      </c>
      <c r="L14" s="27" t="inlineStr">
        <is>
          <t>B141</t>
        </is>
      </c>
      <c r="M14" s="19" t="n">
        <v>2020</v>
      </c>
      <c r="N14" s="19" t="inlineStr">
        <is>
          <t>10.11</t>
        </is>
      </c>
      <c r="O14" s="20" t="n">
        <v>80</v>
      </c>
      <c r="P14" s="19" t="inlineStr"/>
      <c r="Q14" s="20" t="n">
        <v>0</v>
      </c>
      <c r="R14" s="19" t="n">
        <v>20</v>
      </c>
      <c r="S14" s="65" t="n">
        <v>0.1</v>
      </c>
      <c r="T14" s="65" t="n">
        <v>0.4</v>
      </c>
      <c r="U14" s="19" t="n">
        <v>0</v>
      </c>
    </row>
    <row r="15">
      <c r="A15" s="28" t="inlineStr">
        <is>
          <t xml:space="preserve">U042 </t>
        </is>
      </c>
      <c r="B15" s="28" t="inlineStr">
        <is>
          <t xml:space="preserve">ADM. I.U. DE SÍNTESIS ORGÁNICA </t>
        </is>
      </c>
      <c r="C15" s="28" t="inlineStr">
        <is>
          <t xml:space="preserve">DOCTORADO EN SÍNTESIS ORGÁNICA </t>
        </is>
      </c>
      <c r="D15" s="28" t="inlineStr">
        <is>
          <t xml:space="preserve">Sirvent Verdú, Ana </t>
        </is>
      </c>
      <c r="E15" s="28" t="inlineStr">
        <is>
          <t xml:space="preserve">Synthesis of nitrogen containing heterocycles and polyfunctionalized compounds from N-tert-butanesulfinyl alkyl, alkenyl and homopropargyl amine derivatives </t>
        </is>
      </c>
      <c r="F15" s="28" t="inlineStr">
        <is>
          <t xml:space="preserve">24/09/2021 </t>
        </is>
      </c>
      <c r="G15" s="28" t="inlineStr">
        <is>
          <t xml:space="preserve">71697007G </t>
        </is>
      </c>
      <c r="H15" s="28" t="inlineStr">
        <is>
          <t xml:space="preserve">Codirector de tesis </t>
        </is>
      </c>
      <c r="I15" s="28" t="inlineStr">
        <is>
          <t xml:space="preserve">B141 </t>
        </is>
      </c>
      <c r="J15" s="28" t="inlineStr">
        <is>
          <t xml:space="preserve">QUÍMICA ORGÁNICA </t>
        </is>
      </c>
      <c r="K15" s="27" t="n">
        <v>0.5</v>
      </c>
      <c r="L15" s="27" t="inlineStr">
        <is>
          <t>B141</t>
        </is>
      </c>
      <c r="M15" s="19" t="n">
        <v>2020</v>
      </c>
      <c r="N15" s="19" t="inlineStr">
        <is>
          <t>10.11</t>
        </is>
      </c>
      <c r="O15" s="20" t="n">
        <v>80</v>
      </c>
      <c r="P15" s="19" t="inlineStr"/>
      <c r="Q15" s="20" t="n">
        <v>0</v>
      </c>
      <c r="R15" s="19" t="n">
        <v>20</v>
      </c>
      <c r="S15" s="65" t="n">
        <v>0.1</v>
      </c>
      <c r="T15" s="65" t="n">
        <v>0.4</v>
      </c>
      <c r="U15" s="19" t="n">
        <v>0</v>
      </c>
    </row>
    <row r="16">
      <c r="A16" s="28" t="inlineStr">
        <is>
          <t xml:space="preserve">U042 </t>
        </is>
      </c>
      <c r="B16" s="28" t="inlineStr">
        <is>
          <t xml:space="preserve">ADM. I.U. DE SÍNTESIS ORGÁNICA </t>
        </is>
      </c>
      <c r="C16" s="28" t="inlineStr">
        <is>
          <t xml:space="preserve">DOCTORADO EN SÍNTESIS ORGÁNICA </t>
        </is>
      </c>
      <c r="D16" s="28" t="inlineStr">
        <is>
          <t xml:space="preserve">Llopis Costa, Natalia </t>
        </is>
      </c>
      <c r="E16" s="28" t="inlineStr">
        <is>
          <t xml:space="preserve">HFIP as a metal-free alternative for cyclization and oxidation reactions </t>
        </is>
      </c>
      <c r="F16" s="28" t="inlineStr">
        <is>
          <t xml:space="preserve">12/04/2022 </t>
        </is>
      </c>
      <c r="G16" s="28" t="inlineStr">
        <is>
          <t xml:space="preserve">52776404Y </t>
        </is>
      </c>
      <c r="H16" s="28" t="inlineStr">
        <is>
          <t xml:space="preserve">Director de tesis </t>
        </is>
      </c>
      <c r="I16" s="28" t="inlineStr">
        <is>
          <t xml:space="preserve">B141 </t>
        </is>
      </c>
      <c r="J16" s="28" t="inlineStr">
        <is>
          <t xml:space="preserve">QUÍMICA ORGÁNICA </t>
        </is>
      </c>
      <c r="K16" s="27" t="n">
        <v>1</v>
      </c>
      <c r="L16" s="27" t="inlineStr">
        <is>
          <t>B141</t>
        </is>
      </c>
      <c r="M16" s="19" t="n">
        <v>2021</v>
      </c>
      <c r="N16" s="19" t="inlineStr">
        <is>
          <t>10.11</t>
        </is>
      </c>
      <c r="O16" s="20" t="n">
        <v>50</v>
      </c>
      <c r="P16" s="19" t="inlineStr"/>
      <c r="Q16" s="20" t="n">
        <v>0</v>
      </c>
      <c r="R16" s="19" t="n">
        <v>50</v>
      </c>
      <c r="S16" s="65" t="n">
        <v>0.5</v>
      </c>
      <c r="T16" s="65" t="n">
        <v>0.5</v>
      </c>
      <c r="U16" s="19" t="n">
        <v>0</v>
      </c>
    </row>
    <row r="17">
      <c r="A17" s="28" t="inlineStr">
        <is>
          <t xml:space="preserve">U042 </t>
        </is>
      </c>
      <c r="B17" s="28" t="inlineStr">
        <is>
          <t xml:space="preserve">ADM. I.U. DE SÍNTESIS ORGÁNICA </t>
        </is>
      </c>
      <c r="C17" s="28" t="inlineStr">
        <is>
          <t xml:space="preserve">DOCTORADO EN SÍNTESIS ORGÁNICA </t>
        </is>
      </c>
      <c r="D17" s="28" t="inlineStr">
        <is>
          <t xml:space="preserve">García Mingüens, Eduardo </t>
        </is>
      </c>
      <c r="E17" s="28" t="inlineStr">
        <is>
          <t xml:space="preserve">SYNTHESIS AND APPLICATIONS OF POLYFUNCTIONALIZED PROLINATES </t>
        </is>
      </c>
      <c r="F17" s="28" t="inlineStr">
        <is>
          <t xml:space="preserve">18/03/2022 </t>
        </is>
      </c>
      <c r="G17" s="28" t="inlineStr">
        <is>
          <t xml:space="preserve">21462906L </t>
        </is>
      </c>
      <c r="H17" s="28" t="inlineStr">
        <is>
          <t xml:space="preserve">Director de tesis </t>
        </is>
      </c>
      <c r="I17" s="28" t="inlineStr">
        <is>
          <t xml:space="preserve">B141 </t>
        </is>
      </c>
      <c r="J17" s="28" t="inlineStr">
        <is>
          <t xml:space="preserve">QUÍMICA ORGÁNICA </t>
        </is>
      </c>
      <c r="K17" s="27" t="n">
        <v>1</v>
      </c>
      <c r="L17" s="27" t="inlineStr">
        <is>
          <t>B141</t>
        </is>
      </c>
      <c r="M17" s="19" t="n">
        <v>2021</v>
      </c>
      <c r="N17" s="19" t="inlineStr">
        <is>
          <t>10.11</t>
        </is>
      </c>
      <c r="O17" s="20" t="n">
        <v>80</v>
      </c>
      <c r="P17" s="19" t="inlineStr"/>
      <c r="Q17" s="20" t="n">
        <v>0</v>
      </c>
      <c r="R17" s="19" t="n">
        <v>20</v>
      </c>
      <c r="S17" s="65" t="n">
        <v>0.2</v>
      </c>
      <c r="T17" s="65" t="n">
        <v>0.8</v>
      </c>
      <c r="U17" s="19" t="n">
        <v>0</v>
      </c>
    </row>
    <row r="18">
      <c r="A18" s="19" t="inlineStr">
        <is>
          <t xml:space="preserve">U042 </t>
        </is>
      </c>
      <c r="B18" s="19" t="inlineStr">
        <is>
          <t xml:space="preserve">ADM. I.U. DE SÍNTESIS ORGÁNICA </t>
        </is>
      </c>
      <c r="C18" s="19" t="inlineStr">
        <is>
          <t xml:space="preserve">DOCTORADO EN SÍNTESIS ORGÁNICA </t>
        </is>
      </c>
      <c r="D18" s="19" t="inlineStr">
        <is>
          <t xml:space="preserve">Baciu , Bianca Catalina </t>
        </is>
      </c>
      <c r="E18" s="19" t="inlineStr">
        <is>
          <t xml:space="preserve">Design and synthesis of biterminated dithiahelicenes of increasing size for molecular electronics and chiroptical applications </t>
        </is>
      </c>
      <c r="F18" s="19" t="inlineStr">
        <is>
          <t xml:space="preserve">15/07/2022 </t>
        </is>
      </c>
      <c r="G18" s="19" t="inlineStr">
        <is>
          <t xml:space="preserve">21482875R </t>
        </is>
      </c>
      <c r="H18" s="19" t="inlineStr">
        <is>
          <t xml:space="preserve">Director de tesis </t>
        </is>
      </c>
      <c r="I18" s="19" t="inlineStr">
        <is>
          <t xml:space="preserve">B141 </t>
        </is>
      </c>
      <c r="J18" s="19" t="inlineStr">
        <is>
          <t xml:space="preserve">QUÍMICA ORGÁNICA </t>
        </is>
      </c>
      <c r="K18" s="27" t="n">
        <v>1</v>
      </c>
      <c r="L18" s="27" t="inlineStr">
        <is>
          <t>B141</t>
        </is>
      </c>
      <c r="M18" s="19" t="n">
        <v>2021</v>
      </c>
      <c r="N18" s="19" t="inlineStr">
        <is>
          <t>10.11</t>
        </is>
      </c>
      <c r="O18" s="20" t="n">
        <v>90</v>
      </c>
      <c r="P18" s="19" t="inlineStr"/>
      <c r="Q18" s="20" t="n">
        <v>0</v>
      </c>
      <c r="R18" s="19" t="n">
        <v>10</v>
      </c>
      <c r="S18" s="65" t="n">
        <v>0.1</v>
      </c>
      <c r="T18" s="65" t="n">
        <v>0.9</v>
      </c>
      <c r="U18" s="19" t="n">
        <v>0</v>
      </c>
    </row>
    <row r="19">
      <c r="A19" s="19" t="inlineStr">
        <is>
          <t xml:space="preserve">U042 </t>
        </is>
      </c>
      <c r="B19" s="19" t="inlineStr">
        <is>
          <t xml:space="preserve">I.U. DE SÍNTESIS ORGÁNICA (10.11) </t>
        </is>
      </c>
      <c r="C19" s="19" t="inlineStr">
        <is>
          <t xml:space="preserve">DOCTORADO EN SÍNTESIS ORGÁNICA </t>
        </is>
      </c>
      <c r="D19" s="19" t="inlineStr">
        <is>
          <t xml:space="preserve">Hernández Ibáñez, Sandra </t>
        </is>
      </c>
      <c r="E19" s="19" t="inlineStr">
        <is>
          <t xml:space="preserve">Stereoselective Synthesis of Monocyclic and Bicyclic Nitrogen Heterocycles from N-tert-Butanesulfinyl Imines </t>
        </is>
      </c>
      <c r="F19" s="19" t="inlineStr">
        <is>
          <t xml:space="preserve">03/05/2023 </t>
        </is>
      </c>
      <c r="G19" s="19" t="inlineStr">
        <is>
          <t xml:space="preserve">71697007G </t>
        </is>
      </c>
      <c r="H19" s="19" t="inlineStr">
        <is>
          <t xml:space="preserve">Director de tesis </t>
        </is>
      </c>
      <c r="I19" s="19" t="inlineStr">
        <is>
          <t xml:space="preserve">B141 </t>
        </is>
      </c>
      <c r="J19" s="19" t="inlineStr">
        <is>
          <t xml:space="preserve">QUÍMICA ORGÁNICA </t>
        </is>
      </c>
      <c r="K19" s="27" t="n">
        <v>1</v>
      </c>
      <c r="L19" s="27" t="inlineStr">
        <is>
          <t>B141</t>
        </is>
      </c>
      <c r="M19" s="19" t="n">
        <v>2022</v>
      </c>
      <c r="N19" s="19" t="inlineStr">
        <is>
          <t>10.11</t>
        </is>
      </c>
      <c r="O19" s="20" t="n">
        <v>80</v>
      </c>
      <c r="P19" s="19" t="inlineStr"/>
      <c r="Q19" s="20" t="n">
        <v>0</v>
      </c>
      <c r="R19" s="19" t="n">
        <v>20</v>
      </c>
      <c r="S19" s="65" t="n">
        <v>0.2</v>
      </c>
      <c r="T19" s="65" t="n">
        <v>0.8</v>
      </c>
      <c r="U19" s="19" t="n">
        <v>0</v>
      </c>
    </row>
    <row r="20">
      <c r="A20" s="19" t="inlineStr">
        <is>
          <t xml:space="preserve">U042 </t>
        </is>
      </c>
      <c r="B20" s="19" t="inlineStr">
        <is>
          <t xml:space="preserve">I.U. DE SÍNTESIS ORGÁNICA (10.11) </t>
        </is>
      </c>
      <c r="C20" s="19" t="inlineStr">
        <is>
          <t xml:space="preserve">DOCTORADO EN SÍNTESIS ORGÁNICA </t>
        </is>
      </c>
      <c r="D20" s="19" t="inlineStr">
        <is>
          <t xml:space="preserve">Belabbes , Asmaa </t>
        </is>
      </c>
      <c r="E20" s="19" t="inlineStr">
        <is>
          <t xml:space="preserve">Design of Cyclisations for the Synthesis of Complex Heterocyclic Skeletons </t>
        </is>
      </c>
      <c r="F20" s="19" t="inlineStr">
        <is>
          <t xml:space="preserve">28/04/2023 </t>
        </is>
      </c>
      <c r="G20" s="19" t="inlineStr">
        <is>
          <t xml:space="preserve">21462906L </t>
        </is>
      </c>
      <c r="H20" s="19" t="inlineStr">
        <is>
          <t xml:space="preserve">Codirector de tesis </t>
        </is>
      </c>
      <c r="I20" s="19" t="inlineStr">
        <is>
          <t xml:space="preserve">B141 </t>
        </is>
      </c>
      <c r="J20" s="19" t="inlineStr">
        <is>
          <t xml:space="preserve">QUÍMICA ORGÁNICA </t>
        </is>
      </c>
      <c r="K20" s="27" t="n">
        <v>0.5</v>
      </c>
      <c r="L20" s="27" t="inlineStr">
        <is>
          <t>B141</t>
        </is>
      </c>
      <c r="M20" s="19" t="n">
        <v>2022</v>
      </c>
      <c r="N20" s="19" t="inlineStr">
        <is>
          <t>10.11</t>
        </is>
      </c>
      <c r="O20" s="20" t="n">
        <v>80</v>
      </c>
      <c r="P20" s="19" t="inlineStr"/>
      <c r="Q20" s="20" t="n">
        <v>0</v>
      </c>
      <c r="R20" s="19" t="n">
        <v>20</v>
      </c>
      <c r="S20" s="65" t="n">
        <v>0.1</v>
      </c>
      <c r="T20" s="65" t="n">
        <v>0.4</v>
      </c>
      <c r="U20" s="19" t="n">
        <v>0</v>
      </c>
    </row>
    <row r="21">
      <c r="A21" s="19" t="inlineStr">
        <is>
          <t xml:space="preserve">U042 </t>
        </is>
      </c>
      <c r="B21" s="19" t="inlineStr">
        <is>
          <t xml:space="preserve">I.U. DE SÍNTESIS ORGÁNICA (10.11) </t>
        </is>
      </c>
      <c r="C21" s="19" t="inlineStr">
        <is>
          <t xml:space="preserve">DOCTORADO EN SÍNTESIS ORGÁNICA </t>
        </is>
      </c>
      <c r="D21" s="19" t="inlineStr">
        <is>
          <t xml:space="preserve">Belabbes , Asmaa </t>
        </is>
      </c>
      <c r="E21" s="19" t="inlineStr">
        <is>
          <t xml:space="preserve">Design of Cyclisations for the Synthesis of Complex Heterocyclic Skeletons </t>
        </is>
      </c>
      <c r="F21" s="19" t="inlineStr">
        <is>
          <t xml:space="preserve">28/04/2023 </t>
        </is>
      </c>
      <c r="G21" s="19" t="inlineStr">
        <is>
          <t xml:space="preserve">71697007G </t>
        </is>
      </c>
      <c r="H21" s="19" t="inlineStr">
        <is>
          <t xml:space="preserve">Codirector de tesis </t>
        </is>
      </c>
      <c r="I21" s="19" t="inlineStr">
        <is>
          <t xml:space="preserve">B141 </t>
        </is>
      </c>
      <c r="J21" s="19" t="inlineStr">
        <is>
          <t xml:space="preserve">QUÍMICA ORGÁNICA </t>
        </is>
      </c>
      <c r="K21" s="19" t="n">
        <v>0.5</v>
      </c>
      <c r="L21" s="19" t="inlineStr">
        <is>
          <t>B141</t>
        </is>
      </c>
      <c r="M21" s="20" t="n">
        <v>2022</v>
      </c>
      <c r="N21" s="19" t="inlineStr">
        <is>
          <t>10.11</t>
        </is>
      </c>
      <c r="O21" s="20" t="n">
        <v>80</v>
      </c>
      <c r="P21" s="19" t="inlineStr"/>
      <c r="Q21" s="20" t="n">
        <v>0</v>
      </c>
      <c r="R21" s="19" t="n">
        <v>20</v>
      </c>
      <c r="S21" s="87" t="n">
        <v>0.1</v>
      </c>
      <c r="T21" s="87" t="n">
        <v>0.4</v>
      </c>
      <c r="U21" s="19" t="n">
        <v>0</v>
      </c>
    </row>
    <row r="22">
      <c r="A22" s="19" t="inlineStr">
        <is>
          <t xml:space="preserve">U042 </t>
        </is>
      </c>
      <c r="B22" s="19" t="inlineStr">
        <is>
          <t xml:space="preserve">I.U. DE SÍNTESIS ORGÁNICA (10.11) </t>
        </is>
      </c>
      <c r="C22" s="19" t="inlineStr">
        <is>
          <t xml:space="preserve">DOCTORADO EN SÍNTESIS ORGÁNICA </t>
        </is>
      </c>
      <c r="D22" s="19" t="inlineStr">
        <is>
          <t xml:space="preserve">Martos González, Mario </t>
        </is>
      </c>
      <c r="E22" s="19" t="inlineStr">
        <is>
          <t xml:space="preserve">Sustainable catalytic systems based on imidazole derivatives </t>
        </is>
      </c>
      <c r="F22" s="19" t="inlineStr">
        <is>
          <t xml:space="preserve">24/03/2023 </t>
        </is>
      </c>
      <c r="G22" s="19" t="inlineStr">
        <is>
          <t xml:space="preserve">52774740K </t>
        </is>
      </c>
      <c r="H22" s="19" t="inlineStr">
        <is>
          <t xml:space="preserve">Director de tesis </t>
        </is>
      </c>
      <c r="I22" s="19" t="inlineStr">
        <is>
          <t xml:space="preserve">B141 </t>
        </is>
      </c>
      <c r="J22" s="19" t="inlineStr">
        <is>
          <t xml:space="preserve">QUÍMICA ORGÁNICA </t>
        </is>
      </c>
      <c r="K22" s="19" t="n">
        <v>1</v>
      </c>
      <c r="L22" s="19" t="inlineStr">
        <is>
          <t>B141</t>
        </is>
      </c>
      <c r="M22" s="20" t="n">
        <v>2022</v>
      </c>
      <c r="N22" s="19" t="inlineStr">
        <is>
          <t>10.11</t>
        </is>
      </c>
      <c r="O22" s="20" t="n">
        <v>80</v>
      </c>
      <c r="P22" s="19" t="inlineStr"/>
      <c r="Q22" s="20" t="n">
        <v>0</v>
      </c>
      <c r="R22" s="19" t="n">
        <v>20</v>
      </c>
      <c r="S22" s="65" t="n">
        <v>0.2</v>
      </c>
      <c r="T22" s="65" t="n">
        <v>0.8</v>
      </c>
      <c r="U22" s="19" t="n">
        <v>0</v>
      </c>
    </row>
    <row r="23">
      <c r="A23" s="19" t="inlineStr">
        <is>
          <t xml:space="preserve">U042 </t>
        </is>
      </c>
      <c r="B23" s="19" t="inlineStr">
        <is>
          <t xml:space="preserve">I.U. DE SÍNTESIS ORGÁNICA (10.11) </t>
        </is>
      </c>
      <c r="C23" s="19" t="inlineStr">
        <is>
          <t xml:space="preserve">DOCTORADO EN SÍNTESIS ORGÁNICA </t>
        </is>
      </c>
      <c r="D23" s="19" t="inlineStr">
        <is>
          <t xml:space="preserve">Torregrosa Chinillach, Alejandro </t>
        </is>
      </c>
      <c r="E23" s="19" t="inlineStr">
        <is>
          <t xml:space="preserve">Organocatalytic systems in enantioselective conjugate addition reactions and photooxidations under visible light </t>
        </is>
      </c>
      <c r="F23" s="19" t="inlineStr">
        <is>
          <t xml:space="preserve">26/05/2023 </t>
        </is>
      </c>
      <c r="G23" s="19" t="inlineStr">
        <is>
          <t xml:space="preserve">21418250Y </t>
        </is>
      </c>
      <c r="H23" s="19" t="inlineStr">
        <is>
          <t xml:space="preserve">Director de tesis </t>
        </is>
      </c>
      <c r="I23" s="19" t="inlineStr">
        <is>
          <t xml:space="preserve">B141 </t>
        </is>
      </c>
      <c r="J23" s="19" t="inlineStr">
        <is>
          <t xml:space="preserve">QUÍMICA ORGÁNICA </t>
        </is>
      </c>
      <c r="K23" s="19" t="n">
        <v>1</v>
      </c>
      <c r="L23" s="19" t="inlineStr">
        <is>
          <t>B141</t>
        </is>
      </c>
      <c r="M23" s="20" t="n">
        <v>2022</v>
      </c>
      <c r="N23" s="19" t="inlineStr">
        <is>
          <t>10.11</t>
        </is>
      </c>
      <c r="O23" s="20" t="n">
        <v>50</v>
      </c>
      <c r="P23" s="19" t="inlineStr"/>
      <c r="Q23" s="20" t="n">
        <v>0</v>
      </c>
      <c r="R23" s="19" t="n">
        <v>50</v>
      </c>
      <c r="S23" s="65" t="n">
        <v>0.5</v>
      </c>
      <c r="T23" s="65" t="n">
        <v>0.5</v>
      </c>
      <c r="U23" s="19" t="n">
        <v>0</v>
      </c>
    </row>
    <row r="24">
      <c r="A24" s="19" t="inlineStr">
        <is>
          <t xml:space="preserve">U042 </t>
        </is>
      </c>
      <c r="B24" s="19" t="inlineStr">
        <is>
          <t xml:space="preserve">I.U. DE SÍNTESIS ORGÁNICA (10.11) </t>
        </is>
      </c>
      <c r="C24" s="19" t="inlineStr">
        <is>
          <t xml:space="preserve">DOCTORADO EN SÍNTESIS ORGÁNICA </t>
        </is>
      </c>
      <c r="D24" s="19" t="inlineStr">
        <is>
          <t xml:space="preserve">González Gallardo, Nerea </t>
        </is>
      </c>
      <c r="E24" s="19" t="inlineStr">
        <is>
          <t xml:space="preserve">Fifth Period Metals in Deep Eutectic Solvents: Catalytic Activity in Organic Synthesis and Beyond </t>
        </is>
      </c>
      <c r="F24" s="19" t="inlineStr">
        <is>
          <t xml:space="preserve">14/09/2023 </t>
        </is>
      </c>
      <c r="G24" s="19" t="inlineStr">
        <is>
          <t xml:space="preserve">21457195N </t>
        </is>
      </c>
      <c r="H24" s="19" t="inlineStr">
        <is>
          <t xml:space="preserve">Codirector de tesis </t>
        </is>
      </c>
      <c r="I24" s="19" t="inlineStr">
        <is>
          <t xml:space="preserve">B141 </t>
        </is>
      </c>
      <c r="J24" s="19" t="inlineStr">
        <is>
          <t xml:space="preserve">QUÍMICA ORGÁNICA </t>
        </is>
      </c>
      <c r="K24" s="19" t="n">
        <v>0.5</v>
      </c>
      <c r="L24" s="19" t="inlineStr">
        <is>
          <t>B141</t>
        </is>
      </c>
      <c r="M24" s="20" t="n">
        <v>2022</v>
      </c>
      <c r="N24" s="19" t="inlineStr">
        <is>
          <t>10.11</t>
        </is>
      </c>
      <c r="O24" s="20" t="n">
        <v>60</v>
      </c>
      <c r="P24" s="19" t="inlineStr"/>
      <c r="Q24" s="20" t="n">
        <v>0</v>
      </c>
      <c r="R24" s="19" t="n">
        <v>40</v>
      </c>
      <c r="S24" s="65" t="n">
        <v>0.2</v>
      </c>
      <c r="T24" s="65" t="n">
        <v>0.3</v>
      </c>
      <c r="U24" s="19" t="n">
        <v>0</v>
      </c>
    </row>
    <row r="25">
      <c r="A25" s="19" t="inlineStr">
        <is>
          <t xml:space="preserve">U042 </t>
        </is>
      </c>
      <c r="B25" s="19" t="inlineStr">
        <is>
          <t xml:space="preserve">I.U. DE SÍNTESIS ORGÁNICA (10.11) </t>
        </is>
      </c>
      <c r="C25" s="19" t="inlineStr">
        <is>
          <t xml:space="preserve">DOCTORADO EN SÍNTESIS ORGÁNICA </t>
        </is>
      </c>
      <c r="D25" s="19" t="inlineStr">
        <is>
          <t xml:space="preserve">González Gallardo, Nerea </t>
        </is>
      </c>
      <c r="E25" s="19" t="inlineStr">
        <is>
          <t xml:space="preserve">Fifth Period Metals in Deep Eutectic Solvents: Catalytic Activity in Organic Synthesis and Beyond </t>
        </is>
      </c>
      <c r="F25" s="19" t="inlineStr">
        <is>
          <t xml:space="preserve">14/09/2023 </t>
        </is>
      </c>
      <c r="G25" s="19" t="inlineStr">
        <is>
          <t xml:space="preserve">21488564D </t>
        </is>
      </c>
      <c r="H25" s="19" t="inlineStr">
        <is>
          <t xml:space="preserve">Codirector de tesis </t>
        </is>
      </c>
      <c r="I25" s="19" t="inlineStr">
        <is>
          <t xml:space="preserve">B141 </t>
        </is>
      </c>
      <c r="J25" s="19" t="inlineStr">
        <is>
          <t xml:space="preserve">QUÍMICA ORGÁNICA </t>
        </is>
      </c>
      <c r="K25" s="19" t="n">
        <v>0.5</v>
      </c>
      <c r="L25" s="19" t="inlineStr">
        <is>
          <t>B141</t>
        </is>
      </c>
      <c r="M25" s="20" t="n">
        <v>2022</v>
      </c>
      <c r="N25" s="19" t="inlineStr">
        <is>
          <t>10.11</t>
        </is>
      </c>
      <c r="O25" s="20" t="n">
        <v>80</v>
      </c>
      <c r="P25" s="19" t="inlineStr"/>
      <c r="Q25" s="20" t="n">
        <v>0</v>
      </c>
      <c r="R25" s="19" t="n">
        <v>20</v>
      </c>
      <c r="S25" s="65" t="n">
        <v>0.1</v>
      </c>
      <c r="T25" s="65" t="n">
        <v>0.4</v>
      </c>
      <c r="U25" s="19" t="n">
        <v>0</v>
      </c>
    </row>
    <row r="26">
      <c r="A26" s="19" t="inlineStr">
        <is>
          <t>U042</t>
        </is>
      </c>
      <c r="B26" s="19" t="inlineStr">
        <is>
          <t>I.U. DE SÍNTESIS ORGÁNICA (10.11)</t>
        </is>
      </c>
      <c r="C26" s="63" t="inlineStr">
        <is>
          <t>DOCTORADO EN SÍNTESIS ORGÁNICA</t>
        </is>
      </c>
      <c r="D26" s="19" t="inlineStr">
        <is>
          <t>Rodríguez Flórez, Lesly Viviana</t>
        </is>
      </c>
      <c r="E26" s="19" t="inlineStr">
        <is>
          <t>Imino esters as useful precursors for the synthesis of glutamate derivatives and
functionalization of carbon materials.</t>
        </is>
      </c>
      <c r="F26" s="19" t="inlineStr">
        <is>
          <t>27/05/2024</t>
        </is>
      </c>
      <c r="G26" s="19" t="inlineStr">
        <is>
          <t>05921559W</t>
        </is>
      </c>
      <c r="H26" s="19" t="inlineStr">
        <is>
          <t>Codirector de tesis</t>
        </is>
      </c>
      <c r="I26" s="19" t="inlineStr">
        <is>
          <t>B141</t>
        </is>
      </c>
      <c r="J26" s="19" t="inlineStr">
        <is>
          <t>QUÍMICA ORGÁNICA</t>
        </is>
      </c>
      <c r="K26" s="19" t="n">
        <v>0.5</v>
      </c>
      <c r="L26" s="19" t="inlineStr">
        <is>
          <t>B141</t>
        </is>
      </c>
      <c r="M26" s="19" t="n">
        <v>2023</v>
      </c>
      <c r="N26" s="19" t="inlineStr">
        <is>
          <t>10.11</t>
        </is>
      </c>
      <c r="O26" s="19" t="inlineStr">
        <is>
          <t>90</t>
        </is>
      </c>
      <c r="P26" s="19" t="inlineStr"/>
      <c r="Q26" s="19" t="inlineStr"/>
      <c r="R26" s="19" t="n">
        <v>10</v>
      </c>
      <c r="S26" s="65" t="n">
        <v>0.05</v>
      </c>
      <c r="T26" s="65" t="n">
        <v>0.45</v>
      </c>
      <c r="U26" s="19" t="n">
        <v>0</v>
      </c>
      <c r="V26" s="6" t="inlineStr">
        <is>
          <t>S</t>
        </is>
      </c>
    </row>
    <row r="27">
      <c r="A27" s="19" t="inlineStr">
        <is>
          <t>U042</t>
        </is>
      </c>
      <c r="B27" s="19" t="inlineStr">
        <is>
          <t>I.U. DE SÍNTESIS ORGÁNICA (10.11)</t>
        </is>
      </c>
      <c r="C27" s="63" t="inlineStr">
        <is>
          <t>DOCTORADO EN SÍNTESIS ORGÁNICA</t>
        </is>
      </c>
      <c r="D27" s="19" t="inlineStr">
        <is>
          <t>Rodríguez Flórez, Lesly Viviana</t>
        </is>
      </c>
      <c r="E27" s="19" t="inlineStr">
        <is>
          <t>Imino esters as useful precursors for the synthesis of glutamate derivatives and
functionalization of carbon materials.</t>
        </is>
      </c>
      <c r="F27" s="19" t="inlineStr">
        <is>
          <t>27/05/2024</t>
        </is>
      </c>
      <c r="G27" s="19" t="inlineStr">
        <is>
          <t>21462906L</t>
        </is>
      </c>
      <c r="H27" s="19" t="inlineStr">
        <is>
          <t>Codirector de tesis</t>
        </is>
      </c>
      <c r="I27" s="19" t="inlineStr">
        <is>
          <t>B141</t>
        </is>
      </c>
      <c r="J27" s="19" t="inlineStr">
        <is>
          <t>QUÍMICA ORGÁNICA</t>
        </is>
      </c>
      <c r="K27" s="19" t="n">
        <v>0.5</v>
      </c>
      <c r="L27" s="19" t="inlineStr">
        <is>
          <t>B141</t>
        </is>
      </c>
      <c r="M27" s="19" t="n">
        <v>2023</v>
      </c>
      <c r="N27" s="19" t="inlineStr">
        <is>
          <t>10.11</t>
        </is>
      </c>
      <c r="O27" s="19" t="inlineStr">
        <is>
          <t>80</t>
        </is>
      </c>
      <c r="P27" s="19" t="inlineStr"/>
      <c r="Q27" s="19" t="inlineStr"/>
      <c r="R27" s="19" t="n">
        <v>20</v>
      </c>
      <c r="S27" s="65" t="n">
        <v>0.1</v>
      </c>
      <c r="T27" s="65" t="n">
        <v>0.4</v>
      </c>
      <c r="U27" s="19" t="n">
        <v>0</v>
      </c>
      <c r="V27" s="6" t="inlineStr">
        <is>
          <t>S</t>
        </is>
      </c>
    </row>
    <row r="28">
      <c r="A28" s="19" t="inlineStr">
        <is>
          <t>U042</t>
        </is>
      </c>
      <c r="B28" s="19" t="inlineStr">
        <is>
          <t>I.U. DE SÍNTESIS ORGÁNICA (10.11)</t>
        </is>
      </c>
      <c r="C28" s="63" t="inlineStr">
        <is>
          <t>DOCTORADO EN SÍNTESIS ORGÁNICA</t>
        </is>
      </c>
      <c r="D28" s="19" t="inlineStr">
        <is>
          <t>Ortuño Navarro, Juan Francisco</t>
        </is>
      </c>
      <c r="E28" s="19" t="inlineStr">
        <is>
          <t>Fatty Acids, Phenolic Compounds and Thiazole Derivatives as Precursors of Molecules with Potential Biological Activity</t>
        </is>
      </c>
      <c r="F28" s="19" t="inlineStr">
        <is>
          <t>20/11/2023</t>
        </is>
      </c>
      <c r="G28" s="19" t="inlineStr">
        <is>
          <t>21462906L</t>
        </is>
      </c>
      <c r="H28" s="19" t="inlineStr">
        <is>
          <t>Codirector de tesis</t>
        </is>
      </c>
      <c r="I28" s="19" t="inlineStr">
        <is>
          <t>B141</t>
        </is>
      </c>
      <c r="J28" s="19" t="inlineStr">
        <is>
          <t>QUÍMICA ORGÁNICA</t>
        </is>
      </c>
      <c r="K28" s="19" t="n">
        <v>0.5</v>
      </c>
      <c r="L28" s="19" t="inlineStr">
        <is>
          <t>B141</t>
        </is>
      </c>
      <c r="M28" s="19" t="n">
        <v>2023</v>
      </c>
      <c r="N28" s="19" t="inlineStr">
        <is>
          <t>10.11</t>
        </is>
      </c>
      <c r="O28" s="19" t="inlineStr">
        <is>
          <t>80</t>
        </is>
      </c>
      <c r="P28" s="19" t="inlineStr"/>
      <c r="Q28" s="19" t="inlineStr"/>
      <c r="R28" s="19" t="n">
        <v>20</v>
      </c>
      <c r="S28" s="65" t="n">
        <v>0.1</v>
      </c>
      <c r="T28" s="65" t="n">
        <v>0.4</v>
      </c>
      <c r="U28" s="19" t="n">
        <v>0</v>
      </c>
      <c r="V28" s="6" t="inlineStr">
        <is>
          <t>S</t>
        </is>
      </c>
    </row>
    <row r="29">
      <c r="A29" s="19" t="inlineStr">
        <is>
          <t>U042</t>
        </is>
      </c>
      <c r="B29" s="19" t="inlineStr">
        <is>
          <t>I.U. DE SÍNTESIS ORGÁNICA (10.11)</t>
        </is>
      </c>
      <c r="C29" s="63" t="inlineStr">
        <is>
          <t>DOCTORADO EN SÍNTESIS ORGÁNICA</t>
        </is>
      </c>
      <c r="D29" s="19" t="inlineStr">
        <is>
          <t>Ortuño Navarro, Juan Francisco</t>
        </is>
      </c>
      <c r="E29" s="19" t="inlineStr">
        <is>
          <t>Fatty Acids, Phenolic Compounds and Thiazole Derivatives as Precursors of Molecules with Potential Biological Activity</t>
        </is>
      </c>
      <c r="F29" s="19" t="inlineStr">
        <is>
          <t>20/11/2023</t>
        </is>
      </c>
      <c r="G29" s="19" t="inlineStr">
        <is>
          <t>71697007G</t>
        </is>
      </c>
      <c r="H29" s="19" t="inlineStr">
        <is>
          <t>Codirector de tesis</t>
        </is>
      </c>
      <c r="I29" s="19" t="inlineStr">
        <is>
          <t>B141</t>
        </is>
      </c>
      <c r="J29" s="19" t="inlineStr">
        <is>
          <t>QUÍMICA ORGÁNICA</t>
        </is>
      </c>
      <c r="K29" s="19" t="n">
        <v>0.5</v>
      </c>
      <c r="L29" s="19" t="inlineStr">
        <is>
          <t>B141</t>
        </is>
      </c>
      <c r="M29" s="19" t="n">
        <v>2023</v>
      </c>
      <c r="N29" s="19" t="inlineStr">
        <is>
          <t>10.11</t>
        </is>
      </c>
      <c r="O29" s="19" t="inlineStr">
        <is>
          <t>80</t>
        </is>
      </c>
      <c r="P29" s="19" t="inlineStr"/>
      <c r="Q29" s="19" t="inlineStr"/>
      <c r="R29" s="19" t="n">
        <v>20</v>
      </c>
      <c r="S29" s="65" t="n">
        <v>0.1</v>
      </c>
      <c r="T29" s="65" t="n">
        <v>0.4</v>
      </c>
      <c r="U29" s="19" t="n">
        <v>0</v>
      </c>
      <c r="V29" s="6" t="inlineStr">
        <is>
          <t>S</t>
        </is>
      </c>
    </row>
    <row r="30">
      <c r="A30" s="19" t="inlineStr">
        <is>
          <t>U042</t>
        </is>
      </c>
      <c r="B30" s="19" t="inlineStr">
        <is>
          <t>I.U. DE SÍNTESIS ORGÁNICA (10.11)</t>
        </is>
      </c>
      <c r="C30" s="63" t="inlineStr">
        <is>
          <t>DOCTORADO EN SÍNTESIS ORGÁNICA</t>
        </is>
      </c>
      <c r="D30" s="19" t="inlineStr">
        <is>
          <t>Burlingham , Sarah Jayne</t>
        </is>
      </c>
      <c r="E30" s="19" t="inlineStr">
        <is>
          <t>Deep Eutectic Solvents and Visible-Light Photocatalysis: Pathways to Greener Chemistry</t>
        </is>
      </c>
      <c r="F30" s="19" t="inlineStr">
        <is>
          <t>10/06/2024</t>
        </is>
      </c>
      <c r="G30" s="19" t="inlineStr">
        <is>
          <t>21484328M</t>
        </is>
      </c>
      <c r="H30" s="19" t="inlineStr">
        <is>
          <t>Codirector de tesis</t>
        </is>
      </c>
      <c r="I30" s="19" t="inlineStr">
        <is>
          <t>B141</t>
        </is>
      </c>
      <c r="J30" s="19" t="inlineStr">
        <is>
          <t>QUÍMICA ORGÁNICA</t>
        </is>
      </c>
      <c r="K30" s="19" t="n">
        <v>0.5</v>
      </c>
      <c r="L30" s="19" t="inlineStr">
        <is>
          <t>B141</t>
        </is>
      </c>
      <c r="M30" s="19" t="n">
        <v>2023</v>
      </c>
      <c r="N30" s="19" t="inlineStr">
        <is>
          <t>10.11</t>
        </is>
      </c>
      <c r="O30" s="19" t="inlineStr">
        <is>
          <t>65</t>
        </is>
      </c>
      <c r="P30" s="19" t="inlineStr"/>
      <c r="Q30" s="19" t="inlineStr"/>
      <c r="R30" s="19" t="n">
        <v>35</v>
      </c>
      <c r="S30" s="65" t="n">
        <v>0.175</v>
      </c>
      <c r="T30" s="65" t="n">
        <v>0.325</v>
      </c>
      <c r="U30" s="19" t="n">
        <v>0</v>
      </c>
      <c r="V30" s="6" t="inlineStr">
        <is>
          <t>S</t>
        </is>
      </c>
    </row>
    <row r="31">
      <c r="A31" s="19" t="inlineStr">
        <is>
          <t>U042</t>
        </is>
      </c>
      <c r="B31" s="19" t="inlineStr">
        <is>
          <t>I.U. DE SÍNTESIS ORGÁNICA (10.11)</t>
        </is>
      </c>
      <c r="C31" s="63" t="inlineStr">
        <is>
          <t>DOCTORADO EN SÍNTESIS ORGÁNICA</t>
        </is>
      </c>
      <c r="D31" s="19" t="inlineStr">
        <is>
          <t>Burlingham , Sarah Jayne</t>
        </is>
      </c>
      <c r="E31" s="19" t="inlineStr">
        <is>
          <t>Deep Eutectic Solvents and Visible-Light Photocatalysis: Pathways to Greener Chemistry</t>
        </is>
      </c>
      <c r="F31" s="19" t="inlineStr">
        <is>
          <t>10/06/2024</t>
        </is>
      </c>
      <c r="G31" s="19" t="inlineStr">
        <is>
          <t>21418250Y</t>
        </is>
      </c>
      <c r="H31" s="19" t="inlineStr">
        <is>
          <t>Codirector de tesis</t>
        </is>
      </c>
      <c r="I31" s="19" t="inlineStr">
        <is>
          <t>B141</t>
        </is>
      </c>
      <c r="J31" s="19" t="inlineStr">
        <is>
          <t>QUÍMICA ORGÁNICA</t>
        </is>
      </c>
      <c r="K31" s="19" t="n">
        <v>0.5</v>
      </c>
      <c r="L31" s="19" t="inlineStr">
        <is>
          <t>B141</t>
        </is>
      </c>
      <c r="M31" s="19" t="n">
        <v>2023</v>
      </c>
      <c r="N31" s="19" t="inlineStr">
        <is>
          <t>10.11</t>
        </is>
      </c>
      <c r="O31" s="19" t="inlineStr">
        <is>
          <t>50</t>
        </is>
      </c>
      <c r="P31" s="19" t="inlineStr"/>
      <c r="Q31" s="19" t="inlineStr"/>
      <c r="R31" s="19" t="n">
        <v>50</v>
      </c>
      <c r="S31" s="65" t="n">
        <v>0.25</v>
      </c>
      <c r="T31" s="65" t="n">
        <v>0.25</v>
      </c>
      <c r="U31" s="19" t="n">
        <v>0</v>
      </c>
      <c r="V31" s="6" t="inlineStr">
        <is>
          <t>S</t>
        </is>
      </c>
    </row>
    <row r="32">
      <c r="A32" s="19" t="inlineStr">
        <is>
          <t>U042</t>
        </is>
      </c>
      <c r="B32" s="19" t="inlineStr">
        <is>
          <t>I.U. DE SÍNTESIS ORGÁNICA (10.11)</t>
        </is>
      </c>
      <c r="C32" s="19" t="inlineStr">
        <is>
          <t>DOCTORADO EN SÍNTESIS ORGÁNICA</t>
        </is>
      </c>
      <c r="D32" s="19" t="inlineStr">
        <is>
          <t>Procopio , Debora</t>
        </is>
      </c>
      <c r="E32" s="19" t="inlineStr">
        <is>
          <t>Deep Eutectic Solvents as Sustainable Media for Pharmaceutical Purposes</t>
        </is>
      </c>
      <c r="F32" s="19" t="inlineStr">
        <is>
          <t>16/09/2024</t>
        </is>
      </c>
      <c r="G32" s="19" t="inlineStr">
        <is>
          <t>21457195N</t>
        </is>
      </c>
      <c r="H32" s="19" t="inlineStr">
        <is>
          <t>Codirector de tesis</t>
        </is>
      </c>
      <c r="I32" s="19" t="inlineStr">
        <is>
          <t>B141</t>
        </is>
      </c>
      <c r="J32" s="19" t="inlineStr">
        <is>
          <t>QUIMICA ORGANICA</t>
        </is>
      </c>
      <c r="K32" s="19" t="n">
        <v>0.5</v>
      </c>
      <c r="L32" s="19" t="inlineStr">
        <is>
          <t>B141</t>
        </is>
      </c>
      <c r="M32" s="19" t="n">
        <v>2023</v>
      </c>
      <c r="N32" s="19" t="inlineStr">
        <is>
          <t>10.11</t>
        </is>
      </c>
      <c r="O32" s="19" t="inlineStr">
        <is>
          <t>60</t>
        </is>
      </c>
      <c r="P32" s="19" t="inlineStr"/>
      <c r="Q32" s="19" t="inlineStr"/>
      <c r="R32" s="19" t="n">
        <v>40</v>
      </c>
      <c r="S32" s="65" t="n">
        <v>0.2</v>
      </c>
      <c r="T32" s="65" t="n">
        <v>0.3</v>
      </c>
      <c r="U32" s="19" t="n">
        <v>0</v>
      </c>
      <c r="V32" s="6" t="inlineStr">
        <is>
          <t>S</t>
        </is>
      </c>
    </row>
    <row r="33">
      <c r="A33" s="19" t="inlineStr">
        <is>
          <t>U042</t>
        </is>
      </c>
      <c r="B33" s="19" t="inlineStr">
        <is>
          <t>I.U. DE SÍNTESIS ORGÁNICA (10.11)</t>
        </is>
      </c>
      <c r="C33" s="19" t="inlineStr">
        <is>
          <t>DOCTORADO EN SÍNTESIS ORGÁNICA</t>
        </is>
      </c>
      <c r="D33" s="19" t="inlineStr">
        <is>
          <t>Procopio , Debora</t>
        </is>
      </c>
      <c r="E33" s="19" t="inlineStr">
        <is>
          <t>Deep Eutectic Solvents as Sustainable Media for Pharmaceutical Purposes</t>
        </is>
      </c>
      <c r="F33" s="19" t="inlineStr">
        <is>
          <t>16/09/2025</t>
        </is>
      </c>
      <c r="G33" s="19" t="inlineStr">
        <is>
          <t>-</t>
        </is>
      </c>
      <c r="H33" s="19" t="inlineStr">
        <is>
          <t>Codirector de tesis</t>
        </is>
      </c>
      <c r="I33" s="19" t="inlineStr">
        <is>
          <t>U042</t>
        </is>
      </c>
      <c r="J33" s="19" t="inlineStr">
        <is>
          <t>I.U. DE SÍNTESIS ORGÁNICA (10.11)</t>
        </is>
      </c>
      <c r="K33" s="19" t="n">
        <v>0.5</v>
      </c>
      <c r="L33" s="19" t="inlineStr">
        <is>
          <t>10.11</t>
        </is>
      </c>
      <c r="M33" s="19" t="n">
        <v>2023</v>
      </c>
      <c r="N33" s="19" t="n"/>
      <c r="O33" s="19" t="n"/>
      <c r="P33" s="19" t="inlineStr"/>
      <c r="Q33" s="19" t="inlineStr"/>
      <c r="R33" s="19" t="n">
        <v>100</v>
      </c>
      <c r="S33" s="65" t="n">
        <v>0.5</v>
      </c>
      <c r="T33" s="65" t="n">
        <v>0</v>
      </c>
      <c r="U33" s="19" t="n">
        <v>0</v>
      </c>
      <c r="V33" s="6" t="inlineStr">
        <is>
          <t>S</t>
        </is>
      </c>
    </row>
    <row r="34">
      <c r="A34" s="19" t="inlineStr">
        <is>
          <t>U042</t>
        </is>
      </c>
      <c r="B34" s="19" t="inlineStr">
        <is>
          <t>I.U. de Síntesis Orgánica (10.11)</t>
        </is>
      </c>
      <c r="C34" s="19" t="inlineStr">
        <is>
          <t>DOCTORADO EN SÍNTESIS ORGÁNICA</t>
        </is>
      </c>
      <c r="D34" s="19" t="inlineStr">
        <is>
          <t>Blanco López, Ester</t>
        </is>
      </c>
      <c r="E34" s="19" t="inlineStr">
        <is>
          <t>[3+2] Cycloadditions, Mannich and Morita-Baylis-Hillman reactions involving N-tert-
butanesulfinyl imines</t>
        </is>
      </c>
      <c r="F34" s="19" t="inlineStr">
        <is>
          <t>19/06/2025</t>
        </is>
      </c>
      <c r="G34" s="19" t="inlineStr">
        <is>
          <t>05921559W</t>
        </is>
      </c>
      <c r="H34" s="19" t="inlineStr">
        <is>
          <t>Codirector de tesis</t>
        </is>
      </c>
      <c r="I34" s="19" t="inlineStr">
        <is>
          <t>B141</t>
        </is>
      </c>
      <c r="J34" s="19" t="inlineStr">
        <is>
          <t>Química Orgánica</t>
        </is>
      </c>
      <c r="K34" s="19" t="n">
        <v>0.5</v>
      </c>
      <c r="L34" s="19" t="inlineStr">
        <is>
          <t>B141</t>
        </is>
      </c>
      <c r="M34" s="19" t="n">
        <v>2024</v>
      </c>
      <c r="N34" s="19" t="inlineStr">
        <is>
          <t>10.11</t>
        </is>
      </c>
      <c r="O34" s="19" t="inlineStr">
        <is>
          <t>90</t>
        </is>
      </c>
      <c r="P34" s="19" t="inlineStr"/>
      <c r="Q34" s="19" t="inlineStr"/>
      <c r="R34" s="19" t="n">
        <v>10</v>
      </c>
      <c r="S34" s="65" t="n">
        <v>0.05</v>
      </c>
      <c r="T34" s="65" t="n">
        <v>0.45</v>
      </c>
      <c r="U34" s="19" t="n">
        <v>0</v>
      </c>
    </row>
    <row r="35">
      <c r="A35" s="19" t="inlineStr">
        <is>
          <t>U042</t>
        </is>
      </c>
      <c r="B35" s="19" t="inlineStr">
        <is>
          <t>I.U. de Síntesis Orgánica (10.11)</t>
        </is>
      </c>
      <c r="C35" s="19" t="inlineStr">
        <is>
          <t>DOCTORADO EN SÍNTESIS ORGÁNICA</t>
        </is>
      </c>
      <c r="D35" s="19" t="inlineStr">
        <is>
          <t>Blanco López, Ester</t>
        </is>
      </c>
      <c r="E35" s="19" t="inlineStr">
        <is>
          <t>[3+2] Cycloadditions, Mannich and Morita-Baylis-Hillman reactions involving N-tert-
butanesulfinyl imines</t>
        </is>
      </c>
      <c r="F35" s="19" t="inlineStr">
        <is>
          <t>19/06/2025</t>
        </is>
      </c>
      <c r="G35" s="19" t="inlineStr">
        <is>
          <t>21462906L</t>
        </is>
      </c>
      <c r="H35" s="19" t="inlineStr">
        <is>
          <t>Codirector de tesis</t>
        </is>
      </c>
      <c r="I35" s="19" t="inlineStr">
        <is>
          <t>B141</t>
        </is>
      </c>
      <c r="J35" s="19" t="inlineStr">
        <is>
          <t>Química Orgánica</t>
        </is>
      </c>
      <c r="K35" s="19" t="n">
        <v>0.5</v>
      </c>
      <c r="L35" s="19" t="inlineStr">
        <is>
          <t>B141</t>
        </is>
      </c>
      <c r="M35" s="19" t="n">
        <v>2024</v>
      </c>
      <c r="N35" s="19" t="inlineStr">
        <is>
          <t>10.11</t>
        </is>
      </c>
      <c r="O35" s="19" t="inlineStr">
        <is>
          <t>80</t>
        </is>
      </c>
      <c r="P35" s="19" t="inlineStr"/>
      <c r="Q35" s="19" t="inlineStr"/>
      <c r="R35" s="19" t="n">
        <v>20</v>
      </c>
      <c r="S35" s="65" t="n">
        <v>0.1</v>
      </c>
      <c r="T35" s="65" t="n">
        <v>0.4</v>
      </c>
      <c r="U35" s="19" t="n">
        <v>0</v>
      </c>
    </row>
    <row r="36">
      <c r="A36" s="19" t="inlineStr">
        <is>
          <t>U042</t>
        </is>
      </c>
      <c r="B36" s="19" t="inlineStr">
        <is>
          <t>I.U. de Síntesis Orgánica (10.11)</t>
        </is>
      </c>
      <c r="C36" s="19" t="inlineStr">
        <is>
          <t>DOCTORADO EN SÍNTESIS ORGÁNICA</t>
        </is>
      </c>
      <c r="D36" s="19" t="inlineStr">
        <is>
          <t>Hidalgo León, Raquel</t>
        </is>
      </c>
      <c r="E36" s="19" t="inlineStr">
        <is>
          <t>Asymmetric Organocatalysed synthesis of spirocycles with increased complexity by remote bisvinylogous [4+2] cycloadditions</t>
        </is>
      </c>
      <c r="F36" s="19" t="inlineStr">
        <is>
          <t>06/06/2025</t>
        </is>
      </c>
      <c r="G36" s="19" t="inlineStr">
        <is>
          <t>05921559W</t>
        </is>
      </c>
      <c r="H36" s="19" t="inlineStr">
        <is>
          <t>Codirector de tesis</t>
        </is>
      </c>
      <c r="I36" s="19" t="inlineStr">
        <is>
          <t>B141</t>
        </is>
      </c>
      <c r="J36" s="19" t="inlineStr">
        <is>
          <t>Química Orgánica</t>
        </is>
      </c>
      <c r="K36" s="19" t="n">
        <v>0.5</v>
      </c>
      <c r="L36" s="19" t="inlineStr">
        <is>
          <t>B141</t>
        </is>
      </c>
      <c r="M36" s="19" t="n">
        <v>2024</v>
      </c>
      <c r="N36" s="19" t="inlineStr">
        <is>
          <t>10.11</t>
        </is>
      </c>
      <c r="O36" s="19" t="inlineStr">
        <is>
          <t>90</t>
        </is>
      </c>
      <c r="P36" s="19" t="inlineStr"/>
      <c r="Q36" s="19" t="inlineStr"/>
      <c r="R36" s="19" t="n">
        <v>10</v>
      </c>
      <c r="S36" s="65" t="n">
        <v>0.05</v>
      </c>
      <c r="T36" s="65" t="n">
        <v>0.45</v>
      </c>
      <c r="U36" s="19" t="n">
        <v>0</v>
      </c>
    </row>
    <row r="37">
      <c r="A37" s="19" t="inlineStr">
        <is>
          <t>U042</t>
        </is>
      </c>
      <c r="B37" s="19" t="inlineStr">
        <is>
          <t>I.U. de Síntesis Orgánica (10.11)</t>
        </is>
      </c>
      <c r="C37" s="19" t="inlineStr">
        <is>
          <t>DOCTORADO EN SÍNTESIS ORGÁNICA</t>
        </is>
      </c>
      <c r="D37" s="19" t="inlineStr">
        <is>
          <t>Hidalgo León, Raquel</t>
        </is>
      </c>
      <c r="E37" s="19" t="inlineStr">
        <is>
          <t>Asymmetric Organocatalysed synthesis of spirocycles with increased complexity by remote bisvinylogous [4+2] cycloadditions</t>
        </is>
      </c>
      <c r="F37" s="19" t="inlineStr">
        <is>
          <t>06/06/2025</t>
        </is>
      </c>
      <c r="G37" s="19" t="inlineStr">
        <is>
          <t>21462906L</t>
        </is>
      </c>
      <c r="H37" s="19" t="inlineStr">
        <is>
          <t>Codirector de tesis</t>
        </is>
      </c>
      <c r="I37" s="19" t="inlineStr">
        <is>
          <t>B141</t>
        </is>
      </c>
      <c r="J37" s="19" t="inlineStr">
        <is>
          <t>Química Orgánica</t>
        </is>
      </c>
      <c r="K37" s="19" t="n">
        <v>0.5</v>
      </c>
      <c r="L37" s="19" t="inlineStr">
        <is>
          <t>B141</t>
        </is>
      </c>
      <c r="M37" s="19" t="n">
        <v>2024</v>
      </c>
      <c r="N37" s="19" t="inlineStr">
        <is>
          <t>10.11</t>
        </is>
      </c>
      <c r="O37" s="19" t="inlineStr">
        <is>
          <t>80</t>
        </is>
      </c>
      <c r="P37" s="19" t="inlineStr"/>
      <c r="Q37" s="19" t="inlineStr"/>
      <c r="R37" s="19" t="n">
        <v>20</v>
      </c>
      <c r="S37" s="65" t="n">
        <v>0.1</v>
      </c>
      <c r="T37" s="65" t="n">
        <v>0.4</v>
      </c>
      <c r="U37" s="19" t="n">
        <v>0</v>
      </c>
    </row>
    <row r="38">
      <c r="A38" s="19" t="inlineStr">
        <is>
          <t>U042</t>
        </is>
      </c>
      <c r="B38" s="19" t="inlineStr">
        <is>
          <t>I.U. de Síntesis Orgánica (10.11)</t>
        </is>
      </c>
      <c r="C38" s="19" t="inlineStr">
        <is>
          <t>DOCTORADO EN SÍNTESIS ORGÁNICA</t>
        </is>
      </c>
      <c r="D38" s="19" t="inlineStr">
        <is>
          <t>Laze , Loris</t>
        </is>
      </c>
      <c r="E38" s="19" t="inlineStr">
        <is>
          <t>Approaching the Minisci reaction through photo- or electro-induced cross-dehydrogenative coupling</t>
        </is>
      </c>
      <c r="F38" s="19" t="inlineStr">
        <is>
          <t>30/05/2025</t>
        </is>
      </c>
      <c r="G38" s="19" t="inlineStr">
        <is>
          <t>45905770R</t>
        </is>
      </c>
      <c r="H38" s="19" t="inlineStr">
        <is>
          <t>Codirector de tesis</t>
        </is>
      </c>
      <c r="I38" s="19" t="inlineStr">
        <is>
          <t>B141</t>
        </is>
      </c>
      <c r="J38" s="19" t="inlineStr">
        <is>
          <t>Química Orgánica</t>
        </is>
      </c>
      <c r="K38" s="19" t="n">
        <v>0.5</v>
      </c>
      <c r="L38" s="19" t="inlineStr">
        <is>
          <t>B141</t>
        </is>
      </c>
      <c r="M38" s="19" t="n">
        <v>2024</v>
      </c>
      <c r="N38" s="19" t="inlineStr">
        <is>
          <t>10.11</t>
        </is>
      </c>
      <c r="O38" s="19" t="inlineStr">
        <is>
          <t>80</t>
        </is>
      </c>
      <c r="P38" s="19" t="inlineStr"/>
      <c r="Q38" s="19" t="inlineStr"/>
      <c r="R38" s="19" t="n">
        <v>20</v>
      </c>
      <c r="S38" s="65" t="n">
        <v>0.1</v>
      </c>
      <c r="T38" s="65" t="n">
        <v>0.4</v>
      </c>
      <c r="U38" s="19" t="n">
        <v>0</v>
      </c>
    </row>
    <row r="39">
      <c r="A39" s="19" t="inlineStr">
        <is>
          <t>U042</t>
        </is>
      </c>
      <c r="B39" s="19" t="inlineStr">
        <is>
          <t>I.U. de Síntesis Orgánica (10.11)</t>
        </is>
      </c>
      <c r="C39" s="19" t="inlineStr">
        <is>
          <t>DOCTORADO EN SÍNTESIS ORGÁNICA</t>
        </is>
      </c>
      <c r="D39" s="19" t="inlineStr">
        <is>
          <t>Laze , Loris</t>
        </is>
      </c>
      <c r="E39" s="19" t="inlineStr">
        <is>
          <t>Approaching the Minisci reaction through photo- or electro-induced cross-dehydrogenative coupling</t>
        </is>
      </c>
      <c r="F39" s="19" t="inlineStr">
        <is>
          <t>30/05/2025</t>
        </is>
      </c>
      <c r="G39" s="19" t="inlineStr">
        <is>
          <t>48620517N</t>
        </is>
      </c>
      <c r="H39" s="19" t="inlineStr">
        <is>
          <t>Codirector de tesis</t>
        </is>
      </c>
      <c r="I39" s="19" t="inlineStr">
        <is>
          <t>B141</t>
        </is>
      </c>
      <c r="J39" s="19" t="inlineStr">
        <is>
          <t>Química Orgánica</t>
        </is>
      </c>
      <c r="K39" s="19" t="n">
        <v>0.5</v>
      </c>
      <c r="L39" s="19" t="inlineStr">
        <is>
          <t>B141</t>
        </is>
      </c>
      <c r="M39" s="19" t="n">
        <v>2024</v>
      </c>
      <c r="N39" s="19" t="inlineStr">
        <is>
          <t>10.11</t>
        </is>
      </c>
      <c r="O39" s="19" t="inlineStr">
        <is>
          <t>90</t>
        </is>
      </c>
      <c r="P39" s="19" t="inlineStr"/>
      <c r="Q39" s="19" t="inlineStr"/>
      <c r="R39" s="19" t="n">
        <v>10</v>
      </c>
      <c r="S39" s="65" t="n">
        <v>0.05</v>
      </c>
      <c r="T39" s="65" t="n">
        <v>0.45</v>
      </c>
      <c r="U39" s="19" t="n">
        <v>0</v>
      </c>
    </row>
    <row r="40">
      <c r="T40" s="89">
        <f>SUM(S2:S5,T6:T32,S33,T34:T39)</f>
        <v/>
      </c>
    </row>
  </sheetData>
  <autoFilter ref="A1:U39">
    <sortState ref="A2:S889">
      <sortCondition ref="L2:L889"/>
      <sortCondition ref="N2:N889"/>
    </sortState>
  </autoFilter>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T17"/>
  <sheetViews>
    <sheetView zoomScaleNormal="100" workbookViewId="0">
      <selection activeCell="Q17" sqref="Q17"/>
    </sheetView>
  </sheetViews>
  <sheetFormatPr baseColWidth="10" defaultColWidth="11.42578125" defaultRowHeight="12.75"/>
  <cols>
    <col width="10.5703125" bestFit="1" customWidth="1" style="11" min="1" max="1"/>
    <col width="34.42578125" bestFit="1" customWidth="1" style="11" min="2" max="2"/>
    <col width="14.5703125" bestFit="1" customWidth="1" style="11" min="3" max="3"/>
    <col width="3.28515625" bestFit="1" customWidth="1" style="11" min="4" max="9"/>
    <col width="13.140625" bestFit="1" customWidth="1" style="11" min="10" max="10"/>
    <col width="5.28515625" bestFit="1" customWidth="1" style="11" min="11" max="11"/>
    <col width="5.7109375" bestFit="1" customWidth="1" style="11" min="12" max="12"/>
    <col width="5.7109375" bestFit="1" customWidth="1" style="12" min="13" max="14"/>
    <col width="5.7109375" bestFit="1" customWidth="1" style="11" min="15" max="15"/>
    <col width="5.7109375" bestFit="1" customWidth="1" style="12" min="16" max="16"/>
    <col width="5.7109375" bestFit="1" customWidth="1" style="11" min="17" max="19"/>
    <col width="11.42578125" customWidth="1" style="11" min="20" max="16384"/>
  </cols>
  <sheetData>
    <row r="1" ht="65.09999999999999"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5"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5" customHeight="1">
      <c r="A2" s="16" t="inlineStr">
        <is>
          <t>05921559W</t>
        </is>
      </c>
      <c r="B2" s="16" t="inlineStr">
        <is>
          <t>Retamosa Hernández, María de Gracia</t>
        </is>
      </c>
      <c r="C2" s="16" t="inlineStr">
        <is>
          <t>FUNCIONARIO</t>
        </is>
      </c>
      <c r="D2" s="16" t="n"/>
      <c r="E2" s="16" t="n"/>
      <c r="F2" s="16" t="n"/>
      <c r="G2" s="16" t="n"/>
      <c r="H2" s="16" t="n"/>
      <c r="I2" s="16" t="n">
        <v>3</v>
      </c>
      <c r="J2" s="16" t="n">
        <v>3</v>
      </c>
      <c r="K2" s="16" t="inlineStr">
        <is>
          <t>B141</t>
        </is>
      </c>
      <c r="L2" s="17" t="inlineStr">
        <is>
          <t>10.11</t>
        </is>
      </c>
      <c r="M2" s="17" t="inlineStr">
        <is>
          <t>90</t>
        </is>
      </c>
      <c r="N2" s="17" t="inlineStr"/>
      <c r="O2" s="17" t="inlineStr"/>
      <c r="P2" s="17" t="n">
        <v>10</v>
      </c>
      <c r="Q2" s="69" t="n">
        <v>2.7</v>
      </c>
      <c r="R2" s="17" t="n">
        <v>0</v>
      </c>
      <c r="S2" s="17" t="n">
        <v>0.3</v>
      </c>
    </row>
    <row r="3" ht="15" customHeight="1">
      <c r="A3" s="16" t="inlineStr">
        <is>
          <t>21418250Y</t>
        </is>
      </c>
      <c r="B3" s="16" t="inlineStr">
        <is>
          <t>Chinchilla Cruz, Rafael José</t>
        </is>
      </c>
      <c r="C3" s="16" t="inlineStr">
        <is>
          <t>FUNCIONARIO</t>
        </is>
      </c>
      <c r="D3" s="16" t="n"/>
      <c r="E3" s="16" t="n"/>
      <c r="F3" s="16" t="n"/>
      <c r="G3" s="16" t="n">
        <v>1</v>
      </c>
      <c r="H3" s="16" t="n"/>
      <c r="I3" s="16" t="n"/>
      <c r="J3" s="16" t="n">
        <v>1</v>
      </c>
      <c r="K3" s="16" t="inlineStr">
        <is>
          <t>B141</t>
        </is>
      </c>
      <c r="L3" s="17" t="inlineStr">
        <is>
          <t>10.11</t>
        </is>
      </c>
      <c r="M3" s="17" t="inlineStr">
        <is>
          <t>50</t>
        </is>
      </c>
      <c r="N3" s="17" t="inlineStr"/>
      <c r="O3" s="17" t="inlineStr"/>
      <c r="P3" s="17" t="n">
        <v>50</v>
      </c>
      <c r="Q3" s="69" t="n">
        <v>0.5</v>
      </c>
      <c r="R3" s="17" t="n">
        <v>0</v>
      </c>
      <c r="S3" s="17" t="n">
        <v>0.5</v>
      </c>
    </row>
    <row r="4" ht="15" customHeight="1">
      <c r="A4" s="16" t="inlineStr">
        <is>
          <t>21425525J</t>
        </is>
      </c>
      <c r="B4" s="16" t="inlineStr">
        <is>
          <t>Gómez Lucas, Mª Cecilia</t>
        </is>
      </c>
      <c r="C4" s="16" t="inlineStr">
        <is>
          <t>Vivos</t>
        </is>
      </c>
      <c r="D4" s="16" t="n"/>
      <c r="E4" s="16" t="n"/>
      <c r="F4" s="16" t="n"/>
      <c r="G4" s="16" t="n"/>
      <c r="H4" s="16" t="n"/>
      <c r="I4" s="16" t="n">
        <v>1</v>
      </c>
      <c r="J4" s="16" t="n">
        <v>1</v>
      </c>
      <c r="K4" s="16" t="inlineStr">
        <is>
          <t>B141</t>
        </is>
      </c>
      <c r="L4" s="17" t="inlineStr">
        <is>
          <t>10.11</t>
        </is>
      </c>
      <c r="M4" s="17" t="inlineStr">
        <is>
          <t>60</t>
        </is>
      </c>
      <c r="N4" s="17" t="inlineStr"/>
      <c r="O4" s="17" t="inlineStr"/>
      <c r="P4" s="17" t="n">
        <v>40</v>
      </c>
      <c r="Q4" s="69" t="n">
        <v>0.6</v>
      </c>
      <c r="R4" s="17" t="n">
        <v>0</v>
      </c>
      <c r="S4" s="17" t="n">
        <v>0.4</v>
      </c>
    </row>
    <row r="5" ht="15" customHeight="1">
      <c r="A5" s="16" t="inlineStr">
        <is>
          <t>21457195N</t>
        </is>
      </c>
      <c r="B5" s="16" t="inlineStr">
        <is>
          <t>Ramón Dangla, Diego José</t>
        </is>
      </c>
      <c r="C5" s="18" t="inlineStr">
        <is>
          <t>FUNCIONARIO</t>
        </is>
      </c>
      <c r="D5" s="16" t="n">
        <v>1</v>
      </c>
      <c r="E5" s="16" t="n"/>
      <c r="F5" s="16" t="n"/>
      <c r="G5" s="16" t="n"/>
      <c r="H5" s="16" t="n"/>
      <c r="I5" s="16" t="n"/>
      <c r="J5" s="16" t="n">
        <v>1</v>
      </c>
      <c r="K5" s="16" t="inlineStr">
        <is>
          <t>B141</t>
        </is>
      </c>
      <c r="L5" s="17" t="inlineStr">
        <is>
          <t>10.11</t>
        </is>
      </c>
      <c r="M5" s="17" t="inlineStr">
        <is>
          <t>60</t>
        </is>
      </c>
      <c r="N5" s="17" t="inlineStr"/>
      <c r="O5" s="17" t="inlineStr"/>
      <c r="P5" s="17" t="n">
        <v>40</v>
      </c>
      <c r="Q5" s="69" t="n">
        <v>0.6</v>
      </c>
      <c r="R5" s="17" t="n">
        <v>0</v>
      </c>
      <c r="S5" s="17" t="n">
        <v>0.4</v>
      </c>
    </row>
    <row r="6" ht="15" customHeight="1">
      <c r="A6" s="16" t="inlineStr">
        <is>
          <t>21462906L</t>
        </is>
      </c>
      <c r="B6" s="16" t="inlineStr">
        <is>
          <t>Sansano Gil, José Miguel</t>
        </is>
      </c>
      <c r="C6" s="16" t="inlineStr">
        <is>
          <t>FUNCIONARIO</t>
        </is>
      </c>
      <c r="D6" s="16" t="n"/>
      <c r="E6" s="16" t="n">
        <v>1</v>
      </c>
      <c r="F6" s="16" t="n"/>
      <c r="G6" s="16" t="n"/>
      <c r="H6" s="16" t="n"/>
      <c r="I6" s="16" t="n"/>
      <c r="J6" s="16" t="n">
        <v>1</v>
      </c>
      <c r="K6" s="16" t="inlineStr">
        <is>
          <t>B141</t>
        </is>
      </c>
      <c r="L6" s="17" t="inlineStr">
        <is>
          <t>10.11</t>
        </is>
      </c>
      <c r="M6" s="17" t="inlineStr">
        <is>
          <t>80</t>
        </is>
      </c>
      <c r="N6" s="17" t="inlineStr"/>
      <c r="O6" s="17" t="inlineStr"/>
      <c r="P6" s="17" t="n">
        <v>20</v>
      </c>
      <c r="Q6" s="69" t="n">
        <v>0.8</v>
      </c>
      <c r="R6" s="17" t="n">
        <v>0</v>
      </c>
      <c r="S6" s="17" t="n">
        <v>0.2</v>
      </c>
    </row>
    <row r="7" ht="15" customHeight="1">
      <c r="A7" s="16" t="inlineStr">
        <is>
          <t>21471279C</t>
        </is>
      </c>
      <c r="B7" s="16" t="inlineStr">
        <is>
          <t>Guijarro Espí, David</t>
        </is>
      </c>
      <c r="C7" s="16" t="inlineStr">
        <is>
          <t>FUNCIONARIO</t>
        </is>
      </c>
      <c r="D7" s="16" t="n"/>
      <c r="E7" s="16" t="n"/>
      <c r="F7" s="16" t="n"/>
      <c r="G7" s="16" t="n">
        <v>1</v>
      </c>
      <c r="H7" s="16" t="n"/>
      <c r="I7" s="16" t="n"/>
      <c r="J7" s="16" t="n">
        <v>1</v>
      </c>
      <c r="K7" s="16" t="inlineStr">
        <is>
          <t>B141</t>
        </is>
      </c>
      <c r="L7" s="17" t="inlineStr">
        <is>
          <t>10.11</t>
        </is>
      </c>
      <c r="M7" s="17" t="inlineStr">
        <is>
          <t>80</t>
        </is>
      </c>
      <c r="N7" s="17" t="inlineStr"/>
      <c r="O7" s="17" t="inlineStr"/>
      <c r="P7" s="17" t="n">
        <v>20</v>
      </c>
      <c r="Q7" s="69" t="n">
        <v>0.8</v>
      </c>
      <c r="R7" s="17" t="n">
        <v>0</v>
      </c>
      <c r="S7" s="17" t="n">
        <v>0.2</v>
      </c>
    </row>
    <row r="8" ht="15" customHeight="1">
      <c r="A8" s="16" t="inlineStr">
        <is>
          <t>21482875R</t>
        </is>
      </c>
      <c r="B8" s="16" t="inlineStr">
        <is>
          <t>Guijarro Pastor, Albert</t>
        </is>
      </c>
      <c r="C8" s="16" t="inlineStr">
        <is>
          <t>FUNCIONARIO</t>
        </is>
      </c>
      <c r="D8" s="16" t="n"/>
      <c r="E8" s="16" t="n"/>
      <c r="F8" s="16" t="n">
        <v>1</v>
      </c>
      <c r="G8" s="16" t="n"/>
      <c r="H8" s="16" t="n"/>
      <c r="I8" s="16" t="n"/>
      <c r="J8" s="16" t="n">
        <v>1</v>
      </c>
      <c r="K8" s="16" t="inlineStr">
        <is>
          <t>B141</t>
        </is>
      </c>
      <c r="L8" s="17" t="inlineStr">
        <is>
          <t>10.11</t>
        </is>
      </c>
      <c r="M8" s="17" t="inlineStr">
        <is>
          <t>90</t>
        </is>
      </c>
      <c r="N8" s="17" t="inlineStr"/>
      <c r="O8" s="17" t="inlineStr"/>
      <c r="P8" s="17" t="n">
        <v>10</v>
      </c>
      <c r="Q8" s="69" t="n">
        <v>0.9</v>
      </c>
      <c r="R8" s="17" t="n">
        <v>0</v>
      </c>
      <c r="S8" s="17" t="n">
        <v>0.1</v>
      </c>
    </row>
    <row r="9" ht="15" customHeight="1">
      <c r="A9" s="16" t="inlineStr">
        <is>
          <t>21484328M</t>
        </is>
      </c>
      <c r="B9" s="16" t="inlineStr">
        <is>
          <t>Alonso Velasco, Diego Antonio</t>
        </is>
      </c>
      <c r="C9" s="16" t="inlineStr">
        <is>
          <t>FUNCIONARIO</t>
        </is>
      </c>
      <c r="D9" s="16" t="n"/>
      <c r="E9" s="16" t="n"/>
      <c r="F9" s="16" t="n"/>
      <c r="G9" s="16" t="n">
        <v>1</v>
      </c>
      <c r="H9" s="16" t="n"/>
      <c r="I9" s="16" t="n"/>
      <c r="J9" s="16" t="n">
        <v>1</v>
      </c>
      <c r="K9" s="16" t="inlineStr">
        <is>
          <t>B141</t>
        </is>
      </c>
      <c r="L9" s="17" t="inlineStr">
        <is>
          <t>10.11</t>
        </is>
      </c>
      <c r="M9" s="17" t="inlineStr">
        <is>
          <t>65</t>
        </is>
      </c>
      <c r="N9" s="17" t="inlineStr"/>
      <c r="O9" s="17" t="inlineStr"/>
      <c r="P9" s="17" t="n">
        <v>35</v>
      </c>
      <c r="Q9" s="69" t="n">
        <v>0.65</v>
      </c>
      <c r="R9" s="17" t="n">
        <v>0</v>
      </c>
      <c r="S9" s="17" t="n">
        <v>0.35</v>
      </c>
    </row>
    <row r="10" ht="15" customHeight="1">
      <c r="A10" s="16" t="inlineStr">
        <is>
          <t>21488564D</t>
        </is>
      </c>
      <c r="B10" s="16" t="inlineStr">
        <is>
          <t>Guillena Townley, Gabriela</t>
        </is>
      </c>
      <c r="C10" s="16" t="inlineStr">
        <is>
          <t>FUNCIONARIO</t>
        </is>
      </c>
      <c r="D10" s="16" t="n">
        <v>1</v>
      </c>
      <c r="E10" s="16" t="n"/>
      <c r="F10" s="16" t="n"/>
      <c r="G10" s="16" t="n"/>
      <c r="H10" s="16" t="n"/>
      <c r="I10" s="16" t="n"/>
      <c r="J10" s="16" t="n">
        <v>1</v>
      </c>
      <c r="K10" s="16" t="inlineStr">
        <is>
          <t>B141</t>
        </is>
      </c>
      <c r="L10" s="17" t="inlineStr">
        <is>
          <t>10.11</t>
        </is>
      </c>
      <c r="M10" s="17" t="inlineStr">
        <is>
          <t>80</t>
        </is>
      </c>
      <c r="N10" s="17" t="inlineStr"/>
      <c r="O10" s="17" t="inlineStr"/>
      <c r="P10" s="17" t="n">
        <v>20</v>
      </c>
      <c r="Q10" s="69" t="n">
        <v>0.8</v>
      </c>
      <c r="R10" s="17" t="n">
        <v>0</v>
      </c>
      <c r="S10" s="17" t="n">
        <v>0.2</v>
      </c>
    </row>
    <row r="11" ht="15" customHeight="1">
      <c r="A11" s="16" t="inlineStr">
        <is>
          <t>45905770R</t>
        </is>
      </c>
      <c r="B11" s="16" t="inlineStr">
        <is>
          <t>González Gómez, José Carlos</t>
        </is>
      </c>
      <c r="C11" s="16" t="inlineStr">
        <is>
          <t>FUNCIONARIO</t>
        </is>
      </c>
      <c r="D11" s="16" t="n"/>
      <c r="E11" s="16" t="n"/>
      <c r="F11" s="16" t="n"/>
      <c r="G11" s="16" t="n"/>
      <c r="H11" s="16" t="n">
        <v>1</v>
      </c>
      <c r="I11" s="16" t="n"/>
      <c r="J11" s="16" t="n">
        <v>1</v>
      </c>
      <c r="K11" s="16" t="inlineStr">
        <is>
          <t>B141</t>
        </is>
      </c>
      <c r="L11" s="17" t="inlineStr">
        <is>
          <t>10.11</t>
        </is>
      </c>
      <c r="M11" s="17" t="inlineStr">
        <is>
          <t>80</t>
        </is>
      </c>
      <c r="N11" s="17" t="inlineStr"/>
      <c r="O11" s="17" t="inlineStr"/>
      <c r="P11" s="17" t="n">
        <v>20</v>
      </c>
      <c r="Q11" s="69" t="n">
        <v>0.8</v>
      </c>
      <c r="R11" s="17" t="n">
        <v>0</v>
      </c>
      <c r="S11" s="17" t="n">
        <v>0.2</v>
      </c>
    </row>
    <row r="12" ht="15" customHeight="1">
      <c r="A12" s="16" t="inlineStr">
        <is>
          <t>48620517N</t>
        </is>
      </c>
      <c r="B12" s="16" t="inlineStr">
        <is>
          <t>Bosque Martínez, Irene</t>
        </is>
      </c>
      <c r="C12" s="16" t="inlineStr">
        <is>
          <t>NO FUNCIONARIO</t>
        </is>
      </c>
      <c r="D12" s="16" t="n"/>
      <c r="E12" s="16" t="n"/>
      <c r="F12" s="16" t="n"/>
      <c r="G12" s="16" t="n">
        <v>1</v>
      </c>
      <c r="H12" s="16" t="n">
        <v>1</v>
      </c>
      <c r="I12" s="16" t="n"/>
      <c r="J12" s="16" t="n">
        <v>2</v>
      </c>
      <c r="K12" s="16" t="inlineStr">
        <is>
          <t>B141</t>
        </is>
      </c>
      <c r="L12" s="17" t="inlineStr">
        <is>
          <t>10.11</t>
        </is>
      </c>
      <c r="M12" s="17" t="inlineStr">
        <is>
          <t>90</t>
        </is>
      </c>
      <c r="N12" s="17" t="inlineStr"/>
      <c r="O12" s="17" t="inlineStr"/>
      <c r="P12" s="17" t="n">
        <v>10</v>
      </c>
      <c r="Q12" s="69" t="n">
        <v>1.8</v>
      </c>
      <c r="R12" s="17" t="n">
        <v>0</v>
      </c>
      <c r="S12" s="17" t="n">
        <v>0.2</v>
      </c>
    </row>
    <row r="13" ht="15" customHeight="1">
      <c r="A13" s="16" t="inlineStr">
        <is>
          <t>52774740K</t>
        </is>
      </c>
      <c r="B13" s="16" t="inlineStr">
        <is>
          <t>Pastor Beviá, Isidro</t>
        </is>
      </c>
      <c r="C13" s="16" t="inlineStr">
        <is>
          <t>FUNCIONARIO</t>
        </is>
      </c>
      <c r="D13" s="16" t="n"/>
      <c r="E13" s="16" t="n">
        <v>1</v>
      </c>
      <c r="F13" s="16" t="n"/>
      <c r="G13" s="16" t="n"/>
      <c r="H13" s="16" t="n"/>
      <c r="I13" s="16" t="n"/>
      <c r="J13" s="16" t="n">
        <v>1</v>
      </c>
      <c r="K13" s="16" t="inlineStr">
        <is>
          <t>B141</t>
        </is>
      </c>
      <c r="L13" s="17" t="inlineStr">
        <is>
          <t>10.11</t>
        </is>
      </c>
      <c r="M13" s="17" t="inlineStr">
        <is>
          <t>80</t>
        </is>
      </c>
      <c r="N13" s="17" t="inlineStr"/>
      <c r="O13" s="17" t="inlineStr"/>
      <c r="P13" s="17" t="n">
        <v>20</v>
      </c>
      <c r="Q13" s="69" t="n">
        <v>0.8</v>
      </c>
      <c r="R13" s="17" t="n">
        <v>0</v>
      </c>
      <c r="S13" s="17" t="n">
        <v>0.2</v>
      </c>
    </row>
    <row r="14" ht="15" customHeight="1">
      <c r="A14" s="16" t="inlineStr">
        <is>
          <t>52776404Y</t>
        </is>
      </c>
      <c r="B14" s="16" t="inlineStr">
        <is>
          <t>Baeza Carratalá, Alejandro</t>
        </is>
      </c>
      <c r="C14" s="18" t="inlineStr">
        <is>
          <t>FUNCIONARIO</t>
        </is>
      </c>
      <c r="D14" s="16" t="n"/>
      <c r="E14" s="16" t="n"/>
      <c r="F14" s="16" t="n">
        <v>3</v>
      </c>
      <c r="G14" s="16" t="n"/>
      <c r="H14" s="16" t="n"/>
      <c r="I14" s="16" t="n"/>
      <c r="J14" s="16" t="n">
        <v>3</v>
      </c>
      <c r="K14" s="16" t="inlineStr">
        <is>
          <t>B141</t>
        </is>
      </c>
      <c r="L14" s="17" t="inlineStr">
        <is>
          <t>10.11</t>
        </is>
      </c>
      <c r="M14" s="17" t="inlineStr">
        <is>
          <t>50</t>
        </is>
      </c>
      <c r="N14" s="17" t="inlineStr"/>
      <c r="O14" s="17" t="inlineStr"/>
      <c r="P14" s="17" t="n">
        <v>50</v>
      </c>
      <c r="Q14" s="69" t="n">
        <v>1.5</v>
      </c>
      <c r="R14" s="17" t="n">
        <v>0</v>
      </c>
      <c r="S14" s="17" t="n">
        <v>1.5</v>
      </c>
    </row>
    <row r="15" ht="15" customHeight="1">
      <c r="A15" s="16" t="inlineStr">
        <is>
          <t>71697007G</t>
        </is>
      </c>
      <c r="B15" s="16" t="inlineStr">
        <is>
          <t>Foubelo García, Francisco</t>
        </is>
      </c>
      <c r="C15" s="18" t="inlineStr">
        <is>
          <t>FUNCIONARIO</t>
        </is>
      </c>
      <c r="D15" s="16" t="n"/>
      <c r="E15" s="16" t="n"/>
      <c r="F15" s="16" t="n">
        <v>1</v>
      </c>
      <c r="G15" s="16" t="n"/>
      <c r="H15" s="16" t="n"/>
      <c r="I15" s="16" t="n"/>
      <c r="J15" s="16" t="n">
        <v>1</v>
      </c>
      <c r="K15" s="16" t="inlineStr">
        <is>
          <t>B141</t>
        </is>
      </c>
      <c r="L15" s="17" t="inlineStr">
        <is>
          <t>10.11</t>
        </is>
      </c>
      <c r="M15" s="17" t="inlineStr">
        <is>
          <t>80</t>
        </is>
      </c>
      <c r="N15" s="17" t="inlineStr"/>
      <c r="O15" s="17" t="inlineStr"/>
      <c r="P15" s="17" t="n">
        <v>20</v>
      </c>
      <c r="Q15" s="69" t="n">
        <v>0.8</v>
      </c>
      <c r="R15" s="17" t="n">
        <v>0</v>
      </c>
      <c r="S15" s="17" t="n">
        <v>0.2</v>
      </c>
    </row>
    <row r="16" ht="15" customHeight="1">
      <c r="A16" s="41" t="inlineStr">
        <is>
          <t>74215613H</t>
        </is>
      </c>
      <c r="B16" s="41" t="inlineStr">
        <is>
          <t>Alonso Valdés, Francisco</t>
        </is>
      </c>
      <c r="C16" s="42" t="inlineStr">
        <is>
          <t>FUNCIONARIO</t>
        </is>
      </c>
      <c r="D16" s="41" t="n"/>
      <c r="E16" s="41" t="n"/>
      <c r="F16" s="41" t="n"/>
      <c r="G16" s="41" t="n">
        <v>1</v>
      </c>
      <c r="H16" s="41" t="n"/>
      <c r="I16" s="41" t="n"/>
      <c r="J16" s="41" t="n">
        <v>1</v>
      </c>
      <c r="K16" s="16" t="inlineStr">
        <is>
          <t>B141</t>
        </is>
      </c>
      <c r="L16" s="43" t="inlineStr">
        <is>
          <t>10.11</t>
        </is>
      </c>
      <c r="M16" s="43" t="inlineStr">
        <is>
          <t>90</t>
        </is>
      </c>
      <c r="N16" s="43" t="inlineStr"/>
      <c r="O16" s="43" t="inlineStr"/>
      <c r="P16" s="43" t="n">
        <v>10</v>
      </c>
      <c r="Q16" s="70" t="n">
        <v>0.9</v>
      </c>
      <c r="R16" s="43" t="n">
        <v>0</v>
      </c>
      <c r="S16" s="43" t="n">
        <v>0.1</v>
      </c>
    </row>
    <row r="17" ht="15" customHeight="1">
      <c r="A17" s="48" t="n"/>
      <c r="B17" s="48" t="n"/>
      <c r="C17" s="49" t="n"/>
      <c r="D17" s="48" t="n"/>
      <c r="E17" s="48" t="n"/>
      <c r="F17" s="48" t="n"/>
      <c r="G17" s="48" t="n"/>
      <c r="H17" s="48" t="n"/>
      <c r="I17" s="48" t="n"/>
      <c r="J17" s="48" t="n"/>
      <c r="K17" s="48" t="n"/>
      <c r="L17" s="48" t="n"/>
      <c r="M17" s="48" t="n"/>
      <c r="N17" s="48" t="n"/>
      <c r="O17" s="48" t="n"/>
      <c r="P17" s="48" t="n"/>
      <c r="Q17" s="90">
        <f>SUM(Q2:Q16)</f>
        <v/>
      </c>
      <c r="R17" s="48" t="n"/>
      <c r="S17" s="48" t="n"/>
    </row>
  </sheetData>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22"/>
  <sheetViews>
    <sheetView topLeftCell="A16" workbookViewId="0">
      <selection activeCell="E24" sqref="E24"/>
    </sheetView>
  </sheetViews>
  <sheetFormatPr baseColWidth="10" defaultRowHeight="15"/>
  <cols>
    <col width="16.28515625" customWidth="1" min="1" max="1"/>
    <col width="79.42578125" customWidth="1" min="2" max="2"/>
    <col width="14.85546875" customWidth="1" min="3" max="3"/>
  </cols>
  <sheetData>
    <row r="1">
      <c r="A1" s="51" t="inlineStr">
        <is>
          <t>Cód. org. aplic.</t>
        </is>
      </c>
      <c r="B1" s="51" t="inlineStr">
        <is>
          <t>Descripción justificante</t>
        </is>
      </c>
      <c r="C1" s="51" t="inlineStr">
        <is>
          <t>Imp.cob.aplic.</t>
        </is>
      </c>
    </row>
    <row r="2" ht="39" customHeight="1">
      <c r="A2" s="44" t="inlineStr">
        <is>
          <t>41.00.6C.00.15</t>
        </is>
      </c>
      <c r="B2" s="56" t="inlineStr">
        <is>
          <t>Ensayos: NF45 (NEOPUR 3535.1) - NF46 - NF47 MUESTRAS: 23B-A7B2, 23B-A8B2 y 23B-A9A EXPERIMENTOS REALIZADOS Y ANÁLISIS: 3 x poder calorífico superior (con preparación de muestras e informe)</t>
        </is>
      </c>
      <c r="C2" s="91" t="n">
        <v>712.8</v>
      </c>
    </row>
    <row r="3">
      <c r="A3" s="46" t="inlineStr">
        <is>
          <t>41.00.6C.00.25</t>
        </is>
      </c>
      <c r="B3" s="57" t="inlineStr">
        <is>
          <t>Asesoramiento científico-técnico para el escalado industrial de LP181A1</t>
        </is>
      </c>
      <c r="C3" s="92" t="n">
        <v>3168</v>
      </c>
    </row>
    <row r="4" ht="26.25" customHeight="1">
      <c r="A4" s="44" t="inlineStr">
        <is>
          <t>41.00.6C.00.25</t>
        </is>
      </c>
      <c r="B4" s="56" t="inlineStr">
        <is>
          <t>ASESORAMIENTO CIENTÍFICO-TÉCNICO PARA LA VALIDACIÓN DE PROCESOS DE EXTRACCIÓN DE PRINCIPIOS ACTIVOS DE PLANTAS MEDICINALES</t>
        </is>
      </c>
      <c r="C4" s="91" t="n">
        <v>3168</v>
      </c>
    </row>
    <row r="5" ht="26.25" customHeight="1">
      <c r="A5" s="46" t="inlineStr">
        <is>
          <t>41.00.6C.00.25</t>
        </is>
      </c>
      <c r="B5" s="57" t="inlineStr">
        <is>
          <t>Asesoramiento científico-técnico para la mejora y validación de sistemas informáticos en un entorno Gmp</t>
        </is>
      </c>
      <c r="C5" s="92" t="n">
        <v>3168</v>
      </c>
    </row>
    <row r="6" ht="26.25" customHeight="1">
      <c r="A6" s="44" t="inlineStr">
        <is>
          <t>41.00.6C.00.27</t>
        </is>
      </c>
      <c r="B6" s="56" t="inlineStr">
        <is>
          <t>Synthesis of 2 kg of (1R,2R,3S,5S)-3- (3,4-Dichlorophenyl)-8-methyl-8-azabicyclo[3.2.1]octane-2-methanol (99% purity by HPLC) -50% (PERSONNEL COST)</t>
        </is>
      </c>
      <c r="C6" s="91" t="n">
        <v>48840</v>
      </c>
    </row>
    <row r="7" ht="77.25" customHeight="1">
      <c r="A7" s="46" t="inlineStr">
        <is>
          <t>41.00.6C.00.27</t>
        </is>
      </c>
      <c r="B7" s="57" t="inlineStr">
        <is>
          <t>A) Validation of step 8 and 9 (synthesis of tesofensine citrate). 2 batches starting from 50 g of TSOH ((1R, 2R,3S,5S)-3-(3,4-Dichlorophenyl)-8-methyl-8-azabicyclo [3.2.1] octane-2-methanol. b) Synthesis of 2 g of 3-(3,4.dichlorophenyl)-2-(ethoxumethyl)-8-methyl-8-azabicyclo [3.2.1] octane citrate (racemic) c) Development of an HPLC method for the determination of the chiral purity of tesofensine citrate and key precursors after the enantiomeric resolution.</t>
        </is>
      </c>
      <c r="C7" s="92" t="n">
        <v>11131.44</v>
      </c>
    </row>
    <row r="8">
      <c r="A8" s="44" t="inlineStr">
        <is>
          <t>41.00.6C.00.33</t>
        </is>
      </c>
      <c r="B8" s="56" t="inlineStr">
        <is>
          <t>CARACTERIZACIÓN DEL MATERIAL PLÁSTICO HH-PCR</t>
        </is>
      </c>
      <c r="C8" s="91" t="n">
        <v>1238.12</v>
      </c>
    </row>
    <row r="9">
      <c r="A9" s="46" t="inlineStr">
        <is>
          <t>41.00.6C.00.33</t>
        </is>
      </c>
      <c r="B9" s="57" t="inlineStr">
        <is>
          <t>CARACTERIZACIÓN DEL MATERIAL PLÁSTICO HH-PCR.</t>
        </is>
      </c>
      <c r="C9" s="92" t="n">
        <v>683.7</v>
      </c>
    </row>
    <row r="10" ht="26.25" customHeight="1">
      <c r="A10" s="44" t="inlineStr">
        <is>
          <t>41.00.6C.00.34</t>
        </is>
      </c>
      <c r="B10" s="56" t="inlineStr">
        <is>
          <t>Optimización de condiciones de funcionalización y de reacciones de Diels-Alder y retro-Diels-Alder.  (Número de pedido: NP061767)</t>
        </is>
      </c>
      <c r="C10" s="91" t="n">
        <v>3109.92</v>
      </c>
    </row>
    <row r="11" ht="26.25" customHeight="1">
      <c r="A11" s="46" t="inlineStr">
        <is>
          <t>41.00.6C.00.34</t>
        </is>
      </c>
      <c r="B11" s="57" t="inlineStr">
        <is>
          <t>Estudio y optimización del proceso de síntesis del PU empleando como extendedor DHMF y de las  reacciones de Diels-Alder y retro-Diels-Alder.  (Número de pedido: NP061768).</t>
        </is>
      </c>
      <c r="C11" s="92" t="n">
        <v>9447.68</v>
      </c>
    </row>
    <row r="12" ht="26.25" customHeight="1">
      <c r="A12" s="44" t="inlineStr">
        <is>
          <t>41.00.6C.00.35</t>
        </is>
      </c>
      <c r="B12" s="56" t="inlineStr">
        <is>
          <t>Tareas de extracción, análisis, identificación y cuantificación de sustancias orgánicas en plásticos. El material para ser tratado y analizado será proporcionado por la empresa.</t>
        </is>
      </c>
      <c r="C12" s="91" t="n">
        <v>176</v>
      </c>
    </row>
    <row r="13">
      <c r="A13" s="46" t="inlineStr">
        <is>
          <t>41.00.6H.00.03</t>
        </is>
      </c>
      <c r="B13" s="57" t="inlineStr">
        <is>
          <t>APOTIP/2021/003/018/019/020/027/029/046</t>
        </is>
      </c>
      <c r="C13" s="92" t="n">
        <v>9000</v>
      </c>
    </row>
    <row r="14" ht="26.25" customHeight="1">
      <c r="A14" s="44" t="inlineStr">
        <is>
          <t>41.00.6P.00.13</t>
        </is>
      </c>
      <c r="B14" s="56" t="inlineStr">
        <is>
          <t>DEVOLUCIÓN DE INGRESOS_MODELO 047_Nº de liquidación:46/2023/RAS/10301/1_ Número de justificante:047/1/002382614_Nº de referencia:047/1/002382614</t>
        </is>
      </c>
      <c r="C14" s="91" t="n">
        <v>-1999.38</v>
      </c>
    </row>
    <row r="15">
      <c r="A15" s="46" t="inlineStr">
        <is>
          <t>41.00.6P.00.13</t>
        </is>
      </c>
      <c r="B15" s="57" t="inlineStr">
        <is>
          <t xml:space="preserve">CIDEGENT/2020/058 </t>
        </is>
      </c>
      <c r="C15" s="92" t="n">
        <v>45227.8</v>
      </c>
    </row>
    <row r="16" ht="26.25" customHeight="1">
      <c r="A16" s="44" t="inlineStr">
        <is>
          <t>41.00.6P.00.14</t>
        </is>
      </c>
      <c r="B16" s="56" t="inlineStr">
        <is>
          <t>SEJIGENT 2021 ANUALIDAD 2023 SUBVENCIONA LA EXCELENCIA CIENTÍFICA DE JUNIORS   INVESTIG. RESOL. CONCESIÓN DGCI 14-9-21</t>
        </is>
      </c>
      <c r="C16" s="91" t="n">
        <v>72530.78</v>
      </c>
    </row>
    <row r="17">
      <c r="A17" s="46" t="inlineStr">
        <is>
          <t>41.00.6P.00.16</t>
        </is>
      </c>
      <c r="B17" s="57" t="inlineStr">
        <is>
          <t xml:space="preserve">AICO/2021/013/062/093/130/132/163/165 </t>
        </is>
      </c>
      <c r="C17" s="92" t="n">
        <v>30000</v>
      </c>
    </row>
    <row r="18" ht="39" customHeight="1">
      <c r="A18" s="44" t="inlineStr">
        <is>
          <t>41.00.6P.00.16</t>
        </is>
      </c>
      <c r="B18" s="56" t="inlineStr">
        <is>
          <t>DEVOLUCIÓN DE INGRESOS_MODELO 047_Nº de liquidación: 46/2023/RAS/10200/1_Número de justificante: 047/1/002359944_Nº de referencia:047/1/002359944</t>
        </is>
      </c>
      <c r="C18" s="91" t="n">
        <v>-856.58</v>
      </c>
    </row>
    <row r="19" ht="26.25" customHeight="1">
      <c r="A19" s="46" t="inlineStr">
        <is>
          <t>41.00.6P.00.18</t>
        </is>
      </c>
      <c r="B19" s="57" t="inlineStr">
        <is>
          <t xml:space="preserve">PID2021-122320NA-I00/123699NB-I00/124741NB-I00/124860NB-I00/125387NB-I00/126485OB-I00/127332NB-I00/127566NB-I00/127967NB-I00 </t>
        </is>
      </c>
      <c r="C19" s="92" t="n">
        <v>28390</v>
      </c>
    </row>
    <row r="20">
      <c r="A20" s="44" t="inlineStr">
        <is>
          <t>41.00.6P.00.19</t>
        </is>
      </c>
      <c r="B20" s="56" t="inlineStr">
        <is>
          <t xml:space="preserve">AYUDAS CNS2022-136093 /136107 /135161 </t>
        </is>
      </c>
      <c r="C20" s="91" t="n">
        <v>164600</v>
      </c>
    </row>
    <row r="21" ht="39" customHeight="1">
      <c r="A21" s="52" t="inlineStr">
        <is>
          <t>41.00.6P.00.20</t>
        </is>
      </c>
      <c r="B21" s="58" t="inlineStr">
        <is>
          <t>ayudas CIAICO/2022/017, CIAICO/2022/019, CIAICO/2022/038, CIAICO/2022/046, CIAICO/2022/047, CIAICO/2022/049, CIAICO/2022/077, CIAICO/2022/078, CIAICO/2022/079, CIAICO/2022/112, CIAICO/2022/132 , CIAICO/2022/167, CIAICO/2022/177</t>
        </is>
      </c>
      <c r="C21" s="93" t="n">
        <v>30000</v>
      </c>
    </row>
    <row r="22">
      <c r="A22" s="54" t="inlineStr">
        <is>
          <t>Total</t>
        </is>
      </c>
      <c r="B22" s="54" t="n"/>
      <c r="C22" s="94">
        <f>SUBTOTAL(109,Tabla2[Imp.cob.aplic.])</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0"/>
  <sheetViews>
    <sheetView topLeftCell="A13" workbookViewId="0">
      <selection activeCell="B22" sqref="B22:C22"/>
    </sheetView>
  </sheetViews>
  <sheetFormatPr baseColWidth="10" defaultRowHeight="15"/>
  <cols>
    <col width="13.28515625" bestFit="1" customWidth="1" min="1" max="1"/>
    <col width="66.85546875" customWidth="1" min="2" max="2"/>
    <col width="13.28515625" bestFit="1" customWidth="1" style="95" min="3" max="3"/>
  </cols>
  <sheetData>
    <row r="1">
      <c r="A1" t="inlineStr">
        <is>
          <t>Org. aplic.</t>
        </is>
      </c>
      <c r="B1" t="inlineStr">
        <is>
          <t>Descripción justificante</t>
        </is>
      </c>
      <c r="C1" s="95" t="inlineStr">
        <is>
          <t>Imp. aplic.</t>
        </is>
      </c>
    </row>
    <row r="2" ht="45" customHeight="1">
      <c r="A2" t="inlineStr">
        <is>
          <t>41.00.6C.00.25</t>
        </is>
      </c>
      <c r="B2" s="60" t="inlineStr">
        <is>
          <t>"Asesoramiento científico-técnico para el desarrollo y validación de nuevas formas farmacéuticas para productos medicinales derivados del cannabis"</t>
        </is>
      </c>
      <c r="C2" s="95" t="n">
        <v>3168</v>
      </c>
    </row>
    <row r="3" ht="60" customHeight="1">
      <c r="A3" t="inlineStr">
        <is>
          <t>41.00.6C.00.25</t>
        </is>
      </c>
      <c r="B3" s="60" t="inlineStr">
        <is>
          <t>ASESORAMIENTO Y ASISTENCIA CIENTÍFICO TÉCNICA EN LA PREPARACIÓN Y CARACTERIZACIÓN DE SUBSTANCIAS ORGÁNICAS DE ALTO VALOR AÑADIDO. Ref. proyecto: MEDALCHEMY1-24TD Ivestigador responsable Francisco Foubelo García.</t>
        </is>
      </c>
      <c r="C3" s="95" t="n">
        <v>3168</v>
      </c>
    </row>
    <row r="4" ht="45" customHeight="1">
      <c r="A4" t="inlineStr">
        <is>
          <t>41.00.6C.00.34</t>
        </is>
      </c>
      <c r="B4" s="60" t="inlineStr">
        <is>
          <t>Caracterización de muestras de EVA y EVA reciclado mediante RMN y ATR-IR, incluyendo pruebas de solubilidad. (Número de pedido: NP064165). Proyecto DEX-LINKING II.</t>
        </is>
      </c>
      <c r="C4" s="95" t="n">
        <v>528</v>
      </c>
    </row>
    <row r="5" ht="45" customHeight="1">
      <c r="A5" t="inlineStr">
        <is>
          <t>41.00.6C.00.34</t>
        </is>
      </c>
      <c r="B5" s="60" t="inlineStr">
        <is>
          <t>Durante tres meses, se llevará a cabo la síntesis y caracterización de diversos reticulantes y extendedores para su uso en la preparación sostenible de poliuretanos reciclables. (Número de pedido NP064153)</t>
        </is>
      </c>
      <c r="C5" s="95" t="n">
        <v>9240</v>
      </c>
    </row>
    <row r="6" ht="45" customHeight="1">
      <c r="A6" t="inlineStr">
        <is>
          <t>41.00.6C.00.34</t>
        </is>
      </c>
      <c r="B6" s="60" t="inlineStr">
        <is>
          <t>Caracterización de muestras de EVA y EVA reciclado mediante RMN de 13C en estado sólido y RAMAN. (Número de pedido: NP064454). Proyecto DEX-LINKING II.</t>
        </is>
      </c>
      <c r="C6" s="95" t="n">
        <v>3080</v>
      </c>
    </row>
    <row r="7" ht="60" customHeight="1">
      <c r="A7" t="inlineStr">
        <is>
          <t>41.00.6C.00.34</t>
        </is>
      </c>
      <c r="B7" s="60" t="inlineStr">
        <is>
          <t>Durante tres meses, se llevará a cabo la síntesis y caracterización de diversos reticulantes y extendedores para su uso en la preparación sostenible de poliuretanos reciclables. (Número de pedido NP064153) Ref. proyecto INESCOP4-22T</t>
        </is>
      </c>
      <c r="C7" s="95" t="n">
        <v>9240</v>
      </c>
    </row>
    <row r="8" ht="60" customHeight="1">
      <c r="A8" t="inlineStr">
        <is>
          <t>41.00.6C.00.34</t>
        </is>
      </c>
      <c r="B8" s="60" t="inlineStr">
        <is>
          <t xml:space="preserve">Durante tres meses, se llevará a cabo la síntesis y caracterización de diversos reticulantes y extendedores para su uso en la preparación sostenible de poliuretanos reciclables. (Número de pedido NP064153). Referencia proyecto CIRCADH II - IMDEEA/2024/43 </t>
        </is>
      </c>
      <c r="C8" s="95" t="n">
        <v>9240</v>
      </c>
    </row>
    <row r="9" ht="60" customHeight="1">
      <c r="A9" t="inlineStr">
        <is>
          <t>41.00.6C.00.34</t>
        </is>
      </c>
      <c r="B9" s="60" t="inlineStr">
        <is>
          <t>Caracterización de muestras de EVA y EVA reciclado mediante RMN de 13C en estado sólido, FTIR, XPS y RAMAN. (Número de pedido: NP065647). Proyecto REVALOOP-IMDEEA/2024/41. Ref. proyecto UA: INESCOP4-22T</t>
        </is>
      </c>
      <c r="C9" s="95" t="n">
        <v>2640</v>
      </c>
    </row>
    <row r="10" ht="60" customHeight="1">
      <c r="A10" t="inlineStr">
        <is>
          <t>41.00.6C.00.34</t>
        </is>
      </c>
      <c r="B10" s="60" t="inlineStr">
        <is>
          <t>Durante un mes, se llevará a cabo el estudio del escalado de la síntesis de un reticulante reticulante derivado de furano para su uso en la preparación sostenible de poliuretanos reciclables. (Número de pedido NP064153). Referencia proyecto CIRCADH II - IMDEEA/2024/43</t>
        </is>
      </c>
      <c r="C10" s="95" t="n">
        <v>3080</v>
      </c>
    </row>
    <row r="11" ht="45" customHeight="1">
      <c r="A11" t="inlineStr">
        <is>
          <t>41.00.6C.00.36</t>
        </is>
      </c>
      <c r="B11" s="60" t="inlineStr">
        <is>
          <t>NUEVA TECNOLOGÍA INTELIGENTE PARA LA CUANTIFICACIÓN REAL DEL CONTENIDO RECICLADO EN MUESTRAS PLÁSTICAS DE DIFERENTE ORIGEN Y COMPOSICIÓN</t>
        </is>
      </c>
      <c r="C11" s="95" t="n">
        <v>6600</v>
      </c>
    </row>
    <row r="12" ht="45" customHeight="1">
      <c r="A12" t="inlineStr">
        <is>
          <t>41.00.6C.00.36</t>
        </is>
      </c>
      <c r="B12" s="60" t="inlineStr">
        <is>
          <t>NUEVA TECNOLOGÍA INTELIGENTE PARA LA CUANTIFICACIÓN REAL DEL CONTENIDO RECICLADO EN MUESTRAS PLÁSTICAS DE DIFERENTE ORIGEN Y COMPOSICIÓN</t>
        </is>
      </c>
      <c r="C12" s="95" t="n">
        <v>-6600</v>
      </c>
    </row>
    <row r="13" ht="45" customHeight="1">
      <c r="A13" t="inlineStr">
        <is>
          <t>41.00.6C.00.36</t>
        </is>
      </c>
      <c r="B13" s="60" t="inlineStr">
        <is>
          <t xml:space="preserve">NUEVA TECNOLOGÍA INTELIGENTE PARA LA CUANTIFICACIÓN REAL DEL CONTENIDO RECICLADO EN MUESTRAS PLÁSTICAS DE DIFERENTE ORIGEN Y COMPOSICIÓN. </t>
        </is>
      </c>
      <c r="C13" s="95" t="n">
        <v>12760</v>
      </c>
    </row>
    <row r="14">
      <c r="A14" t="inlineStr">
        <is>
          <t>41.00.6P.00.13</t>
        </is>
      </c>
      <c r="B14" s="60" t="inlineStr">
        <is>
          <t xml:space="preserve">ayudas CIDEGENT/2021/052, CIDEGENT/2021/052 </t>
        </is>
      </c>
      <c r="C14" s="95" t="n">
        <v>46350.3</v>
      </c>
    </row>
    <row r="15">
      <c r="A15" t="inlineStr">
        <is>
          <t>41.00.6P.00.14</t>
        </is>
      </c>
      <c r="B15" s="60" t="inlineStr">
        <is>
          <t xml:space="preserve">ayudas SEJIGENT/2021/001, SEJIGENT/2021/005 </t>
        </is>
      </c>
      <c r="C15" s="95" t="n">
        <v>71997.3</v>
      </c>
    </row>
    <row r="16" ht="30" customHeight="1">
      <c r="A16" t="inlineStr">
        <is>
          <t>41.00.6P.00.16</t>
        </is>
      </c>
      <c r="B16" s="60" t="inlineStr">
        <is>
          <t>DEVOLUCIÓN DE INGRESO_MODELO 047_SUBVENCIÓN AICO  ANUALIDAD_2023</t>
        </is>
      </c>
      <c r="C16" s="95" t="n">
        <v>-562.33</v>
      </c>
    </row>
    <row r="17" ht="45" customHeight="1">
      <c r="A17" t="inlineStr">
        <is>
          <t>41.00.6P.00.18</t>
        </is>
      </c>
      <c r="B17" s="60" t="inlineStr">
        <is>
          <t>PID2021-126485OB-I00-126858NB-I00-126990NB-I00-127332NB-I00-127426OB-C22-127566NB-I00-127967NB-I00-127999NB-I00-128381NB-I00-128761OB-C21-128766OB-I00-128805NA-I00-128876OB-I00</t>
        </is>
      </c>
      <c r="C17" s="95" t="n">
        <v>10200</v>
      </c>
    </row>
    <row r="18" ht="60" customHeight="1">
      <c r="A18" t="inlineStr">
        <is>
          <t>41.00.6P.00.20</t>
        </is>
      </c>
      <c r="B18" s="60" t="inlineStr">
        <is>
          <t xml:space="preserve">AYUDAS CIAICO/2022/017, CIAICO/2022/019, CIAICO/2022/038, CIAICO/2022/046, CIAICO/2022/047, CIAICO/2022/049, CIAICO/2022/077, CIAICO/2022/078, CIAICO/2022/079, CIAICO/2022/112, CIAICO/2022/132 CIAICO/2022/167 CIAICO/2022/177 </t>
        </is>
      </c>
      <c r="C18" s="95" t="n">
        <v>30000</v>
      </c>
    </row>
    <row r="19" ht="30" customHeight="1">
      <c r="A19" t="inlineStr">
        <is>
          <t>41.00.6P.00.20</t>
        </is>
      </c>
      <c r="B19" s="60" t="inlineStr">
        <is>
          <t>DEVOLUCIÓN DE INGRESOS_MODELO 047_ REFERENCIA: CIACO 2022 EN 2023.</t>
        </is>
      </c>
      <c r="C19" s="95" t="n">
        <v>-891.6</v>
      </c>
    </row>
    <row r="20">
      <c r="A20" t="inlineStr">
        <is>
          <t>Total</t>
        </is>
      </c>
      <c r="C20" s="96">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C16" sqref="C16"/>
    </sheetView>
  </sheetViews>
  <sheetFormatPr baseColWidth="10" defaultRowHeight="15"/>
  <cols>
    <col width="15.5703125" customWidth="1" min="1" max="1"/>
    <col width="50.85546875" customWidth="1" min="2" max="2"/>
    <col width="18.28515625" customWidth="1" min="3" max="3"/>
  </cols>
  <sheetData>
    <row r="1">
      <c r="A1" s="71" t="inlineStr">
        <is>
          <t>Org. aplic.</t>
        </is>
      </c>
      <c r="B1" s="72" t="inlineStr">
        <is>
          <t>Descripción justificante</t>
        </is>
      </c>
      <c r="C1" s="72" t="inlineStr">
        <is>
          <t>Imp. aplic.</t>
        </is>
      </c>
    </row>
    <row r="2">
      <c r="A2" s="73" t="inlineStr">
        <is>
          <t>41.00.6C.00.25</t>
        </is>
      </c>
      <c r="B2" s="74" t="inlineStr">
        <is>
          <t>Asesoramiento científico-técnico para el desarrollo y validación de nuevas formas farmacéuticas para productos medicinales derivados del cannabis. Ref. proyecto: MEDALCHEMY1-24TD. Investigador responsable Francisco Foubelo García.</t>
        </is>
      </c>
      <c r="C2" s="97" t="n">
        <v>3168</v>
      </c>
    </row>
    <row r="3">
      <c r="A3" s="76" t="inlineStr">
        <is>
          <t>41.00.6C.00.25</t>
        </is>
      </c>
      <c r="B3" s="77" t="inlineStr">
        <is>
          <t>Asesoramiento científico-técnico para la mejora y validación de sistemas informáticos en un entorno GMP. Ref. proyecto: MEDALCHEMY1-24TD. Investigador responsable Francisco Foubelo García.</t>
        </is>
      </c>
      <c r="C3" s="98" t="n">
        <v>3696</v>
      </c>
    </row>
    <row r="4">
      <c r="A4" s="73" t="inlineStr">
        <is>
          <t>41.00.6C.00.37</t>
        </is>
      </c>
      <c r="B4" s="74" t="inlineStr">
        <is>
          <t>INVESTIGACIÓN EN LA SÍNTESIS Y CARACTERIZACIÓN POLICARBONATOS DERIVADOS DE LIGNINA PARA SU USO EN LA PREPARACIÓN DE POLIURETANOS SOSTENIBLES. Ref. proyecto: INESCOP1-25IPA. Ref. proyecto: SUSTAINPU IMDEEA/2025/72. Referencia interna INESCOP: SG: NP067563</t>
        </is>
      </c>
      <c r="C4" s="97" t="n">
        <v>7920</v>
      </c>
    </row>
    <row r="5">
      <c r="A5" s="76" t="inlineStr">
        <is>
          <t>41.00.6P.00.13</t>
        </is>
      </c>
      <c r="B5" s="77" t="inlineStr">
        <is>
          <t xml:space="preserve">CIDEGENT/2020/058 </t>
        </is>
      </c>
      <c r="C5" s="98" t="n">
        <v>46976.9</v>
      </c>
    </row>
    <row r="6">
      <c r="A6" s="73" t="inlineStr">
        <is>
          <t>41.00.6P.00.18</t>
        </is>
      </c>
      <c r="B6" s="74" t="inlineStr">
        <is>
          <t xml:space="preserve">ayudas PID2021-122320NA-I00, PID2021-123699NB-I00, PID2021-124741NB-I00, PID2021-124860NB-I00,PID2021-125387NB-I00, PID2021-126485OB-I00, PID2021-127332NB-I00, PID2021-127566NB-I00, PID2021-127967NB-I00, </t>
        </is>
      </c>
      <c r="C6" s="97" t="n">
        <v>68000</v>
      </c>
    </row>
    <row r="7">
      <c r="A7" s="76" t="inlineStr">
        <is>
          <t>41.00.6P.00.20</t>
        </is>
      </c>
      <c r="B7" s="77" t="inlineStr">
        <is>
          <t>Ayudas CIAICO/2022/017, CIAICO/2022/019, CIAICO/2022/038, CIAICO/2022/046, CIAICO/2022/047, CIAICO/2022/049, CIAICO/2022/077, CIAICO/2022/078,CIAICO/2022/079, CIAICO/2022/112, CIAICO/2022/132, CIAICO/2022/167, ,CIAICO/2022/177</t>
        </is>
      </c>
      <c r="C7" s="98" t="n">
        <v>30000</v>
      </c>
    </row>
    <row r="8">
      <c r="A8" s="73" t="inlineStr">
        <is>
          <t>41.00.6P.00.20</t>
        </is>
      </c>
      <c r="B8" s="74" t="inlineStr">
        <is>
          <t xml:space="preserve">Minoración AYUDAS CIAICO/2022/017, CIAICO/2022/019,  CIAICO/2022/046, CIAICO/2022/047,  CIAICO/2022/077, CIAICO/2022/078, CIAICO/2022/079, CIAICO/2022/112, CIAICO/2022/132 CIAICO/2022/167 CIAICO/2022/177 </t>
        </is>
      </c>
      <c r="C8" s="97" t="n">
        <v>-960.97</v>
      </c>
    </row>
    <row r="9">
      <c r="A9" s="76" t="inlineStr">
        <is>
          <t>41.00.6P.00.22</t>
        </is>
      </c>
      <c r="B9" s="77"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9" s="98" t="n">
        <v>60000</v>
      </c>
    </row>
    <row r="10">
      <c r="A10" s="73" t="inlineStr">
        <is>
          <t>41.00.6P.00.22</t>
        </is>
      </c>
      <c r="B10" s="74"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10" s="97" t="n">
        <v>34000</v>
      </c>
    </row>
    <row r="11" ht="15.75" customHeight="1" thickBot="1">
      <c r="A11" s="76" t="inlineStr">
        <is>
          <t>41.00.6P.00.24</t>
        </is>
      </c>
      <c r="B11" s="77" t="inlineStr">
        <is>
          <t>Ayudas CIESGT/2025/08 - CIESGT/2025/09</t>
        </is>
      </c>
      <c r="C11" s="98" t="n">
        <v>12328.77</v>
      </c>
    </row>
    <row r="12" ht="15.75" customHeight="1" thickTop="1">
      <c r="A12" s="79" t="inlineStr">
        <is>
          <t>Total</t>
        </is>
      </c>
      <c r="B12" s="80" t="n"/>
      <c r="C12" s="99" t="n">
        <v>265128.7</v>
      </c>
    </row>
    <row r="15">
      <c r="B15" s="61" t="inlineStr">
        <is>
          <t>Total ingresos investigación 2023-25</t>
        </is>
      </c>
      <c r="C15" s="100">
        <f>+Tabla3[[#Totals],[Imp. aplic.]]+Tabla2[[#Totals],[Imp.cob.aplic.]]+C12</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dtic@ua.es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2026-05-28T21:59:21Z</dcterms:modified>
  <cp:lastModifiedBy>mayte.pujalte</cp:lastModifiedBy>
  <cp:lastPrinted>2019-07-03T07:26:29Z</cp:lastPrinted>
</cp:coreProperties>
</file>