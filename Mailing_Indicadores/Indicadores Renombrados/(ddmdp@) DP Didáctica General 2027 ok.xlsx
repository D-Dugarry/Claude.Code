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28" firstSheet="1" activeTab="7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>
    <definedName name="_xlnm._FilterDatabase" localSheetId="0" hidden="1">'Tesis'!$A$1:$U$52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#,##0.0"/>
    <numFmt numFmtId="166" formatCode="0.0"/>
    <numFmt numFmtId="167" formatCode="_-* #,##0.00\ _€_-;\-* #,##0.00\ _€_-;_-* &quot;-&quot;??\ _€_-;_-@_-"/>
  </numFmts>
  <fonts count="22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Arial"/>
      <family val="2"/>
      <color theme="0"/>
      <sz val="10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1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9" fillId="0" borderId="0"/>
    <xf numFmtId="0" fontId="2" fillId="0" borderId="0"/>
    <xf numFmtId="0" fontId="3" fillId="0" borderId="0"/>
    <xf numFmtId="0" fontId="3" fillId="0" borderId="0"/>
    <xf numFmtId="0" fontId="4" fillId="0" borderId="0"/>
    <xf numFmtId="0" fontId="1" fillId="0" borderId="0"/>
    <xf numFmtId="167" fontId="9" fillId="0" borderId="0"/>
  </cellStyleXfs>
  <cellXfs count="109">
    <xf numFmtId="0" fontId="0" fillId="0" borderId="0" pivotButton="0" quotePrefix="0" xfId="0"/>
    <xf numFmtId="0" fontId="6" fillId="5" borderId="1" applyAlignment="1" pivotButton="0" quotePrefix="0" xfId="3">
      <alignment horizontal="center" textRotation="90" wrapText="1"/>
    </xf>
    <xf numFmtId="0" fontId="6" fillId="3" borderId="1" applyAlignment="1" pivotButton="0" quotePrefix="0" xfId="3">
      <alignment horizontal="center" textRotation="90" wrapText="1"/>
    </xf>
    <xf numFmtId="0" fontId="3" fillId="0" borderId="0" pivotButton="0" quotePrefix="0" xfId="5"/>
    <xf numFmtId="0" fontId="7" fillId="0" borderId="0" pivotButton="0" quotePrefix="0" xfId="5"/>
    <xf numFmtId="0" fontId="7" fillId="0" borderId="0" applyAlignment="1" pivotButton="0" quotePrefix="0" xfId="5">
      <alignment horizontal="right"/>
    </xf>
    <xf numFmtId="0" fontId="5" fillId="2" borderId="1" pivotButton="0" quotePrefix="0" xfId="0"/>
    <xf numFmtId="0" fontId="5" fillId="2" borderId="1" applyAlignment="1" pivotButton="0" quotePrefix="0" xfId="0">
      <alignment textRotation="90"/>
    </xf>
    <xf numFmtId="0" fontId="6" fillId="3" borderId="1" applyAlignment="1" pivotButton="0" quotePrefix="0" xfId="3">
      <alignment horizontal="center" wrapText="1"/>
    </xf>
    <xf numFmtId="0" fontId="11" fillId="8" borderId="7" pivotButton="0" quotePrefix="0" xfId="0"/>
    <xf numFmtId="164" fontId="0" fillId="8" borderId="7" pivotButton="0" quotePrefix="0" xfId="6"/>
    <xf numFmtId="0" fontId="11" fillId="0" borderId="7" pivotButton="0" quotePrefix="0" xfId="0"/>
    <xf numFmtId="164" fontId="0" fillId="0" borderId="7" pivotButton="0" quotePrefix="0" xfId="6"/>
    <xf numFmtId="164" fontId="0" fillId="0" borderId="0" pivotButton="0" quotePrefix="0" xfId="0"/>
    <xf numFmtId="0" fontId="7" fillId="9" borderId="0" pivotButton="0" quotePrefix="0" xfId="5"/>
    <xf numFmtId="0" fontId="7" fillId="9" borderId="0" applyAlignment="1" pivotButton="0" quotePrefix="0" xfId="5">
      <alignment horizontal="right"/>
    </xf>
    <xf numFmtId="0" fontId="8" fillId="9" borderId="0" pivotButton="0" quotePrefix="0" xfId="5"/>
    <xf numFmtId="0" fontId="7" fillId="0" borderId="1" pivotButton="0" quotePrefix="0" xfId="5"/>
    <xf numFmtId="0" fontId="7" fillId="0" borderId="1" applyAlignment="1" pivotButton="0" quotePrefix="0" xfId="5">
      <alignment horizontal="right"/>
    </xf>
    <xf numFmtId="0" fontId="9" fillId="0" borderId="0" pivotButton="0" quotePrefix="0" xfId="0"/>
    <xf numFmtId="0" fontId="14" fillId="3" borderId="1" applyAlignment="1" pivotButton="0" quotePrefix="0" xfId="1">
      <alignment horizontal="center"/>
    </xf>
    <xf numFmtId="0" fontId="15" fillId="3" borderId="1" applyAlignment="1" pivotButton="0" quotePrefix="0" xfId="1">
      <alignment horizontal="center"/>
    </xf>
    <xf numFmtId="0" fontId="15" fillId="3" borderId="1" applyAlignment="1" pivotButton="0" quotePrefix="0" xfId="2">
      <alignment horizontal="center"/>
    </xf>
    <xf numFmtId="0" fontId="15" fillId="3" borderId="1" applyAlignment="1" pivotButton="0" quotePrefix="0" xfId="3">
      <alignment horizontal="center" wrapText="1"/>
    </xf>
    <xf numFmtId="0" fontId="15" fillId="3" borderId="1" applyAlignment="1" pivotButton="0" quotePrefix="0" xfId="3">
      <alignment horizontal="right" wrapText="1"/>
    </xf>
    <xf numFmtId="0" fontId="16" fillId="4" borderId="0" pivotButton="0" quotePrefix="0" xfId="1"/>
    <xf numFmtId="0" fontId="16" fillId="0" borderId="1" pivotButton="0" quotePrefix="0" xfId="1"/>
    <xf numFmtId="0" fontId="16" fillId="4" borderId="1" pivotButton="0" quotePrefix="0" xfId="1"/>
    <xf numFmtId="0" fontId="16" fillId="4" borderId="1" applyAlignment="1" pivotButton="0" quotePrefix="0" xfId="1">
      <alignment horizontal="right"/>
    </xf>
    <xf numFmtId="0" fontId="16" fillId="4" borderId="2" pivotButton="0" quotePrefix="0" xfId="1"/>
    <xf numFmtId="165" fontId="16" fillId="4" borderId="2" pivotButton="0" quotePrefix="0" xfId="1"/>
    <xf numFmtId="0" fontId="16" fillId="4" borderId="2" applyAlignment="1" pivotButton="0" quotePrefix="0" xfId="1">
      <alignment horizontal="right"/>
    </xf>
    <xf numFmtId="1" fontId="16" fillId="4" borderId="2" pivotButton="0" quotePrefix="0" xfId="1"/>
    <xf numFmtId="166" fontId="16" fillId="4" borderId="2" pivotButton="0" quotePrefix="0" xfId="1"/>
    <xf numFmtId="0" fontId="16" fillId="4" borderId="6" pivotButton="0" quotePrefix="0" xfId="1"/>
    <xf numFmtId="0" fontId="17" fillId="6" borderId="1" applyAlignment="1" pivotButton="0" quotePrefix="0" xfId="0">
      <alignment horizontal="left" vertical="center"/>
    </xf>
    <xf numFmtId="0" fontId="17" fillId="6" borderId="3" applyAlignment="1" pivotButton="0" quotePrefix="0" xfId="0">
      <alignment horizontal="left" vertical="center"/>
    </xf>
    <xf numFmtId="0" fontId="17" fillId="6" borderId="4" applyAlignment="1" pivotButton="0" quotePrefix="0" xfId="0">
      <alignment horizontal="left" vertical="center"/>
    </xf>
    <xf numFmtId="0" fontId="17" fillId="6" borderId="5" applyAlignment="1" pivotButton="0" quotePrefix="0" xfId="0">
      <alignment horizontal="left" vertical="center"/>
    </xf>
    <xf numFmtId="0" fontId="16" fillId="0" borderId="1" pivotButton="0" quotePrefix="0" xfId="0"/>
    <xf numFmtId="0" fontId="16" fillId="0" borderId="0" pivotButton="0" quotePrefix="0" xfId="0"/>
    <xf numFmtId="0" fontId="16" fillId="9" borderId="0" pivotButton="0" quotePrefix="0" xfId="1"/>
    <xf numFmtId="0" fontId="16" fillId="9" borderId="0" applyAlignment="1" pivotButton="0" quotePrefix="0" xfId="1">
      <alignment horizontal="right"/>
    </xf>
    <xf numFmtId="0" fontId="16" fillId="4" borderId="0" applyAlignment="1" pivotButton="0" quotePrefix="0" xfId="1">
      <alignment horizontal="right"/>
    </xf>
    <xf numFmtId="0" fontId="10" fillId="7" borderId="8" pivotButton="0" quotePrefix="0" xfId="0"/>
    <xf numFmtId="0" fontId="0" fillId="0" borderId="9" pivotButton="0" quotePrefix="0" xfId="0"/>
    <xf numFmtId="0" fontId="0" fillId="11" borderId="0" pivotButton="0" quotePrefix="0" xfId="0"/>
    <xf numFmtId="0" fontId="11" fillId="0" borderId="9" pivotButton="0" quotePrefix="0" xfId="0"/>
    <xf numFmtId="164" fontId="0" fillId="0" borderId="9" pivotButton="0" quotePrefix="0" xfId="6"/>
    <xf numFmtId="0" fontId="7" fillId="0" borderId="9" pivotButton="0" quotePrefix="0" xfId="0"/>
    <xf numFmtId="164" fontId="9" fillId="0" borderId="9" pivotButton="0" quotePrefix="0" xfId="0"/>
    <xf numFmtId="0" fontId="0" fillId="8" borderId="7" pivotButton="0" quotePrefix="0" xfId="0"/>
    <xf numFmtId="0" fontId="0" fillId="0" borderId="7" pivotButton="0" quotePrefix="0" xfId="0"/>
    <xf numFmtId="0" fontId="12" fillId="7" borderId="8" pivotButton="0" quotePrefix="0" xfId="0"/>
    <xf numFmtId="164" fontId="12" fillId="7" borderId="8" pivotButton="0" quotePrefix="0" xfId="6"/>
    <xf numFmtId="0" fontId="0" fillId="8" borderId="9" pivotButton="0" quotePrefix="0" xfId="0"/>
    <xf numFmtId="164" fontId="0" fillId="8" borderId="9" pivotButton="0" quotePrefix="0" xfId="6"/>
    <xf numFmtId="164" fontId="9" fillId="8" borderId="9" pivotButton="0" quotePrefix="0" xfId="0"/>
    <xf numFmtId="167" fontId="0" fillId="0" borderId="9" pivotButton="0" quotePrefix="0" xfId="0"/>
    <xf numFmtId="0" fontId="18" fillId="7" borderId="8" pivotButton="0" quotePrefix="0" xfId="0"/>
    <xf numFmtId="0" fontId="7" fillId="8" borderId="7" pivotButton="0" quotePrefix="0" xfId="0"/>
    <xf numFmtId="0" fontId="7" fillId="10" borderId="7" pivotButton="0" quotePrefix="0" xfId="0"/>
    <xf numFmtId="167" fontId="7" fillId="8" borderId="7" pivotButton="0" quotePrefix="0" xfId="6"/>
    <xf numFmtId="167" fontId="7" fillId="10" borderId="7" pivotButton="0" quotePrefix="0" xfId="6"/>
    <xf numFmtId="0" fontId="13" fillId="0" borderId="1" pivotButton="0" quotePrefix="0" xfId="0"/>
    <xf numFmtId="167" fontId="13" fillId="0" borderId="1" pivotButton="0" quotePrefix="0" xfId="0"/>
    <xf numFmtId="167" fontId="7" fillId="0" borderId="9" pivotButton="0" quotePrefix="0" xfId="0"/>
    <xf numFmtId="0" fontId="16" fillId="4" borderId="10" pivotButton="0" quotePrefix="0" xfId="1"/>
    <xf numFmtId="0" fontId="16" fillId="0" borderId="10" pivotButton="0" quotePrefix="0" xfId="0"/>
    <xf numFmtId="0" fontId="16" fillId="4" borderId="11" pivotButton="0" quotePrefix="0" xfId="1"/>
    <xf numFmtId="0" fontId="16" fillId="0" borderId="11" pivotButton="0" quotePrefix="0" xfId="1"/>
    <xf numFmtId="0" fontId="16" fillId="0" borderId="11" pivotButton="0" quotePrefix="0" xfId="0"/>
    <xf numFmtId="166" fontId="14" fillId="9" borderId="0" pivotButton="0" quotePrefix="0" xfId="1"/>
    <xf numFmtId="0" fontId="19" fillId="12" borderId="12" pivotButton="0" quotePrefix="0" xfId="0"/>
    <xf numFmtId="0" fontId="19" fillId="12" borderId="13" pivotButton="0" quotePrefix="0" xfId="0"/>
    <xf numFmtId="0" fontId="20" fillId="13" borderId="12" pivotButton="0" quotePrefix="0" xfId="0"/>
    <xf numFmtId="0" fontId="20" fillId="13" borderId="13" pivotButton="0" quotePrefix="0" xfId="0"/>
    <xf numFmtId="167" fontId="20" fillId="13" borderId="13" pivotButton="0" quotePrefix="0" xfId="6"/>
    <xf numFmtId="0" fontId="20" fillId="0" borderId="12" pivotButton="0" quotePrefix="0" xfId="0"/>
    <xf numFmtId="0" fontId="20" fillId="0" borderId="13" pivotButton="0" quotePrefix="0" xfId="0"/>
    <xf numFmtId="167" fontId="20" fillId="0" borderId="13" pivotButton="0" quotePrefix="0" xfId="6"/>
    <xf numFmtId="0" fontId="21" fillId="0" borderId="14" pivotButton="0" quotePrefix="0" xfId="0"/>
    <xf numFmtId="0" fontId="21" fillId="0" borderId="15" pivotButton="0" quotePrefix="0" xfId="0"/>
    <xf numFmtId="167" fontId="21" fillId="0" borderId="15" pivotButton="0" quotePrefix="0" xfId="6"/>
    <xf numFmtId="164" fontId="13" fillId="0" borderId="1" pivotButton="0" quotePrefix="0" xfId="0"/>
    <xf numFmtId="167" fontId="19" fillId="12" borderId="13" pivotButton="0" quotePrefix="0" xfId="6"/>
    <xf numFmtId="167" fontId="21" fillId="0" borderId="15" pivotButton="0" quotePrefix="0" xfId="0"/>
    <xf numFmtId="165" fontId="16" fillId="4" borderId="2" pivotButton="0" quotePrefix="0" xfId="1"/>
    <xf numFmtId="166" fontId="16" fillId="4" borderId="2" pivotButton="0" quotePrefix="0" xfId="1"/>
    <xf numFmtId="166" fontId="14" fillId="9" borderId="0" pivotButton="0" quotePrefix="0" xfId="1"/>
    <xf numFmtId="164" fontId="0" fillId="8" borderId="7" pivotButton="0" quotePrefix="0" xfId="6"/>
    <xf numFmtId="164" fontId="0" fillId="0" borderId="7" pivotButton="0" quotePrefix="0" xfId="6"/>
    <xf numFmtId="164" fontId="0" fillId="0" borderId="9" pivotButton="0" quotePrefix="0" xfId="6"/>
    <xf numFmtId="164" fontId="9" fillId="0" borderId="9" pivotButton="0" quotePrefix="0" xfId="0"/>
    <xf numFmtId="164" fontId="0" fillId="0" borderId="0" pivotButton="0" quotePrefix="0" xfId="0"/>
    <xf numFmtId="164" fontId="12" fillId="7" borderId="8" pivotButton="0" quotePrefix="0" xfId="6"/>
    <xf numFmtId="164" fontId="0" fillId="8" borderId="9" pivotButton="0" quotePrefix="0" xfId="6"/>
    <xf numFmtId="164" fontId="9" fillId="8" borderId="9" pivotButton="0" quotePrefix="0" xfId="0"/>
    <xf numFmtId="167" fontId="20" fillId="13" borderId="13" pivotButton="0" quotePrefix="0" xfId="6"/>
    <xf numFmtId="167" fontId="20" fillId="0" borderId="13" pivotButton="0" quotePrefix="0" xfId="6"/>
    <xf numFmtId="167" fontId="21" fillId="0" borderId="15" pivotButton="0" quotePrefix="0" xfId="6"/>
    <xf numFmtId="164" fontId="13" fillId="0" borderId="1" pivotButton="0" quotePrefix="0" xfId="0"/>
    <xf numFmtId="167" fontId="7" fillId="8" borderId="7" pivotButton="0" quotePrefix="0" xfId="6"/>
    <xf numFmtId="167" fontId="7" fillId="10" borderId="7" pivotButton="0" quotePrefix="0" xfId="6"/>
    <xf numFmtId="167" fontId="7" fillId="0" borderId="9" pivotButton="0" quotePrefix="0" xfId="0"/>
    <xf numFmtId="167" fontId="0" fillId="0" borderId="9" pivotButton="0" quotePrefix="0" xfId="0"/>
    <xf numFmtId="167" fontId="19" fillId="12" borderId="13" pivotButton="0" quotePrefix="0" xfId="6"/>
    <xf numFmtId="167" fontId="21" fillId="0" borderId="15" pivotButton="0" quotePrefix="0" xfId="0"/>
    <xf numFmtId="167" fontId="13" fillId="0" borderId="1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39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_-* #,##0.00\ _€_-;\-* #,##0.00\ _€_-;_-* &quot;-&quot;??\ _€_-;_-@_-"/>
      <border outline="0">
        <left/>
        <right/>
        <top style="thin">
          <color theme="9" tint="0.3999755851924192"/>
        </top>
        <bottom/>
      </border>
    </dxf>
    <dxf>
      <font/>
    </dxf>
    <dxf>
      <border outline="0">
        <left/>
        <right/>
        <top style="thin">
          <color theme="9" tint="0.3999755851924192"/>
        </top>
        <bottom/>
      </border>
    </dxf>
    <dxf>
      <font/>
    </dxf>
    <dxf>
      <border outline="0">
        <left/>
        <right/>
        <top style="thin">
          <color theme="9" tint="0.3999755851924192"/>
        </top>
        <bottom/>
      </border>
    </dxf>
    <dxf>
      <font/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4" formatCode="_-* #,##0.00\ _€_-;\-* #,##0.00\ _€_-;_-* &quot;-&quot;??\ _€_-;_-@_-"/>
      <border outline="0">
        <left/>
        <right/>
        <top style="thin">
          <color theme="9" tint="0.3999755851924192"/>
        </top>
        <bottom/>
      </border>
    </dxf>
    <dxf>
      <font/>
    </dxf>
    <dxf>
      <border outline="0">
        <left/>
        <right/>
        <top style="thin">
          <color theme="9" tint="0.3999755851924192"/>
        </top>
        <bottom/>
      </border>
    </dxf>
    <dxf>
      <font/>
    </dxf>
    <dxf>
      <border outline="0">
        <left/>
        <right/>
        <top style="thin">
          <color theme="9" tint="0.3999755851924192"/>
        </top>
        <bottom/>
      </border>
    </dxf>
    <dxf>
      <font/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9" tint="0.7999816888943144"/>
        </patternFill>
      </fill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ill>
        <patternFill patternType="solid">
          <fgColor theme="9" tint="0.7999816888943144"/>
          <bgColor theme="9" tint="0.7999816888943144"/>
        </patternFill>
      </fill>
      <border outline="0">
        <left/>
        <right/>
        <top/>
        <bottom/>
      </border>
    </dxf>
    <dxf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ill>
        <patternFill patternType="solid">
          <fgColor theme="9" tint="0.7999816888943144"/>
          <bgColor theme="9" tint="0.7999816888943144"/>
        </patternFill>
      </fill>
      <border outline="0">
        <left/>
        <right/>
        <top/>
        <bottom/>
      </border>
    </dxf>
    <dxf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2" displayName="Tabla2" ref="A1:C14" headerRowCount="1" totalsRowCount="1" headerRowDxfId="38" headerRowBorderDxfId="37" tableBorderDxfId="36" totalsRowBorderDxfId="35">
  <autoFilter ref="A1:C13"/>
  <tableColumns count="3">
    <tableColumn id="1" name="Cód. org. aplic." totalsRowLabel="Total" dataDxfId="34" totalsRowDxfId="33"/>
    <tableColumn id="2" name="Descripción justificante" dataDxfId="32" totalsRowDxfId="31"/>
    <tableColumn id="3" name="Imp.cob.aplic." totalsRowFunction="sum" dataDxfId="30" totalsRowDxfId="29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19" headerRowCount="1" totalsRowCount="1" headerRowBorderDxfId="28" tableBorderDxfId="27" totalsRowBorderDxfId="26">
  <autoFilter ref="A1:C18"/>
  <tableColumns count="3">
    <tableColumn id="1" name="Org. aplic." totalsRowLabel="Total" dataDxfId="25" totalsRowDxfId="24"/>
    <tableColumn id="2" name="Descripción justificante" dataDxfId="23" totalsRowDxfId="22"/>
    <tableColumn id="3" name="Imp. aplic." totalsRowFunction="sum" dataDxfId="21" totalsRowDxfId="20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46" displayName="Tabla46" ref="A1:C9" headerRowCount="1" totalsRowCount="1" headerRowDxfId="19" headerRowBorderDxfId="18" tableBorderDxfId="17" totalsRowBorderDxfId="16">
  <autoFilter ref="A1:C8"/>
  <tableColumns count="3">
    <tableColumn id="1" name="Cód. org. aplic." totalsRowLabel="Total" dataDxfId="15" totalsRowDxfId="14"/>
    <tableColumn id="2" name="Descripción justificante" dataDxfId="13" totalsRowDxfId="12"/>
    <tableColumn id="3" name="Imp.cob.aplic." totalsRowFunction="sum" dataDxfId="11" totalsRowDxfId="10" dataCellStyle="Millares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id="4" name="Tabla468" displayName="Tabla468" ref="A1:C4" headerRowCount="1" totalsRowCount="1" headerRowDxfId="9" headerRowBorderDxfId="8" tableBorderDxfId="7" totalsRowBorderDxfId="6">
  <autoFilter ref="A1:C3"/>
  <tableColumns count="3">
    <tableColumn id="1" name="Cód. org. aplic." totalsRowLabel="Total" dataDxfId="5" totalsRowDxfId="4"/>
    <tableColumn id="2" name="Descripción justificante" dataDxfId="3" totalsRowDxfId="2"/>
    <tableColumn id="3" name="Imp.cob.aplic." totalsRowFunction="sum" dataDxfId="1" totalsRowDxfId="0" dataCellStyle="Millare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88"/>
  <sheetViews>
    <sheetView showGridLines="0" zoomScaleNormal="100" workbookViewId="0">
      <pane xSplit="1" ySplit="1" topLeftCell="B68" activePane="bottomRight" state="frozen"/>
      <selection pane="topRight" activeCell="B1" sqref="B1"/>
      <selection pane="bottomLeft" activeCell="A2" sqref="A2"/>
      <selection pane="bottomRight" activeCell="AA79" sqref="AA79"/>
    </sheetView>
  </sheetViews>
  <sheetFormatPr baseColWidth="10" defaultColWidth="10.28515625" defaultRowHeight="15"/>
  <cols>
    <col width="5" customWidth="1" style="25" min="1" max="1"/>
    <col width="29.7109375" customWidth="1" style="25" min="2" max="4"/>
    <col width="40.7109375" customWidth="1" style="25" min="5" max="5"/>
    <col width="9.140625" customWidth="1" style="25" min="6" max="6"/>
    <col width="9.7109375" customWidth="1" style="25" min="7" max="7"/>
    <col width="14.42578125" customWidth="1" style="25" min="8" max="8"/>
    <col width="5.85546875" customWidth="1" style="25" min="9" max="9"/>
    <col width="38.42578125" customWidth="1" style="25" min="10" max="10"/>
    <col width="5.140625" customWidth="1" style="25" min="11" max="12"/>
    <col width="5.7109375" customWidth="1" style="25" min="13" max="13"/>
    <col width="4.85546875" customWidth="1" style="25" min="14" max="14"/>
    <col width="4.85546875" customWidth="1" style="43" min="15" max="15"/>
    <col width="4.85546875" customWidth="1" style="25" min="16" max="16"/>
    <col width="3.5703125" customWidth="1" style="43" min="17" max="17"/>
    <col width="6.7109375" customWidth="1" style="25" min="18" max="18"/>
    <col width="5.140625" customWidth="1" style="25" min="19" max="21"/>
    <col width="10.28515625" customWidth="1" style="25" min="22" max="16384"/>
  </cols>
  <sheetData>
    <row r="1" ht="60" customHeight="1">
      <c r="A1" s="20" t="inlineStr">
        <is>
          <t>C.D.</t>
        </is>
      </c>
      <c r="B1" s="21" t="inlineStr">
        <is>
          <t>Departamento</t>
        </is>
      </c>
      <c r="C1" s="21" t="inlineStr">
        <is>
          <t>Plan</t>
        </is>
      </c>
      <c r="D1" s="21" t="inlineStr">
        <is>
          <t>Alumno</t>
        </is>
      </c>
      <c r="E1" s="21" t="inlineStr">
        <is>
          <t>Tesis</t>
        </is>
      </c>
      <c r="F1" s="21" t="inlineStr">
        <is>
          <t>Fecha</t>
        </is>
      </c>
      <c r="G1" s="21" t="inlineStr">
        <is>
          <t>Tutor</t>
        </is>
      </c>
      <c r="H1" s="21" t="inlineStr">
        <is>
          <t>Rol</t>
        </is>
      </c>
      <c r="I1" s="20" t="inlineStr">
        <is>
          <t>C.DEP.</t>
        </is>
      </c>
      <c r="J1" s="21" t="inlineStr">
        <is>
          <t>Departamento Tutor</t>
        </is>
      </c>
      <c r="K1" s="20" t="inlineStr">
        <is>
          <t>ASIGNACIÓN</t>
        </is>
      </c>
      <c r="L1" s="21" t="inlineStr">
        <is>
          <t>DEP.ASIG.</t>
        </is>
      </c>
      <c r="M1" s="22" t="inlineStr">
        <is>
          <t>EJERCICIO</t>
        </is>
      </c>
      <c r="N1" s="23" t="inlineStr">
        <is>
          <t>INS 1</t>
        </is>
      </c>
      <c r="O1" s="24" t="inlineStr">
        <is>
          <t>DED INS 1</t>
        </is>
      </c>
      <c r="P1" s="23" t="inlineStr">
        <is>
          <t>INS 2</t>
        </is>
      </c>
      <c r="Q1" s="24" t="inlineStr">
        <is>
          <t>DED INS 2</t>
        </is>
      </c>
      <c r="R1" s="23" t="inlineStr">
        <is>
          <t>DED DEP</t>
        </is>
      </c>
      <c r="S1" s="23" t="inlineStr">
        <is>
          <t>TDOC DEP</t>
        </is>
      </c>
      <c r="T1" s="23" t="inlineStr">
        <is>
          <t>TDOC INST 1</t>
        </is>
      </c>
      <c r="U1" s="23" t="inlineStr">
        <is>
          <t>TDOC INST 2</t>
        </is>
      </c>
    </row>
    <row r="2">
      <c r="A2" s="29" t="inlineStr">
        <is>
          <t xml:space="preserve">B177 </t>
        </is>
      </c>
      <c r="B2" s="29" t="inlineStr">
        <is>
          <t xml:space="preserve">PSICOLOGÍA EVOLUTIVA Y DIDÁCTICA </t>
        </is>
      </c>
      <c r="C2" s="29" t="inlineStr">
        <is>
          <t xml:space="preserve">DOCTORADO EN INVESTIGACIÓN EDUCATIVA </t>
        </is>
      </c>
      <c r="D2" s="29" t="inlineStr">
        <is>
          <t xml:space="preserve">Olaya Cuartero, Javier </t>
        </is>
      </c>
      <c r="E2" s="29" t="inlineStr">
        <is>
          <t xml:space="preserve">Análisis del rendimiento del segmento de carrera a pie en triatlón mediante la potencia y la técnica </t>
        </is>
      </c>
      <c r="F2" s="29" t="inlineStr">
        <is>
          <t xml:space="preserve">10/12/2019 </t>
        </is>
      </c>
      <c r="G2" s="29" t="inlineStr">
        <is>
          <t xml:space="preserve">71018179K </t>
        </is>
      </c>
      <c r="H2" s="29" t="inlineStr">
        <is>
          <t xml:space="preserve">Director de tesis </t>
        </is>
      </c>
      <c r="I2" s="29" t="inlineStr">
        <is>
          <t xml:space="preserve">B112 </t>
        </is>
      </c>
      <c r="J2" s="29" t="inlineStr">
        <is>
          <t xml:space="preserve">DIDACTICA GENERAL Y DIDÁCTICAS ESPECÍFICAS </t>
        </is>
      </c>
      <c r="K2" s="87" t="n">
        <v>1</v>
      </c>
      <c r="L2" s="29" t="inlineStr">
        <is>
          <t>B112</t>
        </is>
      </c>
      <c r="M2" s="29" t="n">
        <v>2019</v>
      </c>
      <c r="N2" s="29" t="inlineStr"/>
      <c r="O2" s="31" t="inlineStr"/>
      <c r="P2" s="29" t="inlineStr"/>
      <c r="Q2" s="31" t="inlineStr"/>
      <c r="R2" s="32" t="n">
        <v>100</v>
      </c>
      <c r="S2" s="88" t="n">
        <v>1</v>
      </c>
      <c r="T2" s="88" t="n">
        <v>0</v>
      </c>
      <c r="U2" s="88" t="n">
        <v>0</v>
      </c>
    </row>
    <row r="3">
      <c r="A3" s="29" t="inlineStr">
        <is>
          <t xml:space="preserve">B177 </t>
        </is>
      </c>
      <c r="B3" s="29" t="inlineStr">
        <is>
          <t xml:space="preserve">PSICOLOGÍA EVOLUTIVA Y DIDÁCTICA </t>
        </is>
      </c>
      <c r="C3" s="29" t="inlineStr">
        <is>
          <t xml:space="preserve">DOCTORADO EN INVESTIGACIÓN EDUCATIVA </t>
        </is>
      </c>
      <c r="D3" s="29" t="inlineStr">
        <is>
          <t xml:space="preserve">López Guevara, Noris Isabel </t>
        </is>
      </c>
      <c r="E3" s="29" t="inlineStr">
        <is>
          <t xml:space="preserve">LA ATENCIÓN TUTORIAL. APROXIMACIÓN A UN MODELO BASADO EN EL APRENDIZAJE SOCIAL/COMUNIDAD DE APRENDIZAJE </t>
        </is>
      </c>
      <c r="F3" s="29" t="inlineStr">
        <is>
          <t xml:space="preserve">29/10/2019 </t>
        </is>
      </c>
      <c r="G3" s="29" t="inlineStr">
        <is>
          <t xml:space="preserve">21362631R </t>
        </is>
      </c>
      <c r="H3" s="29" t="inlineStr">
        <is>
          <t xml:space="preserve">Director de tesis </t>
        </is>
      </c>
      <c r="I3" s="29" t="inlineStr">
        <is>
          <t xml:space="preserve">B112 </t>
        </is>
      </c>
      <c r="J3" s="29" t="inlineStr">
        <is>
          <t xml:space="preserve">DIDACTICA GENERAL Y DIDÁCTICAS ESPECÍFICAS </t>
        </is>
      </c>
      <c r="K3" s="87" t="n">
        <v>1</v>
      </c>
      <c r="L3" s="29" t="inlineStr">
        <is>
          <t>B112</t>
        </is>
      </c>
      <c r="M3" s="29" t="n">
        <v>2019</v>
      </c>
      <c r="N3" s="29" t="inlineStr"/>
      <c r="O3" s="31" t="inlineStr"/>
      <c r="P3" s="29" t="inlineStr"/>
      <c r="Q3" s="31" t="inlineStr"/>
      <c r="R3" s="32" t="n">
        <v>100</v>
      </c>
      <c r="S3" s="88" t="n">
        <v>1</v>
      </c>
      <c r="T3" s="88" t="n">
        <v>0</v>
      </c>
      <c r="U3" s="88" t="n">
        <v>0</v>
      </c>
    </row>
    <row r="4">
      <c r="A4" s="27" t="inlineStr">
        <is>
          <t xml:space="preserve">B177 </t>
        </is>
      </c>
      <c r="B4" s="27" t="inlineStr">
        <is>
          <t xml:space="preserve">PSICOLOGÍA EVOLUTIVA Y DIDÁCTICA </t>
        </is>
      </c>
      <c r="C4" s="27" t="inlineStr">
        <is>
          <t xml:space="preserve">DOCTORADO EN INVESTIGACIÓN EDUCATIVA </t>
        </is>
      </c>
      <c r="D4" s="27" t="inlineStr">
        <is>
          <t xml:space="preserve">Rojas Viteri, Juan Carlos </t>
        </is>
      </c>
      <c r="E4" s="27" t="inlineStr">
        <is>
          <t xml:space="preserve">MODELO FLIPPED LEARNING APLICADO A LA ASIGNATURA DE SISTEMAS OPERATIVOS II DE LA CARRERA DE INFORMÁTICA DE LA UCE: ESTUDIO DE CASO PARA MEDIR EL NIVEL DE MOTIVACIÓN Y SATISFACCIÓN TECNOLÓGICA EN EL USO DE LA PLATAFORMA MOODLE </t>
        </is>
      </c>
      <c r="F4" s="27" t="inlineStr">
        <is>
          <t xml:space="preserve">04/11/2020 </t>
        </is>
      </c>
      <c r="G4" s="27" t="inlineStr">
        <is>
          <t xml:space="preserve">25126858W </t>
        </is>
      </c>
      <c r="H4" s="27" t="inlineStr">
        <is>
          <t xml:space="preserve">Director de tesis </t>
        </is>
      </c>
      <c r="I4" s="27" t="inlineStr">
        <is>
          <t xml:space="preserve">B112 </t>
        </is>
      </c>
      <c r="J4" s="27" t="inlineStr">
        <is>
          <t xml:space="preserve">DIDACTICA GENERAL Y DIDÁCTICAS ESPECÍFICAS </t>
        </is>
      </c>
      <c r="K4" s="26" t="n">
        <v>1</v>
      </c>
      <c r="L4" s="26" t="inlineStr">
        <is>
          <t>B112</t>
        </is>
      </c>
      <c r="M4" s="34" t="n">
        <v>2019</v>
      </c>
      <c r="N4" s="27" t="inlineStr">
        <is>
          <t>10.25</t>
        </is>
      </c>
      <c r="O4" s="28" t="n">
        <v>30</v>
      </c>
      <c r="P4" s="27" t="inlineStr"/>
      <c r="Q4" s="28" t="n">
        <v>0</v>
      </c>
      <c r="R4" s="27" t="n">
        <v>70</v>
      </c>
      <c r="S4" s="27" t="n">
        <v>0.7</v>
      </c>
      <c r="T4" s="27" t="n">
        <v>0.3</v>
      </c>
      <c r="U4" s="27" t="n">
        <v>0</v>
      </c>
    </row>
    <row r="5">
      <c r="A5" s="27" t="inlineStr">
        <is>
          <t xml:space="preserve">B177 </t>
        </is>
      </c>
      <c r="B5" s="27" t="inlineStr">
        <is>
          <t xml:space="preserve">PSICOLOGÍA EVOLUTIVA Y DIDÁCTICA </t>
        </is>
      </c>
      <c r="C5" s="27" t="inlineStr">
        <is>
          <t xml:space="preserve">DOCTORADO EN INVESTIGACIÓN EDUCATIVA </t>
        </is>
      </c>
      <c r="D5" s="27" t="inlineStr">
        <is>
          <t xml:space="preserve">Blanco Reyes, Lidia </t>
        </is>
      </c>
      <c r="E5" s="27" t="inlineStr">
        <is>
          <t xml:space="preserve">EL DESARROLLO PROFESIONAL DOCENTE A TRAVÉS DEL PROGRAMA ERASMUS+: UN ESTUDIO DE CASOS </t>
        </is>
      </c>
      <c r="F5" s="27" t="inlineStr">
        <is>
          <t xml:space="preserve">15/12/2020 </t>
        </is>
      </c>
      <c r="G5" s="27" t="inlineStr">
        <is>
          <t xml:space="preserve">76941801Q </t>
        </is>
      </c>
      <c r="H5" s="27" t="inlineStr">
        <is>
          <t xml:space="preserve">Codirector de tesis </t>
        </is>
      </c>
      <c r="I5" s="27" t="inlineStr">
        <is>
          <t xml:space="preserve">B112 </t>
        </is>
      </c>
      <c r="J5" s="27" t="inlineStr">
        <is>
          <t xml:space="preserve">DIDACTICA GENERAL Y DIDÁCTICAS ESPECÍFICAS </t>
        </is>
      </c>
      <c r="K5" s="26" t="n">
        <v>0.5</v>
      </c>
      <c r="L5" s="26" t="inlineStr">
        <is>
          <t>B112</t>
        </is>
      </c>
      <c r="M5" s="34" t="n">
        <v>2019</v>
      </c>
      <c r="N5" s="27" t="inlineStr">
        <is>
          <t>10.25</t>
        </is>
      </c>
      <c r="O5" s="28" t="n">
        <v>30</v>
      </c>
      <c r="P5" s="27" t="inlineStr">
        <is>
          <t>10.23</t>
        </is>
      </c>
      <c r="Q5" s="28" t="n">
        <v>20</v>
      </c>
      <c r="R5" s="27" t="n">
        <v>50</v>
      </c>
      <c r="S5" s="27" t="n">
        <v>0.25</v>
      </c>
      <c r="T5" s="27" t="n">
        <v>0.15</v>
      </c>
      <c r="U5" s="27" t="n">
        <v>0.1</v>
      </c>
    </row>
    <row r="6">
      <c r="A6" s="27" t="inlineStr">
        <is>
          <t xml:space="preserve">B177 </t>
        </is>
      </c>
      <c r="B6" s="27" t="inlineStr">
        <is>
          <t xml:space="preserve">PSICOLOGÍA EVOLUTIVA Y DIDÁCTICA </t>
        </is>
      </c>
      <c r="C6" s="27" t="inlineStr">
        <is>
          <t xml:space="preserve">DOCTORADO EN INVESTIGACIÓN EDUCATIVA </t>
        </is>
      </c>
      <c r="D6" s="27" t="inlineStr">
        <is>
          <t xml:space="preserve">Blanco Reyes, Lidia </t>
        </is>
      </c>
      <c r="E6" s="27" t="inlineStr">
        <is>
          <t xml:space="preserve">EL DESARROLLO PROFESIONAL DOCENTE A TRAVÉS DEL PROGRAMA ERASMUS+: UN ESTUDIO DE CASOS </t>
        </is>
      </c>
      <c r="F6" s="27" t="inlineStr">
        <is>
          <t xml:space="preserve">15/12/2020 </t>
        </is>
      </c>
      <c r="G6" s="27" t="inlineStr">
        <is>
          <t xml:space="preserve">48379979P </t>
        </is>
      </c>
      <c r="H6" s="27" t="inlineStr">
        <is>
          <t xml:space="preserve">Codirector de tesis </t>
        </is>
      </c>
      <c r="I6" s="27" t="inlineStr">
        <is>
          <t xml:space="preserve">B112 </t>
        </is>
      </c>
      <c r="J6" s="27" t="inlineStr">
        <is>
          <t xml:space="preserve">DIDACTICA GENERAL Y DIDÁCTICAS ESPECÍFICAS </t>
        </is>
      </c>
      <c r="K6" s="26" t="n">
        <v>0.5</v>
      </c>
      <c r="L6" s="26" t="inlineStr">
        <is>
          <t>B112</t>
        </is>
      </c>
      <c r="M6" s="34" t="n">
        <v>2019</v>
      </c>
      <c r="N6" s="27" t="inlineStr">
        <is>
          <t>10.25</t>
        </is>
      </c>
      <c r="O6" s="28" t="n">
        <v>30</v>
      </c>
      <c r="P6" s="27" t="inlineStr">
        <is>
          <t>10.23</t>
        </is>
      </c>
      <c r="Q6" s="28" t="n">
        <v>20</v>
      </c>
      <c r="R6" s="27" t="n">
        <v>50</v>
      </c>
      <c r="S6" s="27" t="n">
        <v>0.25</v>
      </c>
      <c r="T6" s="27" t="n">
        <v>0.15</v>
      </c>
      <c r="U6" s="27" t="n">
        <v>0.1</v>
      </c>
    </row>
    <row r="7">
      <c r="A7" s="27" t="inlineStr">
        <is>
          <t xml:space="preserve">B177 </t>
        </is>
      </c>
      <c r="B7" s="27" t="inlineStr">
        <is>
          <t xml:space="preserve">PSICOLOGÍA EVOLUTIVA Y DIDÁCTICA </t>
        </is>
      </c>
      <c r="C7" s="27" t="inlineStr">
        <is>
          <t xml:space="preserve">DOCTORADO EN INVESTIGACIÓN EDUCATIVA </t>
        </is>
      </c>
      <c r="D7" s="27" t="inlineStr">
        <is>
          <t xml:space="preserve">Blanes Mora, Ruben </t>
        </is>
      </c>
      <c r="E7" s="27" t="inlineStr">
        <is>
          <t xml:space="preserve">EL GRUPO FOTOGRÁFICO AFAL. LA HISTORIA VISUAL DE ESPAÑA (1956-1963) </t>
        </is>
      </c>
      <c r="F7" s="27" t="inlineStr">
        <is>
          <t xml:space="preserve">05/10/2020 </t>
        </is>
      </c>
      <c r="G7" s="27" t="inlineStr">
        <is>
          <t xml:space="preserve">21457927P </t>
        </is>
      </c>
      <c r="H7" s="27" t="inlineStr">
        <is>
          <t xml:space="preserve">Director de tesis </t>
        </is>
      </c>
      <c r="I7" s="27" t="inlineStr">
        <is>
          <t xml:space="preserve">B112 </t>
        </is>
      </c>
      <c r="J7" s="27" t="inlineStr">
        <is>
          <t xml:space="preserve">DIDACTICA GENERAL Y DIDÁCTICAS ESPECÍFICAS </t>
        </is>
      </c>
      <c r="K7" s="26" t="n">
        <v>1</v>
      </c>
      <c r="L7" s="26" t="inlineStr">
        <is>
          <t>B112</t>
        </is>
      </c>
      <c r="M7" s="34" t="n">
        <v>2019</v>
      </c>
      <c r="N7" s="27" t="inlineStr">
        <is>
          <t>10.25</t>
        </is>
      </c>
      <c r="O7" s="28" t="n">
        <v>80</v>
      </c>
      <c r="P7" s="27" t="inlineStr"/>
      <c r="Q7" s="28" t="n">
        <v>0</v>
      </c>
      <c r="R7" s="27" t="n">
        <v>20</v>
      </c>
      <c r="S7" s="27" t="n">
        <v>0.2</v>
      </c>
      <c r="T7" s="27" t="n">
        <v>0.8</v>
      </c>
      <c r="U7" s="27" t="n">
        <v>0</v>
      </c>
    </row>
    <row r="8">
      <c r="A8" s="27" t="inlineStr">
        <is>
          <t xml:space="preserve">B177 </t>
        </is>
      </c>
      <c r="B8" s="27" t="inlineStr">
        <is>
          <t xml:space="preserve">PSICOLOGÍA EVOLUTIVA Y DIDÁCTICA </t>
        </is>
      </c>
      <c r="C8" s="27" t="inlineStr">
        <is>
          <t xml:space="preserve">DOCTORADO EN INVESTIGACIÓN EDUCATIVA </t>
        </is>
      </c>
      <c r="D8" s="27" t="inlineStr">
        <is>
          <t xml:space="preserve">Grau Barrera, Beatriz </t>
        </is>
      </c>
      <c r="E8" s="27" t="inlineStr">
        <is>
          <t xml:space="preserve">"Modelo de gestión para la innovación e integración digital progresiva en un centro educativo basado en la mejora continua y el liderazgo compartido" </t>
        </is>
      </c>
      <c r="F8" s="27" t="inlineStr">
        <is>
          <t xml:space="preserve">04/11/2020 </t>
        </is>
      </c>
      <c r="G8" s="27" t="inlineStr">
        <is>
          <t xml:space="preserve">25126858W </t>
        </is>
      </c>
      <c r="H8" s="27" t="inlineStr">
        <is>
          <t xml:space="preserve">Director de tesis </t>
        </is>
      </c>
      <c r="I8" s="27" t="inlineStr">
        <is>
          <t xml:space="preserve">B112 </t>
        </is>
      </c>
      <c r="J8" s="27" t="inlineStr">
        <is>
          <t xml:space="preserve">DIDACTICA GENERAL Y DIDÁCTICAS ESPECÍFICAS </t>
        </is>
      </c>
      <c r="K8" s="26" t="n">
        <v>1</v>
      </c>
      <c r="L8" s="26" t="inlineStr">
        <is>
          <t>B112</t>
        </is>
      </c>
      <c r="M8" s="34" t="n">
        <v>2019</v>
      </c>
      <c r="N8" s="27" t="inlineStr">
        <is>
          <t>10.25</t>
        </is>
      </c>
      <c r="O8" s="28" t="n">
        <v>30</v>
      </c>
      <c r="P8" s="27" t="inlineStr"/>
      <c r="Q8" s="28" t="n">
        <v>0</v>
      </c>
      <c r="R8" s="27" t="n">
        <v>70</v>
      </c>
      <c r="S8" s="27" t="n">
        <v>0.7</v>
      </c>
      <c r="T8" s="27" t="n">
        <v>0.3</v>
      </c>
      <c r="U8" s="27" t="n">
        <v>0</v>
      </c>
    </row>
    <row r="9" ht="15.75" customHeight="1" thickBot="1">
      <c r="A9" s="27" t="inlineStr">
        <is>
          <t xml:space="preserve">U023 </t>
        </is>
      </c>
      <c r="B9" s="27" t="inlineStr">
        <is>
          <t xml:space="preserve">ADM. FACULTAD DE FILOSOFIA Y LETRAS </t>
        </is>
      </c>
      <c r="C9" s="27" t="inlineStr">
        <is>
          <t xml:space="preserve">DOCTORADO EN FILOSOFÍA Y LETRAS </t>
        </is>
      </c>
      <c r="D9" s="27" t="inlineStr">
        <is>
          <t xml:space="preserve">Latorre Aizaga, Franklin Lenin </t>
        </is>
      </c>
      <c r="E9" s="27" t="inlineStr">
        <is>
          <t xml:space="preserve">IMPACTO DE LAS POLÍTICAS ECONOMICAS-LABORALES EN LAS CONDICIONES DE TRABAJO EN ECUADOR (2007-2017) </t>
        </is>
      </c>
      <c r="F9" s="27" t="inlineStr">
        <is>
          <t xml:space="preserve">23/10/2020 </t>
        </is>
      </c>
      <c r="G9" s="27" t="inlineStr">
        <is>
          <t xml:space="preserve">21457927P </t>
        </is>
      </c>
      <c r="H9" s="27" t="inlineStr">
        <is>
          <t xml:space="preserve">Codirector de tesis </t>
        </is>
      </c>
      <c r="I9" s="27" t="inlineStr">
        <is>
          <t xml:space="preserve">B112 </t>
        </is>
      </c>
      <c r="J9" s="27" t="inlineStr">
        <is>
          <t xml:space="preserve">DIDACTICA GENERAL Y DIDÁCTICAS ESPECÍFICAS </t>
        </is>
      </c>
      <c r="K9" s="26" t="n">
        <v>0.5</v>
      </c>
      <c r="L9" s="26" t="inlineStr">
        <is>
          <t>B112</t>
        </is>
      </c>
      <c r="M9" s="34" t="n">
        <v>2019</v>
      </c>
      <c r="N9" s="27" t="inlineStr">
        <is>
          <t>10.25</t>
        </is>
      </c>
      <c r="O9" s="28" t="n">
        <v>80</v>
      </c>
      <c r="P9" s="27" t="inlineStr"/>
      <c r="Q9" s="28" t="n">
        <v>0</v>
      </c>
      <c r="R9" s="27" t="n">
        <v>20</v>
      </c>
      <c r="S9" s="27" t="n">
        <v>0.1</v>
      </c>
      <c r="T9" s="27" t="n">
        <v>0.4</v>
      </c>
      <c r="U9" s="27" t="n">
        <v>0</v>
      </c>
    </row>
    <row r="10" ht="15.75" customHeight="1" thickBot="1">
      <c r="A10" s="35" t="inlineStr">
        <is>
          <t xml:space="preserve">B112 </t>
        </is>
      </c>
      <c r="B10" s="35" t="inlineStr">
        <is>
          <t xml:space="preserve">DIDACTICA GENERAL Y DIDÁCTICAS ESPECÍFICAS </t>
        </is>
      </c>
      <c r="C10" s="35" t="inlineStr">
        <is>
          <t xml:space="preserve">DOCTORADO EN INVESTIGACIÓN EDUCATIVA </t>
        </is>
      </c>
      <c r="D10" s="35" t="inlineStr">
        <is>
          <t xml:space="preserve">Gómez Ramos, Julia </t>
        </is>
      </c>
      <c r="E10" s="35" t="inlineStr">
        <is>
          <t xml:space="preserve">Análisis de los factores de rendimiento en la práctica del estilo Choy Lee Fut de Kung-Fu y en combates de Sanda </t>
        </is>
      </c>
      <c r="F10" s="35" t="inlineStr">
        <is>
          <t xml:space="preserve">28/05/2021 </t>
        </is>
      </c>
      <c r="G10" s="36" t="inlineStr">
        <is>
          <t xml:space="preserve">21660466D </t>
        </is>
      </c>
      <c r="H10" s="37" t="inlineStr">
        <is>
          <t xml:space="preserve">Codirector de tesis </t>
        </is>
      </c>
      <c r="I10" s="37" t="inlineStr">
        <is>
          <t xml:space="preserve">B112 </t>
        </is>
      </c>
      <c r="J10" s="38" t="inlineStr">
        <is>
          <t xml:space="preserve">DIDACTICA GENERAL Y DIDÁCTICAS ESPECÍFICAS </t>
        </is>
      </c>
      <c r="K10" s="26" t="n">
        <v>0.5</v>
      </c>
      <c r="L10" s="26" t="inlineStr">
        <is>
          <t>B112</t>
        </is>
      </c>
      <c r="M10" s="27" t="n">
        <v>2020</v>
      </c>
      <c r="N10" s="27" t="inlineStr"/>
      <c r="O10" s="28" t="inlineStr"/>
      <c r="P10" s="27" t="inlineStr"/>
      <c r="Q10" s="28" t="inlineStr"/>
      <c r="R10" s="27" t="n">
        <v>100</v>
      </c>
      <c r="S10" s="27" t="n">
        <v>0.5</v>
      </c>
      <c r="T10" s="27" t="n">
        <v>0</v>
      </c>
      <c r="U10" s="27" t="n">
        <v>0</v>
      </c>
    </row>
    <row r="11" ht="15.75" customHeight="1" thickBot="1">
      <c r="A11" s="35" t="inlineStr">
        <is>
          <t xml:space="preserve">B112 </t>
        </is>
      </c>
      <c r="B11" s="35" t="inlineStr">
        <is>
          <t xml:space="preserve">DIDACTICA GENERAL Y DIDÁCTICAS ESPECÍFICAS </t>
        </is>
      </c>
      <c r="C11" s="35" t="inlineStr">
        <is>
          <t xml:space="preserve">DOCTORADO EN INVESTIGACIÓN EDUCATIVA </t>
        </is>
      </c>
      <c r="D11" s="35" t="inlineStr">
        <is>
          <t xml:space="preserve">Gómez Ramos, Julia </t>
        </is>
      </c>
      <c r="E11" s="35" t="inlineStr">
        <is>
          <t xml:space="preserve">Análisis de los factores de rendimiento en la práctica del estilo Choy Lee Fut de Kung-Fu y en combates de Sanda </t>
        </is>
      </c>
      <c r="F11" s="35" t="inlineStr">
        <is>
          <t xml:space="preserve">28/05/2021 </t>
        </is>
      </c>
      <c r="G11" s="36" t="inlineStr">
        <is>
          <t xml:space="preserve">48379055G </t>
        </is>
      </c>
      <c r="H11" s="37" t="inlineStr">
        <is>
          <t xml:space="preserve">Codirector de tesis </t>
        </is>
      </c>
      <c r="I11" s="37" t="inlineStr">
        <is>
          <t xml:space="preserve">B112 </t>
        </is>
      </c>
      <c r="J11" s="38" t="inlineStr">
        <is>
          <t xml:space="preserve">DIDACTICA GENERAL Y DIDÁCTICAS ESPECÍFICAS </t>
        </is>
      </c>
      <c r="K11" s="26" t="n">
        <v>0.5</v>
      </c>
      <c r="L11" s="26" t="inlineStr">
        <is>
          <t>B112</t>
        </is>
      </c>
      <c r="M11" s="27" t="n">
        <v>2020</v>
      </c>
      <c r="N11" s="27" t="inlineStr"/>
      <c r="O11" s="28" t="inlineStr"/>
      <c r="P11" s="27" t="inlineStr"/>
      <c r="Q11" s="28" t="inlineStr"/>
      <c r="R11" s="27" t="n">
        <v>100</v>
      </c>
      <c r="S11" s="27" t="n">
        <v>0.5</v>
      </c>
      <c r="T11" s="27" t="n">
        <v>0</v>
      </c>
      <c r="U11" s="27" t="n">
        <v>0</v>
      </c>
    </row>
    <row r="12" ht="15.75" customHeight="1" thickBot="1">
      <c r="A12" s="35" t="inlineStr">
        <is>
          <t xml:space="preserve">B112 </t>
        </is>
      </c>
      <c r="B12" s="35" t="inlineStr">
        <is>
          <t xml:space="preserve">DIDACTICA GENERAL Y DIDÁCTICAS ESPECÍFICAS </t>
        </is>
      </c>
      <c r="C12" s="35" t="inlineStr">
        <is>
          <t xml:space="preserve">DOCTORADO EN INVESTIGACIÓN EDUCATIVA </t>
        </is>
      </c>
      <c r="D12" s="35" t="inlineStr">
        <is>
          <t xml:space="preserve">Sebastia Amat, Sergio </t>
        </is>
      </c>
      <c r="E12" s="35" t="inlineStr">
        <is>
          <t xml:space="preserve">Propuesta de evaluación motriz en personas com enfermedad de Parkinson / Motor evaluation proposal for people with Parkinson Disease </t>
        </is>
      </c>
      <c r="F12" s="35" t="inlineStr">
        <is>
          <t xml:space="preserve">20/07/2021 </t>
        </is>
      </c>
      <c r="G12" s="36" t="inlineStr">
        <is>
          <t xml:space="preserve">21506145H </t>
        </is>
      </c>
      <c r="H12" s="37" t="inlineStr">
        <is>
          <t xml:space="preserve">Codirector de tesis </t>
        </is>
      </c>
      <c r="I12" s="37" t="inlineStr">
        <is>
          <t xml:space="preserve">B112 </t>
        </is>
      </c>
      <c r="J12" s="38" t="inlineStr">
        <is>
          <t xml:space="preserve">DIDACTICA GENERAL Y DIDÁCTICAS ESPECÍFICAS </t>
        </is>
      </c>
      <c r="K12" s="26" t="n">
        <v>0.5</v>
      </c>
      <c r="L12" s="26" t="inlineStr">
        <is>
          <t>B112</t>
        </is>
      </c>
      <c r="M12" s="27" t="n">
        <v>2020</v>
      </c>
      <c r="N12" s="27" t="inlineStr">
        <is>
          <t>10.19</t>
        </is>
      </c>
      <c r="O12" s="28" t="n">
        <v>20</v>
      </c>
      <c r="P12" s="27" t="inlineStr"/>
      <c r="Q12" s="28" t="n">
        <v>0</v>
      </c>
      <c r="R12" s="27" t="n">
        <v>80</v>
      </c>
      <c r="S12" s="27" t="n">
        <v>0.4</v>
      </c>
      <c r="T12" s="27" t="n">
        <v>0.1</v>
      </c>
      <c r="U12" s="27" t="n">
        <v>0</v>
      </c>
    </row>
    <row r="13" ht="15.75" customHeight="1" thickBot="1">
      <c r="A13" s="35" t="inlineStr">
        <is>
          <t xml:space="preserve">B112 </t>
        </is>
      </c>
      <c r="B13" s="35" t="inlineStr">
        <is>
          <t xml:space="preserve">DIDACTICA GENERAL Y DIDÁCTICAS ESPECÍFICAS </t>
        </is>
      </c>
      <c r="C13" s="35" t="inlineStr">
        <is>
          <t xml:space="preserve">DOCTORADO EN INVESTIGACIÓN EDUCATIVA </t>
        </is>
      </c>
      <c r="D13" s="35" t="inlineStr">
        <is>
          <t xml:space="preserve">Sebastia Amat, Sergio </t>
        </is>
      </c>
      <c r="E13" s="35" t="inlineStr">
        <is>
          <t xml:space="preserve">Propuesta de evaluación motriz en personas com enfermedad de Parkinson / Motor evaluation proposal for people with Parkinson Disease </t>
        </is>
      </c>
      <c r="F13" s="35" t="inlineStr">
        <is>
          <t xml:space="preserve">20/07/2021 </t>
        </is>
      </c>
      <c r="G13" s="36" t="inlineStr">
        <is>
          <t xml:space="preserve">21515031A </t>
        </is>
      </c>
      <c r="H13" s="37" t="inlineStr">
        <is>
          <t xml:space="preserve">Codirector de tesis </t>
        </is>
      </c>
      <c r="I13" s="37" t="inlineStr">
        <is>
          <t xml:space="preserve">B112 </t>
        </is>
      </c>
      <c r="J13" s="38" t="inlineStr">
        <is>
          <t xml:space="preserve">DIDACTICA GENERAL Y DIDÁCTICAS ESPECÍFICAS </t>
        </is>
      </c>
      <c r="K13" s="26" t="n">
        <v>0.5</v>
      </c>
      <c r="L13" s="26" t="inlineStr">
        <is>
          <t>B112</t>
        </is>
      </c>
      <c r="M13" s="27" t="n">
        <v>2020</v>
      </c>
      <c r="N13" s="27" t="inlineStr"/>
      <c r="O13" s="28" t="inlineStr"/>
      <c r="P13" s="27" t="inlineStr"/>
      <c r="Q13" s="28" t="inlineStr"/>
      <c r="R13" s="27" t="n">
        <v>100</v>
      </c>
      <c r="S13" s="27" t="n">
        <v>0.5</v>
      </c>
      <c r="T13" s="27" t="n">
        <v>0</v>
      </c>
      <c r="U13" s="27" t="n">
        <v>0</v>
      </c>
    </row>
    <row r="14" ht="15.75" customHeight="1" thickBot="1">
      <c r="A14" s="35" t="inlineStr">
        <is>
          <t xml:space="preserve">B112 </t>
        </is>
      </c>
      <c r="B14" s="35" t="inlineStr">
        <is>
          <t xml:space="preserve">DIDACTICA GENERAL Y DIDÁCTICAS ESPECÍFICAS </t>
        </is>
      </c>
      <c r="C14" s="35" t="inlineStr">
        <is>
          <t xml:space="preserve">DOCTORADO EN INVESTIGACIÓN EDUCATIVA </t>
        </is>
      </c>
      <c r="D14" s="35" t="inlineStr">
        <is>
          <t xml:space="preserve">Sánchez García, Luis Fermín </t>
        </is>
      </c>
      <c r="E14" s="35" t="inlineStr">
        <is>
          <t xml:space="preserve">Factores condicionales de rendimiento deportivo en corredores jóvenes de trail running </t>
        </is>
      </c>
      <c r="F14" s="35" t="inlineStr">
        <is>
          <t xml:space="preserve">15/06/2021 </t>
        </is>
      </c>
      <c r="G14" s="36" t="inlineStr">
        <is>
          <t xml:space="preserve">21506145H </t>
        </is>
      </c>
      <c r="H14" s="37" t="inlineStr">
        <is>
          <t xml:space="preserve">Codirector de tesis </t>
        </is>
      </c>
      <c r="I14" s="37" t="inlineStr">
        <is>
          <t xml:space="preserve">B112 </t>
        </is>
      </c>
      <c r="J14" s="38" t="inlineStr">
        <is>
          <t xml:space="preserve">DIDACTICA GENERAL Y DIDÁCTICAS ESPECÍFICAS </t>
        </is>
      </c>
      <c r="K14" s="26" t="n">
        <v>0.5</v>
      </c>
      <c r="L14" s="26" t="inlineStr">
        <is>
          <t>B112</t>
        </is>
      </c>
      <c r="M14" s="27" t="n">
        <v>2020</v>
      </c>
      <c r="N14" s="27" t="inlineStr">
        <is>
          <t>10.19</t>
        </is>
      </c>
      <c r="O14" s="28" t="n">
        <v>20</v>
      </c>
      <c r="P14" s="27" t="inlineStr"/>
      <c r="Q14" s="28" t="n">
        <v>0</v>
      </c>
      <c r="R14" s="27" t="n">
        <v>80</v>
      </c>
      <c r="S14" s="27" t="n">
        <v>0.4</v>
      </c>
      <c r="T14" s="27" t="n">
        <v>0.1</v>
      </c>
      <c r="U14" s="27" t="n">
        <v>0</v>
      </c>
    </row>
    <row r="15" ht="15.75" customHeight="1" thickBot="1">
      <c r="A15" s="35" t="inlineStr">
        <is>
          <t xml:space="preserve">B112 </t>
        </is>
      </c>
      <c r="B15" s="35" t="inlineStr">
        <is>
          <t xml:space="preserve">DIDACTICA GENERAL Y DIDÁCTICAS ESPECÍFICAS </t>
        </is>
      </c>
      <c r="C15" s="35" t="inlineStr">
        <is>
          <t xml:space="preserve">DOCTORADO EN INVESTIGACIÓN EDUCATIVA </t>
        </is>
      </c>
      <c r="D15" s="35" t="inlineStr">
        <is>
          <t xml:space="preserve">Sánchez García, Luis Fermín </t>
        </is>
      </c>
      <c r="E15" s="35" t="inlineStr">
        <is>
          <t xml:space="preserve">Factores condicionales de rendimiento deportivo en corredores jóvenes de trail running </t>
        </is>
      </c>
      <c r="F15" s="35" t="inlineStr">
        <is>
          <t xml:space="preserve">15/06/2021 </t>
        </is>
      </c>
      <c r="G15" s="36" t="inlineStr">
        <is>
          <t xml:space="preserve">48364767E </t>
        </is>
      </c>
      <c r="H15" s="37" t="inlineStr">
        <is>
          <t xml:space="preserve">Codirector de tesis </t>
        </is>
      </c>
      <c r="I15" s="37" t="inlineStr">
        <is>
          <t xml:space="preserve">B112 </t>
        </is>
      </c>
      <c r="J15" s="38" t="inlineStr">
        <is>
          <t xml:space="preserve">DIDACTICA GENERAL Y DIDÁCTICAS ESPECÍFICAS </t>
        </is>
      </c>
      <c r="K15" s="26" t="n">
        <v>0.5</v>
      </c>
      <c r="L15" s="26" t="inlineStr">
        <is>
          <t>B112</t>
        </is>
      </c>
      <c r="M15" s="27" t="n">
        <v>2020</v>
      </c>
      <c r="N15" s="27" t="inlineStr"/>
      <c r="O15" s="28" t="inlineStr"/>
      <c r="P15" s="27" t="inlineStr"/>
      <c r="Q15" s="28" t="inlineStr"/>
      <c r="R15" s="27" t="n">
        <v>100</v>
      </c>
      <c r="S15" s="27" t="n">
        <v>0.5</v>
      </c>
      <c r="T15" s="27" t="n">
        <v>0</v>
      </c>
      <c r="U15" s="27" t="n">
        <v>0</v>
      </c>
    </row>
    <row r="16" ht="15.75" customHeight="1" thickBot="1">
      <c r="A16" s="35" t="inlineStr">
        <is>
          <t xml:space="preserve">B112 </t>
        </is>
      </c>
      <c r="B16" s="35" t="inlineStr">
        <is>
          <t xml:space="preserve">DIDACTICA GENERAL Y DIDÁCTICAS ESPECÍFICAS </t>
        </is>
      </c>
      <c r="C16" s="35" t="inlineStr">
        <is>
          <t xml:space="preserve">DOCTORADO EN INVESTIGACIÓN EDUCATIVA </t>
        </is>
      </c>
      <c r="D16" s="35" t="inlineStr">
        <is>
          <t xml:space="preserve">Urrea Solano, María Encarnación </t>
        </is>
      </c>
      <c r="E16" s="35" t="inlineStr">
        <is>
          <t xml:space="preserve">El liderazgo de las académicas en la Educación Superior: un estudio de caso </t>
        </is>
      </c>
      <c r="F16" s="35" t="inlineStr">
        <is>
          <t xml:space="preserve">22/02/2021 </t>
        </is>
      </c>
      <c r="G16" s="36" t="inlineStr">
        <is>
          <t xml:space="preserve">48769418B </t>
        </is>
      </c>
      <c r="H16" s="37" t="inlineStr">
        <is>
          <t xml:space="preserve">Codirector de tesis </t>
        </is>
      </c>
      <c r="I16" s="37" t="inlineStr">
        <is>
          <t xml:space="preserve">B112 </t>
        </is>
      </c>
      <c r="J16" s="38" t="inlineStr">
        <is>
          <t xml:space="preserve">DIDACTICA GENERAL Y DIDÁCTICAS ESPECÍFICAS </t>
        </is>
      </c>
      <c r="K16" s="26" t="n">
        <v>0.5</v>
      </c>
      <c r="L16" s="26" t="inlineStr">
        <is>
          <t>B112</t>
        </is>
      </c>
      <c r="M16" s="27" t="n">
        <v>2020</v>
      </c>
      <c r="N16" s="27" t="inlineStr">
        <is>
          <t>10.23</t>
        </is>
      </c>
      <c r="O16" s="28" t="n">
        <v>30</v>
      </c>
      <c r="P16" s="27" t="inlineStr">
        <is>
          <t>10.25</t>
        </is>
      </c>
      <c r="Q16" s="28" t="n">
        <v>30</v>
      </c>
      <c r="R16" s="27" t="n">
        <v>40</v>
      </c>
      <c r="S16" s="27" t="n">
        <v>0.2</v>
      </c>
      <c r="T16" s="27" t="n">
        <v>0.15</v>
      </c>
      <c r="U16" s="27" t="n">
        <v>0.15</v>
      </c>
    </row>
    <row r="17" ht="15.75" customHeight="1" thickBot="1">
      <c r="A17" s="35" t="inlineStr">
        <is>
          <t xml:space="preserve">B112 </t>
        </is>
      </c>
      <c r="B17" s="35" t="inlineStr">
        <is>
          <t xml:space="preserve">DIDACTICA GENERAL Y DIDÁCTICAS ESPECÍFICAS </t>
        </is>
      </c>
      <c r="C17" s="35" t="inlineStr">
        <is>
          <t xml:space="preserve">DOCTORADO EN INVESTIGACIÓN EDUCATIVA </t>
        </is>
      </c>
      <c r="D17" s="35" t="inlineStr">
        <is>
          <t xml:space="preserve">Urrea Solano, María Encarnación </t>
        </is>
      </c>
      <c r="E17" s="35" t="inlineStr">
        <is>
          <t xml:space="preserve">El liderazgo de las académicas en la Educación Superior: un estudio de caso </t>
        </is>
      </c>
      <c r="F17" s="35" t="inlineStr">
        <is>
          <t xml:space="preserve">22/02/2021 </t>
        </is>
      </c>
      <c r="G17" s="36" t="inlineStr">
        <is>
          <t xml:space="preserve">21362631R </t>
        </is>
      </c>
      <c r="H17" s="37" t="inlineStr">
        <is>
          <t xml:space="preserve">Codirector de tesis </t>
        </is>
      </c>
      <c r="I17" s="37" t="inlineStr">
        <is>
          <t xml:space="preserve">B112 </t>
        </is>
      </c>
      <c r="J17" s="38" t="inlineStr">
        <is>
          <t xml:space="preserve">DIDACTICA GENERAL Y DIDÁCTICAS ESPECÍFICAS </t>
        </is>
      </c>
      <c r="K17" s="26" t="n">
        <v>0.5</v>
      </c>
      <c r="L17" s="26" t="inlineStr">
        <is>
          <t>B112</t>
        </is>
      </c>
      <c r="M17" s="27" t="n">
        <v>2020</v>
      </c>
      <c r="N17" s="27" t="inlineStr"/>
      <c r="O17" s="28" t="inlineStr"/>
      <c r="P17" s="27" t="inlineStr"/>
      <c r="Q17" s="28" t="inlineStr"/>
      <c r="R17" s="27" t="n">
        <v>100</v>
      </c>
      <c r="S17" s="27" t="n">
        <v>0.5</v>
      </c>
      <c r="T17" s="27" t="n">
        <v>0</v>
      </c>
      <c r="U17" s="27" t="n">
        <v>0</v>
      </c>
    </row>
    <row r="18" ht="15.75" customHeight="1" thickBot="1">
      <c r="A18" s="35" t="inlineStr">
        <is>
          <t xml:space="preserve">B112 </t>
        </is>
      </c>
      <c r="B18" s="35" t="inlineStr">
        <is>
          <t xml:space="preserve">DIDACTICA GENERAL Y DIDÁCTICAS ESPECÍFICAS </t>
        </is>
      </c>
      <c r="C18" s="35" t="inlineStr">
        <is>
          <t xml:space="preserve">DOCTORADO EN INVESTIGACIÓN EDUCATIVA </t>
        </is>
      </c>
      <c r="D18" s="35" t="inlineStr">
        <is>
          <t xml:space="preserve">Nicolás Castellano, Carolina </t>
        </is>
      </c>
      <c r="E18" s="35" t="inlineStr">
        <is>
          <t xml:space="preserve">Hacia el cambio didáctico en la enseñanza de las ciencias en la educación primaria: de la enseñanza transmisiva a la enseñanza problematizada </t>
        </is>
      </c>
      <c r="F18" s="35" t="inlineStr">
        <is>
          <t xml:space="preserve">20/04/2021 </t>
        </is>
      </c>
      <c r="G18" s="36" t="inlineStr">
        <is>
          <t xml:space="preserve">21386831M </t>
        </is>
      </c>
      <c r="H18" s="37" t="inlineStr">
        <is>
          <t xml:space="preserve">Director de tesis </t>
        </is>
      </c>
      <c r="I18" s="37" t="inlineStr">
        <is>
          <t xml:space="preserve">B112 </t>
        </is>
      </c>
      <c r="J18" s="38" t="inlineStr">
        <is>
          <t xml:space="preserve">DIDACTICA GENERAL Y DIDÁCTICAS ESPECÍFICAS </t>
        </is>
      </c>
      <c r="K18" s="26" t="n">
        <v>1</v>
      </c>
      <c r="L18" s="26" t="inlineStr">
        <is>
          <t>B112</t>
        </is>
      </c>
      <c r="M18" s="27" t="n">
        <v>2020</v>
      </c>
      <c r="N18" s="27" t="inlineStr">
        <is>
          <t>10.20</t>
        </is>
      </c>
      <c r="O18" s="28" t="n">
        <v>50</v>
      </c>
      <c r="P18" s="27" t="inlineStr"/>
      <c r="Q18" s="28" t="n">
        <v>0</v>
      </c>
      <c r="R18" s="27" t="n">
        <v>50</v>
      </c>
      <c r="S18" s="27" t="n">
        <v>0.5</v>
      </c>
      <c r="T18" s="27" t="n">
        <v>0.5</v>
      </c>
      <c r="U18" s="27" t="n">
        <v>0</v>
      </c>
    </row>
    <row r="19" ht="15.75" customHeight="1" thickBot="1">
      <c r="A19" s="35" t="inlineStr">
        <is>
          <t xml:space="preserve">B112 </t>
        </is>
      </c>
      <c r="B19" s="35" t="inlineStr">
        <is>
          <t xml:space="preserve">DIDACTICA GENERAL Y DIDÁCTICAS ESPECÍFICAS </t>
        </is>
      </c>
      <c r="C19" s="35" t="inlineStr">
        <is>
          <t xml:space="preserve">DOCTORADO EN INVESTIGACIÓN EDUCATIVA </t>
        </is>
      </c>
      <c r="D19" s="35" t="inlineStr">
        <is>
          <t xml:space="preserve">Brenes Maltez, Perla Mayela </t>
        </is>
      </c>
      <c r="E19" s="35" t="inlineStr">
        <is>
          <t xml:space="preserve">Diseño y evaluación de un programa para el desarrollo de la competencia investigadora en la formación inicial de docentes: percepción de alumnado y profesorado </t>
        </is>
      </c>
      <c r="F19" s="35" t="inlineStr">
        <is>
          <t xml:space="preserve">30/09/2021 </t>
        </is>
      </c>
      <c r="G19" s="36" t="inlineStr">
        <is>
          <t xml:space="preserve">76941801Q </t>
        </is>
      </c>
      <c r="H19" s="37" t="inlineStr">
        <is>
          <t xml:space="preserve">Director de tesis </t>
        </is>
      </c>
      <c r="I19" s="37" t="inlineStr">
        <is>
          <t xml:space="preserve">B112 </t>
        </is>
      </c>
      <c r="J19" s="38" t="inlineStr">
        <is>
          <t xml:space="preserve">DIDACTICA GENERAL Y DIDÁCTICAS ESPECÍFICAS </t>
        </is>
      </c>
      <c r="K19" s="26" t="n">
        <v>1</v>
      </c>
      <c r="L19" s="26" t="inlineStr">
        <is>
          <t>B112</t>
        </is>
      </c>
      <c r="M19" s="27" t="n">
        <v>2020</v>
      </c>
      <c r="N19" s="27" t="inlineStr">
        <is>
          <t>10.25</t>
        </is>
      </c>
      <c r="O19" s="28" t="n">
        <v>30</v>
      </c>
      <c r="P19" s="27" t="inlineStr">
        <is>
          <t>10.23</t>
        </is>
      </c>
      <c r="Q19" s="28" t="n">
        <v>20</v>
      </c>
      <c r="R19" s="27" t="n">
        <v>50</v>
      </c>
      <c r="S19" s="27" t="n">
        <v>0.5</v>
      </c>
      <c r="T19" s="27" t="n">
        <v>0.3</v>
      </c>
      <c r="U19" s="27" t="n">
        <v>0.2</v>
      </c>
    </row>
    <row r="20" ht="15.75" customHeight="1" thickBot="1">
      <c r="A20" s="35" t="inlineStr">
        <is>
          <t xml:space="preserve">B177 </t>
        </is>
      </c>
      <c r="B20" s="35" t="inlineStr">
        <is>
          <t xml:space="preserve">PSICOLOGÍA EVOLUTIVA Y DIDÁCTICA </t>
        </is>
      </c>
      <c r="C20" s="35" t="inlineStr">
        <is>
          <t xml:space="preserve">DOCTORADO EN INVESTIGACIÓN EDUCATIVA </t>
        </is>
      </c>
      <c r="D20" s="35" t="inlineStr">
        <is>
          <t xml:space="preserve">Cazarez Valdiviezo, José Luis </t>
        </is>
      </c>
      <c r="E20" s="35" t="inlineStr">
        <is>
          <t xml:space="preserve">Competencias del profesorado universitario en relación al uso de Tecnologías de la Información y Comunicación. Un estudio de caso en la Universidad Central de Ecuador </t>
        </is>
      </c>
      <c r="F20" s="35" t="inlineStr">
        <is>
          <t xml:space="preserve">18/02/2021 </t>
        </is>
      </c>
      <c r="G20" s="36" t="inlineStr">
        <is>
          <t xml:space="preserve">25126858W </t>
        </is>
      </c>
      <c r="H20" s="37" t="inlineStr">
        <is>
          <t xml:space="preserve">Director de tesis </t>
        </is>
      </c>
      <c r="I20" s="37" t="inlineStr">
        <is>
          <t xml:space="preserve">B112 </t>
        </is>
      </c>
      <c r="J20" s="38" t="inlineStr">
        <is>
          <t xml:space="preserve">DIDACTICA GENERAL Y DIDÁCTICAS ESPECÍFICAS </t>
        </is>
      </c>
      <c r="K20" s="26" t="n">
        <v>1</v>
      </c>
      <c r="L20" s="26" t="inlineStr">
        <is>
          <t>B112</t>
        </is>
      </c>
      <c r="M20" s="27" t="n">
        <v>2020</v>
      </c>
      <c r="N20" s="27" t="inlineStr">
        <is>
          <t>10.25</t>
        </is>
      </c>
      <c r="O20" s="28" t="n">
        <v>30</v>
      </c>
      <c r="P20" s="27" t="inlineStr"/>
      <c r="Q20" s="28" t="n">
        <v>0</v>
      </c>
      <c r="R20" s="27" t="n">
        <v>70</v>
      </c>
      <c r="S20" s="27" t="n">
        <v>0.7</v>
      </c>
      <c r="T20" s="27" t="n">
        <v>0.3</v>
      </c>
      <c r="U20" s="27" t="n">
        <v>0</v>
      </c>
    </row>
    <row r="21" ht="15.75" customHeight="1" thickBot="1">
      <c r="A21" s="35" t="inlineStr">
        <is>
          <t xml:space="preserve">B177 </t>
        </is>
      </c>
      <c r="B21" s="35" t="inlineStr">
        <is>
          <t xml:space="preserve">PSICOLOGÍA EVOLUTIVA Y DIDÁCTICA </t>
        </is>
      </c>
      <c r="C21" s="35" t="inlineStr">
        <is>
          <t xml:space="preserve">DOCTORADO EN INVESTIGACIÓN EDUCATIVA </t>
        </is>
      </c>
      <c r="D21" s="35" t="inlineStr">
        <is>
          <t xml:space="preserve">Silva Martínez, Gardenia </t>
        </is>
      </c>
      <c r="E21" s="35" t="inlineStr">
        <is>
          <t xml:space="preserve">Análisis de las dificultades de los estudiantes para desarrollar su carrera en al Universidad UTE Santo Domingo (Ecuador) </t>
        </is>
      </c>
      <c r="F21" s="35" t="inlineStr">
        <is>
          <t xml:space="preserve">19/02/2021 </t>
        </is>
      </c>
      <c r="G21" s="36" t="inlineStr">
        <is>
          <t xml:space="preserve">76941801Q </t>
        </is>
      </c>
      <c r="H21" s="37" t="inlineStr">
        <is>
          <t xml:space="preserve">Director de tesis </t>
        </is>
      </c>
      <c r="I21" s="37" t="inlineStr">
        <is>
          <t xml:space="preserve">B112 </t>
        </is>
      </c>
      <c r="J21" s="38" t="inlineStr">
        <is>
          <t xml:space="preserve">DIDACTICA GENERAL Y DIDÁCTICAS ESPECÍFICAS </t>
        </is>
      </c>
      <c r="K21" s="26" t="n">
        <v>1</v>
      </c>
      <c r="L21" s="26" t="inlineStr">
        <is>
          <t>B112</t>
        </is>
      </c>
      <c r="M21" s="27" t="n">
        <v>2020</v>
      </c>
      <c r="N21" s="27" t="inlineStr">
        <is>
          <t>10.25</t>
        </is>
      </c>
      <c r="O21" s="28" t="n">
        <v>30</v>
      </c>
      <c r="P21" s="27" t="inlineStr">
        <is>
          <t>10.23</t>
        </is>
      </c>
      <c r="Q21" s="28" t="n">
        <v>20</v>
      </c>
      <c r="R21" s="27" t="n">
        <v>50</v>
      </c>
      <c r="S21" s="27" t="n">
        <v>0.5</v>
      </c>
      <c r="T21" s="27" t="n">
        <v>0.3</v>
      </c>
      <c r="U21" s="27" t="n">
        <v>0.2</v>
      </c>
    </row>
    <row r="22" ht="15.75" customHeight="1" thickBot="1">
      <c r="A22" s="35" t="inlineStr">
        <is>
          <t xml:space="preserve">B177 </t>
        </is>
      </c>
      <c r="B22" s="35" t="inlineStr">
        <is>
          <t xml:space="preserve">PSICOLOGÍA EVOLUTIVA Y DIDÁCTICA </t>
        </is>
      </c>
      <c r="C22" s="35" t="inlineStr">
        <is>
          <t xml:space="preserve">DOCTORADO EN INVESTIGACIÓN EDUCATIVA </t>
        </is>
      </c>
      <c r="D22" s="35" t="inlineStr">
        <is>
          <t xml:space="preserve">Sierra Pazmiño, Diego Xavier </t>
        </is>
      </c>
      <c r="E22" s="35" t="inlineStr">
        <is>
          <t xml:space="preserve">Evaluación de las competencias digitales en la formación inicial docente de los y las estudiantes de la Facultad de Filosofía y Letras y Ciencias de la Educación de la Universidad Central de Ecuador </t>
        </is>
      </c>
      <c r="F22" s="35" t="inlineStr">
        <is>
          <t xml:space="preserve">25/02/2021 </t>
        </is>
      </c>
      <c r="G22" s="36" t="inlineStr">
        <is>
          <t xml:space="preserve">25126858W </t>
        </is>
      </c>
      <c r="H22" s="37" t="inlineStr">
        <is>
          <t xml:space="preserve">Director de tesis </t>
        </is>
      </c>
      <c r="I22" s="37" t="inlineStr">
        <is>
          <t xml:space="preserve">B112 </t>
        </is>
      </c>
      <c r="J22" s="38" t="inlineStr">
        <is>
          <t xml:space="preserve">DIDACTICA GENERAL Y DIDÁCTICAS ESPECÍFICAS </t>
        </is>
      </c>
      <c r="K22" s="26" t="n">
        <v>1</v>
      </c>
      <c r="L22" s="26" t="inlineStr">
        <is>
          <t>B112</t>
        </is>
      </c>
      <c r="M22" s="27" t="n">
        <v>2020</v>
      </c>
      <c r="N22" s="27" t="inlineStr">
        <is>
          <t>10.25</t>
        </is>
      </c>
      <c r="O22" s="28" t="n">
        <v>30</v>
      </c>
      <c r="P22" s="27" t="inlineStr"/>
      <c r="Q22" s="28" t="n">
        <v>0</v>
      </c>
      <c r="R22" s="27" t="n">
        <v>70</v>
      </c>
      <c r="S22" s="27" t="n">
        <v>0.7</v>
      </c>
      <c r="T22" s="27" t="n">
        <v>0.3</v>
      </c>
      <c r="U22" s="27" t="n">
        <v>0</v>
      </c>
    </row>
    <row r="23" ht="15.75" customHeight="1" thickBot="1">
      <c r="A23" s="35" t="inlineStr">
        <is>
          <t xml:space="preserve">B177 </t>
        </is>
      </c>
      <c r="B23" s="35" t="inlineStr">
        <is>
          <t xml:space="preserve">PSICOLOGÍA EVOLUTIVA Y DIDÁCTICA </t>
        </is>
      </c>
      <c r="C23" s="35" t="inlineStr">
        <is>
          <t xml:space="preserve">DOCTORADO EN INVESTIGACIÓN EDUCATIVA </t>
        </is>
      </c>
      <c r="D23" s="35" t="inlineStr">
        <is>
          <t xml:space="preserve">Fabra Brell, Eugenio </t>
        </is>
      </c>
      <c r="E23" s="35" t="inlineStr">
        <is>
          <t xml:space="preserve">Flipped Learning y Aprendizaje Musical: Un estudio colectivo de casos con estudiantes de Educación Secundaria Obligatoria en un entorno rural </t>
        </is>
      </c>
      <c r="F23" s="35" t="inlineStr">
        <is>
          <t xml:space="preserve">18/02/2021 </t>
        </is>
      </c>
      <c r="G23" s="36" t="inlineStr">
        <is>
          <t xml:space="preserve">25126858W </t>
        </is>
      </c>
      <c r="H23" s="37" t="inlineStr">
        <is>
          <t xml:space="preserve">Director de tesis </t>
        </is>
      </c>
      <c r="I23" s="37" t="inlineStr">
        <is>
          <t xml:space="preserve">B112 </t>
        </is>
      </c>
      <c r="J23" s="38" t="inlineStr">
        <is>
          <t xml:space="preserve">DIDACTICA GENERAL Y DIDÁCTICAS ESPECÍFICAS </t>
        </is>
      </c>
      <c r="K23" s="26" t="n">
        <v>1</v>
      </c>
      <c r="L23" s="26" t="inlineStr">
        <is>
          <t>B112</t>
        </is>
      </c>
      <c r="M23" s="27" t="n">
        <v>2020</v>
      </c>
      <c r="N23" s="27" t="inlineStr">
        <is>
          <t>10.25</t>
        </is>
      </c>
      <c r="O23" s="28" t="n">
        <v>30</v>
      </c>
      <c r="P23" s="27" t="inlineStr"/>
      <c r="Q23" s="28" t="n">
        <v>0</v>
      </c>
      <c r="R23" s="27" t="n">
        <v>70</v>
      </c>
      <c r="S23" s="27" t="n">
        <v>0.7</v>
      </c>
      <c r="T23" s="27" t="n">
        <v>0.3</v>
      </c>
      <c r="U23" s="27" t="n">
        <v>0</v>
      </c>
    </row>
    <row r="24" ht="15.75" customHeight="1" thickBot="1">
      <c r="A24" s="35" t="inlineStr">
        <is>
          <t xml:space="preserve">U023 </t>
        </is>
      </c>
      <c r="B24" s="35" t="inlineStr">
        <is>
          <t xml:space="preserve">ADM. FACULTAD DE FILOSOFIA Y LETRAS </t>
        </is>
      </c>
      <c r="C24" s="35" t="inlineStr">
        <is>
          <t xml:space="preserve">DOCTORADO EN FILOSOFÍA Y LETRAS </t>
        </is>
      </c>
      <c r="D24" s="35" t="inlineStr">
        <is>
          <t xml:space="preserve">Morillo Revelo, Edgardo Javier </t>
        </is>
      </c>
      <c r="E24" s="35" t="inlineStr">
        <is>
          <t xml:space="preserve">Reducción de la pobreza en Ecuador (2007-2017). El caso del Cantón Pedro Moncayo </t>
        </is>
      </c>
      <c r="F24" s="35" t="inlineStr">
        <is>
          <t xml:space="preserve">27/04/2021 </t>
        </is>
      </c>
      <c r="G24" s="36" t="inlineStr">
        <is>
          <t xml:space="preserve">21457927P </t>
        </is>
      </c>
      <c r="H24" s="37" t="inlineStr">
        <is>
          <t xml:space="preserve">Director de tesis </t>
        </is>
      </c>
      <c r="I24" s="37" t="inlineStr">
        <is>
          <t xml:space="preserve">B112 </t>
        </is>
      </c>
      <c r="J24" s="38" t="inlineStr">
        <is>
          <t xml:space="preserve">DIDACTICA GENERAL Y DIDÁCTICAS ESPECÍFICAS </t>
        </is>
      </c>
      <c r="K24" s="26" t="n">
        <v>1</v>
      </c>
      <c r="L24" s="26" t="inlineStr">
        <is>
          <t>B112</t>
        </is>
      </c>
      <c r="M24" s="27" t="n">
        <v>2020</v>
      </c>
      <c r="N24" s="27" t="inlineStr">
        <is>
          <t>10.25</t>
        </is>
      </c>
      <c r="O24" s="28" t="n">
        <v>80</v>
      </c>
      <c r="P24" s="27" t="inlineStr"/>
      <c r="Q24" s="28" t="n">
        <v>0</v>
      </c>
      <c r="R24" s="27" t="n">
        <v>20</v>
      </c>
      <c r="S24" s="27" t="n">
        <v>0.2</v>
      </c>
      <c r="T24" s="27" t="n">
        <v>0.8</v>
      </c>
      <c r="U24" s="27" t="n">
        <v>0</v>
      </c>
    </row>
    <row r="25" ht="15.75" customHeight="1" thickBot="1">
      <c r="A25" s="35" t="inlineStr">
        <is>
          <t xml:space="preserve">U023 </t>
        </is>
      </c>
      <c r="B25" s="35" t="inlineStr">
        <is>
          <t xml:space="preserve">ADM. FACULTAD DE FILOSOFIA Y LETRAS </t>
        </is>
      </c>
      <c r="C25" s="35" t="inlineStr">
        <is>
          <t xml:space="preserve">DOCTORADO EN FILOSOFÍA Y LETRAS </t>
        </is>
      </c>
      <c r="D25" s="35" t="inlineStr">
        <is>
          <t xml:space="preserve">Ramos Altamira, Ignacio </t>
        </is>
      </c>
      <c r="E25" s="35" t="inlineStr">
        <is>
          <t xml:space="preserve">"Rafael Altamira y Crevea y su contribución a la educación popular y la escuela pública española" </t>
        </is>
      </c>
      <c r="F25" s="35" t="inlineStr">
        <is>
          <t xml:space="preserve">29/07/2021 </t>
        </is>
      </c>
      <c r="G25" s="36" t="inlineStr">
        <is>
          <t xml:space="preserve">21633898Y </t>
        </is>
      </c>
      <c r="H25" s="37" t="inlineStr">
        <is>
          <t xml:space="preserve">Codirector de tesis </t>
        </is>
      </c>
      <c r="I25" s="37" t="inlineStr">
        <is>
          <t xml:space="preserve">B112 </t>
        </is>
      </c>
      <c r="J25" s="38" t="inlineStr">
        <is>
          <t xml:space="preserve">DIDACTICA GENERAL Y DIDÁCTICAS ESPECÍFICAS </t>
        </is>
      </c>
      <c r="K25" s="26" t="n">
        <v>0.5</v>
      </c>
      <c r="L25" s="26" t="inlineStr">
        <is>
          <t>B112</t>
        </is>
      </c>
      <c r="M25" s="27" t="n">
        <v>2020</v>
      </c>
      <c r="N25" s="27" t="inlineStr">
        <is>
          <t>10.21</t>
        </is>
      </c>
      <c r="O25" s="28" t="n">
        <v>50</v>
      </c>
      <c r="P25" s="27" t="inlineStr"/>
      <c r="Q25" s="28" t="n">
        <v>0</v>
      </c>
      <c r="R25" s="27" t="n">
        <v>50</v>
      </c>
      <c r="S25" s="27" t="n">
        <v>0.25</v>
      </c>
      <c r="T25" s="27" t="n">
        <v>0.25</v>
      </c>
      <c r="U25" s="27" t="n">
        <v>0</v>
      </c>
    </row>
    <row r="26" ht="15.75" customHeight="1" thickBot="1">
      <c r="A26" s="35" t="inlineStr">
        <is>
          <t xml:space="preserve">U062 </t>
        </is>
      </c>
      <c r="B26" s="35" t="inlineStr">
        <is>
          <t xml:space="preserve">ADM. I.U. DE INVESTIGACIÓN INFORMÁTICA </t>
        </is>
      </c>
      <c r="C26" s="35" t="inlineStr">
        <is>
          <t xml:space="preserve">DOCTORADO EN INFORMÁTICA </t>
        </is>
      </c>
      <c r="D26" s="35" t="inlineStr">
        <is>
          <t xml:space="preserve">Jiménez Álvarez, Luis Gonzalo </t>
        </is>
      </c>
      <c r="E26" s="35" t="inlineStr">
        <is>
          <t xml:space="preserve">Diseño y Especificación del ocio digital con fines de aprendizaje ODFA Subproblema: Ocio digital formativo en competencias ODFC para la UCE </t>
        </is>
      </c>
      <c r="F26" s="35" t="inlineStr">
        <is>
          <t xml:space="preserve">25/02/2021 </t>
        </is>
      </c>
      <c r="G26" s="36" t="inlineStr">
        <is>
          <t xml:space="preserve">21686601Q </t>
        </is>
      </c>
      <c r="H26" s="37" t="inlineStr">
        <is>
          <t xml:space="preserve">Codirector de tesis </t>
        </is>
      </c>
      <c r="I26" s="37" t="inlineStr">
        <is>
          <t xml:space="preserve">B112 </t>
        </is>
      </c>
      <c r="J26" s="38" t="inlineStr">
        <is>
          <t xml:space="preserve">DIDACTICA GENERAL Y DIDÁCTICAS ESPECÍFICAS </t>
        </is>
      </c>
      <c r="K26" s="26" t="n">
        <v>0.5</v>
      </c>
      <c r="L26" s="26" t="inlineStr">
        <is>
          <t>B112</t>
        </is>
      </c>
      <c r="M26" s="27" t="n">
        <v>2020</v>
      </c>
      <c r="N26" s="27" t="inlineStr">
        <is>
          <t>10.25</t>
        </is>
      </c>
      <c r="O26" s="28" t="n">
        <v>50</v>
      </c>
      <c r="P26" s="27" t="inlineStr"/>
      <c r="Q26" s="28" t="n">
        <v>0</v>
      </c>
      <c r="R26" s="27" t="n">
        <v>50</v>
      </c>
      <c r="S26" s="27" t="n">
        <v>0.25</v>
      </c>
      <c r="T26" s="27" t="n">
        <v>0.25</v>
      </c>
      <c r="U26" s="27" t="n">
        <v>0</v>
      </c>
    </row>
    <row r="27">
      <c r="A27" s="27" t="inlineStr">
        <is>
          <t xml:space="preserve">U075 </t>
        </is>
      </c>
      <c r="B27" s="27" t="inlineStr">
        <is>
          <t xml:space="preserve">ADM. I.U.INVESTIGACIÓN DE ESTUDIOS SOCIALES DE AMÉRICA LATINA </t>
        </is>
      </c>
      <c r="C27" s="27" t="inlineStr">
        <is>
          <t xml:space="preserve">DOCTORADO EN HUMANIDADES Y ESTUDIOS SOCIALES DE AMÉRICA LATINA </t>
        </is>
      </c>
      <c r="D27" s="27" t="inlineStr">
        <is>
          <t xml:space="preserve">Hoyos Londoño, María Carmenza </t>
        </is>
      </c>
      <c r="E27" s="27" t="inlineStr">
        <is>
          <t xml:space="preserve">Vida y obra del poeta colombiano Raúl Gómez Jattin: su indiscutible propensión a la poesía </t>
        </is>
      </c>
      <c r="F27" s="27" t="inlineStr">
        <is>
          <t xml:space="preserve">02/07/2021 </t>
        </is>
      </c>
      <c r="G27" s="27" t="inlineStr">
        <is>
          <t xml:space="preserve">21457927P </t>
        </is>
      </c>
      <c r="H27" s="27" t="inlineStr">
        <is>
          <t xml:space="preserve">Director de tesis </t>
        </is>
      </c>
      <c r="I27" s="27" t="inlineStr">
        <is>
          <t xml:space="preserve">B112 </t>
        </is>
      </c>
      <c r="J27" s="27" t="inlineStr">
        <is>
          <t xml:space="preserve">DIDACTICA GENERAL Y DIDÁCTICAS ESPECÍFICAS </t>
        </is>
      </c>
      <c r="K27" s="26" t="n">
        <v>1</v>
      </c>
      <c r="L27" s="26" t="inlineStr">
        <is>
          <t>B112</t>
        </is>
      </c>
      <c r="M27" s="27" t="n">
        <v>2020</v>
      </c>
      <c r="N27" s="27" t="inlineStr">
        <is>
          <t>10.25</t>
        </is>
      </c>
      <c r="O27" s="28" t="n">
        <v>80</v>
      </c>
      <c r="P27" s="27" t="inlineStr"/>
      <c r="Q27" s="28" t="n">
        <v>0</v>
      </c>
      <c r="R27" s="27" t="n">
        <v>20</v>
      </c>
      <c r="S27" s="27" t="n">
        <v>0.2</v>
      </c>
      <c r="T27" s="27" t="n">
        <v>0.8</v>
      </c>
      <c r="U27" s="27" t="n">
        <v>0</v>
      </c>
    </row>
    <row r="28">
      <c r="A28" s="27" t="inlineStr">
        <is>
          <t xml:space="preserve">B112 </t>
        </is>
      </c>
      <c r="B28" s="27" t="inlineStr">
        <is>
          <t xml:space="preserve">DIDACTICA GENERAL Y DIDÁCTICAS ESPECÍFICAS </t>
        </is>
      </c>
      <c r="C28" s="27" t="inlineStr">
        <is>
          <t xml:space="preserve">DOCTORADO EN INVESTIGACIÓN EDUCATIVA </t>
        </is>
      </c>
      <c r="D28" s="27" t="inlineStr">
        <is>
          <t xml:space="preserve">Serrano Ramón, Josep Manel </t>
        </is>
      </c>
      <c r="E28" s="27" t="inlineStr">
        <is>
          <t xml:space="preserve">"Efectos de la restricción del flujo sanguíneo durante el entrenamiento de fuerza en base a la velocidad </t>
        </is>
      </c>
      <c r="F28" s="27" t="inlineStr">
        <is>
          <t xml:space="preserve">10/02/2022 </t>
        </is>
      </c>
      <c r="G28" s="27" t="inlineStr">
        <is>
          <t xml:space="preserve">21660466D </t>
        </is>
      </c>
      <c r="H28" s="27" t="inlineStr">
        <is>
          <t xml:space="preserve">Codirector de tesis </t>
        </is>
      </c>
      <c r="I28" s="27" t="inlineStr">
        <is>
          <t xml:space="preserve">B112 </t>
        </is>
      </c>
      <c r="J28" s="27" t="inlineStr">
        <is>
          <t xml:space="preserve">DIDACTICA GENERAL Y DIDÁCTICAS ESPECÍFICAS </t>
        </is>
      </c>
      <c r="K28" s="26" t="n">
        <v>0.5</v>
      </c>
      <c r="L28" s="26" t="inlineStr">
        <is>
          <t>B112</t>
        </is>
      </c>
      <c r="M28" s="27" t="n">
        <v>2021</v>
      </c>
      <c r="N28" s="27" t="inlineStr"/>
      <c r="O28" s="28" t="inlineStr"/>
      <c r="P28" s="27" t="inlineStr"/>
      <c r="Q28" s="28" t="inlineStr"/>
      <c r="R28" s="27" t="n">
        <v>100</v>
      </c>
      <c r="S28" s="27" t="n">
        <v>0.5</v>
      </c>
      <c r="T28" s="27" t="n">
        <v>0</v>
      </c>
      <c r="U28" s="27" t="n">
        <v>0</v>
      </c>
    </row>
    <row r="29">
      <c r="A29" s="27" t="inlineStr">
        <is>
          <t xml:space="preserve">B112 </t>
        </is>
      </c>
      <c r="B29" s="27" t="inlineStr">
        <is>
          <t xml:space="preserve">DIDACTICA GENERAL Y DIDÁCTICAS ESPECÍFICAS </t>
        </is>
      </c>
      <c r="C29" s="27" t="inlineStr">
        <is>
          <t xml:space="preserve">DOCTORADO EN INVESTIGACIÓN EDUCATIVA </t>
        </is>
      </c>
      <c r="D29" s="27" t="inlineStr">
        <is>
          <t xml:space="preserve">Serrano Ramón, Josep Manel </t>
        </is>
      </c>
      <c r="E29" s="27" t="inlineStr">
        <is>
          <t xml:space="preserve">"Efectos de la restricción del flujo sanguíneo durante el entrenamiento de fuerza en base a la velocidad </t>
        </is>
      </c>
      <c r="F29" s="27" t="inlineStr">
        <is>
          <t xml:space="preserve">10/02/2022 </t>
        </is>
      </c>
      <c r="G29" s="27" t="inlineStr">
        <is>
          <t xml:space="preserve">48379055G </t>
        </is>
      </c>
      <c r="H29" s="27" t="inlineStr">
        <is>
          <t xml:space="preserve">Codirector de tesis </t>
        </is>
      </c>
      <c r="I29" s="27" t="inlineStr">
        <is>
          <t xml:space="preserve">B112 </t>
        </is>
      </c>
      <c r="J29" s="27" t="inlineStr">
        <is>
          <t xml:space="preserve">DIDACTICA GENERAL Y DIDÁCTICAS ESPECÍFICAS </t>
        </is>
      </c>
      <c r="K29" s="26" t="n">
        <v>0.5</v>
      </c>
      <c r="L29" s="26" t="inlineStr">
        <is>
          <t>B112</t>
        </is>
      </c>
      <c r="M29" s="27" t="n">
        <v>2021</v>
      </c>
      <c r="N29" s="27" t="inlineStr"/>
      <c r="O29" s="28" t="inlineStr"/>
      <c r="P29" s="27" t="inlineStr"/>
      <c r="Q29" s="28" t="inlineStr"/>
      <c r="R29" s="27" t="n">
        <v>100</v>
      </c>
      <c r="S29" s="27" t="n">
        <v>0.5</v>
      </c>
      <c r="T29" s="27" t="n">
        <v>0</v>
      </c>
      <c r="U29" s="27" t="n">
        <v>0</v>
      </c>
    </row>
    <row r="30">
      <c r="A30" s="27" t="inlineStr">
        <is>
          <t xml:space="preserve">B112 </t>
        </is>
      </c>
      <c r="B30" s="27" t="inlineStr">
        <is>
          <t xml:space="preserve">DIDACTICA GENERAL Y DIDÁCTICAS ESPECÍFICAS </t>
        </is>
      </c>
      <c r="C30" s="27" t="inlineStr">
        <is>
          <t xml:space="preserve">DOCTORADO EN INVESTIGACIÓN EDUCATIVA </t>
        </is>
      </c>
      <c r="D30" s="27" t="inlineStr">
        <is>
          <t xml:space="preserve">Ruano Masiá, Carmen </t>
        </is>
      </c>
      <c r="E30" s="27" t="inlineStr">
        <is>
          <t xml:space="preserve">Comparación del rendimiento físico y técnico en diferentes fases del ciclo menstrual en deportistas de gimnasia rítmica de nivel nacional </t>
        </is>
      </c>
      <c r="F30" s="27" t="inlineStr">
        <is>
          <t xml:space="preserve">18/02/2022 </t>
        </is>
      </c>
      <c r="G30" s="27" t="inlineStr">
        <is>
          <t xml:space="preserve">71018179K </t>
        </is>
      </c>
      <c r="H30" s="27" t="inlineStr">
        <is>
          <t xml:space="preserve">Director de tesis </t>
        </is>
      </c>
      <c r="I30" s="27" t="inlineStr">
        <is>
          <t xml:space="preserve">B112 </t>
        </is>
      </c>
      <c r="J30" s="27" t="inlineStr">
        <is>
          <t xml:space="preserve">DIDACTICA GENERAL Y DIDÁCTICAS ESPECÍFICAS </t>
        </is>
      </c>
      <c r="K30" s="26" t="n">
        <v>1</v>
      </c>
      <c r="L30" s="26" t="inlineStr">
        <is>
          <t>B112</t>
        </is>
      </c>
      <c r="M30" s="27" t="n">
        <v>2021</v>
      </c>
      <c r="N30" s="27" t="inlineStr"/>
      <c r="O30" s="28" t="inlineStr"/>
      <c r="P30" s="27" t="inlineStr"/>
      <c r="Q30" s="28" t="inlineStr"/>
      <c r="R30" s="27" t="n">
        <v>100</v>
      </c>
      <c r="S30" s="27" t="n">
        <v>1</v>
      </c>
      <c r="T30" s="27" t="n">
        <v>0</v>
      </c>
      <c r="U30" s="27" t="n">
        <v>0</v>
      </c>
    </row>
    <row r="31">
      <c r="A31" s="27" t="inlineStr">
        <is>
          <t xml:space="preserve">B112 </t>
        </is>
      </c>
      <c r="B31" s="27" t="inlineStr">
        <is>
          <t xml:space="preserve">DIDACTICA GENERAL Y DIDÁCTICAS ESPECÍFICAS </t>
        </is>
      </c>
      <c r="C31" s="27" t="inlineStr">
        <is>
          <t xml:space="preserve">DOCTORADO EN INVESTIGACIÓN EDUCATIVA </t>
        </is>
      </c>
      <c r="D31" s="27" t="inlineStr">
        <is>
          <t xml:space="preserve">García del Castillo López, Fernando </t>
        </is>
      </c>
      <c r="E31" s="27" t="inlineStr">
        <is>
          <t xml:space="preserve">Estilos de vida, comportamiento digital, estado emocional y actividad física en situación de confinamiento por la COVID-19, en una muestra de estudiantes universitarios </t>
        </is>
      </c>
      <c r="F31" s="27" t="inlineStr">
        <is>
          <t xml:space="preserve">11/03/2022 </t>
        </is>
      </c>
      <c r="G31" s="27" t="inlineStr">
        <is>
          <t xml:space="preserve">21515031A </t>
        </is>
      </c>
      <c r="H31" s="27" t="inlineStr">
        <is>
          <t xml:space="preserve">Codirector de tesis </t>
        </is>
      </c>
      <c r="I31" s="27" t="inlineStr">
        <is>
          <t xml:space="preserve">B112 </t>
        </is>
      </c>
      <c r="J31" s="27" t="inlineStr">
        <is>
          <t xml:space="preserve">DIDACTICA GENERAL Y DIDÁCTICAS ESPECÍFICAS </t>
        </is>
      </c>
      <c r="K31" s="26" t="n">
        <v>0.5</v>
      </c>
      <c r="L31" s="26" t="inlineStr">
        <is>
          <t>B112</t>
        </is>
      </c>
      <c r="M31" s="27" t="n">
        <v>2021</v>
      </c>
      <c r="N31" s="27" t="inlineStr"/>
      <c r="O31" s="28" t="inlineStr"/>
      <c r="P31" s="27" t="inlineStr"/>
      <c r="Q31" s="28" t="inlineStr"/>
      <c r="R31" s="27" t="n">
        <v>100</v>
      </c>
      <c r="S31" s="27" t="n">
        <v>0.5</v>
      </c>
      <c r="T31" s="27" t="n">
        <v>0</v>
      </c>
      <c r="U31" s="27" t="n">
        <v>0</v>
      </c>
    </row>
    <row r="32">
      <c r="A32" s="27" t="inlineStr">
        <is>
          <t xml:space="preserve">B112 </t>
        </is>
      </c>
      <c r="B32" s="27" t="inlineStr">
        <is>
          <t xml:space="preserve">DIDACTICA GENERAL Y DIDÁCTICAS ESPECÍFICAS </t>
        </is>
      </c>
      <c r="C32" s="27" t="inlineStr">
        <is>
          <t xml:space="preserve">DOCTORADO EN INVESTIGACIÓN EDUCATIVA </t>
        </is>
      </c>
      <c r="D32" s="27" t="inlineStr">
        <is>
          <t xml:space="preserve">Elvira Aranda, Carlos </t>
        </is>
      </c>
      <c r="E32" s="27" t="inlineStr">
        <is>
          <t xml:space="preserve">ANÁLISIS DEL COMPORTAMIENTO OFENSIVO EN FÚTBOL: LAS SITUACIONES DE JUEGO REDUCIDO COMO VARIABLES EXPLICATIVAS DEL ÉXITO </t>
        </is>
      </c>
      <c r="F32" s="27" t="inlineStr">
        <is>
          <t xml:space="preserve">21/12/2021 </t>
        </is>
      </c>
      <c r="G32" s="27" t="inlineStr">
        <is>
          <t xml:space="preserve">21478406V </t>
        </is>
      </c>
      <c r="H32" s="27" t="inlineStr">
        <is>
          <t xml:space="preserve">Codirector de tesis </t>
        </is>
      </c>
      <c r="I32" s="27" t="inlineStr">
        <is>
          <t xml:space="preserve">B112 </t>
        </is>
      </c>
      <c r="J32" s="27" t="inlineStr">
        <is>
          <t xml:space="preserve">DIDACTICA GENERAL Y DIDÁCTICAS ESPECÍFICAS </t>
        </is>
      </c>
      <c r="K32" s="26" t="n">
        <v>0.5</v>
      </c>
      <c r="L32" s="26" t="inlineStr">
        <is>
          <t>B112</t>
        </is>
      </c>
      <c r="M32" s="27" t="n">
        <v>2021</v>
      </c>
      <c r="N32" s="27" t="inlineStr">
        <is>
          <t>10.17</t>
        </is>
      </c>
      <c r="O32" s="28" t="n">
        <v>20</v>
      </c>
      <c r="P32" s="27" t="inlineStr"/>
      <c r="Q32" s="28" t="n">
        <v>0</v>
      </c>
      <c r="R32" s="27" t="n">
        <v>80</v>
      </c>
      <c r="S32" s="27" t="n">
        <v>0.4</v>
      </c>
      <c r="T32" s="27" t="n">
        <v>0.1</v>
      </c>
      <c r="U32" s="27" t="n">
        <v>0</v>
      </c>
    </row>
    <row r="33">
      <c r="A33" s="27" t="inlineStr">
        <is>
          <t xml:space="preserve">B112 </t>
        </is>
      </c>
      <c r="B33" s="27" t="inlineStr">
        <is>
          <t xml:space="preserve">DIDACTICA GENERAL Y DIDÁCTICAS ESPECÍFICAS </t>
        </is>
      </c>
      <c r="C33" s="27" t="inlineStr">
        <is>
          <t xml:space="preserve">DOCTORADO EN INVESTIGACIÓN EDUCATIVA </t>
        </is>
      </c>
      <c r="D33" s="27" t="inlineStr">
        <is>
          <t xml:space="preserve">Elvira Aranda, Carlos </t>
        </is>
      </c>
      <c r="E33" s="27" t="inlineStr">
        <is>
          <t xml:space="preserve">ANÁLISIS DEL COMPORTAMIENTO OFENSIVO EN FÚTBOL: LAS SITUACIONES DE JUEGO REDUCIDO COMO VARIABLES EXPLICATIVAS DEL ÉXITO </t>
        </is>
      </c>
      <c r="F33" s="27" t="inlineStr">
        <is>
          <t xml:space="preserve">21/12/2021 </t>
        </is>
      </c>
      <c r="G33" s="27" t="inlineStr">
        <is>
          <t xml:space="preserve">- </t>
        </is>
      </c>
      <c r="H33" s="27" t="inlineStr">
        <is>
          <t xml:space="preserve">Codirector de tesis </t>
        </is>
      </c>
      <c r="I33" s="27" t="inlineStr">
        <is>
          <t xml:space="preserve">B112 </t>
        </is>
      </c>
      <c r="J33" s="27" t="inlineStr">
        <is>
          <t xml:space="preserve">DIDACTICA GENERAL Y DIDÁCTICAS ESPECÍFICAS </t>
        </is>
      </c>
      <c r="K33" s="26" t="n">
        <v>0.5</v>
      </c>
      <c r="L33" s="26" t="inlineStr">
        <is>
          <t>B112</t>
        </is>
      </c>
      <c r="M33" s="27" t="n">
        <v>2021</v>
      </c>
      <c r="N33" s="27" t="inlineStr"/>
      <c r="O33" s="28" t="inlineStr"/>
      <c r="P33" s="27" t="inlineStr"/>
      <c r="Q33" s="28" t="inlineStr"/>
      <c r="R33" s="27" t="n">
        <v>100</v>
      </c>
      <c r="S33" s="27" t="n">
        <v>0.5</v>
      </c>
      <c r="T33" s="27" t="n">
        <v>0</v>
      </c>
      <c r="U33" s="27" t="n">
        <v>0</v>
      </c>
    </row>
    <row r="34">
      <c r="A34" s="27" t="inlineStr">
        <is>
          <t xml:space="preserve">B177 </t>
        </is>
      </c>
      <c r="B34" s="27" t="inlineStr">
        <is>
          <t xml:space="preserve">PSICOLOGÍA EVOLUTIVA Y DIDÁCTICA </t>
        </is>
      </c>
      <c r="C34" s="27" t="inlineStr">
        <is>
          <t xml:space="preserve">DOCTORADO EN INVESTIGACIÓN EDUCATIVA </t>
        </is>
      </c>
      <c r="D34" s="27" t="inlineStr">
        <is>
          <t xml:space="preserve">Gavilán Martín, Diego </t>
        </is>
      </c>
      <c r="E34" s="27" t="inlineStr">
        <is>
          <t xml:space="preserve">La integración de la igualdad de género en la formación de los futuros docentes de Educación Primaria: los espacios de género </t>
        </is>
      </c>
      <c r="F34" s="27" t="inlineStr">
        <is>
          <t xml:space="preserve">18/10/2021 </t>
        </is>
      </c>
      <c r="G34" s="27" t="inlineStr">
        <is>
          <t xml:space="preserve">48769418B </t>
        </is>
      </c>
      <c r="H34" s="27" t="inlineStr">
        <is>
          <t xml:space="preserve">Director de tesis </t>
        </is>
      </c>
      <c r="I34" s="27" t="inlineStr">
        <is>
          <t xml:space="preserve">B112 </t>
        </is>
      </c>
      <c r="J34" s="27" t="inlineStr">
        <is>
          <t xml:space="preserve">DIDACTICA GENERAL Y DIDÁCTICAS ESPECÍFICAS </t>
        </is>
      </c>
      <c r="K34" s="26" t="n">
        <v>1</v>
      </c>
      <c r="L34" s="26" t="inlineStr">
        <is>
          <t>B112</t>
        </is>
      </c>
      <c r="M34" s="27" t="n">
        <v>2021</v>
      </c>
      <c r="N34" s="27" t="inlineStr">
        <is>
          <t>10.23</t>
        </is>
      </c>
      <c r="O34" s="28" t="n">
        <v>30</v>
      </c>
      <c r="P34" s="27" t="inlineStr">
        <is>
          <t>10.25</t>
        </is>
      </c>
      <c r="Q34" s="28" t="n">
        <v>30</v>
      </c>
      <c r="R34" s="27" t="n">
        <v>40</v>
      </c>
      <c r="S34" s="27" t="n">
        <v>0.4</v>
      </c>
      <c r="T34" s="27" t="n">
        <v>0.3</v>
      </c>
      <c r="U34" s="27" t="n">
        <v>0.3</v>
      </c>
    </row>
    <row r="35">
      <c r="A35" s="27" t="inlineStr">
        <is>
          <t xml:space="preserve">B177 </t>
        </is>
      </c>
      <c r="B35" s="27" t="inlineStr">
        <is>
          <t xml:space="preserve">PSICOLOGÍA EVOLUTIVA Y DIDÁCTICA </t>
        </is>
      </c>
      <c r="C35" s="27" t="inlineStr">
        <is>
          <t xml:space="preserve">DOCTORADO EN INVESTIGACIÓN EDUCATIVA </t>
        </is>
      </c>
      <c r="D35" s="27" t="inlineStr">
        <is>
          <t xml:space="preserve">García Martínez, Salvador </t>
        </is>
      </c>
      <c r="E35" s="27" t="inlineStr">
        <is>
          <t xml:space="preserve">Modificación del estigma asociado a la enfermedad mental grave mediante la educación física </t>
        </is>
      </c>
      <c r="F35" s="27" t="inlineStr">
        <is>
          <t xml:space="preserve">05/04/2022 </t>
        </is>
      </c>
      <c r="G35" s="27" t="inlineStr">
        <is>
          <t xml:space="preserve">21515031A </t>
        </is>
      </c>
      <c r="H35" s="27" t="inlineStr">
        <is>
          <t xml:space="preserve">Codirector de tesis </t>
        </is>
      </c>
      <c r="I35" s="27" t="inlineStr">
        <is>
          <t xml:space="preserve">B112 </t>
        </is>
      </c>
      <c r="J35" s="27" t="inlineStr">
        <is>
          <t xml:space="preserve">DIDACTICA GENERAL Y DIDÁCTICAS ESPECÍFICAS </t>
        </is>
      </c>
      <c r="K35" s="26" t="n">
        <v>0.5</v>
      </c>
      <c r="L35" s="26" t="inlineStr">
        <is>
          <t>B112</t>
        </is>
      </c>
      <c r="M35" s="27" t="n">
        <v>2021</v>
      </c>
      <c r="N35" s="27" t="inlineStr"/>
      <c r="O35" s="28" t="inlineStr"/>
      <c r="P35" s="27" t="inlineStr"/>
      <c r="Q35" s="28" t="inlineStr"/>
      <c r="R35" s="27" t="n">
        <v>100</v>
      </c>
      <c r="S35" s="27" t="n">
        <v>0.5</v>
      </c>
      <c r="T35" s="27" t="n">
        <v>0</v>
      </c>
      <c r="U35" s="27" t="n">
        <v>0</v>
      </c>
    </row>
    <row r="36">
      <c r="A36" s="27" t="inlineStr">
        <is>
          <t xml:space="preserve">U023 </t>
        </is>
      </c>
      <c r="B36" s="27" t="inlineStr">
        <is>
          <t xml:space="preserve">ADM. FACULTAD DE FILOSOFIA Y LETRAS </t>
        </is>
      </c>
      <c r="C36" s="27" t="inlineStr">
        <is>
          <t xml:space="preserve">DOCTORADO EN FILOSOFÍA Y LETRAS </t>
        </is>
      </c>
      <c r="D36" s="27" t="inlineStr">
        <is>
          <t xml:space="preserve">González Magaña, Jose L. </t>
        </is>
      </c>
      <c r="E36" s="27" t="inlineStr">
        <is>
          <t xml:space="preserve">ELOY VAQUERO CANTILLO O EL OPTIMISMO TRÁGICO EN UN NACER QUE TUVO ANTICIPADO </t>
        </is>
      </c>
      <c r="F36" s="27" t="inlineStr">
        <is>
          <t xml:space="preserve">27/05/2022 </t>
        </is>
      </c>
      <c r="G36" s="27" t="inlineStr">
        <is>
          <t xml:space="preserve">21633898Y </t>
        </is>
      </c>
      <c r="H36" s="27" t="inlineStr">
        <is>
          <t xml:space="preserve">Codirector de tesis </t>
        </is>
      </c>
      <c r="I36" s="27" t="inlineStr">
        <is>
          <t xml:space="preserve">B112 </t>
        </is>
      </c>
      <c r="J36" s="27" t="inlineStr">
        <is>
          <t xml:space="preserve">DIDACTICA GENERAL Y DIDÁCTICAS ESPECÍFICAS </t>
        </is>
      </c>
      <c r="K36" s="26" t="n">
        <v>0.5</v>
      </c>
      <c r="L36" s="26" t="inlineStr">
        <is>
          <t>B112</t>
        </is>
      </c>
      <c r="M36" s="27" t="n">
        <v>2021</v>
      </c>
      <c r="N36" s="27" t="inlineStr">
        <is>
          <t>10.21</t>
        </is>
      </c>
      <c r="O36" s="28" t="n">
        <v>50</v>
      </c>
      <c r="P36" s="27" t="inlineStr"/>
      <c r="Q36" s="28" t="n">
        <v>0</v>
      </c>
      <c r="R36" s="27" t="n">
        <v>50</v>
      </c>
      <c r="S36" s="27" t="n">
        <v>0.25</v>
      </c>
      <c r="T36" s="27" t="n">
        <v>0.25</v>
      </c>
      <c r="U36" s="27" t="n">
        <v>0</v>
      </c>
    </row>
    <row r="37">
      <c r="A37" s="27" t="inlineStr">
        <is>
          <t xml:space="preserve">B112 </t>
        </is>
      </c>
      <c r="B37" s="27" t="inlineStr">
        <is>
          <t xml:space="preserve">DIDACTICA GENERAL Y DIDÁCTICAS ESPECÍFICAS </t>
        </is>
      </c>
      <c r="C37" s="27" t="inlineStr">
        <is>
          <t xml:space="preserve">DOCTORADO EN INVESTIGACIÓN EDUCATIVA </t>
        </is>
      </c>
      <c r="D37" s="27" t="inlineStr">
        <is>
          <t xml:space="preserve">Martínez Loza, Rommel Esteban </t>
        </is>
      </c>
      <c r="E37" s="27" t="inlineStr">
        <is>
          <t xml:space="preserve">LA FORMACIÓN DEL PROFESORADO DE LA UNIVERSIDAD CENTRAL DEL ECUADOR Y SU REPERCUSIÓN EN LA DOCENCIA </t>
        </is>
      </c>
      <c r="F37" s="27" t="inlineStr">
        <is>
          <t xml:space="preserve">31/03/2023 </t>
        </is>
      </c>
      <c r="G37" s="27" t="inlineStr">
        <is>
          <t xml:space="preserve">48769418B </t>
        </is>
      </c>
      <c r="H37" s="27" t="inlineStr">
        <is>
          <t xml:space="preserve">Director de tesis </t>
        </is>
      </c>
      <c r="I37" s="27" t="inlineStr">
        <is>
          <t xml:space="preserve">B112 </t>
        </is>
      </c>
      <c r="J37" s="27" t="inlineStr">
        <is>
          <t xml:space="preserve">DIDACTICA GENERAL Y DIDÁCTICAS ESPECÍFICAS </t>
        </is>
      </c>
      <c r="K37" s="39" t="n">
        <v>1</v>
      </c>
      <c r="L37" s="39" t="inlineStr">
        <is>
          <t>B112</t>
        </is>
      </c>
      <c r="M37" s="27" t="n">
        <v>2022</v>
      </c>
      <c r="N37" s="39" t="inlineStr">
        <is>
          <t>10.23</t>
        </is>
      </c>
      <c r="O37" s="39" t="n">
        <v>30</v>
      </c>
      <c r="P37" s="39" t="inlineStr">
        <is>
          <t>10.25</t>
        </is>
      </c>
      <c r="Q37" s="39" t="n">
        <v>30</v>
      </c>
      <c r="R37" s="39" t="n">
        <v>40</v>
      </c>
      <c r="S37" s="39" t="n">
        <v>0.4</v>
      </c>
      <c r="T37" s="39" t="n">
        <v>0.3</v>
      </c>
      <c r="U37" s="39" t="n">
        <v>0.3</v>
      </c>
    </row>
    <row r="38">
      <c r="A38" s="27" t="inlineStr">
        <is>
          <t xml:space="preserve">B112 </t>
        </is>
      </c>
      <c r="B38" s="27" t="inlineStr">
        <is>
          <t xml:space="preserve">DIDACTICA GENERAL Y DIDÁCTICAS ESPECÍFICAS </t>
        </is>
      </c>
      <c r="C38" s="27" t="inlineStr">
        <is>
          <t xml:space="preserve">DOCTORADO EN INVESTIGACIÓN EDUCATIVA </t>
        </is>
      </c>
      <c r="D38" s="27" t="inlineStr">
        <is>
          <t xml:space="preserve">Romero García, Gonzalo </t>
        </is>
      </c>
      <c r="E38" s="27" t="inlineStr">
        <is>
          <t xml:space="preserve">Executive functions in basketball coaches. </t>
        </is>
      </c>
      <c r="F38" s="27" t="inlineStr">
        <is>
          <t xml:space="preserve">13/03/2023 </t>
        </is>
      </c>
      <c r="G38" s="27" t="inlineStr">
        <is>
          <t xml:space="preserve">25339428Y </t>
        </is>
      </c>
      <c r="H38" s="27" t="inlineStr">
        <is>
          <t xml:space="preserve">Director de tesis </t>
        </is>
      </c>
      <c r="I38" s="27" t="inlineStr">
        <is>
          <t xml:space="preserve">B112 </t>
        </is>
      </c>
      <c r="J38" s="27" t="inlineStr">
        <is>
          <t xml:space="preserve">DIDACTICA GENERAL Y DIDÁCTICAS ESPECÍFICAS </t>
        </is>
      </c>
      <c r="K38" s="39" t="n">
        <v>1</v>
      </c>
      <c r="L38" s="39" t="inlineStr">
        <is>
          <t>B112</t>
        </is>
      </c>
      <c r="M38" s="27" t="n">
        <v>2022</v>
      </c>
      <c r="N38" s="39" t="inlineStr"/>
      <c r="O38" s="39" t="inlineStr"/>
      <c r="P38" s="39" t="inlineStr"/>
      <c r="Q38" s="39" t="inlineStr"/>
      <c r="R38" s="39" t="n">
        <v>100</v>
      </c>
      <c r="S38" s="39" t="n">
        <v>1</v>
      </c>
      <c r="T38" s="39" t="n">
        <v>0</v>
      </c>
      <c r="U38" s="39" t="n">
        <v>0</v>
      </c>
    </row>
    <row r="39">
      <c r="A39" s="27" t="inlineStr">
        <is>
          <t xml:space="preserve">B112 </t>
        </is>
      </c>
      <c r="B39" s="27" t="inlineStr">
        <is>
          <t xml:space="preserve">DIDACTICA GENERAL Y DIDÁCTICAS ESPECÍFICAS </t>
        </is>
      </c>
      <c r="C39" s="27" t="inlineStr">
        <is>
          <t xml:space="preserve">DOCTORADO EN INVESTIGACIÓN EDUCATIVA </t>
        </is>
      </c>
      <c r="D39" s="27" t="inlineStr">
        <is>
          <t xml:space="preserve">Luján Feliu-Pascual, Isabel </t>
        </is>
      </c>
      <c r="E39" s="27" t="inlineStr">
        <is>
          <t xml:space="preserve">Una propuesta didáctica de enseñanza por indagación sobre la problemática de los residuos en educación infantil, educación primaria y futuros docentes. formando a las nuevas generaciones para dar respuesta a las necesidades de nuestro planeta. </t>
        </is>
      </c>
      <c r="F39" s="27" t="inlineStr">
        <is>
          <t xml:space="preserve">07/07/2023 </t>
        </is>
      </c>
      <c r="G39" s="27" t="inlineStr">
        <is>
          <t xml:space="preserve">74221742Y </t>
        </is>
      </c>
      <c r="H39" s="27" t="inlineStr">
        <is>
          <t xml:space="preserve">Codirector de tesis </t>
        </is>
      </c>
      <c r="I39" s="27" t="inlineStr">
        <is>
          <t xml:space="preserve">B112 </t>
        </is>
      </c>
      <c r="J39" s="27" t="inlineStr">
        <is>
          <t xml:space="preserve">DIDACTICA GENERAL Y DIDÁCTICAS ESPECÍFICAS </t>
        </is>
      </c>
      <c r="K39" s="39" t="n">
        <v>0.5</v>
      </c>
      <c r="L39" s="39" t="inlineStr">
        <is>
          <t>B112</t>
        </is>
      </c>
      <c r="M39" s="27" t="n">
        <v>2022</v>
      </c>
      <c r="N39" s="39" t="inlineStr">
        <is>
          <t>10.20</t>
        </is>
      </c>
      <c r="O39" s="39" t="n">
        <v>50</v>
      </c>
      <c r="P39" s="39" t="inlineStr"/>
      <c r="Q39" s="39" t="n">
        <v>0</v>
      </c>
      <c r="R39" s="39" t="n">
        <v>50</v>
      </c>
      <c r="S39" s="39" t="n">
        <v>0.25</v>
      </c>
      <c r="T39" s="39" t="n">
        <v>0.25</v>
      </c>
      <c r="U39" s="39" t="n">
        <v>0</v>
      </c>
    </row>
    <row r="40">
      <c r="A40" s="27" t="inlineStr">
        <is>
          <t xml:space="preserve">B112 </t>
        </is>
      </c>
      <c r="B40" s="27" t="inlineStr">
        <is>
          <t xml:space="preserve">DIDACTICA GENERAL Y DIDÁCTICAS ESPECÍFICAS </t>
        </is>
      </c>
      <c r="C40" s="27" t="inlineStr">
        <is>
          <t xml:space="preserve">DOCTORADO EN INVESTIGACIÓN EDUCATIVA </t>
        </is>
      </c>
      <c r="D40" s="27" t="inlineStr">
        <is>
          <t xml:space="preserve">Luján Feliu-Pascual, Isabel </t>
        </is>
      </c>
      <c r="E40" s="27" t="inlineStr">
        <is>
          <t xml:space="preserve">Una propuesta didáctica de enseñanza por indagación sobre la problemática de los residuos en educación infantil, educación primaria y futuros docentes. formando a las nuevas generaciones para dar respuesta a las necesidades de nuestro planeta. </t>
        </is>
      </c>
      <c r="F40" s="27" t="inlineStr">
        <is>
          <t xml:space="preserve">07/07/2023 </t>
        </is>
      </c>
      <c r="G40" s="27" t="inlineStr">
        <is>
          <t xml:space="preserve">48345196R </t>
        </is>
      </c>
      <c r="H40" s="27" t="inlineStr">
        <is>
          <t xml:space="preserve">Codirector de tesis </t>
        </is>
      </c>
      <c r="I40" s="27" t="inlineStr">
        <is>
          <t xml:space="preserve">B112 </t>
        </is>
      </c>
      <c r="J40" s="27" t="inlineStr">
        <is>
          <t xml:space="preserve">DIDACTICA GENERAL Y DIDÁCTICAS ESPECÍFICAS </t>
        </is>
      </c>
      <c r="K40" s="39" t="n">
        <v>0.5</v>
      </c>
      <c r="L40" s="39" t="inlineStr">
        <is>
          <t>B112</t>
        </is>
      </c>
      <c r="M40" s="27" t="n">
        <v>2022</v>
      </c>
      <c r="N40" s="39" t="inlineStr">
        <is>
          <t>10.20</t>
        </is>
      </c>
      <c r="O40" s="39" t="n">
        <v>50</v>
      </c>
      <c r="P40" s="39" t="inlineStr"/>
      <c r="Q40" s="39" t="n">
        <v>0</v>
      </c>
      <c r="R40" s="39" t="n">
        <v>50</v>
      </c>
      <c r="S40" s="39" t="n">
        <v>0.25</v>
      </c>
      <c r="T40" s="39" t="n">
        <v>0.25</v>
      </c>
      <c r="U40" s="39" t="n">
        <v>0</v>
      </c>
    </row>
    <row r="41">
      <c r="A41" s="27" t="inlineStr">
        <is>
          <t xml:space="preserve">B112 </t>
        </is>
      </c>
      <c r="B41" s="27" t="inlineStr">
        <is>
          <t xml:space="preserve">DIDACTICA GENERAL Y DIDÁCTICAS ESPECÍFICAS </t>
        </is>
      </c>
      <c r="C41" s="27" t="inlineStr">
        <is>
          <t xml:space="preserve">DOCTORADO EN INVESTIGACIÓN EDUCATIVA </t>
        </is>
      </c>
      <c r="D41" s="27" t="inlineStr">
        <is>
          <t xml:space="preserve">Sotos Martínez, Victor Javier </t>
        </is>
      </c>
      <c r="E41" s="27" t="inlineStr">
        <is>
          <t xml:space="preserve">BENEFICIOS DE LA GAMIFICACIÓN EN EL PERFIL MOTIVACIONAL DEL ALUMNADO DE EDUCACIÓN FÍSICA </t>
        </is>
      </c>
      <c r="F41" s="27" t="inlineStr">
        <is>
          <t xml:space="preserve">26/06/2023 </t>
        </is>
      </c>
      <c r="G41" s="27" t="inlineStr">
        <is>
          <t xml:space="preserve">21515031A </t>
        </is>
      </c>
      <c r="H41" s="27" t="inlineStr">
        <is>
          <t xml:space="preserve">Codirector de tesis </t>
        </is>
      </c>
      <c r="I41" s="27" t="inlineStr">
        <is>
          <t xml:space="preserve">B112 </t>
        </is>
      </c>
      <c r="J41" s="27" t="inlineStr">
        <is>
          <t xml:space="preserve">DIDACTICA GENERAL Y DIDÁCTICAS ESPECÍFICAS </t>
        </is>
      </c>
      <c r="K41" s="39" t="n">
        <v>0.5</v>
      </c>
      <c r="L41" s="39" t="inlineStr">
        <is>
          <t>B112</t>
        </is>
      </c>
      <c r="M41" s="27" t="n">
        <v>2022</v>
      </c>
      <c r="N41" s="39" t="inlineStr"/>
      <c r="O41" s="39" t="inlineStr"/>
      <c r="P41" s="39" t="inlineStr"/>
      <c r="Q41" s="39" t="inlineStr"/>
      <c r="R41" s="39" t="n">
        <v>100</v>
      </c>
      <c r="S41" s="39" t="n">
        <v>0.5</v>
      </c>
      <c r="T41" s="39" t="n">
        <v>0</v>
      </c>
      <c r="U41" s="39" t="n">
        <v>0</v>
      </c>
    </row>
    <row r="42">
      <c r="A42" s="27" t="inlineStr">
        <is>
          <t xml:space="preserve">B112 </t>
        </is>
      </c>
      <c r="B42" s="27" t="inlineStr">
        <is>
          <t xml:space="preserve">DIDACTICA GENERAL Y DIDÁCTICAS ESPECÍFICAS </t>
        </is>
      </c>
      <c r="C42" s="27" t="inlineStr">
        <is>
          <t xml:space="preserve">DOCTORADO EN INVESTIGACIÓN EDUCATIVA </t>
        </is>
      </c>
      <c r="D42" s="27" t="inlineStr">
        <is>
          <t xml:space="preserve">Sotos Martínez, Victor Javier </t>
        </is>
      </c>
      <c r="E42" s="27" t="inlineStr">
        <is>
          <t xml:space="preserve">BENEFICIOS DE LA GAMIFICACIÓN EN EL PERFIL MOTIVACIONAL DEL ALUMNADO DE EDUCACIÓN FÍSICA </t>
        </is>
      </c>
      <c r="F42" s="27" t="inlineStr">
        <is>
          <t xml:space="preserve">26/06/2023 </t>
        </is>
      </c>
      <c r="G42" s="27" t="inlineStr">
        <is>
          <t xml:space="preserve">74002849G </t>
        </is>
      </c>
      <c r="H42" s="27" t="inlineStr">
        <is>
          <t xml:space="preserve">Codirector de tesis </t>
        </is>
      </c>
      <c r="I42" s="27" t="inlineStr">
        <is>
          <t xml:space="preserve">B112 </t>
        </is>
      </c>
      <c r="J42" s="27" t="inlineStr">
        <is>
          <t xml:space="preserve">DIDACTICA GENERAL Y DIDÁCTICAS ESPECÍFICAS </t>
        </is>
      </c>
      <c r="K42" s="39" t="n">
        <v>0.5</v>
      </c>
      <c r="L42" s="39" t="inlineStr">
        <is>
          <t>B112</t>
        </is>
      </c>
      <c r="M42" s="27" t="n">
        <v>2022</v>
      </c>
      <c r="N42" s="39" t="inlineStr"/>
      <c r="O42" s="39" t="inlineStr"/>
      <c r="P42" s="39" t="inlineStr"/>
      <c r="Q42" s="39" t="inlineStr"/>
      <c r="R42" s="39" t="n">
        <v>100</v>
      </c>
      <c r="S42" s="39" t="n">
        <v>0.5</v>
      </c>
      <c r="T42" s="39" t="n">
        <v>0</v>
      </c>
      <c r="U42" s="39" t="n">
        <v>0</v>
      </c>
    </row>
    <row r="43">
      <c r="A43" s="27" t="inlineStr">
        <is>
          <t xml:space="preserve">B112 </t>
        </is>
      </c>
      <c r="B43" s="27" t="inlineStr">
        <is>
          <t xml:space="preserve">DIDACTICA GENERAL Y DIDÁCTICAS ESPECÍFICAS </t>
        </is>
      </c>
      <c r="C43" s="27" t="inlineStr">
        <is>
          <t xml:space="preserve">DOCTORADO EN INVESTIGACIÓN EDUCATIVA </t>
        </is>
      </c>
      <c r="D43" s="27" t="inlineStr">
        <is>
          <t xml:space="preserve">Villalón Gasch, Lamberto Cristobal </t>
        </is>
      </c>
      <c r="E43" s="27" t="inlineStr">
        <is>
          <t xml:space="preserve">VALIDACIÓN DE INSTRUMENTOS PARA LA DETERMINACIÓN DEL SALTO </t>
        </is>
      </c>
      <c r="F43" s="27" t="inlineStr">
        <is>
          <t xml:space="preserve">13/01/2023 </t>
        </is>
      </c>
      <c r="G43" s="27" t="inlineStr">
        <is>
          <t xml:space="preserve">48364767E </t>
        </is>
      </c>
      <c r="H43" s="27" t="inlineStr">
        <is>
          <t xml:space="preserve">Director de tesis </t>
        </is>
      </c>
      <c r="I43" s="27" t="inlineStr">
        <is>
          <t xml:space="preserve">B112 </t>
        </is>
      </c>
      <c r="J43" s="27" t="inlineStr">
        <is>
          <t xml:space="preserve">DIDACTICA GENERAL Y DIDÁCTICAS ESPECÍFICAS </t>
        </is>
      </c>
      <c r="K43" s="39" t="n">
        <v>1</v>
      </c>
      <c r="L43" s="39" t="inlineStr">
        <is>
          <t>B112</t>
        </is>
      </c>
      <c r="M43" s="27" t="n">
        <v>2022</v>
      </c>
      <c r="N43" s="39" t="inlineStr"/>
      <c r="O43" s="39" t="inlineStr"/>
      <c r="P43" s="39" t="inlineStr"/>
      <c r="Q43" s="39" t="inlineStr"/>
      <c r="R43" s="39" t="n">
        <v>100</v>
      </c>
      <c r="S43" s="39" t="n">
        <v>1</v>
      </c>
      <c r="T43" s="39" t="n">
        <v>0</v>
      </c>
      <c r="U43" s="39" t="n">
        <v>0</v>
      </c>
    </row>
    <row r="44">
      <c r="A44" s="27" t="inlineStr">
        <is>
          <t xml:space="preserve">B112 </t>
        </is>
      </c>
      <c r="B44" s="27" t="inlineStr">
        <is>
          <t xml:space="preserve">DIDACTICA GENERAL Y DIDÁCTICAS ESPECÍFICAS </t>
        </is>
      </c>
      <c r="C44" s="27" t="inlineStr">
        <is>
          <t xml:space="preserve">DOCTORADO EN INVESTIGACIÓN EDUCATIVA </t>
        </is>
      </c>
      <c r="D44" s="27" t="inlineStr">
        <is>
          <t xml:space="preserve">Soler Ortiz, Seila Aixa </t>
        </is>
      </c>
      <c r="E44" s="27" t="inlineStr">
        <is>
          <t xml:space="preserve">La educación en Alicante durante el primer tercio del siglo XX: las memorias técnicas como objeto de estudio en un período de transición hacia la graduación escolar. </t>
        </is>
      </c>
      <c r="F44" s="27" t="inlineStr">
        <is>
          <t xml:space="preserve">11/07/2023 </t>
        </is>
      </c>
      <c r="G44" s="27" t="inlineStr">
        <is>
          <t xml:space="preserve">48769418B </t>
        </is>
      </c>
      <c r="H44" s="27" t="inlineStr">
        <is>
          <t xml:space="preserve">Codirector de tesis </t>
        </is>
      </c>
      <c r="I44" s="27" t="inlineStr">
        <is>
          <t xml:space="preserve">B112 </t>
        </is>
      </c>
      <c r="J44" s="27" t="inlineStr">
        <is>
          <t xml:space="preserve">DIDACTICA GENERAL Y DIDÁCTICAS ESPECÍFICAS </t>
        </is>
      </c>
      <c r="K44" s="39" t="n">
        <v>0.5</v>
      </c>
      <c r="L44" s="39" t="inlineStr">
        <is>
          <t>B112</t>
        </is>
      </c>
      <c r="M44" s="27" t="n">
        <v>2022</v>
      </c>
      <c r="N44" s="39" t="inlineStr">
        <is>
          <t>10.23</t>
        </is>
      </c>
      <c r="O44" s="39" t="n">
        <v>30</v>
      </c>
      <c r="P44" s="39" t="inlineStr">
        <is>
          <t>10.25</t>
        </is>
      </c>
      <c r="Q44" s="39" t="n">
        <v>30</v>
      </c>
      <c r="R44" s="39" t="n">
        <v>40</v>
      </c>
      <c r="S44" s="39" t="n">
        <v>0.2</v>
      </c>
      <c r="T44" s="39" t="n">
        <v>0.15</v>
      </c>
      <c r="U44" s="39" t="n">
        <v>0.15</v>
      </c>
    </row>
    <row r="45">
      <c r="A45" s="27" t="inlineStr">
        <is>
          <t xml:space="preserve">B112 </t>
        </is>
      </c>
      <c r="B45" s="27" t="inlineStr">
        <is>
          <t xml:space="preserve">DIDACTICA GENERAL Y DIDÁCTICAS ESPECÍFICAS </t>
        </is>
      </c>
      <c r="C45" s="27" t="inlineStr">
        <is>
          <t xml:space="preserve">DOCTORADO EN INVESTIGACIÓN EDUCATIVA </t>
        </is>
      </c>
      <c r="D45" s="27" t="inlineStr">
        <is>
          <t xml:space="preserve">Soler Ortiz, Seila Aixa </t>
        </is>
      </c>
      <c r="E45" s="27" t="inlineStr">
        <is>
          <t xml:space="preserve">La educación en Alicante durante el primer tercio del siglo XX: las memorias técnicas como objeto de estudio en un período de transición hacia la graduación escolar. </t>
        </is>
      </c>
      <c r="F45" s="27" t="inlineStr">
        <is>
          <t xml:space="preserve">11/07/2023 </t>
        </is>
      </c>
      <c r="G45" s="27" t="inlineStr">
        <is>
          <t xml:space="preserve">21686601Q </t>
        </is>
      </c>
      <c r="H45" s="27" t="inlineStr">
        <is>
          <t xml:space="preserve">Codirector de tesis </t>
        </is>
      </c>
      <c r="I45" s="27" t="inlineStr">
        <is>
          <t xml:space="preserve">B112 </t>
        </is>
      </c>
      <c r="J45" s="27" t="inlineStr">
        <is>
          <t xml:space="preserve">DIDACTICA GENERAL Y DIDÁCTICAS ESPECÍFICAS </t>
        </is>
      </c>
      <c r="K45" s="39" t="n">
        <v>0.5</v>
      </c>
      <c r="L45" s="39" t="inlineStr">
        <is>
          <t>B112</t>
        </is>
      </c>
      <c r="M45" s="27" t="n">
        <v>2022</v>
      </c>
      <c r="N45" s="39" t="inlineStr">
        <is>
          <t>10.25</t>
        </is>
      </c>
      <c r="O45" s="39" t="n">
        <v>50</v>
      </c>
      <c r="P45" s="39" t="inlineStr"/>
      <c r="Q45" s="39" t="n">
        <v>0</v>
      </c>
      <c r="R45" s="39" t="n">
        <v>50</v>
      </c>
      <c r="S45" s="39" t="n">
        <v>0.25</v>
      </c>
      <c r="T45" s="39" t="n">
        <v>0.25</v>
      </c>
      <c r="U45" s="39" t="n">
        <v>0</v>
      </c>
    </row>
    <row r="46">
      <c r="A46" s="27" t="inlineStr">
        <is>
          <t xml:space="preserve">B177 </t>
        </is>
      </c>
      <c r="B46" s="27" t="inlineStr">
        <is>
          <t xml:space="preserve">PSICOLOGÍA EVOLUTIVA Y DIDÁCTICA </t>
        </is>
      </c>
      <c r="C46" s="27" t="inlineStr">
        <is>
          <t xml:space="preserve">DOCTORADO EN INVESTIGACIÓN EDUCATIVA </t>
        </is>
      </c>
      <c r="D46" s="27" t="inlineStr">
        <is>
          <t xml:space="preserve">Borja Naranjo, Germania Maricela </t>
        </is>
      </c>
      <c r="E46" s="27" t="inlineStr">
        <is>
          <t xml:space="preserve">LOS ESTEREOTIPOS SEXISTAS EN EL LENGUAJE DEL ESTUDIANTADO Y DEL PROFESORADO DE LA CARRERA DE PEDAGOGÍA DE LA LENGUA Y LA LITERATURA DE LA UNIVERSIDAD CENTRAL DEL ECUADOR </t>
        </is>
      </c>
      <c r="F46" s="27" t="inlineStr">
        <is>
          <t xml:space="preserve">31/03/2023 </t>
        </is>
      </c>
      <c r="G46" s="27" t="inlineStr">
        <is>
          <t xml:space="preserve">48769418B </t>
        </is>
      </c>
      <c r="H46" s="27" t="inlineStr">
        <is>
          <t xml:space="preserve">Codirector de tesis </t>
        </is>
      </c>
      <c r="I46" s="27" t="inlineStr">
        <is>
          <t xml:space="preserve">B112 </t>
        </is>
      </c>
      <c r="J46" s="27" t="inlineStr">
        <is>
          <t xml:space="preserve">DIDACTICA GENERAL Y DIDÁCTICAS ESPECÍFICAS </t>
        </is>
      </c>
      <c r="K46" s="39" t="n">
        <v>0.5</v>
      </c>
      <c r="L46" s="39" t="inlineStr">
        <is>
          <t>B112</t>
        </is>
      </c>
      <c r="M46" s="27" t="n">
        <v>2022</v>
      </c>
      <c r="N46" s="39" t="inlineStr">
        <is>
          <t>10.23</t>
        </is>
      </c>
      <c r="O46" s="39" t="n">
        <v>30</v>
      </c>
      <c r="P46" s="39" t="inlineStr">
        <is>
          <t>10.25</t>
        </is>
      </c>
      <c r="Q46" s="39" t="n">
        <v>30</v>
      </c>
      <c r="R46" s="39" t="n">
        <v>40</v>
      </c>
      <c r="S46" s="39" t="n">
        <v>0.2</v>
      </c>
      <c r="T46" s="39" t="n">
        <v>0.15</v>
      </c>
      <c r="U46" s="39" t="n">
        <v>0.15</v>
      </c>
    </row>
    <row r="47">
      <c r="A47" s="27" t="inlineStr">
        <is>
          <t xml:space="preserve">B177 </t>
        </is>
      </c>
      <c r="B47" s="27" t="inlineStr">
        <is>
          <t xml:space="preserve">PSICOLOGÍA EVOLUTIVA Y DIDÁCTICA </t>
        </is>
      </c>
      <c r="C47" s="27" t="inlineStr">
        <is>
          <t xml:space="preserve">DOCTORADO EN INVESTIGACIÓN EDUCATIVA </t>
        </is>
      </c>
      <c r="D47" s="27" t="inlineStr">
        <is>
          <t xml:space="preserve">Borja Naranjo, Germania Maricela </t>
        </is>
      </c>
      <c r="E47" s="27" t="inlineStr">
        <is>
          <t xml:space="preserve">LOS ESTEREOTIPOS SEXISTAS EN EL LENGUAJE DEL ESTUDIANTADO Y DEL PROFESORADO DE LA CARRERA DE PEDAGOGÍA DE LA LENGUA Y LA LITERATURA DE LA UNIVERSIDAD CENTRAL DEL ECUADOR </t>
        </is>
      </c>
      <c r="F47" s="27" t="inlineStr">
        <is>
          <t xml:space="preserve">31/03/2023 </t>
        </is>
      </c>
      <c r="G47" s="27" t="inlineStr">
        <is>
          <t xml:space="preserve">21484456H </t>
        </is>
      </c>
      <c r="H47" s="27" t="inlineStr">
        <is>
          <t xml:space="preserve">Codirector de tesis </t>
        </is>
      </c>
      <c r="I47" s="27" t="inlineStr">
        <is>
          <t xml:space="preserve">B112 </t>
        </is>
      </c>
      <c r="J47" s="27" t="inlineStr">
        <is>
          <t xml:space="preserve">DIDACTICA GENERAL Y DIDÁCTICAS ESPECÍFICAS </t>
        </is>
      </c>
      <c r="K47" s="39" t="n">
        <v>0.5</v>
      </c>
      <c r="L47" s="39" t="inlineStr">
        <is>
          <t>B112</t>
        </is>
      </c>
      <c r="M47" s="27" t="n">
        <v>2022</v>
      </c>
      <c r="N47" s="39" t="inlineStr">
        <is>
          <t>10.23</t>
        </is>
      </c>
      <c r="O47" s="39" t="n">
        <v>20</v>
      </c>
      <c r="P47" s="39" t="inlineStr"/>
      <c r="Q47" s="39" t="n">
        <v>0</v>
      </c>
      <c r="R47" s="39" t="n">
        <v>80</v>
      </c>
      <c r="S47" s="39" t="n">
        <v>0.4</v>
      </c>
      <c r="T47" s="39" t="n">
        <v>0.1</v>
      </c>
      <c r="U47" s="39" t="n">
        <v>0</v>
      </c>
    </row>
    <row r="48">
      <c r="A48" s="27" t="inlineStr">
        <is>
          <t xml:space="preserve">B177 </t>
        </is>
      </c>
      <c r="B48" s="27" t="inlineStr">
        <is>
          <t xml:space="preserve">PSICOLOGÍA EVOLUTIVA Y DIDÁCTICA </t>
        </is>
      </c>
      <c r="C48" s="27" t="inlineStr">
        <is>
          <t xml:space="preserve">DOCTORADO EN INVESTIGACIÓN EDUCATIVA </t>
        </is>
      </c>
      <c r="D48" s="27" t="inlineStr">
        <is>
          <t xml:space="preserve">Campra Garcia De Viguera, Carmen </t>
        </is>
      </c>
      <c r="E48" s="27" t="inlineStr">
        <is>
          <t xml:space="preserve">Estudio del efecto de la Enseñanza Tradicional (transmisiva) frente al Aprendizaje Basado en Problemas, y detección de obstáculos de aprendizaje sobre el tema "Encuentro de la edificación con el terreno", en el alumnado del Grado en Arquitectura, par </t>
        </is>
      </c>
      <c r="F48" s="27" t="inlineStr">
        <is>
          <t xml:space="preserve">22/09/2023 </t>
        </is>
      </c>
      <c r="G48" s="27" t="inlineStr">
        <is>
          <t xml:space="preserve">48345196R </t>
        </is>
      </c>
      <c r="H48" s="27" t="inlineStr">
        <is>
          <t xml:space="preserve">Codirector de tesis </t>
        </is>
      </c>
      <c r="I48" s="27" t="inlineStr">
        <is>
          <t xml:space="preserve">B112 </t>
        </is>
      </c>
      <c r="J48" s="27" t="inlineStr">
        <is>
          <t xml:space="preserve">DIDACTICA GENERAL Y DIDÁCTICAS ESPECÍFICAS </t>
        </is>
      </c>
      <c r="K48" s="39" t="n">
        <v>0.5</v>
      </c>
      <c r="L48" s="39" t="inlineStr">
        <is>
          <t>B112</t>
        </is>
      </c>
      <c r="M48" s="27" t="n">
        <v>2022</v>
      </c>
      <c r="N48" s="39" t="inlineStr">
        <is>
          <t>10.20</t>
        </is>
      </c>
      <c r="O48" s="39" t="n">
        <v>50</v>
      </c>
      <c r="P48" s="39" t="inlineStr"/>
      <c r="Q48" s="39" t="n">
        <v>0</v>
      </c>
      <c r="R48" s="39" t="n">
        <v>50</v>
      </c>
      <c r="S48" s="39" t="n">
        <v>0.25</v>
      </c>
      <c r="T48" s="39" t="n">
        <v>0.25</v>
      </c>
      <c r="U48" s="39" t="n">
        <v>0</v>
      </c>
    </row>
    <row r="49">
      <c r="A49" s="27" t="inlineStr">
        <is>
          <t xml:space="preserve">B177 </t>
        </is>
      </c>
      <c r="B49" s="27" t="inlineStr">
        <is>
          <t xml:space="preserve">PSICOLOGÍA EVOLUTIVA Y DIDÁCTICA </t>
        </is>
      </c>
      <c r="C49" s="27" t="inlineStr">
        <is>
          <t xml:space="preserve">DOCTORADO EN INVESTIGACIÓN EDUCATIVA </t>
        </is>
      </c>
      <c r="D49" s="27" t="inlineStr">
        <is>
          <t xml:space="preserve">Baeza Legaz, Josep Enric </t>
        </is>
      </c>
      <c r="E49" s="27" t="inlineStr">
        <is>
          <t xml:space="preserve">Diseño y validación de un nuevo instrumento para valorar el comportamiento de miedo y evitación en personas con dolor lumbar </t>
        </is>
      </c>
      <c r="F49" s="27" t="inlineStr">
        <is>
          <t xml:space="preserve">27/02/2023 </t>
        </is>
      </c>
      <c r="G49" s="27" t="inlineStr">
        <is>
          <t xml:space="preserve">21660466D </t>
        </is>
      </c>
      <c r="H49" s="27" t="inlineStr">
        <is>
          <t xml:space="preserve">Codirector de tesis </t>
        </is>
      </c>
      <c r="I49" s="27" t="inlineStr">
        <is>
          <t xml:space="preserve">B112 </t>
        </is>
      </c>
      <c r="J49" s="27" t="inlineStr">
        <is>
          <t xml:space="preserve">DIDACTICA GENERAL Y DIDÁCTICAS ESPECÍFICAS </t>
        </is>
      </c>
      <c r="K49" s="39" t="n">
        <v>0.5</v>
      </c>
      <c r="L49" s="39" t="inlineStr">
        <is>
          <t>B112</t>
        </is>
      </c>
      <c r="M49" s="27" t="n">
        <v>2022</v>
      </c>
      <c r="N49" s="39" t="inlineStr"/>
      <c r="O49" s="39" t="inlineStr"/>
      <c r="P49" s="39" t="inlineStr"/>
      <c r="Q49" s="39" t="inlineStr"/>
      <c r="R49" s="39" t="n">
        <v>100</v>
      </c>
      <c r="S49" s="39" t="n">
        <v>0.5</v>
      </c>
      <c r="T49" s="39" t="n">
        <v>0</v>
      </c>
      <c r="U49" s="39" t="n">
        <v>0</v>
      </c>
    </row>
    <row r="50">
      <c r="A50" s="27" t="inlineStr">
        <is>
          <t xml:space="preserve">B177 </t>
        </is>
      </c>
      <c r="B50" s="27" t="inlineStr">
        <is>
          <t xml:space="preserve">PSICOLOGÍA EVOLUTIVA Y DIDÁCTICA </t>
        </is>
      </c>
      <c r="C50" s="27" t="inlineStr">
        <is>
          <t xml:space="preserve">DOCTORADO EN INVESTIGACIÓN EDUCATIVA </t>
        </is>
      </c>
      <c r="D50" s="27" t="inlineStr">
        <is>
          <t xml:space="preserve">Univio Molano, Julio Esteban </t>
        </is>
      </c>
      <c r="E50" s="27" t="inlineStr">
        <is>
          <t xml:space="preserve">La formación pedagógica del docente de Filosofía para la educación media </t>
        </is>
      </c>
      <c r="F50" s="27" t="inlineStr">
        <is>
          <t xml:space="preserve">04/05/2023 </t>
        </is>
      </c>
      <c r="G50" s="27" t="inlineStr">
        <is>
          <t xml:space="preserve">76941801Q </t>
        </is>
      </c>
      <c r="H50" s="27" t="inlineStr">
        <is>
          <t xml:space="preserve">Director de tesis </t>
        </is>
      </c>
      <c r="I50" s="27" t="inlineStr">
        <is>
          <t xml:space="preserve">B112 </t>
        </is>
      </c>
      <c r="J50" s="27" t="inlineStr">
        <is>
          <t xml:space="preserve">DIDACTICA GENERAL Y DIDÁCTICAS ESPECÍFICAS </t>
        </is>
      </c>
      <c r="K50" s="39" t="n">
        <v>1</v>
      </c>
      <c r="L50" s="39" t="inlineStr">
        <is>
          <t>B112</t>
        </is>
      </c>
      <c r="M50" s="27" t="n">
        <v>2022</v>
      </c>
      <c r="N50" s="39" t="inlineStr">
        <is>
          <t>10.25</t>
        </is>
      </c>
      <c r="O50" s="39" t="n">
        <v>30</v>
      </c>
      <c r="P50" s="39" t="inlineStr">
        <is>
          <t>10.23</t>
        </is>
      </c>
      <c r="Q50" s="39" t="n">
        <v>20</v>
      </c>
      <c r="R50" s="39" t="n">
        <v>50</v>
      </c>
      <c r="S50" s="39" t="n">
        <v>0.5</v>
      </c>
      <c r="T50" s="39" t="n">
        <v>0.3</v>
      </c>
      <c r="U50" s="39" t="n">
        <v>0.2</v>
      </c>
    </row>
    <row r="51">
      <c r="A51" s="27" t="inlineStr">
        <is>
          <t xml:space="preserve">U023 </t>
        </is>
      </c>
      <c r="B51" s="27" t="inlineStr">
        <is>
          <t xml:space="preserve">ADM. FACULTAD DE FILOSOFIA Y LETRAS </t>
        </is>
      </c>
      <c r="C51" s="27" t="inlineStr">
        <is>
          <t xml:space="preserve">DOCTORADO EN FILOSOFÍA Y LETRAS </t>
        </is>
      </c>
      <c r="D51" s="27" t="inlineStr">
        <is>
          <t xml:space="preserve">Poveda Garberi, Victoria </t>
        </is>
      </c>
      <c r="E51" s="27" t="inlineStr">
        <is>
          <t xml:space="preserve">Afganistà i les seues arestes: un cas pràctic. </t>
        </is>
      </c>
      <c r="F51" s="27" t="inlineStr">
        <is>
          <t xml:space="preserve">16/12/2022 </t>
        </is>
      </c>
      <c r="G51" s="27" t="inlineStr">
        <is>
          <t xml:space="preserve">21633898Y </t>
        </is>
      </c>
      <c r="H51" s="27" t="inlineStr">
        <is>
          <t xml:space="preserve">Codirector de tesis </t>
        </is>
      </c>
      <c r="I51" s="27" t="inlineStr">
        <is>
          <t xml:space="preserve">B112 </t>
        </is>
      </c>
      <c r="J51" s="27" t="inlineStr">
        <is>
          <t xml:space="preserve">DIDACTICA GENERAL Y DIDÁCTICAS ESPECÍFICAS </t>
        </is>
      </c>
      <c r="K51" s="39" t="n">
        <v>0.5</v>
      </c>
      <c r="L51" s="39" t="inlineStr">
        <is>
          <t>B112</t>
        </is>
      </c>
      <c r="M51" s="27" t="n">
        <v>2022</v>
      </c>
      <c r="N51" s="39" t="inlineStr">
        <is>
          <t>10.21</t>
        </is>
      </c>
      <c r="O51" s="39" t="n">
        <v>50</v>
      </c>
      <c r="P51" s="39" t="inlineStr"/>
      <c r="Q51" s="39" t="n">
        <v>0</v>
      </c>
      <c r="R51" s="39" t="n">
        <v>50</v>
      </c>
      <c r="S51" s="39" t="n">
        <v>0.25</v>
      </c>
      <c r="T51" s="39" t="n">
        <v>0.25</v>
      </c>
      <c r="U51" s="39" t="n">
        <v>0</v>
      </c>
    </row>
    <row r="52">
      <c r="A52" s="67" t="inlineStr">
        <is>
          <t xml:space="preserve">U023 </t>
        </is>
      </c>
      <c r="B52" s="67" t="inlineStr">
        <is>
          <t xml:space="preserve">ADM. FACULTAD DE FILOSOFIA Y LETRAS </t>
        </is>
      </c>
      <c r="C52" s="67" t="inlineStr">
        <is>
          <t xml:space="preserve">DOCTORADO EN TRANSFERENCIAS INTERCULTURALES E HISTÓRICAS EN LA EUROPA MEDIE </t>
        </is>
      </c>
      <c r="D52" s="67" t="inlineStr">
        <is>
          <t xml:space="preserve">Crescenza , Giorgio </t>
        </is>
      </c>
      <c r="E52" s="67" t="inlineStr">
        <is>
          <t xml:space="preserve">L¿ADOLESCENZA E L¿IMPREVEDIBILE NELL¿EDUCAZIONE. UN¿ANALISI SOCIOPEDAGOGICA SUL DISAGIO SCOLASTICO E FORMATIVO [[La adolescencia y lo imprevisible en la educación. Un análisis sociopedagógico del malestar escolar y educativo]. </t>
        </is>
      </c>
      <c r="F52" s="67" t="inlineStr">
        <is>
          <t xml:space="preserve">24/02/2023 </t>
        </is>
      </c>
      <c r="G52" s="67" t="inlineStr">
        <is>
          <t xml:space="preserve">25126858W </t>
        </is>
      </c>
      <c r="H52" s="67" t="inlineStr">
        <is>
          <t xml:space="preserve">Codirector de tesis </t>
        </is>
      </c>
      <c r="I52" s="67" t="inlineStr">
        <is>
          <t xml:space="preserve">B112 </t>
        </is>
      </c>
      <c r="J52" s="67" t="inlineStr">
        <is>
          <t xml:space="preserve">DIDACTICA GENERAL Y DIDÁCTICAS ESPECÍFICAS </t>
        </is>
      </c>
      <c r="K52" s="68" t="n">
        <v>0.5</v>
      </c>
      <c r="L52" s="68" t="inlineStr">
        <is>
          <t>B112</t>
        </is>
      </c>
      <c r="M52" s="67" t="n">
        <v>2022</v>
      </c>
      <c r="N52" s="68" t="inlineStr">
        <is>
          <t>10.25</t>
        </is>
      </c>
      <c r="O52" s="68" t="n">
        <v>30</v>
      </c>
      <c r="P52" s="68" t="inlineStr"/>
      <c r="Q52" s="68" t="n">
        <v>0</v>
      </c>
      <c r="R52" s="68" t="n">
        <v>70</v>
      </c>
      <c r="S52" s="68" t="n">
        <v>0.35</v>
      </c>
      <c r="T52" s="68" t="n">
        <v>0.15</v>
      </c>
      <c r="U52" s="68" t="n">
        <v>0</v>
      </c>
    </row>
    <row r="53" customFormat="1" s="27">
      <c r="A53" s="27" t="inlineStr">
        <is>
          <t xml:space="preserve">U075 </t>
        </is>
      </c>
      <c r="B53" s="27" t="inlineStr">
        <is>
          <t xml:space="preserve">I.U.INVESTIGACIÓN DE ESTUDIOS SOCIALES DE AMÉRICA LATINA (10.25) </t>
        </is>
      </c>
      <c r="C53" s="27" t="inlineStr">
        <is>
          <t xml:space="preserve">DOCTORADO EN HUMANIDADES Y ESTUDIOS SOCIALES DE AMÉRICA LATINA </t>
        </is>
      </c>
      <c r="D53" s="27" t="inlineStr">
        <is>
          <t xml:space="preserve">Vásquez Peñafiel, María Stefanie </t>
        </is>
      </c>
      <c r="E53" s="27" t="inlineStr">
        <is>
          <t xml:space="preserve">Competencia Digital docente de las Instituciones de Educación Superior </t>
        </is>
      </c>
      <c r="F53" s="27" t="inlineStr">
        <is>
          <t xml:space="preserve">08/06/2023 </t>
        </is>
      </c>
      <c r="G53" s="27" t="inlineStr">
        <is>
          <t xml:space="preserve">25126858W </t>
        </is>
      </c>
      <c r="H53" s="27" t="inlineStr">
        <is>
          <t xml:space="preserve">Director de tesis </t>
        </is>
      </c>
      <c r="I53" s="27" t="inlineStr">
        <is>
          <t xml:space="preserve">B112 </t>
        </is>
      </c>
      <c r="J53" s="27" t="inlineStr">
        <is>
          <t xml:space="preserve">DIDACTICA GENERAL Y DIDÁCTICAS ESPECÍFICAS </t>
        </is>
      </c>
      <c r="K53" s="39" t="n">
        <v>1</v>
      </c>
      <c r="L53" s="39" t="inlineStr">
        <is>
          <t>B112</t>
        </is>
      </c>
      <c r="M53" s="27" t="n">
        <v>2022</v>
      </c>
      <c r="N53" s="39" t="inlineStr">
        <is>
          <t>10.25</t>
        </is>
      </c>
      <c r="O53" s="39" t="n">
        <v>30</v>
      </c>
      <c r="P53" s="39" t="inlineStr"/>
      <c r="Q53" s="39" t="n">
        <v>0</v>
      </c>
      <c r="R53" s="39" t="n">
        <v>70</v>
      </c>
      <c r="S53" s="39" t="n">
        <v>0.7</v>
      </c>
      <c r="T53" s="39" t="n">
        <v>0.3</v>
      </c>
      <c r="U53" s="39" t="n">
        <v>0</v>
      </c>
    </row>
    <row r="54" customFormat="1" s="19">
      <c r="A54" s="69" t="inlineStr">
        <is>
          <t>B112</t>
        </is>
      </c>
      <c r="B54" s="69" t="inlineStr">
        <is>
          <t>DIDACTICA GENERAL Y DIDÁCTICAS ESPECÍFICAS</t>
        </is>
      </c>
      <c r="C54" s="69" t="inlineStr">
        <is>
          <t>DOCTORADO EN INVESTIGACIÓN EDUCATIVA</t>
        </is>
      </c>
      <c r="D54" s="69" t="inlineStr">
        <is>
          <t>Oller Benítez, Alba</t>
        </is>
      </c>
      <c r="E54" s="69" t="inlineStr">
        <is>
          <t>Percepciones de los futuros docentes sobre la formación audiovisual en Educación Primaria</t>
        </is>
      </c>
      <c r="F54" s="69" t="inlineStr">
        <is>
          <t>22/03/2024</t>
        </is>
      </c>
      <c r="G54" s="69" t="inlineStr">
        <is>
          <t>79160375X</t>
        </is>
      </c>
      <c r="H54" s="69" t="inlineStr">
        <is>
          <t>Codirector de tesis</t>
        </is>
      </c>
      <c r="I54" s="70" t="inlineStr">
        <is>
          <t>B112</t>
        </is>
      </c>
      <c r="J54" s="69" t="inlineStr">
        <is>
          <t>DIDACTICA GENERAL Y DIDÁCTICAS ESPECÍFICAS</t>
        </is>
      </c>
      <c r="K54" s="71" t="n">
        <v>0.5</v>
      </c>
      <c r="L54" s="71" t="inlineStr">
        <is>
          <t>B112</t>
        </is>
      </c>
      <c r="M54" s="71" t="n">
        <v>2023</v>
      </c>
      <c r="N54" s="71" t="inlineStr"/>
      <c r="O54" s="71" t="inlineStr"/>
      <c r="P54" s="71" t="inlineStr"/>
      <c r="Q54" s="71" t="inlineStr"/>
      <c r="R54" s="71" t="n">
        <v>100</v>
      </c>
      <c r="S54" s="71" t="n">
        <v>0.5</v>
      </c>
      <c r="T54" s="71" t="n">
        <v>0</v>
      </c>
      <c r="U54" s="71" t="n">
        <v>0</v>
      </c>
      <c r="V54" s="40" t="inlineStr">
        <is>
          <t>S</t>
        </is>
      </c>
      <c r="Y54" s="25" t="n"/>
    </row>
    <row r="55" customFormat="1" s="19">
      <c r="A55" s="27" t="inlineStr">
        <is>
          <t>B112</t>
        </is>
      </c>
      <c r="B55" s="27" t="inlineStr">
        <is>
          <t>DIDACTICA GENERAL Y DIDÁCTICAS ESPECÍFICAS</t>
        </is>
      </c>
      <c r="C55" s="27" t="inlineStr">
        <is>
          <t>DOCTORADO EN INVESTIGACIÓN EDUCATIVA</t>
        </is>
      </c>
      <c r="D55" s="27" t="inlineStr">
        <is>
          <t>Oller Benítez, Alba</t>
        </is>
      </c>
      <c r="E55" s="27" t="inlineStr">
        <is>
          <t>Percepciones de los futuros docentes sobre la formación audiovisual en Educación Primaria</t>
        </is>
      </c>
      <c r="F55" s="27" t="inlineStr">
        <is>
          <t>22/03/2024</t>
        </is>
      </c>
      <c r="G55" s="27" t="inlineStr">
        <is>
          <t>73536751R</t>
        </is>
      </c>
      <c r="H55" s="27" t="inlineStr">
        <is>
          <t>Codirector de tesis</t>
        </is>
      </c>
      <c r="I55" s="26" t="inlineStr">
        <is>
          <t>B112</t>
        </is>
      </c>
      <c r="J55" s="27" t="inlineStr">
        <is>
          <t>DIDACTICA GENERAL Y DIDÁCTICAS ESPECÍFICAS</t>
        </is>
      </c>
      <c r="K55" s="39" t="n">
        <v>0.5</v>
      </c>
      <c r="L55" s="39" t="inlineStr">
        <is>
          <t>B112</t>
        </is>
      </c>
      <c r="M55" s="39" t="n">
        <v>2023</v>
      </c>
      <c r="N55" s="39" t="inlineStr">
        <is>
          <t>10.25</t>
        </is>
      </c>
      <c r="O55" s="39" t="inlineStr">
        <is>
          <t>50</t>
        </is>
      </c>
      <c r="P55" s="39" t="inlineStr"/>
      <c r="Q55" s="39" t="inlineStr"/>
      <c r="R55" s="39" t="n">
        <v>50</v>
      </c>
      <c r="S55" s="39" t="n">
        <v>0.25</v>
      </c>
      <c r="T55" s="39" t="n">
        <v>0.25</v>
      </c>
      <c r="U55" s="39" t="n">
        <v>0</v>
      </c>
      <c r="V55" s="40" t="inlineStr">
        <is>
          <t>S</t>
        </is>
      </c>
      <c r="Y55" s="25" t="n"/>
    </row>
    <row r="56" customFormat="1" s="19">
      <c r="A56" s="27" t="inlineStr">
        <is>
          <t>B177</t>
        </is>
      </c>
      <c r="B56" s="27" t="inlineStr">
        <is>
          <t>PSICOLOGÍA EVOLUTIVA Y DIDÁCTICA</t>
        </is>
      </c>
      <c r="C56" s="27" t="inlineStr">
        <is>
          <t>DOCTORADO EN INVESTIGACIÓN EDUCATIVA</t>
        </is>
      </c>
      <c r="D56" s="27" t="inlineStr">
        <is>
          <t>Castaño Romero, Antonio</t>
        </is>
      </c>
      <c r="E56" s="27" t="inlineStr">
        <is>
          <t>Efectos del Entrenamiento Neuromuscular en niños de Educación Primaria durante las
clases de Educación Física.</t>
        </is>
      </c>
      <c r="F56" s="27" t="inlineStr">
        <is>
          <t>14/03/2024</t>
        </is>
      </c>
      <c r="G56" s="27" t="inlineStr">
        <is>
          <t>21515031A</t>
        </is>
      </c>
      <c r="H56" s="27" t="inlineStr">
        <is>
          <t>Codirector de tesis</t>
        </is>
      </c>
      <c r="I56" s="26" t="inlineStr">
        <is>
          <t>B112</t>
        </is>
      </c>
      <c r="J56" s="27" t="inlineStr">
        <is>
          <t>DIDACTICA GENERAL Y DIDÁCTICAS ESPECÍFICAS</t>
        </is>
      </c>
      <c r="K56" s="39" t="n">
        <v>0.5</v>
      </c>
      <c r="L56" s="39" t="inlineStr">
        <is>
          <t>B112</t>
        </is>
      </c>
      <c r="M56" s="39" t="n">
        <v>2023</v>
      </c>
      <c r="N56" s="39" t="inlineStr"/>
      <c r="O56" s="39" t="inlineStr"/>
      <c r="P56" s="39" t="inlineStr"/>
      <c r="Q56" s="39" t="inlineStr"/>
      <c r="R56" s="39" t="n">
        <v>100</v>
      </c>
      <c r="S56" s="39" t="n">
        <v>0.5</v>
      </c>
      <c r="T56" s="39" t="n">
        <v>0</v>
      </c>
      <c r="U56" s="39" t="n">
        <v>0</v>
      </c>
      <c r="V56" s="40" t="inlineStr">
        <is>
          <t>S</t>
        </is>
      </c>
      <c r="Y56" s="25" t="n"/>
    </row>
    <row r="57" customFormat="1" s="19">
      <c r="A57" s="27" t="inlineStr">
        <is>
          <t>B177</t>
        </is>
      </c>
      <c r="B57" s="27" t="inlineStr">
        <is>
          <t>PSICOLOGÍA EVOLUTIVA Y DIDÁCTICA</t>
        </is>
      </c>
      <c r="C57" s="27" t="inlineStr">
        <is>
          <t>DOCTORADO EN INVESTIGACIÓN EDUCATIVA</t>
        </is>
      </c>
      <c r="D57" s="27" t="inlineStr">
        <is>
          <t>Castaño Romero, Antonio</t>
        </is>
      </c>
      <c r="E57" s="27" t="inlineStr">
        <is>
          <t>Efectos del Entrenamiento Neuromuscular en niños de Educación Primaria durante las
clases de Educación Física.</t>
        </is>
      </c>
      <c r="F57" s="27" t="inlineStr">
        <is>
          <t>14/03/2024</t>
        </is>
      </c>
      <c r="G57" s="27" t="inlineStr">
        <is>
          <t>07860559X</t>
        </is>
      </c>
      <c r="H57" s="27" t="inlineStr">
        <is>
          <t>Codirector de tesis</t>
        </is>
      </c>
      <c r="I57" s="26" t="inlineStr">
        <is>
          <t>B112</t>
        </is>
      </c>
      <c r="J57" s="27" t="inlineStr">
        <is>
          <t>DIDACTICA GENERAL Y DIDÁCTICAS ESPECÍFICAS</t>
        </is>
      </c>
      <c r="K57" s="39" t="n">
        <v>0.5</v>
      </c>
      <c r="L57" s="39" t="inlineStr">
        <is>
          <t>B112</t>
        </is>
      </c>
      <c r="M57" s="39" t="n">
        <v>2023</v>
      </c>
      <c r="N57" s="39" t="inlineStr">
        <is>
          <t>10.23</t>
        </is>
      </c>
      <c r="O57" s="39" t="inlineStr">
        <is>
          <t>20</t>
        </is>
      </c>
      <c r="P57" s="39" t="inlineStr"/>
      <c r="Q57" s="39" t="inlineStr"/>
      <c r="R57" s="39" t="n">
        <v>80</v>
      </c>
      <c r="S57" s="39" t="n">
        <v>0.4</v>
      </c>
      <c r="T57" s="39" t="n">
        <v>0.1</v>
      </c>
      <c r="U57" s="39" t="n">
        <v>0</v>
      </c>
      <c r="V57" s="40" t="inlineStr">
        <is>
          <t>S</t>
        </is>
      </c>
      <c r="Y57" s="25" t="n"/>
    </row>
    <row r="58" customFormat="1" s="19">
      <c r="A58" s="27" t="inlineStr">
        <is>
          <t>B177</t>
        </is>
      </c>
      <c r="B58" s="27" t="inlineStr">
        <is>
          <t>PSICOLOGÍA EVOLUTIVA Y DIDÁCTICA</t>
        </is>
      </c>
      <c r="C58" s="27" t="inlineStr">
        <is>
          <t>DOCTORADO EN INVESTIGACIÓN EDUCATIVA</t>
        </is>
      </c>
      <c r="D58" s="27" t="inlineStr">
        <is>
          <t>Bayas Vallejo, Alejandro</t>
        </is>
      </c>
      <c r="E58" s="27" t="inlineStr">
        <is>
          <t>Itinerario educativo ambiental en dos áreas protegidas del Ecuador para los estudiantes
de la carrera de pedagogía de las Ciencias Experimentales, Química y Biología, de la
Universidad Central de Educador.</t>
        </is>
      </c>
      <c r="F58" s="27" t="inlineStr">
        <is>
          <t>13/03/2024</t>
        </is>
      </c>
      <c r="G58" s="27" t="inlineStr">
        <is>
          <t>48379979P</t>
        </is>
      </c>
      <c r="H58" s="27" t="inlineStr">
        <is>
          <t>Codirector de tesis</t>
        </is>
      </c>
      <c r="I58" s="26" t="inlineStr">
        <is>
          <t>B112</t>
        </is>
      </c>
      <c r="J58" s="27" t="inlineStr">
        <is>
          <t>DIDACTICA GENERAL Y DIDÁCTICAS ESPECÍFICAS</t>
        </is>
      </c>
      <c r="K58" s="39" t="n">
        <v>0.5</v>
      </c>
      <c r="L58" s="39" t="inlineStr">
        <is>
          <t>B112</t>
        </is>
      </c>
      <c r="M58" s="39" t="n">
        <v>2023</v>
      </c>
      <c r="N58" s="39" t="inlineStr">
        <is>
          <t>10.25</t>
        </is>
      </c>
      <c r="O58" s="39" t="inlineStr">
        <is>
          <t>30</t>
        </is>
      </c>
      <c r="P58" s="39" t="inlineStr">
        <is>
          <t>10.23</t>
        </is>
      </c>
      <c r="Q58" s="39" t="inlineStr">
        <is>
          <t>20</t>
        </is>
      </c>
      <c r="R58" s="39" t="n">
        <v>50</v>
      </c>
      <c r="S58" s="39" t="n">
        <v>0.25</v>
      </c>
      <c r="T58" s="39" t="n">
        <v>0.15</v>
      </c>
      <c r="U58" s="39" t="n">
        <v>0.1</v>
      </c>
      <c r="V58" s="40" t="inlineStr">
        <is>
          <t>S</t>
        </is>
      </c>
      <c r="Y58" s="25" t="n"/>
    </row>
    <row r="59" customFormat="1" s="19">
      <c r="A59" s="27" t="inlineStr">
        <is>
          <t>B177</t>
        </is>
      </c>
      <c r="B59" s="27" t="inlineStr">
        <is>
          <t>PSICOLOGÍA EVOLUTIVA Y DIDÁCTICA</t>
        </is>
      </c>
      <c r="C59" s="27" t="inlineStr">
        <is>
          <t>DOCTORADO EN INVESTIGACIÓN EDUCATIVA</t>
        </is>
      </c>
      <c r="D59" s="27" t="inlineStr">
        <is>
          <t>Almeida Shapán, Rita</t>
        </is>
      </c>
      <c r="E59" s="27" t="inlineStr">
        <is>
          <t>Integración de la etnobotánica en la formación del futuro profesorado de la carrera de pedagogía de las ciencias experimentales química y biología de la universidad central del ecuador.</t>
        </is>
      </c>
      <c r="F59" s="27" t="inlineStr">
        <is>
          <t>23/10/2023</t>
        </is>
      </c>
      <c r="G59" s="27" t="inlineStr">
        <is>
          <t>48769418B</t>
        </is>
      </c>
      <c r="H59" s="27" t="inlineStr">
        <is>
          <t>Codirector de tesis</t>
        </is>
      </c>
      <c r="I59" s="26" t="inlineStr">
        <is>
          <t>B112</t>
        </is>
      </c>
      <c r="J59" s="27" t="inlineStr">
        <is>
          <t>DIDACTICA GENERAL Y DIDÁCTICAS ESPECÍFICAS</t>
        </is>
      </c>
      <c r="K59" s="39" t="n">
        <v>0.5</v>
      </c>
      <c r="L59" s="39" t="inlineStr">
        <is>
          <t>B112</t>
        </is>
      </c>
      <c r="M59" s="39" t="n">
        <v>2023</v>
      </c>
      <c r="N59" s="39" t="inlineStr">
        <is>
          <t>10.23</t>
        </is>
      </c>
      <c r="O59" s="39" t="inlineStr">
        <is>
          <t>30</t>
        </is>
      </c>
      <c r="P59" s="39" t="inlineStr">
        <is>
          <t>10.25</t>
        </is>
      </c>
      <c r="Q59" s="39" t="inlineStr">
        <is>
          <t>30</t>
        </is>
      </c>
      <c r="R59" s="39" t="n">
        <v>40</v>
      </c>
      <c r="S59" s="39" t="n">
        <v>0.2</v>
      </c>
      <c r="T59" s="39" t="n">
        <v>0.15</v>
      </c>
      <c r="U59" s="39" t="n">
        <v>0.15</v>
      </c>
      <c r="V59" s="40" t="inlineStr">
        <is>
          <t>S</t>
        </is>
      </c>
      <c r="Y59" s="25" t="n"/>
    </row>
    <row r="60" customFormat="1" s="19">
      <c r="A60" s="27" t="inlineStr">
        <is>
          <t>B177</t>
        </is>
      </c>
      <c r="B60" s="27" t="inlineStr">
        <is>
          <t>PSICOLOGÍA EVOLUTIVA Y DIDÁCTICA</t>
        </is>
      </c>
      <c r="C60" s="27" t="inlineStr">
        <is>
          <t>DOCTORADO EN INVESTIGACIÓN EDUCATIVA</t>
        </is>
      </c>
      <c r="D60" s="27" t="inlineStr">
        <is>
          <t>Camús Ferri, María Del Mar</t>
        </is>
      </c>
      <c r="E60" s="27" t="inlineStr">
        <is>
          <t>La comunicación didáctica en la docencia universitaria: un estudio de caso en la
 Universidad de Alicante y en la Universidad de Valencia</t>
        </is>
      </c>
      <c r="F60" s="27" t="inlineStr">
        <is>
          <t>14/02/2024</t>
        </is>
      </c>
      <c r="G60" s="27" t="inlineStr">
        <is>
          <t>76941801Q</t>
        </is>
      </c>
      <c r="H60" s="27" t="inlineStr">
        <is>
          <t>Codirector de tesis</t>
        </is>
      </c>
      <c r="I60" s="26" t="inlineStr">
        <is>
          <t>B112</t>
        </is>
      </c>
      <c r="J60" s="27" t="inlineStr">
        <is>
          <t>DIDACTICA GENERAL Y DIDÁCTICAS ESPECÍFICAS</t>
        </is>
      </c>
      <c r="K60" s="39" t="n">
        <v>0.5</v>
      </c>
      <c r="L60" s="39" t="inlineStr">
        <is>
          <t>B112</t>
        </is>
      </c>
      <c r="M60" s="39" t="n">
        <v>2023</v>
      </c>
      <c r="N60" s="39" t="inlineStr">
        <is>
          <t>10.25</t>
        </is>
      </c>
      <c r="O60" s="39" t="inlineStr">
        <is>
          <t>30</t>
        </is>
      </c>
      <c r="P60" s="39" t="inlineStr">
        <is>
          <t>10.23</t>
        </is>
      </c>
      <c r="Q60" s="39" t="inlineStr">
        <is>
          <t>20</t>
        </is>
      </c>
      <c r="R60" s="39" t="n">
        <v>50</v>
      </c>
      <c r="S60" s="39" t="n">
        <v>0.25</v>
      </c>
      <c r="T60" s="39" t="n">
        <v>0.15</v>
      </c>
      <c r="U60" s="39" t="n">
        <v>0.1</v>
      </c>
      <c r="V60" s="40" t="inlineStr">
        <is>
          <t>S</t>
        </is>
      </c>
      <c r="Y60" s="25" t="n"/>
    </row>
    <row r="61" customFormat="1" s="19">
      <c r="A61" s="27" t="inlineStr">
        <is>
          <t>B177</t>
        </is>
      </c>
      <c r="B61" s="27" t="inlineStr">
        <is>
          <t>PSICOLOGÍA EVOLUTIVA Y DIDÁCTICA</t>
        </is>
      </c>
      <c r="C61" s="27" t="inlineStr">
        <is>
          <t>DOCTORADO EN INVESTIGACIÓN EDUCATIVA</t>
        </is>
      </c>
      <c r="D61" s="27" t="inlineStr">
        <is>
          <t>Camús Ferri, María Del Mar</t>
        </is>
      </c>
      <c r="E61" s="27" t="inlineStr">
        <is>
          <t>La comunicación didáctica en la docencia universitaria: un estudio de caso en la
 Universidad de Alicante y en la Universidad de Valencia</t>
        </is>
      </c>
      <c r="F61" s="27" t="inlineStr">
        <is>
          <t>14/02/2024</t>
        </is>
      </c>
      <c r="G61" s="27" t="inlineStr">
        <is>
          <t>48379979P</t>
        </is>
      </c>
      <c r="H61" s="27" t="inlineStr">
        <is>
          <t>Codirector de tesis</t>
        </is>
      </c>
      <c r="I61" s="26" t="inlineStr">
        <is>
          <t>B112</t>
        </is>
      </c>
      <c r="J61" s="27" t="inlineStr">
        <is>
          <t>DIDACTICA GENERAL Y DIDÁCTICAS ESPECÍFICAS</t>
        </is>
      </c>
      <c r="K61" s="39" t="n">
        <v>0.5</v>
      </c>
      <c r="L61" s="39" t="inlineStr">
        <is>
          <t>B112</t>
        </is>
      </c>
      <c r="M61" s="39" t="n">
        <v>2023</v>
      </c>
      <c r="N61" s="39" t="inlineStr">
        <is>
          <t>10.25</t>
        </is>
      </c>
      <c r="O61" s="39" t="inlineStr">
        <is>
          <t>30</t>
        </is>
      </c>
      <c r="P61" s="39" t="inlineStr">
        <is>
          <t>10.23</t>
        </is>
      </c>
      <c r="Q61" s="39" t="inlineStr">
        <is>
          <t>20</t>
        </is>
      </c>
      <c r="R61" s="39" t="n">
        <v>50</v>
      </c>
      <c r="S61" s="39" t="n">
        <v>0.25</v>
      </c>
      <c r="T61" s="39" t="n">
        <v>0.15</v>
      </c>
      <c r="U61" s="39" t="n">
        <v>0.1</v>
      </c>
      <c r="V61" s="40" t="inlineStr">
        <is>
          <t>S</t>
        </is>
      </c>
      <c r="Y61" s="25" t="n"/>
    </row>
    <row r="62" customFormat="1" s="19">
      <c r="A62" s="27" t="inlineStr">
        <is>
          <t>B177</t>
        </is>
      </c>
      <c r="B62" s="27" t="inlineStr">
        <is>
          <t>PSICOLOGÍA EVOLUTIVA Y DIDÁCTICA</t>
        </is>
      </c>
      <c r="C62" s="27" t="inlineStr">
        <is>
          <t>DOCTORADO EN INVESTIGACIÓN EDUCATIVA</t>
        </is>
      </c>
      <c r="D62" s="27" t="inlineStr">
        <is>
          <t>Boned Gómez, Salvador</t>
        </is>
      </c>
      <c r="E62" s="27" t="inlineStr">
        <is>
          <t xml:space="preserve">Hacia un futuro sostenible: revisión y propuestas curriculares en educación física enfocadas en el fortalecimiento de la conciencia en sostenibilidad
</t>
        </is>
      </c>
      <c r="F62" s="27" t="inlineStr">
        <is>
          <t>05/07/2024</t>
        </is>
      </c>
      <c r="G62" s="27" t="inlineStr">
        <is>
          <t>74002849G</t>
        </is>
      </c>
      <c r="H62" s="27" t="inlineStr">
        <is>
          <t>Codirector de tesis</t>
        </is>
      </c>
      <c r="I62" s="26" t="inlineStr">
        <is>
          <t>B112</t>
        </is>
      </c>
      <c r="J62" s="27" t="inlineStr">
        <is>
          <t>DIDACTICA GENERAL Y DIDÁCTICAS ESPECÍFICAS</t>
        </is>
      </c>
      <c r="K62" s="39" t="n">
        <v>0.5</v>
      </c>
      <c r="L62" s="39" t="inlineStr">
        <is>
          <t>B112</t>
        </is>
      </c>
      <c r="M62" s="39" t="n">
        <v>2023</v>
      </c>
      <c r="N62" s="39" t="inlineStr"/>
      <c r="O62" s="39" t="inlineStr"/>
      <c r="P62" s="39" t="inlineStr"/>
      <c r="Q62" s="39" t="inlineStr"/>
      <c r="R62" s="39" t="n">
        <v>100</v>
      </c>
      <c r="S62" s="39" t="n">
        <v>0.5</v>
      </c>
      <c r="T62" s="39" t="n">
        <v>0</v>
      </c>
      <c r="U62" s="39" t="n">
        <v>0</v>
      </c>
      <c r="V62" s="40" t="inlineStr">
        <is>
          <t>S</t>
        </is>
      </c>
      <c r="Y62" s="25" t="n"/>
    </row>
    <row r="63" customFormat="1" s="19">
      <c r="A63" s="27" t="inlineStr">
        <is>
          <t>B177</t>
        </is>
      </c>
      <c r="B63" s="27" t="inlineStr">
        <is>
          <t>PSICOLOGÍA EVOLUTIVA Y DIDÁCTICA</t>
        </is>
      </c>
      <c r="C63" s="27" t="inlineStr">
        <is>
          <t>DOCTORADO EN INVESTIGACIÓN EDUCATIVA</t>
        </is>
      </c>
      <c r="D63" s="27" t="inlineStr">
        <is>
          <t>Boned Gómez, Salvador</t>
        </is>
      </c>
      <c r="E63" s="27" t="inlineStr">
        <is>
          <t xml:space="preserve">Hacia un futuro sostenible: revisión y propuestas curriculares en educación física enfocadas en el fortalecimiento de la conciencia en sostenibilidad
</t>
        </is>
      </c>
      <c r="F63" s="27" t="inlineStr">
        <is>
          <t>05/07/2024</t>
        </is>
      </c>
      <c r="G63" s="27" t="inlineStr">
        <is>
          <t>75129631Q</t>
        </is>
      </c>
      <c r="H63" s="27" t="inlineStr">
        <is>
          <t>Codirector de tesis</t>
        </is>
      </c>
      <c r="I63" s="26" t="inlineStr">
        <is>
          <t>B112</t>
        </is>
      </c>
      <c r="J63" s="27" t="inlineStr">
        <is>
          <t>DIDACTICA GENERAL Y DIDÁCTICAS ESPECÍFICAS</t>
        </is>
      </c>
      <c r="K63" s="39" t="n">
        <v>0.5</v>
      </c>
      <c r="L63" s="39" t="inlineStr">
        <is>
          <t>B112</t>
        </is>
      </c>
      <c r="M63" s="39" t="n">
        <v>2023</v>
      </c>
      <c r="N63" s="39" t="inlineStr"/>
      <c r="O63" s="39" t="inlineStr"/>
      <c r="P63" s="39" t="inlineStr"/>
      <c r="Q63" s="39" t="inlineStr"/>
      <c r="R63" s="39" t="n">
        <v>100</v>
      </c>
      <c r="S63" s="39" t="n">
        <v>0.5</v>
      </c>
      <c r="T63" s="39" t="n">
        <v>0</v>
      </c>
      <c r="U63" s="39" t="n">
        <v>0</v>
      </c>
      <c r="V63" s="40" t="inlineStr">
        <is>
          <t>S</t>
        </is>
      </c>
      <c r="Y63" s="25" t="n"/>
    </row>
    <row r="64" customFormat="1" s="19">
      <c r="A64" s="27" t="inlineStr">
        <is>
          <t>B177</t>
        </is>
      </c>
      <c r="B64" s="27" t="inlineStr">
        <is>
          <t>PSICOLOGÍA EVOLUTIVA Y DIDÁCTICA</t>
        </is>
      </c>
      <c r="C64" s="27" t="inlineStr">
        <is>
          <t>DOCTORADO EN INVESTIGACIÓN EDUCATIVA</t>
        </is>
      </c>
      <c r="D64" s="27" t="inlineStr">
        <is>
          <t>Arroyo Salgueira, Sandra</t>
        </is>
      </c>
      <c r="E64" s="27" t="inlineStr">
        <is>
          <t>La movilidad académica en el desarrollo profesional docente: un estudio de caso en la Universidad de Alicante</t>
        </is>
      </c>
      <c r="F64" s="27" t="inlineStr">
        <is>
          <t>15/02/2024</t>
        </is>
      </c>
      <c r="G64" s="27" t="inlineStr">
        <is>
          <t>76941801Q</t>
        </is>
      </c>
      <c r="H64" s="27" t="inlineStr">
        <is>
          <t>Codirector de tesis</t>
        </is>
      </c>
      <c r="I64" s="26" t="inlineStr">
        <is>
          <t>B112</t>
        </is>
      </c>
      <c r="J64" s="27" t="inlineStr">
        <is>
          <t>DIDACTICA GENERAL Y DIDÁCTICAS ESPECÍFICAS</t>
        </is>
      </c>
      <c r="K64" s="39" t="n">
        <v>0.5</v>
      </c>
      <c r="L64" s="39" t="inlineStr">
        <is>
          <t>B112</t>
        </is>
      </c>
      <c r="M64" s="39" t="n">
        <v>2023</v>
      </c>
      <c r="N64" s="39" t="inlineStr">
        <is>
          <t>10.25</t>
        </is>
      </c>
      <c r="O64" s="39" t="inlineStr">
        <is>
          <t>30</t>
        </is>
      </c>
      <c r="P64" s="39" t="inlineStr">
        <is>
          <t>10.23</t>
        </is>
      </c>
      <c r="Q64" s="39" t="inlineStr">
        <is>
          <t>20</t>
        </is>
      </c>
      <c r="R64" s="39" t="n">
        <v>50</v>
      </c>
      <c r="S64" s="39" t="n">
        <v>0.25</v>
      </c>
      <c r="T64" s="39" t="n">
        <v>0.15</v>
      </c>
      <c r="U64" s="39" t="n">
        <v>0.1</v>
      </c>
      <c r="V64" s="40" t="inlineStr">
        <is>
          <t>S</t>
        </is>
      </c>
      <c r="Y64" s="25" t="n"/>
    </row>
    <row r="65" customFormat="1" s="19">
      <c r="A65" s="27" t="inlineStr">
        <is>
          <t>B177</t>
        </is>
      </c>
      <c r="B65" s="27" t="inlineStr">
        <is>
          <t>PSICOLOGÍA EVOLUTIVA Y DIDÁCTICA</t>
        </is>
      </c>
      <c r="C65" s="27" t="inlineStr">
        <is>
          <t>DOCTORADO EN INVESTIGACIÓN EDUCATIVA</t>
        </is>
      </c>
      <c r="D65" s="27" t="inlineStr">
        <is>
          <t>Arroyo Salgueira, Sandra</t>
        </is>
      </c>
      <c r="E65" s="27" t="inlineStr">
        <is>
          <t>La movilidad académica en el desarrollo profesional docente: un estudio de caso en la Universidad de Alicante</t>
        </is>
      </c>
      <c r="F65" s="27" t="inlineStr">
        <is>
          <t>15/02/2024</t>
        </is>
      </c>
      <c r="G65" s="27" t="inlineStr">
        <is>
          <t>48379979P</t>
        </is>
      </c>
      <c r="H65" s="27" t="inlineStr">
        <is>
          <t>Codirector de tesis</t>
        </is>
      </c>
      <c r="I65" s="26" t="inlineStr">
        <is>
          <t>B112</t>
        </is>
      </c>
      <c r="J65" s="27" t="inlineStr">
        <is>
          <t>DIDACTICA GENERAL Y DIDÁCTICAS ESPECÍFICAS</t>
        </is>
      </c>
      <c r="K65" s="39" t="n">
        <v>0.5</v>
      </c>
      <c r="L65" s="39" t="inlineStr">
        <is>
          <t>B112</t>
        </is>
      </c>
      <c r="M65" s="39" t="n">
        <v>2023</v>
      </c>
      <c r="N65" s="39" t="inlineStr">
        <is>
          <t>10.25</t>
        </is>
      </c>
      <c r="O65" s="39" t="inlineStr">
        <is>
          <t>30</t>
        </is>
      </c>
      <c r="P65" s="39" t="inlineStr">
        <is>
          <t>10.23</t>
        </is>
      </c>
      <c r="Q65" s="39" t="inlineStr">
        <is>
          <t>20</t>
        </is>
      </c>
      <c r="R65" s="39" t="n">
        <v>50</v>
      </c>
      <c r="S65" s="39" t="n">
        <v>0.25</v>
      </c>
      <c r="T65" s="39" t="n">
        <v>0.15</v>
      </c>
      <c r="U65" s="39" t="n">
        <v>0.1</v>
      </c>
      <c r="V65" s="40" t="inlineStr">
        <is>
          <t>S</t>
        </is>
      </c>
      <c r="Y65" s="25" t="n"/>
    </row>
    <row r="66" customFormat="1" s="19">
      <c r="A66" s="27" t="inlineStr">
        <is>
          <t>B177</t>
        </is>
      </c>
      <c r="B66" s="27" t="inlineStr">
        <is>
          <t>PSICOLOGÍA EVOLUTIVA Y DIDÁCTICA</t>
        </is>
      </c>
      <c r="C66" s="27" t="inlineStr">
        <is>
          <t>DOCTORADO EN INVESTIGACIÓN EDUCATIVA</t>
        </is>
      </c>
      <c r="D66" s="27" t="inlineStr">
        <is>
          <t>Terol Sanchis, Mario</t>
        </is>
      </c>
      <c r="E66" s="27" t="inlineStr">
        <is>
          <t>Efecto de diferentes tipos de ejercicio físico sobre la presión arterial en sujetos varones
de entre 50-70 años con sobrepeso en la ciudad de Alicante.</t>
        </is>
      </c>
      <c r="F66" s="27" t="inlineStr">
        <is>
          <t>23/07/2024</t>
        </is>
      </c>
      <c r="G66" s="27" t="inlineStr">
        <is>
          <t>21478406V</t>
        </is>
      </c>
      <c r="H66" s="27" t="inlineStr">
        <is>
          <t>Codirector de tesis</t>
        </is>
      </c>
      <c r="I66" s="26" t="inlineStr">
        <is>
          <t>B112</t>
        </is>
      </c>
      <c r="J66" s="27" t="inlineStr">
        <is>
          <t>DIDACTICA GENERAL Y DIDÁCTICAS ESPECÍFICAS</t>
        </is>
      </c>
      <c r="K66" s="39" t="n">
        <v>0.5</v>
      </c>
      <c r="L66" s="39" t="inlineStr">
        <is>
          <t>B112</t>
        </is>
      </c>
      <c r="M66" s="39" t="n">
        <v>2023</v>
      </c>
      <c r="N66" s="39" t="inlineStr">
        <is>
          <t>10.17</t>
        </is>
      </c>
      <c r="O66" s="39" t="inlineStr">
        <is>
          <t>20</t>
        </is>
      </c>
      <c r="P66" s="39" t="inlineStr"/>
      <c r="Q66" s="39" t="inlineStr"/>
      <c r="R66" s="39" t="n">
        <v>80</v>
      </c>
      <c r="S66" s="39" t="n">
        <v>0.4</v>
      </c>
      <c r="T66" s="39" t="n">
        <v>0.1</v>
      </c>
      <c r="U66" s="39" t="n">
        <v>0</v>
      </c>
      <c r="V66" s="40" t="inlineStr">
        <is>
          <t>S</t>
        </is>
      </c>
      <c r="Y66" s="25" t="n"/>
    </row>
    <row r="67" customFormat="1" s="19">
      <c r="A67" s="27" t="inlineStr">
        <is>
          <t>B177</t>
        </is>
      </c>
      <c r="B67" s="27" t="inlineStr">
        <is>
          <t>PSICOLOGÍA EVOLUTIVA Y DIDÁCTICA</t>
        </is>
      </c>
      <c r="C67" s="27" t="inlineStr">
        <is>
          <t>DOCTORADO EN INVESTIGACIÓN EDUCATIVA</t>
        </is>
      </c>
      <c r="D67" s="27" t="inlineStr">
        <is>
          <t>Martínez Roig, Rosabel</t>
        </is>
      </c>
      <c r="E67" s="27" t="inlineStr">
        <is>
          <t>La integración de la robótica social y la Música como elemento transversal en los procesos de enseñanza-aprendizaje en el contexto de la Inteligencia Artificial</t>
        </is>
      </c>
      <c r="F67" s="27" t="inlineStr">
        <is>
          <t>28/06/2024</t>
        </is>
      </c>
      <c r="G67" s="27" t="inlineStr">
        <is>
          <t>73536751R</t>
        </is>
      </c>
      <c r="H67" s="27" t="inlineStr">
        <is>
          <t>Codirector de tesis</t>
        </is>
      </c>
      <c r="I67" s="26" t="inlineStr">
        <is>
          <t>B112</t>
        </is>
      </c>
      <c r="J67" s="27" t="inlineStr">
        <is>
          <t>DIDACTICA GENERAL Y DIDÁCTICAS ESPECÍFICAS</t>
        </is>
      </c>
      <c r="K67" s="39" t="n">
        <v>0.5</v>
      </c>
      <c r="L67" s="39" t="inlineStr">
        <is>
          <t>B112</t>
        </is>
      </c>
      <c r="M67" s="39" t="n">
        <v>2023</v>
      </c>
      <c r="N67" s="39" t="inlineStr">
        <is>
          <t>10.25</t>
        </is>
      </c>
      <c r="O67" s="39" t="inlineStr">
        <is>
          <t>50</t>
        </is>
      </c>
      <c r="P67" s="39" t="inlineStr"/>
      <c r="Q67" s="39" t="inlineStr"/>
      <c r="R67" s="39" t="n">
        <v>50</v>
      </c>
      <c r="S67" s="39" t="n">
        <v>0.25</v>
      </c>
      <c r="T67" s="39" t="n">
        <v>0.25</v>
      </c>
      <c r="U67" s="39" t="n">
        <v>0</v>
      </c>
      <c r="V67" s="40" t="inlineStr">
        <is>
          <t>S</t>
        </is>
      </c>
      <c r="Y67" s="25" t="n"/>
    </row>
    <row r="68" customFormat="1" s="19">
      <c r="A68" s="27" t="inlineStr">
        <is>
          <t>B177</t>
        </is>
      </c>
      <c r="B68" s="27" t="inlineStr">
        <is>
          <t>PSICOLOGÍA EVOLUTIVA Y DIDÁCTICA</t>
        </is>
      </c>
      <c r="C68" s="27" t="inlineStr">
        <is>
          <t>DOCTORADO EN INVESTIGACIÓN EDUCATIVA</t>
        </is>
      </c>
      <c r="D68" s="27" t="inlineStr">
        <is>
          <t>González Céspedes, Guy</t>
        </is>
      </c>
      <c r="E68" s="27" t="inlineStr">
        <is>
          <t>Efecto de la modalidad deportiva sobre la inhibición motora proactiva y reactiva.</t>
        </is>
      </c>
      <c r="F68" s="27" t="inlineStr">
        <is>
          <t>19/04/2024</t>
        </is>
      </c>
      <c r="G68" s="27" t="inlineStr">
        <is>
          <t>25339428Y</t>
        </is>
      </c>
      <c r="H68" s="27" t="inlineStr">
        <is>
          <t>Director de tesis</t>
        </is>
      </c>
      <c r="I68" s="26" t="inlineStr">
        <is>
          <t>B112</t>
        </is>
      </c>
      <c r="J68" s="27" t="inlineStr">
        <is>
          <t>DIDACTICA GENERAL Y DIDÁCTICAS ESPECÍFICAS</t>
        </is>
      </c>
      <c r="K68" s="39" t="n">
        <v>1</v>
      </c>
      <c r="L68" s="39" t="inlineStr">
        <is>
          <t>B112</t>
        </is>
      </c>
      <c r="M68" s="39" t="n">
        <v>2023</v>
      </c>
      <c r="N68" s="39" t="inlineStr"/>
      <c r="O68" s="39" t="inlineStr"/>
      <c r="P68" s="39" t="inlineStr"/>
      <c r="Q68" s="39" t="inlineStr"/>
      <c r="R68" s="39" t="n">
        <v>100</v>
      </c>
      <c r="S68" s="39" t="n">
        <v>1</v>
      </c>
      <c r="T68" s="39" t="n">
        <v>0</v>
      </c>
      <c r="U68" s="39" t="n">
        <v>0</v>
      </c>
      <c r="V68" s="40" t="inlineStr">
        <is>
          <t>S</t>
        </is>
      </c>
      <c r="Y68" s="25" t="n"/>
    </row>
    <row r="69" customFormat="1" s="40">
      <c r="A69" s="27" t="inlineStr">
        <is>
          <t>U075</t>
        </is>
      </c>
      <c r="B69" s="27" t="inlineStr">
        <is>
          <t>I.U.INVESTIGACIÓN DE ESTUDIOS SOCIALES DE AMÉRICA LATINA (10.25)</t>
        </is>
      </c>
      <c r="C69" s="27" t="inlineStr">
        <is>
          <t>DOCTORADO EN HUMANIDADES Y ESTUDIOS SOCIALES DE AMÉRICA LATINA</t>
        </is>
      </c>
      <c r="D69" s="27" t="inlineStr">
        <is>
          <t>Medina Romero, Raúl Andrés</t>
        </is>
      </c>
      <c r="E69" s="27" t="inlineStr">
        <is>
          <t>Liderazgo organizacional y mistagogía ignaciana. Integración de los Ejercicios Espirituales a la figura del líder-servidor</t>
        </is>
      </c>
      <c r="F69" s="27" t="inlineStr">
        <is>
          <t>20/09/2024</t>
        </is>
      </c>
      <c r="G69" s="27" t="inlineStr">
        <is>
          <t>52773764B</t>
        </is>
      </c>
      <c r="H69" s="27" t="inlineStr">
        <is>
          <t>Codirector de tesis</t>
        </is>
      </c>
      <c r="I69" s="26" t="inlineStr">
        <is>
          <t>B112</t>
        </is>
      </c>
      <c r="J69" s="27" t="inlineStr">
        <is>
          <t>DIDACTICA GENERAL Y DIDÁCTICAS ESPECÍFICAS</t>
        </is>
      </c>
      <c r="K69" s="39" t="n">
        <v>0.5</v>
      </c>
      <c r="L69" s="39" t="inlineStr">
        <is>
          <t>B112</t>
        </is>
      </c>
      <c r="M69" s="39" t="n">
        <v>2023</v>
      </c>
      <c r="N69" s="39" t="inlineStr">
        <is>
          <t>10.25</t>
        </is>
      </c>
      <c r="O69" s="39" t="inlineStr">
        <is>
          <t>30</t>
        </is>
      </c>
      <c r="P69" s="39" t="inlineStr">
        <is>
          <t>10.23</t>
        </is>
      </c>
      <c r="Q69" s="39" t="inlineStr">
        <is>
          <t>20</t>
        </is>
      </c>
      <c r="R69" s="39" t="n">
        <v>50</v>
      </c>
      <c r="S69" s="39" t="n">
        <v>0.25</v>
      </c>
      <c r="T69" s="39" t="n">
        <v>0.15</v>
      </c>
      <c r="U69" s="39" t="n">
        <v>0.1</v>
      </c>
      <c r="V69" s="40" t="inlineStr">
        <is>
          <t>S</t>
        </is>
      </c>
      <c r="Y69" s="25" t="n"/>
    </row>
    <row r="70" customFormat="1" s="40">
      <c r="A70" s="27" t="inlineStr">
        <is>
          <t>U075</t>
        </is>
      </c>
      <c r="B70" s="27" t="inlineStr">
        <is>
          <t>I.U.INVESTIGACIÓN DE ESTUDIOS SOCIALES DE AMÉRICA LATINA (10.25)</t>
        </is>
      </c>
      <c r="C70" s="27" t="inlineStr">
        <is>
          <t>DOCTORADO EN HUMANIDADES Y ESTUDIOS SOCIALES DE AMÉRICA LATINA</t>
        </is>
      </c>
      <c r="D70" s="27" t="inlineStr">
        <is>
          <t>Rodríguez Sánchez, Dolores Amparito</t>
        </is>
      </c>
      <c r="E70" s="27" t="inlineStr">
        <is>
          <t>CONSUMO DE DROGAS Y SUS CONSECUENCIAS PSICOLÓGICAS EN PACIENTES INTERNOS EN COMUNIDADES TERAPÉUTICAS DE ECUADOR</t>
        </is>
      </c>
      <c r="F70" s="27" t="inlineStr">
        <is>
          <t>26/09/2024</t>
        </is>
      </c>
      <c r="G70" s="27" t="inlineStr">
        <is>
          <t>74241126R</t>
        </is>
      </c>
      <c r="H70" s="27" t="inlineStr">
        <is>
          <t>Codirector de tesis</t>
        </is>
      </c>
      <c r="I70" s="26" t="inlineStr">
        <is>
          <t>B112</t>
        </is>
      </c>
      <c r="J70" s="27" t="inlineStr">
        <is>
          <t>DIDACTICA GENERAL Y DIDÁCTICAS ESPECÍFICAS</t>
        </is>
      </c>
      <c r="K70" s="39" t="n">
        <v>0.5</v>
      </c>
      <c r="L70" s="39" t="inlineStr">
        <is>
          <t>B112</t>
        </is>
      </c>
      <c r="M70" s="39" t="n">
        <v>2023</v>
      </c>
      <c r="N70" s="39" t="inlineStr">
        <is>
          <t>10.25</t>
        </is>
      </c>
      <c r="O70" s="39" t="inlineStr">
        <is>
          <t>30</t>
        </is>
      </c>
      <c r="P70" s="39" t="inlineStr"/>
      <c r="Q70" s="39" t="inlineStr"/>
      <c r="R70" s="39" t="n">
        <v>70</v>
      </c>
      <c r="S70" s="39" t="n">
        <v>0.35</v>
      </c>
      <c r="T70" s="39" t="n">
        <v>0.15</v>
      </c>
      <c r="U70" s="39" t="n">
        <v>0</v>
      </c>
      <c r="V70" s="40" t="inlineStr">
        <is>
          <t>S</t>
        </is>
      </c>
      <c r="Y70" s="25" t="n"/>
    </row>
    <row r="71">
      <c r="A71" s="27" t="inlineStr">
        <is>
          <t>U023</t>
        </is>
      </c>
      <c r="B71" s="27" t="inlineStr">
        <is>
          <t>ADM. FACULTAD DE FILOSOFIA Y LETRAS</t>
        </is>
      </c>
      <c r="C71" s="27" t="inlineStr">
        <is>
          <t>DOCTORADO EN TRANSFERENCIAS INTERCULTURALES E HISTÓRICAS EN LA EUROPA MEDIE</t>
        </is>
      </c>
      <c r="D71" s="27" t="inlineStr">
        <is>
          <t>dourgounoglou , antonios</t>
        </is>
      </c>
      <c r="E71" s="27" t="inlineStr">
        <is>
          <t>The role of the school nurse in organizing health education programs in special schools - The mental health of children with disabilities and the development of their skills on issues related to public health</t>
        </is>
      </c>
      <c r="F71" s="27" t="inlineStr">
        <is>
          <t>01/07/2024</t>
        </is>
      </c>
      <c r="G71" s="27" t="inlineStr">
        <is>
          <t>25126858W</t>
        </is>
      </c>
      <c r="H71" s="27" t="inlineStr">
        <is>
          <t>Director de tesis</t>
        </is>
      </c>
      <c r="I71" s="26" t="inlineStr">
        <is>
          <t>B112</t>
        </is>
      </c>
      <c r="J71" s="27" t="inlineStr">
        <is>
          <t>DIDACTICA GENERAL Y DIDÁCTICAS ESPECÍFICAS</t>
        </is>
      </c>
      <c r="K71" s="39" t="n">
        <v>1</v>
      </c>
      <c r="L71" s="39" t="inlineStr">
        <is>
          <t>B112</t>
        </is>
      </c>
      <c r="M71" s="39" t="n">
        <v>2023</v>
      </c>
      <c r="N71" s="39" t="inlineStr">
        <is>
          <t>10.25</t>
        </is>
      </c>
      <c r="O71" s="39" t="inlineStr">
        <is>
          <t>30</t>
        </is>
      </c>
      <c r="P71" s="39" t="inlineStr"/>
      <c r="Q71" s="39" t="inlineStr"/>
      <c r="R71" s="39" t="n">
        <v>70</v>
      </c>
      <c r="S71" s="39" t="n">
        <v>0.7</v>
      </c>
      <c r="T71" s="39" t="n">
        <v>0.3</v>
      </c>
      <c r="U71" s="39" t="n">
        <v>0</v>
      </c>
      <c r="V71" s="40" t="inlineStr">
        <is>
          <t>S</t>
        </is>
      </c>
    </row>
    <row r="72">
      <c r="A72" s="27" t="inlineStr">
        <is>
          <t>B112</t>
        </is>
      </c>
      <c r="B72" s="27" t="inlineStr">
        <is>
          <t>Didáctica General y Didácticas específicas</t>
        </is>
      </c>
      <c r="C72" s="27" t="inlineStr">
        <is>
          <t>DOCTORADO EN CIENCIAS DE LA ACTIVIDAD FÍSICA Y DEL DEPORTE</t>
        </is>
      </c>
      <c r="D72" s="27" t="inlineStr">
        <is>
          <t>Arévalo Chico, Héctor</t>
        </is>
      </c>
      <c r="E72" s="27" t="inlineStr">
        <is>
          <t>Análisis y Evaluación del Rendimiento y del Entrenamiento en Triatletas de Élite</t>
        </is>
      </c>
      <c r="F72" s="27" t="inlineStr">
        <is>
          <t>04/06/2025</t>
        </is>
      </c>
      <c r="G72" s="27" t="inlineStr">
        <is>
          <t>71018179K</t>
        </is>
      </c>
      <c r="H72" s="27" t="inlineStr">
        <is>
          <t>Codirector de tesis</t>
        </is>
      </c>
      <c r="I72" s="26" t="inlineStr">
        <is>
          <t>B112</t>
        </is>
      </c>
      <c r="J72" s="27" t="inlineStr">
        <is>
          <t>Didáctica General y Didácticas específicas</t>
        </is>
      </c>
      <c r="K72" s="39" t="n">
        <v>0.5</v>
      </c>
      <c r="L72" s="39" t="inlineStr">
        <is>
          <t>B112</t>
        </is>
      </c>
      <c r="M72" s="39" t="n">
        <v>2024</v>
      </c>
      <c r="N72" s="39" t="inlineStr"/>
      <c r="O72" s="39" t="inlineStr"/>
      <c r="P72" s="39" t="inlineStr"/>
      <c r="Q72" s="39" t="inlineStr"/>
      <c r="R72" s="39" t="n">
        <v>100</v>
      </c>
      <c r="S72" s="39" t="n">
        <v>0.5</v>
      </c>
      <c r="T72" s="39" t="n">
        <v>0</v>
      </c>
      <c r="U72" s="39" t="n">
        <v>0</v>
      </c>
      <c r="V72" s="40" t="n"/>
    </row>
    <row r="73">
      <c r="A73" s="27" t="inlineStr">
        <is>
          <t>B112</t>
        </is>
      </c>
      <c r="B73" s="27" t="inlineStr">
        <is>
          <t>Didáctica General y Didácticas específicas</t>
        </is>
      </c>
      <c r="C73" s="27" t="inlineStr">
        <is>
          <t>DOCTORADO EN CIENCIAS DE LA ACTIVIDAD FÍSICA Y DEL DEPORTE</t>
        </is>
      </c>
      <c r="D73" s="27" t="inlineStr">
        <is>
          <t>Arévalo Chico, Héctor</t>
        </is>
      </c>
      <c r="E73" s="27" t="inlineStr">
        <is>
          <t>Análisis y Evaluación del Rendimiento y del Entrenamiento en Triatletas de Élite</t>
        </is>
      </c>
      <c r="F73" s="27" t="inlineStr">
        <is>
          <t>04/06/2025</t>
        </is>
      </c>
      <c r="G73" s="27" t="inlineStr">
        <is>
          <t>74237659F</t>
        </is>
      </c>
      <c r="H73" s="27" t="inlineStr">
        <is>
          <t>Codirector de tesis</t>
        </is>
      </c>
      <c r="I73" s="26" t="inlineStr">
        <is>
          <t>B112</t>
        </is>
      </c>
      <c r="J73" s="27" t="inlineStr">
        <is>
          <t>Didáctica General y Didácticas específicas</t>
        </is>
      </c>
      <c r="K73" s="39" t="n">
        <v>0.5</v>
      </c>
      <c r="L73" s="39" t="inlineStr">
        <is>
          <t>B112</t>
        </is>
      </c>
      <c r="M73" s="39" t="n">
        <v>2024</v>
      </c>
      <c r="N73" s="39" t="inlineStr"/>
      <c r="O73" s="39" t="inlineStr"/>
      <c r="P73" s="39" t="inlineStr"/>
      <c r="Q73" s="39" t="inlineStr"/>
      <c r="R73" s="39" t="n">
        <v>100</v>
      </c>
      <c r="S73" s="39" t="n">
        <v>0.5</v>
      </c>
      <c r="T73" s="39" t="n">
        <v>0</v>
      </c>
      <c r="U73" s="39" t="n">
        <v>0</v>
      </c>
      <c r="V73" s="40" t="n"/>
    </row>
    <row r="74">
      <c r="A74" s="27" t="inlineStr">
        <is>
          <t>B166</t>
        </is>
      </c>
      <c r="B74" s="27" t="inlineStr">
        <is>
          <t>Innovación y Formación Didáctica</t>
        </is>
      </c>
      <c r="C74" s="27" t="inlineStr">
        <is>
          <t>DOCTORADO EN INVESTIGACIÓN EDUCATIVA</t>
        </is>
      </c>
      <c r="D74" s="27" t="inlineStr">
        <is>
          <t>Sainz Muñoz, Francisco Javier</t>
        </is>
      </c>
      <c r="E74" s="27" t="inlineStr">
        <is>
          <t>Innovación en educación física, una mirada hacia el futuro en la evaluación.</t>
        </is>
      </c>
      <c r="F74" s="27" t="inlineStr">
        <is>
          <t>18/07/2025</t>
        </is>
      </c>
      <c r="G74" s="27" t="inlineStr">
        <is>
          <t>74002849G</t>
        </is>
      </c>
      <c r="H74" s="27" t="inlineStr">
        <is>
          <t>Codirector de tesis</t>
        </is>
      </c>
      <c r="I74" s="26" t="inlineStr">
        <is>
          <t>B112</t>
        </is>
      </c>
      <c r="J74" s="27" t="inlineStr">
        <is>
          <t>Didáctica General y Didácticas específicas</t>
        </is>
      </c>
      <c r="K74" s="39" t="n">
        <v>0.5</v>
      </c>
      <c r="L74" s="39" t="inlineStr">
        <is>
          <t>B112</t>
        </is>
      </c>
      <c r="M74" s="39" t="n">
        <v>2024</v>
      </c>
      <c r="N74" s="39" t="inlineStr"/>
      <c r="O74" s="39" t="inlineStr"/>
      <c r="P74" s="39" t="inlineStr"/>
      <c r="Q74" s="39" t="inlineStr"/>
      <c r="R74" s="39" t="n">
        <v>100</v>
      </c>
      <c r="S74" s="39" t="n">
        <v>0.5</v>
      </c>
      <c r="T74" s="39" t="n">
        <v>0</v>
      </c>
      <c r="U74" s="39" t="n">
        <v>0</v>
      </c>
      <c r="V74" s="40" t="n"/>
    </row>
    <row r="75">
      <c r="A75" s="27" t="inlineStr">
        <is>
          <t>B166</t>
        </is>
      </c>
      <c r="B75" s="27" t="inlineStr">
        <is>
          <t>Innovación y Formación Didáctica</t>
        </is>
      </c>
      <c r="C75" s="27" t="inlineStr">
        <is>
          <t>DOCTORADO EN INVESTIGACIÓN EDUCATIVA</t>
        </is>
      </c>
      <c r="D75" s="27" t="inlineStr">
        <is>
          <t>Sainz Muñoz, Francisco Javier</t>
        </is>
      </c>
      <c r="E75" s="27" t="inlineStr">
        <is>
          <t>Innovación en educación física, una mirada hacia el futuro en la evaluación.</t>
        </is>
      </c>
      <c r="F75" s="27" t="inlineStr">
        <is>
          <t>18/07/2025</t>
        </is>
      </c>
      <c r="G75" s="27" t="inlineStr">
        <is>
          <t>75129631Q</t>
        </is>
      </c>
      <c r="H75" s="27" t="inlineStr">
        <is>
          <t>Codirector de tesis</t>
        </is>
      </c>
      <c r="I75" s="26" t="inlineStr">
        <is>
          <t>B112</t>
        </is>
      </c>
      <c r="J75" s="27" t="inlineStr">
        <is>
          <t>Didáctica General y Didácticas específicas</t>
        </is>
      </c>
      <c r="K75" s="39" t="n">
        <v>0.5</v>
      </c>
      <c r="L75" s="39" t="inlineStr">
        <is>
          <t>B112</t>
        </is>
      </c>
      <c r="M75" s="39" t="n">
        <v>2024</v>
      </c>
      <c r="N75" s="39" t="inlineStr"/>
      <c r="O75" s="39" t="inlineStr"/>
      <c r="P75" s="39" t="inlineStr"/>
      <c r="Q75" s="39" t="inlineStr"/>
      <c r="R75" s="39" t="n">
        <v>100</v>
      </c>
      <c r="S75" s="39" t="n">
        <v>0.5</v>
      </c>
      <c r="T75" s="39" t="n">
        <v>0</v>
      </c>
      <c r="U75" s="39" t="n">
        <v>0</v>
      </c>
      <c r="V75" s="40" t="n"/>
    </row>
    <row r="76">
      <c r="A76" s="27" t="inlineStr">
        <is>
          <t>B166</t>
        </is>
      </c>
      <c r="B76" s="27" t="inlineStr">
        <is>
          <t>Innovación y Formación Didáctica</t>
        </is>
      </c>
      <c r="C76" s="27" t="inlineStr">
        <is>
          <t>DOCTORADO EN INVESTIGACIÓN EDUCATIVA</t>
        </is>
      </c>
      <c r="D76" s="27" t="inlineStr">
        <is>
          <t>Chust Pérez, Verónica</t>
        </is>
      </c>
      <c r="E76" s="27" t="inlineStr">
        <is>
          <t>El uso de las TIC para el desarrollo de la competencia lingüística en la enseñanza del inglés en la educación secundaria. Una propuesta de diseño de Investigación Educativa.</t>
        </is>
      </c>
      <c r="F76" s="27" t="inlineStr">
        <is>
          <t>10/07/2025</t>
        </is>
      </c>
      <c r="G76" s="27" t="inlineStr">
        <is>
          <t>79160375X</t>
        </is>
      </c>
      <c r="H76" s="27" t="inlineStr">
        <is>
          <t>Codirector de tesis</t>
        </is>
      </c>
      <c r="I76" s="26" t="inlineStr">
        <is>
          <t>B112</t>
        </is>
      </c>
      <c r="J76" s="27" t="inlineStr">
        <is>
          <t>Didáctica General y Didácticas específicas</t>
        </is>
      </c>
      <c r="K76" s="39" t="n">
        <v>0.5</v>
      </c>
      <c r="L76" s="39" t="inlineStr">
        <is>
          <t>B112</t>
        </is>
      </c>
      <c r="M76" s="39" t="n">
        <v>2024</v>
      </c>
      <c r="N76" s="39" t="inlineStr"/>
      <c r="O76" s="39" t="inlineStr"/>
      <c r="P76" s="39" t="inlineStr"/>
      <c r="Q76" s="39" t="inlineStr"/>
      <c r="R76" s="39" t="n">
        <v>100</v>
      </c>
      <c r="S76" s="39" t="n">
        <v>0.5</v>
      </c>
      <c r="T76" s="39" t="n">
        <v>0</v>
      </c>
      <c r="U76" s="39" t="n">
        <v>0</v>
      </c>
      <c r="V76" s="40" t="n"/>
    </row>
    <row r="77">
      <c r="A77" s="27" t="inlineStr">
        <is>
          <t>B166</t>
        </is>
      </c>
      <c r="B77" s="27" t="inlineStr">
        <is>
          <t>Innovación y Formación Didáctica</t>
        </is>
      </c>
      <c r="C77" s="27" t="inlineStr">
        <is>
          <t>DOCTORADO EN INVESTIGACIÓN EDUCATIVA</t>
        </is>
      </c>
      <c r="D77" s="27" t="inlineStr">
        <is>
          <t>Chust Pérez, Verónica</t>
        </is>
      </c>
      <c r="E77" s="27" t="inlineStr">
        <is>
          <t>El uso de las TIC para el desarrollo de la competencia lingüística en la enseñanza del inglés en la educación secundaria. Una propuesta de diseño de Investigación Educativa.</t>
        </is>
      </c>
      <c r="F77" s="27" t="inlineStr">
        <is>
          <t>10/07/2025</t>
        </is>
      </c>
      <c r="G77" s="27" t="inlineStr">
        <is>
          <t>73536751R</t>
        </is>
      </c>
      <c r="H77" s="27" t="inlineStr">
        <is>
          <t>Codirector de tesis</t>
        </is>
      </c>
      <c r="I77" s="26" t="inlineStr">
        <is>
          <t>B112</t>
        </is>
      </c>
      <c r="J77" s="27" t="inlineStr">
        <is>
          <t>Didáctica General y Didácticas específicas</t>
        </is>
      </c>
      <c r="K77" s="39" t="n">
        <v>0.5</v>
      </c>
      <c r="L77" s="39" t="inlineStr">
        <is>
          <t>B112</t>
        </is>
      </c>
      <c r="M77" s="39" t="n">
        <v>2024</v>
      </c>
      <c r="N77" s="39" t="inlineStr"/>
      <c r="O77" s="39" t="inlineStr"/>
      <c r="P77" s="39" t="inlineStr"/>
      <c r="Q77" s="39" t="inlineStr"/>
      <c r="R77" s="39" t="n">
        <v>100</v>
      </c>
      <c r="S77" s="39" t="n">
        <v>0.5</v>
      </c>
      <c r="T77" s="39" t="n">
        <v>0</v>
      </c>
      <c r="U77" s="39" t="n">
        <v>0</v>
      </c>
      <c r="V77" s="40" t="n"/>
    </row>
    <row r="78">
      <c r="A78" s="27" t="inlineStr">
        <is>
          <t>B166</t>
        </is>
      </c>
      <c r="B78" s="27" t="inlineStr">
        <is>
          <t>Innovación y Formación Didáctica</t>
        </is>
      </c>
      <c r="C78" s="27" t="inlineStr">
        <is>
          <t>DOCTORADO EN INVESTIGACIÓN EDUCATIVA</t>
        </is>
      </c>
      <c r="D78" s="27" t="inlineStr">
        <is>
          <t>Chaveco Asin, Kirenia</t>
        </is>
      </c>
      <c r="E78" s="27" t="inlineStr">
        <is>
          <t>La integración del enfoque de género en la docencia: las necesidades formativas del profesorado de la Universidad de Oriente (Cuba)</t>
        </is>
      </c>
      <c r="F78" s="27" t="inlineStr">
        <is>
          <t>09/12/2024</t>
        </is>
      </c>
      <c r="G78" s="27" t="inlineStr">
        <is>
          <t>48769418B</t>
        </is>
      </c>
      <c r="H78" s="27" t="inlineStr">
        <is>
          <t>Codirector de tesis</t>
        </is>
      </c>
      <c r="I78" s="26" t="inlineStr">
        <is>
          <t>B112</t>
        </is>
      </c>
      <c r="J78" s="27" t="inlineStr">
        <is>
          <t>Didáctica General y Didácticas específicas</t>
        </is>
      </c>
      <c r="K78" s="39" t="n">
        <v>0.5</v>
      </c>
      <c r="L78" s="39" t="inlineStr">
        <is>
          <t>B112</t>
        </is>
      </c>
      <c r="M78" s="39" t="n">
        <v>2024</v>
      </c>
      <c r="N78" s="39" t="inlineStr">
        <is>
          <t>10.25</t>
        </is>
      </c>
      <c r="O78" s="39" t="inlineStr">
        <is>
          <t>30</t>
        </is>
      </c>
      <c r="P78" s="39" t="inlineStr">
        <is>
          <t>10.23</t>
        </is>
      </c>
      <c r="Q78" s="39" t="inlineStr">
        <is>
          <t>30</t>
        </is>
      </c>
      <c r="R78" s="39" t="n">
        <v>40</v>
      </c>
      <c r="S78" s="39" t="n">
        <v>0.2</v>
      </c>
      <c r="T78" s="39" t="n">
        <v>0.15</v>
      </c>
      <c r="U78" s="39" t="n">
        <v>0.15</v>
      </c>
      <c r="V78" s="40" t="n"/>
    </row>
    <row r="79">
      <c r="A79" s="27" t="inlineStr">
        <is>
          <t>B166</t>
        </is>
      </c>
      <c r="B79" s="27" t="inlineStr">
        <is>
          <t>Innovación y Formación Didáctica</t>
        </is>
      </c>
      <c r="C79" s="27" t="inlineStr">
        <is>
          <t>DOCTORADO EN INVESTIGACIÓN EDUCATIVA</t>
        </is>
      </c>
      <c r="D79" s="27" t="inlineStr">
        <is>
          <t>Chaveco Asin, Kirenia</t>
        </is>
      </c>
      <c r="E79" s="27" t="inlineStr">
        <is>
          <t>La integración del enfoque de género en la docencia: las necesidades formativas del profesorado de la Universidad de Oriente (Cuba)</t>
        </is>
      </c>
      <c r="F79" s="27" t="inlineStr">
        <is>
          <t>09/12/2024</t>
        </is>
      </c>
      <c r="G79" s="27" t="inlineStr">
        <is>
          <t>48496100W</t>
        </is>
      </c>
      <c r="H79" s="27" t="inlineStr">
        <is>
          <t>Codirector de tesis</t>
        </is>
      </c>
      <c r="I79" s="26" t="inlineStr">
        <is>
          <t>B112</t>
        </is>
      </c>
      <c r="J79" s="27" t="inlineStr">
        <is>
          <t>Didáctica General y Didácticas específicas</t>
        </is>
      </c>
      <c r="K79" s="39" t="n">
        <v>0.5</v>
      </c>
      <c r="L79" s="39" t="inlineStr">
        <is>
          <t>B112</t>
        </is>
      </c>
      <c r="M79" s="39" t="n">
        <v>2024</v>
      </c>
      <c r="N79" s="39" t="inlineStr">
        <is>
          <t>10.23</t>
        </is>
      </c>
      <c r="O79" s="39" t="inlineStr">
        <is>
          <t>20</t>
        </is>
      </c>
      <c r="P79" s="39" t="inlineStr"/>
      <c r="Q79" s="39" t="inlineStr"/>
      <c r="R79" s="39" t="n">
        <v>80</v>
      </c>
      <c r="S79" s="39" t="n">
        <v>0.4</v>
      </c>
      <c r="T79" s="39" t="n">
        <v>0.1</v>
      </c>
      <c r="U79" s="39" t="n">
        <v>0</v>
      </c>
      <c r="V79" s="40" t="n"/>
    </row>
    <row r="80">
      <c r="A80" s="27" t="inlineStr">
        <is>
          <t>B177</t>
        </is>
      </c>
      <c r="B80" s="27" t="inlineStr">
        <is>
          <t>Psicología Evolutiva y Didáctica</t>
        </is>
      </c>
      <c r="C80" s="27" t="inlineStr">
        <is>
          <t>DOCTORADO EN INVESTIGACIÓN EDUCATIVA</t>
        </is>
      </c>
      <c r="D80" s="27" t="inlineStr">
        <is>
          <t>Montiel Bonmatí, Javier</t>
        </is>
      </c>
      <c r="E80" s="27" t="inlineStr">
        <is>
          <t>Influencia de la edad relativa en el aprendizaje y desarrollo en el deporte de orientación.</t>
        </is>
      </c>
      <c r="F80" s="27" t="inlineStr">
        <is>
          <t>15/05/2025</t>
        </is>
      </c>
      <c r="G80" s="27" t="inlineStr">
        <is>
          <t>74002849G</t>
        </is>
      </c>
      <c r="H80" s="27" t="inlineStr">
        <is>
          <t>Director de tesis</t>
        </is>
      </c>
      <c r="I80" s="26" t="inlineStr">
        <is>
          <t>B112</t>
        </is>
      </c>
      <c r="J80" s="27" t="inlineStr">
        <is>
          <t>Didáctica General y Didácticas específicas</t>
        </is>
      </c>
      <c r="K80" s="39" t="n">
        <v>1</v>
      </c>
      <c r="L80" s="39" t="inlineStr">
        <is>
          <t>B112</t>
        </is>
      </c>
      <c r="M80" s="39" t="n">
        <v>2024</v>
      </c>
      <c r="N80" s="39" t="inlineStr"/>
      <c r="O80" s="39" t="inlineStr"/>
      <c r="P80" s="39" t="inlineStr"/>
      <c r="Q80" s="39" t="inlineStr"/>
      <c r="R80" s="39" t="n">
        <v>100</v>
      </c>
      <c r="S80" s="39" t="n">
        <v>1</v>
      </c>
      <c r="T80" s="39" t="n">
        <v>0</v>
      </c>
      <c r="U80" s="39" t="n">
        <v>0</v>
      </c>
      <c r="V80" s="40" t="n"/>
    </row>
    <row r="81">
      <c r="A81" s="27" t="inlineStr">
        <is>
          <t>B177</t>
        </is>
      </c>
      <c r="B81" s="27" t="inlineStr">
        <is>
          <t>Psicología Evolutiva y Didáctica</t>
        </is>
      </c>
      <c r="C81" s="27" t="inlineStr">
        <is>
          <t>DOCTORADO EN INVESTIGACIÓN EDUCATIVA</t>
        </is>
      </c>
      <c r="D81" s="27" t="inlineStr">
        <is>
          <t>Giner Samper, Pilar</t>
        </is>
      </c>
      <c r="E81" s="27" t="inlineStr">
        <is>
          <t>Educadoras y educadores museísticos: contribución de sus historias de vida a la experiencia educativa del Museo Arqueológico Provincial de Alicante.</t>
        </is>
      </c>
      <c r="F81" s="27" t="inlineStr">
        <is>
          <t>23/07/2025</t>
        </is>
      </c>
      <c r="G81" s="27" t="inlineStr">
        <is>
          <t>76941801Q</t>
        </is>
      </c>
      <c r="H81" s="27" t="inlineStr">
        <is>
          <t>Director de tesis</t>
        </is>
      </c>
      <c r="I81" s="26" t="inlineStr">
        <is>
          <t>B112</t>
        </is>
      </c>
      <c r="J81" s="27" t="inlineStr">
        <is>
          <t>Didáctica General y Didácticas específicas</t>
        </is>
      </c>
      <c r="K81" s="39" t="n">
        <v>1</v>
      </c>
      <c r="L81" s="39" t="inlineStr">
        <is>
          <t>B112</t>
        </is>
      </c>
      <c r="M81" s="39" t="n">
        <v>2024</v>
      </c>
      <c r="N81" s="39" t="inlineStr">
        <is>
          <t>10.23</t>
        </is>
      </c>
      <c r="O81" s="39" t="inlineStr">
        <is>
          <t>20</t>
        </is>
      </c>
      <c r="P81" s="39" t="inlineStr">
        <is>
          <t>10.25</t>
        </is>
      </c>
      <c r="Q81" s="39" t="inlineStr">
        <is>
          <t>30</t>
        </is>
      </c>
      <c r="R81" s="39" t="n">
        <v>50</v>
      </c>
      <c r="S81" s="39" t="n">
        <v>0.5</v>
      </c>
      <c r="T81" s="39" t="n">
        <v>0.2</v>
      </c>
      <c r="U81" s="39" t="n">
        <v>0.3</v>
      </c>
      <c r="V81" s="40" t="n"/>
    </row>
    <row r="82">
      <c r="A82" s="27" t="inlineStr">
        <is>
          <t>B177</t>
        </is>
      </c>
      <c r="B82" s="27" t="inlineStr">
        <is>
          <t>Psicología Evolutiva y Didáctica</t>
        </is>
      </c>
      <c r="C82" s="27" t="inlineStr">
        <is>
          <t>DOCTORADO EN INVESTIGACIÓN EDUCATIVA</t>
        </is>
      </c>
      <c r="D82" s="27" t="inlineStr">
        <is>
          <t>González Martínez, Julián</t>
        </is>
      </c>
      <c r="E82" s="27" t="inlineStr">
        <is>
          <t>PERCEPCIÓN DE BARRERAS PARA REALIZAR ACTIVIDAD FÍSICA Y SU RELACIÓN CON LA AGRESIVIDAD, LAS ORIENTACIONES DE META Y LA SALUD MENTAL</t>
        </is>
      </c>
      <c r="F82" s="27" t="inlineStr">
        <is>
          <t>10/02/2025</t>
        </is>
      </c>
      <c r="G82" s="27" t="inlineStr">
        <is>
          <t>21660466D</t>
        </is>
      </c>
      <c r="H82" s="27" t="inlineStr">
        <is>
          <t>Director de tesis</t>
        </is>
      </c>
      <c r="I82" s="26" t="inlineStr">
        <is>
          <t>B112</t>
        </is>
      </c>
      <c r="J82" s="27" t="inlineStr">
        <is>
          <t>Didáctica General y Didácticas específicas</t>
        </is>
      </c>
      <c r="K82" s="39" t="n">
        <v>1</v>
      </c>
      <c r="L82" s="39" t="inlineStr">
        <is>
          <t>B112</t>
        </is>
      </c>
      <c r="M82" s="39" t="n">
        <v>2024</v>
      </c>
      <c r="N82" s="39" t="inlineStr"/>
      <c r="O82" s="39" t="inlineStr"/>
      <c r="P82" s="39" t="inlineStr"/>
      <c r="Q82" s="39" t="inlineStr"/>
      <c r="R82" s="39" t="n">
        <v>100</v>
      </c>
      <c r="S82" s="39" t="n">
        <v>1</v>
      </c>
      <c r="T82" s="39" t="n">
        <v>0</v>
      </c>
      <c r="U82" s="39" t="n">
        <v>0</v>
      </c>
      <c r="V82" s="40" t="n"/>
    </row>
    <row r="83">
      <c r="A83" s="27" t="inlineStr">
        <is>
          <t>B177</t>
        </is>
      </c>
      <c r="B83" s="27" t="inlineStr">
        <is>
          <t>Psicología Evolutiva y Didáctica</t>
        </is>
      </c>
      <c r="C83" s="27" t="inlineStr">
        <is>
          <t>DOCTORADO EN INVESTIGACIÓN EDUCATIVA</t>
        </is>
      </c>
      <c r="D83" s="27" t="inlineStr">
        <is>
          <t>Sánchez-Gil Machín, Ricardo</t>
        </is>
      </c>
      <c r="E83" s="27" t="inlineStr">
        <is>
          <t>Impacto del aula invertida en las habilidades blandas, la motivación y el rendimiento académico .</t>
        </is>
      </c>
      <c r="F83" s="27" t="inlineStr">
        <is>
          <t>02/09/2025</t>
        </is>
      </c>
      <c r="G83" s="27" t="inlineStr">
        <is>
          <t>74002849G</t>
        </is>
      </c>
      <c r="H83" s="27" t="inlineStr">
        <is>
          <t>Codirector de tesis</t>
        </is>
      </c>
      <c r="I83" s="26" t="inlineStr">
        <is>
          <t>B112</t>
        </is>
      </c>
      <c r="J83" s="27" t="inlineStr">
        <is>
          <t>Didáctica General y Didácticas específicas</t>
        </is>
      </c>
      <c r="K83" s="39" t="n">
        <v>0.5</v>
      </c>
      <c r="L83" s="39" t="inlineStr">
        <is>
          <t>B112</t>
        </is>
      </c>
      <c r="M83" s="39" t="n">
        <v>2024</v>
      </c>
      <c r="N83" s="39" t="inlineStr"/>
      <c r="O83" s="39" t="inlineStr"/>
      <c r="P83" s="39" t="inlineStr"/>
      <c r="Q83" s="39" t="inlineStr"/>
      <c r="R83" s="39" t="n">
        <v>100</v>
      </c>
      <c r="S83" s="39" t="n">
        <v>0.5</v>
      </c>
      <c r="T83" s="39" t="n">
        <v>0</v>
      </c>
      <c r="U83" s="39" t="n">
        <v>0</v>
      </c>
      <c r="V83" s="40" t="n"/>
    </row>
    <row r="84" customFormat="1" s="40">
      <c r="A84" s="27" t="inlineStr">
        <is>
          <t>B177</t>
        </is>
      </c>
      <c r="B84" s="27" t="inlineStr">
        <is>
          <t>Psicología Evolutiva y Didáctica</t>
        </is>
      </c>
      <c r="C84" s="27" t="inlineStr">
        <is>
          <t>DOCTORADO EN INVESTIGACIÓN EDUCATIVA</t>
        </is>
      </c>
      <c r="D84" s="27" t="inlineStr">
        <is>
          <t>Sánchez-Gil Machín, Ricardo</t>
        </is>
      </c>
      <c r="E84" s="27" t="inlineStr">
        <is>
          <t>Impacto del aula invertida en las habilidades blandas, la motivación y el rendimiento académico .</t>
        </is>
      </c>
      <c r="F84" s="27" t="inlineStr">
        <is>
          <t>02/09/2025</t>
        </is>
      </c>
      <c r="G84" s="27" t="inlineStr">
        <is>
          <t>75129631Q</t>
        </is>
      </c>
      <c r="H84" s="27" t="inlineStr">
        <is>
          <t>Codirector de tesis</t>
        </is>
      </c>
      <c r="I84" s="26" t="inlineStr">
        <is>
          <t>B112</t>
        </is>
      </c>
      <c r="J84" s="27" t="inlineStr">
        <is>
          <t>Didáctica General y Didácticas específicas</t>
        </is>
      </c>
      <c r="K84" s="39" t="n">
        <v>0.5</v>
      </c>
      <c r="L84" s="39" t="inlineStr">
        <is>
          <t>B112</t>
        </is>
      </c>
      <c r="M84" s="39" t="n">
        <v>2024</v>
      </c>
      <c r="N84" s="39" t="inlineStr"/>
      <c r="O84" s="39" t="inlineStr"/>
      <c r="P84" s="39" t="inlineStr"/>
      <c r="Q84" s="39" t="inlineStr"/>
      <c r="R84" s="39" t="n">
        <v>100</v>
      </c>
      <c r="S84" s="39" t="n">
        <v>0.5</v>
      </c>
      <c r="T84" s="39" t="n">
        <v>0</v>
      </c>
      <c r="U84" s="39" t="n">
        <v>0</v>
      </c>
      <c r="Y84" s="25" t="n"/>
    </row>
    <row r="85" customFormat="1" s="40">
      <c r="A85" s="27" t="inlineStr">
        <is>
          <t>B177</t>
        </is>
      </c>
      <c r="B85" s="27" t="inlineStr">
        <is>
          <t>Psicología Evolutiva y Didáctica</t>
        </is>
      </c>
      <c r="C85" s="27" t="inlineStr">
        <is>
          <t>DOCTORADO EN INVESTIGACIÓN EDUCATIVA</t>
        </is>
      </c>
      <c r="D85" s="27" t="inlineStr">
        <is>
          <t>Vidaci Vidaci, Andreea</t>
        </is>
      </c>
      <c r="E85" s="27" t="inlineStr">
        <is>
          <t>Influencia del Programa Docente de Expresión Corporal en la Estructura Cognitiva y el Control Neuromuscular de los estudiantes de CAFD.</t>
        </is>
      </c>
      <c r="F85" s="27" t="inlineStr">
        <is>
          <t>07/02/2025</t>
        </is>
      </c>
      <c r="G85" s="27" t="inlineStr">
        <is>
          <t>21660466D</t>
        </is>
      </c>
      <c r="H85" s="27" t="inlineStr">
        <is>
          <t>Codirector de tesis</t>
        </is>
      </c>
      <c r="I85" s="26" t="inlineStr">
        <is>
          <t>B112</t>
        </is>
      </c>
      <c r="J85" s="27" t="inlineStr">
        <is>
          <t>Didáctica General y Didácticas específicas</t>
        </is>
      </c>
      <c r="K85" s="39" t="n">
        <v>0.5</v>
      </c>
      <c r="L85" s="39" t="inlineStr">
        <is>
          <t>B112</t>
        </is>
      </c>
      <c r="M85" s="39" t="n">
        <v>2024</v>
      </c>
      <c r="N85" s="39" t="inlineStr"/>
      <c r="O85" s="39" t="inlineStr"/>
      <c r="P85" s="39" t="inlineStr"/>
      <c r="Q85" s="39" t="inlineStr"/>
      <c r="R85" s="39" t="n">
        <v>100</v>
      </c>
      <c r="S85" s="39" t="n">
        <v>0.5</v>
      </c>
      <c r="T85" s="39" t="n">
        <v>0</v>
      </c>
      <c r="U85" s="39" t="n">
        <v>0</v>
      </c>
      <c r="Y85" s="25" t="n"/>
    </row>
    <row r="86" customFormat="1" s="40">
      <c r="A86" s="27" t="inlineStr">
        <is>
          <t>B177</t>
        </is>
      </c>
      <c r="B86" s="27" t="inlineStr">
        <is>
          <t>Psicología Evolutiva y Didáctica</t>
        </is>
      </c>
      <c r="C86" s="27" t="inlineStr">
        <is>
          <t>DOCTORADO EN INVESTIGACIÓN EDUCATIVA</t>
        </is>
      </c>
      <c r="D86" s="27" t="inlineStr">
        <is>
          <t>Vidaci Vidaci, Andreea</t>
        </is>
      </c>
      <c r="E86" s="27" t="inlineStr">
        <is>
          <t>Influencia del Programa Docente de Expresión Corporal en la Estructura Cognitiva y el Control Neuromuscular de los estudiantes de CAFD.</t>
        </is>
      </c>
      <c r="F86" s="27" t="inlineStr">
        <is>
          <t>07/02/2025</t>
        </is>
      </c>
      <c r="G86" s="27" t="inlineStr">
        <is>
          <t>48785270Q</t>
        </is>
      </c>
      <c r="H86" s="27" t="inlineStr">
        <is>
          <t>Codirector de tesis</t>
        </is>
      </c>
      <c r="I86" s="26" t="inlineStr">
        <is>
          <t>B112</t>
        </is>
      </c>
      <c r="J86" s="27" t="inlineStr">
        <is>
          <t>Didáctica General y Didácticas específicas</t>
        </is>
      </c>
      <c r="K86" s="39" t="n">
        <v>0.5</v>
      </c>
      <c r="L86" s="39" t="inlineStr">
        <is>
          <t>B112</t>
        </is>
      </c>
      <c r="M86" s="39" t="n">
        <v>2024</v>
      </c>
      <c r="N86" s="39" t="inlineStr"/>
      <c r="O86" s="39" t="inlineStr"/>
      <c r="P86" s="39" t="inlineStr"/>
      <c r="Q86" s="39" t="inlineStr"/>
      <c r="R86" s="39" t="n">
        <v>100</v>
      </c>
      <c r="S86" s="39" t="n">
        <v>0.5</v>
      </c>
      <c r="T86" s="39" t="n">
        <v>0</v>
      </c>
      <c r="U86" s="39" t="n">
        <v>0</v>
      </c>
      <c r="Y86" s="25" t="n"/>
    </row>
    <row r="87">
      <c r="A87" s="27" t="inlineStr">
        <is>
          <t>U075</t>
        </is>
      </c>
      <c r="B87" s="27" t="inlineStr">
        <is>
          <t>Instituto Universitario Investigación de Estudios Sociales de América Latina (10</t>
        </is>
      </c>
      <c r="C87" s="27" t="inlineStr">
        <is>
          <t>DOCTORADO EN HUMANIDADES Y ESTUDIOS SOCIALES DE AMÉRICA LATINA</t>
        </is>
      </c>
      <c r="D87" s="27" t="inlineStr">
        <is>
          <t>Verdecia Marin, Marleys</t>
        </is>
      </c>
      <c r="E87" s="27" t="inlineStr">
        <is>
          <t>LA OBRA EDUCATIVA DE ALITA CABRERA MARCAIDA Y SU CONTRIBUCIÓN ESTÉTICA A LA ACADEMIA DE BALLET EN CIENFUEGOS</t>
        </is>
      </c>
      <c r="F87" s="27" t="inlineStr">
        <is>
          <t>13/03/2025</t>
        </is>
      </c>
      <c r="G87" s="27" t="inlineStr">
        <is>
          <t>73536751R</t>
        </is>
      </c>
      <c r="H87" s="27" t="inlineStr">
        <is>
          <t>Codirector de tesis</t>
        </is>
      </c>
      <c r="I87" s="26" t="inlineStr">
        <is>
          <t>B112</t>
        </is>
      </c>
      <c r="J87" s="27" t="inlineStr">
        <is>
          <t>Didáctica General y Didácticas específicas</t>
        </is>
      </c>
      <c r="K87" s="39" t="n">
        <v>0.3333333333333333</v>
      </c>
      <c r="L87" s="39" t="inlineStr">
        <is>
          <t>B112</t>
        </is>
      </c>
      <c r="M87" s="39" t="n">
        <v>2024</v>
      </c>
      <c r="N87" s="39" t="inlineStr"/>
      <c r="O87" s="39" t="inlineStr"/>
      <c r="P87" s="39" t="inlineStr"/>
      <c r="Q87" s="39" t="inlineStr"/>
      <c r="R87" s="39" t="n">
        <v>100</v>
      </c>
      <c r="S87" s="39" t="n">
        <v>0.3333333333333333</v>
      </c>
      <c r="T87" s="39" t="n">
        <v>0</v>
      </c>
      <c r="U87" s="39" t="n">
        <v>0</v>
      </c>
      <c r="V87" s="40" t="n"/>
    </row>
    <row r="88">
      <c r="A88" s="41" t="n"/>
      <c r="B88" s="41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2" t="n"/>
      <c r="P88" s="41" t="n"/>
      <c r="Q88" s="42" t="n"/>
      <c r="R88" s="41" t="n"/>
      <c r="S88" s="89">
        <f>SUM(S2:S87)</f>
        <v/>
      </c>
      <c r="T88" s="41" t="n"/>
      <c r="U88" s="41" t="n"/>
    </row>
  </sheetData>
  <autoFilter ref="A1:U52">
    <sortState ref="A2:U1834">
      <sortCondition ref="L2:L1834"/>
      <sortCondition ref="M2:M1834"/>
      <sortCondition ref="D2:D1834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51"/>
  <sheetViews>
    <sheetView topLeftCell="A12" zoomScaleNormal="100" workbookViewId="0">
      <selection activeCell="W13" sqref="W13"/>
    </sheetView>
  </sheetViews>
  <sheetFormatPr baseColWidth="10" defaultColWidth="11.42578125" defaultRowHeight="12.75"/>
  <cols>
    <col width="10.85546875" bestFit="1" customWidth="1" style="4" min="1" max="1"/>
    <col width="40.5703125" bestFit="1" customWidth="1" style="4" min="2" max="2"/>
    <col width="17" bestFit="1" customWidth="1" style="4" min="3" max="3"/>
    <col width="3.28515625" bestFit="1" customWidth="1" style="4" min="4" max="9"/>
    <col width="13.140625" bestFit="1" customWidth="1" style="4" min="10" max="10"/>
    <col width="5.28515625" bestFit="1" customWidth="1" style="4" min="11" max="11"/>
    <col width="5.7109375" bestFit="1" customWidth="1" style="4" min="12" max="13"/>
    <col width="5.7109375" bestFit="1" customWidth="1" style="5" min="14" max="14"/>
    <col width="5.7109375" bestFit="1" customWidth="1" style="4" min="15" max="15"/>
    <col width="5.7109375" bestFit="1" customWidth="1" style="5" min="16" max="16"/>
    <col width="5.7109375" bestFit="1" customWidth="1" style="4" min="17" max="19"/>
    <col width="11.42578125" customWidth="1" style="4" min="20" max="16384"/>
  </cols>
  <sheetData>
    <row r="1" ht="60" customFormat="1" customHeight="1" s="3">
      <c r="A1" s="6" t="inlineStr">
        <is>
          <t>NIF</t>
        </is>
      </c>
      <c r="B1" s="6" t="inlineStr">
        <is>
          <t>NOMBRE_COMPLETO</t>
        </is>
      </c>
      <c r="C1" s="6" t="inlineStr">
        <is>
          <t>TIPO_SEXENIO</t>
        </is>
      </c>
      <c r="D1" s="7" t="inlineStr">
        <is>
          <t>2020</t>
        </is>
      </c>
      <c r="E1" s="7" t="inlineStr">
        <is>
          <t>2021</t>
        </is>
      </c>
      <c r="F1" s="7" t="inlineStr">
        <is>
          <t>2022</t>
        </is>
      </c>
      <c r="G1" s="7" t="inlineStr">
        <is>
          <t>2023</t>
        </is>
      </c>
      <c r="H1" s="7" t="inlineStr">
        <is>
          <t>2024</t>
        </is>
      </c>
      <c r="I1" s="7" t="inlineStr">
        <is>
          <t>2025</t>
        </is>
      </c>
      <c r="J1" s="6" t="inlineStr">
        <is>
          <t>Total general</t>
        </is>
      </c>
      <c r="K1" s="8" t="inlineStr">
        <is>
          <t>COD DEP</t>
        </is>
      </c>
      <c r="L1" s="1" t="inlineStr">
        <is>
          <t>INS
1</t>
        </is>
      </c>
      <c r="M1" s="1" t="inlineStr">
        <is>
          <t>DED
INS 1</t>
        </is>
      </c>
      <c r="N1" s="1" t="inlineStr">
        <is>
          <t>INS
2</t>
        </is>
      </c>
      <c r="O1" s="1" t="inlineStr">
        <is>
          <t>DED
INS 2</t>
        </is>
      </c>
      <c r="P1" s="2" t="inlineStr">
        <is>
          <t>DED
DEP</t>
        </is>
      </c>
      <c r="Q1" s="2" t="inlineStr">
        <is>
          <t>SEX
INS 1</t>
        </is>
      </c>
      <c r="R1" s="2" t="inlineStr">
        <is>
          <t>SEX
INS 2</t>
        </is>
      </c>
      <c r="S1" s="2" t="inlineStr">
        <is>
          <t>SEX
DEP</t>
        </is>
      </c>
    </row>
    <row r="2">
      <c r="A2" s="17" t="inlineStr">
        <is>
          <t>05424026M</t>
        </is>
      </c>
      <c r="B2" s="17" t="inlineStr">
        <is>
          <t>Rey Cubero, Alexandra</t>
        </is>
      </c>
      <c r="C2" s="17" t="inlineStr">
        <is>
          <t>NO FUNCIONARIO</t>
        </is>
      </c>
      <c r="D2" s="17" t="n"/>
      <c r="E2" s="17" t="n"/>
      <c r="F2" s="17" t="n"/>
      <c r="G2" s="17" t="n"/>
      <c r="H2" s="17" t="n"/>
      <c r="I2" s="17" t="n">
        <v>1</v>
      </c>
      <c r="J2" s="17" t="n">
        <v>1</v>
      </c>
      <c r="K2" s="17" t="inlineStr">
        <is>
          <t>B112</t>
        </is>
      </c>
      <c r="L2" s="17" t="n">
        <v>0</v>
      </c>
      <c r="M2" s="17" t="n">
        <v>0</v>
      </c>
      <c r="N2" s="18" t="inlineStr"/>
      <c r="O2" s="17" t="inlineStr"/>
      <c r="P2" s="18" t="n">
        <v>100</v>
      </c>
      <c r="Q2" s="17" t="n">
        <v>0</v>
      </c>
      <c r="R2" s="17" t="n">
        <v>0</v>
      </c>
      <c r="S2" s="17" t="n">
        <v>1</v>
      </c>
    </row>
    <row r="3">
      <c r="A3" s="17" t="inlineStr">
        <is>
          <t>07860559X</t>
        </is>
      </c>
      <c r="B3" s="17" t="inlineStr">
        <is>
          <t>Manchado López, María Carmen</t>
        </is>
      </c>
      <c r="C3" s="17" t="inlineStr">
        <is>
          <t>FUNCIONARIO</t>
        </is>
      </c>
      <c r="D3" s="17" t="n">
        <v>1</v>
      </c>
      <c r="E3" s="17" t="n"/>
      <c r="F3" s="17" t="n"/>
      <c r="G3" s="17" t="n"/>
      <c r="H3" s="17" t="n"/>
      <c r="I3" s="17" t="n"/>
      <c r="J3" s="17" t="n">
        <v>1</v>
      </c>
      <c r="K3" s="17" t="inlineStr">
        <is>
          <t>B112</t>
        </is>
      </c>
      <c r="L3" s="17" t="inlineStr">
        <is>
          <t>10.23</t>
        </is>
      </c>
      <c r="M3" s="17" t="inlineStr">
        <is>
          <t>20</t>
        </is>
      </c>
      <c r="N3" s="18" t="inlineStr"/>
      <c r="O3" s="17" t="inlineStr"/>
      <c r="P3" s="18" t="n">
        <v>80</v>
      </c>
      <c r="Q3" s="17" t="n">
        <v>0.2</v>
      </c>
      <c r="R3" s="17" t="n">
        <v>0</v>
      </c>
      <c r="S3" s="17" t="n">
        <v>0.8</v>
      </c>
    </row>
    <row r="4">
      <c r="A4" s="17" t="inlineStr">
        <is>
          <t>12772877B</t>
        </is>
      </c>
      <c r="B4" s="17" t="inlineStr">
        <is>
          <t>Lucas Palacios, Laura</t>
        </is>
      </c>
      <c r="C4" s="17" t="inlineStr">
        <is>
          <t>FUNCIONARIO</t>
        </is>
      </c>
      <c r="D4" s="17" t="n"/>
      <c r="E4" s="17" t="n"/>
      <c r="F4" s="17" t="n"/>
      <c r="G4" s="17" t="n"/>
      <c r="H4" s="17" t="n"/>
      <c r="I4" s="17" t="n">
        <v>1</v>
      </c>
      <c r="J4" s="17" t="n">
        <v>1</v>
      </c>
      <c r="K4" s="17" t="inlineStr">
        <is>
          <t>B112</t>
        </is>
      </c>
      <c r="L4" s="17" t="inlineStr">
        <is>
          <t>10.23</t>
        </is>
      </c>
      <c r="M4" s="17" t="inlineStr">
        <is>
          <t>30</t>
        </is>
      </c>
      <c r="N4" s="18" t="inlineStr"/>
      <c r="O4" s="17" t="inlineStr"/>
      <c r="P4" s="18" t="n">
        <v>70</v>
      </c>
      <c r="Q4" s="17" t="n">
        <v>0.3</v>
      </c>
      <c r="R4" s="17" t="n">
        <v>0</v>
      </c>
      <c r="S4" s="17" t="n">
        <v>0.7</v>
      </c>
    </row>
    <row r="5">
      <c r="A5" s="17" t="inlineStr">
        <is>
          <t>15421692P</t>
        </is>
      </c>
      <c r="B5" s="17" t="inlineStr">
        <is>
          <t>Penichet Tomás, Alfonso</t>
        </is>
      </c>
      <c r="C5" s="17" t="inlineStr">
        <is>
          <t>FUNCIONARIO</t>
        </is>
      </c>
      <c r="D5" s="17" t="n"/>
      <c r="E5" s="17" t="n"/>
      <c r="F5" s="17" t="n"/>
      <c r="G5" s="17" t="n"/>
      <c r="H5" s="17" t="n"/>
      <c r="I5" s="17" t="n">
        <v>2</v>
      </c>
      <c r="J5" s="17" t="n">
        <v>2</v>
      </c>
      <c r="K5" s="17" t="inlineStr">
        <is>
          <t>B112</t>
        </is>
      </c>
      <c r="L5" s="17" t="n">
        <v>0</v>
      </c>
      <c r="M5" s="17" t="n">
        <v>0</v>
      </c>
      <c r="N5" s="18" t="inlineStr"/>
      <c r="O5" s="17" t="inlineStr"/>
      <c r="P5" s="18" t="n">
        <v>100</v>
      </c>
      <c r="Q5" s="17" t="n">
        <v>0</v>
      </c>
      <c r="R5" s="17" t="n">
        <v>0</v>
      </c>
      <c r="S5" s="17" t="n">
        <v>2</v>
      </c>
    </row>
    <row r="6">
      <c r="A6" s="17" t="inlineStr">
        <is>
          <t>15422184V</t>
        </is>
      </c>
      <c r="B6" s="17" t="inlineStr">
        <is>
          <t>Hernández Amorós, María José</t>
        </is>
      </c>
      <c r="C6" s="17" t="inlineStr">
        <is>
          <t>NO FUNCIONARIO</t>
        </is>
      </c>
      <c r="D6" s="17" t="n"/>
      <c r="E6" s="17" t="n"/>
      <c r="F6" s="17" t="n">
        <v>1</v>
      </c>
      <c r="G6" s="17" t="n"/>
      <c r="H6" s="17" t="n"/>
      <c r="I6" s="17" t="n"/>
      <c r="J6" s="17" t="n">
        <v>1</v>
      </c>
      <c r="K6" s="17" t="inlineStr">
        <is>
          <t>B112</t>
        </is>
      </c>
      <c r="L6" s="17" t="n">
        <v>0</v>
      </c>
      <c r="M6" s="17" t="n">
        <v>0</v>
      </c>
      <c r="N6" s="18" t="inlineStr"/>
      <c r="O6" s="17" t="inlineStr"/>
      <c r="P6" s="18" t="n">
        <v>100</v>
      </c>
      <c r="Q6" s="17" t="n">
        <v>0</v>
      </c>
      <c r="R6" s="17" t="n">
        <v>0</v>
      </c>
      <c r="S6" s="17" t="n">
        <v>1</v>
      </c>
    </row>
    <row r="7">
      <c r="A7" s="17" t="inlineStr">
        <is>
          <t>20421173W</t>
        </is>
      </c>
      <c r="B7" s="17" t="inlineStr">
        <is>
          <t>Álvarez Herrero, Juan Francisco</t>
        </is>
      </c>
      <c r="C7" s="17" t="inlineStr">
        <is>
          <t>FUNCIONARIO</t>
        </is>
      </c>
      <c r="D7" s="17" t="n"/>
      <c r="E7" s="17" t="n"/>
      <c r="F7" s="17" t="n"/>
      <c r="G7" s="17" t="n"/>
      <c r="H7" s="17" t="n"/>
      <c r="I7" s="17" t="n">
        <v>1</v>
      </c>
      <c r="J7" s="17" t="n">
        <v>1</v>
      </c>
      <c r="K7" s="17" t="inlineStr">
        <is>
          <t>B112</t>
        </is>
      </c>
      <c r="L7" s="17" t="n">
        <v>0</v>
      </c>
      <c r="M7" s="17" t="n">
        <v>0</v>
      </c>
      <c r="N7" s="18" t="inlineStr"/>
      <c r="O7" s="17" t="inlineStr"/>
      <c r="P7" s="18" t="n">
        <v>100</v>
      </c>
      <c r="Q7" s="17" t="n">
        <v>0</v>
      </c>
      <c r="R7" s="17" t="n">
        <v>0</v>
      </c>
      <c r="S7" s="17" t="n">
        <v>1</v>
      </c>
    </row>
    <row r="8">
      <c r="A8" s="17" t="inlineStr">
        <is>
          <t>20494919X</t>
        </is>
      </c>
      <c r="B8" s="17" t="inlineStr">
        <is>
          <t>Sebastiá Amat, Sergio</t>
        </is>
      </c>
      <c r="C8" s="17" t="inlineStr">
        <is>
          <t>NO FUNCIONARIO</t>
        </is>
      </c>
      <c r="D8" s="17" t="n"/>
      <c r="E8" s="17" t="n"/>
      <c r="F8" s="17" t="n"/>
      <c r="G8" s="17" t="n"/>
      <c r="H8" s="17" t="n">
        <v>1</v>
      </c>
      <c r="I8" s="17" t="n"/>
      <c r="J8" s="17" t="n">
        <v>1</v>
      </c>
      <c r="K8" s="17" t="inlineStr">
        <is>
          <t>B112</t>
        </is>
      </c>
      <c r="L8" s="17" t="n">
        <v>0</v>
      </c>
      <c r="M8" s="17" t="n">
        <v>0</v>
      </c>
      <c r="N8" s="18" t="inlineStr"/>
      <c r="O8" s="17" t="inlineStr"/>
      <c r="P8" s="18" t="n">
        <v>100</v>
      </c>
      <c r="Q8" s="17" t="n">
        <v>0</v>
      </c>
      <c r="R8" s="17" t="n">
        <v>0</v>
      </c>
      <c r="S8" s="17" t="n">
        <v>1</v>
      </c>
    </row>
    <row r="9">
      <c r="A9" s="17" t="inlineStr">
        <is>
          <t>21386831M</t>
        </is>
      </c>
      <c r="B9" s="17" t="inlineStr">
        <is>
          <t>Martínez Torregrosa, Joaquin</t>
        </is>
      </c>
      <c r="C9" s="17" t="inlineStr">
        <is>
          <t>FUNCIONARIO</t>
        </is>
      </c>
      <c r="D9" s="17" t="n"/>
      <c r="E9" s="17" t="n">
        <v>1</v>
      </c>
      <c r="F9" s="17" t="n"/>
      <c r="G9" s="17" t="n"/>
      <c r="H9" s="17" t="n"/>
      <c r="I9" s="17" t="n"/>
      <c r="J9" s="17" t="n">
        <v>1</v>
      </c>
      <c r="K9" s="17" t="inlineStr">
        <is>
          <t>B112</t>
        </is>
      </c>
      <c r="L9" s="17" t="n">
        <v>0</v>
      </c>
      <c r="M9" s="17" t="n">
        <v>0</v>
      </c>
      <c r="N9" s="18" t="inlineStr"/>
      <c r="O9" s="17" t="inlineStr"/>
      <c r="P9" s="18" t="n">
        <v>100</v>
      </c>
      <c r="Q9" s="17" t="n">
        <v>0</v>
      </c>
      <c r="R9" s="17" t="n">
        <v>0</v>
      </c>
      <c r="S9" s="17" t="n">
        <v>1</v>
      </c>
    </row>
    <row r="10">
      <c r="A10" s="17" t="inlineStr">
        <is>
          <t>21409087C</t>
        </is>
      </c>
      <c r="B10" s="17" t="inlineStr">
        <is>
          <t>Giner Gomis, Antonio Vicente</t>
        </is>
      </c>
      <c r="C10" s="17" t="inlineStr">
        <is>
          <t>FUNCIONARIO</t>
        </is>
      </c>
      <c r="D10" s="17" t="n"/>
      <c r="E10" s="17" t="n"/>
      <c r="F10" s="17" t="n">
        <v>1</v>
      </c>
      <c r="G10" s="17" t="n"/>
      <c r="H10" s="17" t="n"/>
      <c r="I10" s="17" t="n"/>
      <c r="J10" s="17" t="n">
        <v>1</v>
      </c>
      <c r="K10" s="17" t="inlineStr">
        <is>
          <t>B112</t>
        </is>
      </c>
      <c r="L10" s="17" t="n">
        <v>0</v>
      </c>
      <c r="M10" s="17" t="n">
        <v>0</v>
      </c>
      <c r="N10" s="18" t="inlineStr"/>
      <c r="O10" s="17" t="inlineStr"/>
      <c r="P10" s="18" t="n">
        <v>100</v>
      </c>
      <c r="Q10" s="17" t="n">
        <v>0</v>
      </c>
      <c r="R10" s="17" t="n">
        <v>0</v>
      </c>
      <c r="S10" s="17" t="n">
        <v>1</v>
      </c>
    </row>
    <row r="11">
      <c r="A11" s="17" t="inlineStr">
        <is>
          <t>21478406V</t>
        </is>
      </c>
      <c r="B11" s="17" t="inlineStr">
        <is>
          <t>Pérez Turpin, José Antonio</t>
        </is>
      </c>
      <c r="C11" s="17" t="inlineStr">
        <is>
          <t>FUNCIONARIO</t>
        </is>
      </c>
      <c r="D11" s="17" t="n"/>
      <c r="E11" s="17" t="n">
        <v>1</v>
      </c>
      <c r="F11" s="17" t="n"/>
      <c r="G11" s="17" t="n"/>
      <c r="H11" s="17" t="n"/>
      <c r="I11" s="17" t="n"/>
      <c r="J11" s="17" t="n">
        <v>1</v>
      </c>
      <c r="K11" s="17" t="inlineStr">
        <is>
          <t>B112</t>
        </is>
      </c>
      <c r="L11" s="17" t="inlineStr">
        <is>
          <t>10.17</t>
        </is>
      </c>
      <c r="M11" s="17" t="inlineStr">
        <is>
          <t>20</t>
        </is>
      </c>
      <c r="N11" s="18" t="inlineStr"/>
      <c r="O11" s="17" t="inlineStr"/>
      <c r="P11" s="18" t="n">
        <v>80</v>
      </c>
      <c r="Q11" s="17" t="n">
        <v>0.2</v>
      </c>
      <c r="R11" s="17" t="n">
        <v>0</v>
      </c>
      <c r="S11" s="17" t="n">
        <v>0.8</v>
      </c>
    </row>
    <row r="12">
      <c r="A12" s="17" t="inlineStr">
        <is>
          <t>21484456H</t>
        </is>
      </c>
      <c r="B12" s="17" t="inlineStr">
        <is>
          <t>Gavilán Martín, Diego</t>
        </is>
      </c>
      <c r="C12" s="17" t="inlineStr">
        <is>
          <t>NO FUNCIONARIO</t>
        </is>
      </c>
      <c r="D12" s="17" t="n"/>
      <c r="E12" s="17" t="n"/>
      <c r="F12" s="17" t="n"/>
      <c r="G12" s="17" t="n"/>
      <c r="H12" s="17" t="n">
        <v>1</v>
      </c>
      <c r="I12" s="17" t="n"/>
      <c r="J12" s="17" t="n">
        <v>1</v>
      </c>
      <c r="K12" s="17" t="inlineStr">
        <is>
          <t>B112</t>
        </is>
      </c>
      <c r="L12" s="17" t="inlineStr">
        <is>
          <t>10.23</t>
        </is>
      </c>
      <c r="M12" s="17" t="inlineStr">
        <is>
          <t>20</t>
        </is>
      </c>
      <c r="N12" s="18" t="inlineStr"/>
      <c r="O12" s="17" t="inlineStr"/>
      <c r="P12" s="18" t="n">
        <v>80</v>
      </c>
      <c r="Q12" s="17" t="n">
        <v>0.2</v>
      </c>
      <c r="R12" s="17" t="n">
        <v>0</v>
      </c>
      <c r="S12" s="17" t="n">
        <v>0.8</v>
      </c>
    </row>
    <row r="13">
      <c r="A13" s="17" t="inlineStr">
        <is>
          <t>21501988R</t>
        </is>
      </c>
      <c r="B13" s="17" t="inlineStr">
        <is>
          <t>Ávalos Ramos, María Alejandra</t>
        </is>
      </c>
      <c r="C13" s="17" t="inlineStr">
        <is>
          <t>FUNCIONARIO</t>
        </is>
      </c>
      <c r="D13" s="17" t="n"/>
      <c r="E13" s="17" t="n"/>
      <c r="F13" s="17" t="n">
        <v>1</v>
      </c>
      <c r="G13" s="17" t="n"/>
      <c r="H13" s="17" t="n"/>
      <c r="I13" s="17" t="n"/>
      <c r="J13" s="17" t="n">
        <v>1</v>
      </c>
      <c r="K13" s="17" t="inlineStr">
        <is>
          <t>B112</t>
        </is>
      </c>
      <c r="L13" s="17" t="n">
        <v>0</v>
      </c>
      <c r="M13" s="17" t="n">
        <v>0</v>
      </c>
      <c r="N13" s="18" t="inlineStr"/>
      <c r="O13" s="17" t="inlineStr"/>
      <c r="P13" s="18" t="n">
        <v>100</v>
      </c>
      <c r="Q13" s="17" t="n">
        <v>0</v>
      </c>
      <c r="R13" s="17" t="n">
        <v>0</v>
      </c>
      <c r="S13" s="17" t="n">
        <v>1</v>
      </c>
    </row>
    <row r="14">
      <c r="A14" s="17" t="inlineStr">
        <is>
          <t>21506145H</t>
        </is>
      </c>
      <c r="B14" s="17" t="inlineStr">
        <is>
          <t>Pueo Ortega, Basilio</t>
        </is>
      </c>
      <c r="C14" s="17" t="inlineStr">
        <is>
          <t>FUNCIONARIO</t>
        </is>
      </c>
      <c r="D14" s="17" t="n"/>
      <c r="E14" s="17" t="n"/>
      <c r="F14" s="17" t="n">
        <v>1</v>
      </c>
      <c r="G14" s="17" t="n"/>
      <c r="H14" s="17" t="n"/>
      <c r="I14" s="17" t="n"/>
      <c r="J14" s="17" t="n">
        <v>1</v>
      </c>
      <c r="K14" s="17" t="inlineStr">
        <is>
          <t>B112</t>
        </is>
      </c>
      <c r="L14" s="17" t="n">
        <v>0</v>
      </c>
      <c r="M14" s="17" t="n">
        <v>0</v>
      </c>
      <c r="N14" s="18" t="inlineStr"/>
      <c r="O14" s="17" t="inlineStr"/>
      <c r="P14" s="18" t="n">
        <v>100</v>
      </c>
      <c r="Q14" s="17" t="n">
        <v>0</v>
      </c>
      <c r="R14" s="17" t="n">
        <v>0</v>
      </c>
      <c r="S14" s="17" t="n">
        <v>1</v>
      </c>
    </row>
    <row r="15">
      <c r="A15" s="17" t="inlineStr">
        <is>
          <t>21511105X</t>
        </is>
      </c>
      <c r="B15" s="17" t="inlineStr">
        <is>
          <t>Diez Ros, Maria del Rocio</t>
        </is>
      </c>
      <c r="C15" s="17" t="inlineStr">
        <is>
          <t>FUNCIONARIO</t>
        </is>
      </c>
      <c r="D15" s="17" t="n"/>
      <c r="E15" s="17" t="n"/>
      <c r="F15" s="17" t="n"/>
      <c r="G15" s="17" t="n"/>
      <c r="H15" s="17" t="n">
        <v>1</v>
      </c>
      <c r="I15" s="17" t="n"/>
      <c r="J15" s="17" t="n">
        <v>1</v>
      </c>
      <c r="K15" s="17" t="inlineStr">
        <is>
          <t>B112</t>
        </is>
      </c>
      <c r="L15" s="17" t="inlineStr">
        <is>
          <t>10.25</t>
        </is>
      </c>
      <c r="M15" s="17" t="inlineStr">
        <is>
          <t>30</t>
        </is>
      </c>
      <c r="N15" s="18" t="inlineStr">
        <is>
          <t>10.23</t>
        </is>
      </c>
      <c r="O15" s="17" t="inlineStr">
        <is>
          <t>20</t>
        </is>
      </c>
      <c r="P15" s="18" t="n">
        <v>50</v>
      </c>
      <c r="Q15" s="17" t="n">
        <v>0.3</v>
      </c>
      <c r="R15" s="17" t="n">
        <v>0.2</v>
      </c>
      <c r="S15" s="17" t="n">
        <v>0.5</v>
      </c>
    </row>
    <row r="16">
      <c r="A16" s="17" t="inlineStr">
        <is>
          <t>21515031A</t>
        </is>
      </c>
      <c r="B16" s="17" t="inlineStr">
        <is>
          <t>Tortosa Martínez, Juan</t>
        </is>
      </c>
      <c r="C16" s="17" t="inlineStr">
        <is>
          <t>FUNCIONARIO</t>
        </is>
      </c>
      <c r="D16" s="17" t="n"/>
      <c r="E16" s="17" t="n"/>
      <c r="F16" s="17" t="n"/>
      <c r="G16" s="17" t="n"/>
      <c r="H16" s="17" t="n"/>
      <c r="I16" s="17" t="n">
        <v>1</v>
      </c>
      <c r="J16" s="17" t="n">
        <v>1</v>
      </c>
      <c r="K16" s="17" t="inlineStr">
        <is>
          <t>B112</t>
        </is>
      </c>
      <c r="L16" s="17" t="n">
        <v>0</v>
      </c>
      <c r="M16" s="17" t="n">
        <v>0</v>
      </c>
      <c r="N16" s="18" t="inlineStr"/>
      <c r="O16" s="17" t="inlineStr"/>
      <c r="P16" s="18" t="n">
        <v>100</v>
      </c>
      <c r="Q16" s="17" t="n">
        <v>0</v>
      </c>
      <c r="R16" s="17" t="n">
        <v>0</v>
      </c>
      <c r="S16" s="17" t="n">
        <v>1</v>
      </c>
    </row>
    <row r="17">
      <c r="A17" s="17" t="inlineStr">
        <is>
          <t>21633898Y</t>
        </is>
      </c>
      <c r="B17" s="17" t="inlineStr">
        <is>
          <t>Sebastiá Alcaraz, Rafael</t>
        </is>
      </c>
      <c r="C17" s="17" t="inlineStr">
        <is>
          <t>FUNCIONARIO</t>
        </is>
      </c>
      <c r="D17" s="17" t="n"/>
      <c r="E17" s="17" t="n">
        <v>1</v>
      </c>
      <c r="F17" s="17" t="n"/>
      <c r="G17" s="17" t="n"/>
      <c r="H17" s="17" t="n"/>
      <c r="I17" s="17" t="n"/>
      <c r="J17" s="17" t="n">
        <v>1</v>
      </c>
      <c r="K17" s="17" t="inlineStr">
        <is>
          <t>B112</t>
        </is>
      </c>
      <c r="L17" s="17" t="inlineStr">
        <is>
          <t>10.21</t>
        </is>
      </c>
      <c r="M17" s="17" t="inlineStr">
        <is>
          <t>50</t>
        </is>
      </c>
      <c r="N17" s="18" t="inlineStr"/>
      <c r="O17" s="17" t="inlineStr"/>
      <c r="P17" s="18" t="n">
        <v>50</v>
      </c>
      <c r="Q17" s="17" t="n">
        <v>0.5</v>
      </c>
      <c r="R17" s="17" t="n">
        <v>0</v>
      </c>
      <c r="S17" s="17" t="n">
        <v>0.5</v>
      </c>
    </row>
    <row r="18">
      <c r="A18" s="17" t="inlineStr">
        <is>
          <t>21660466D</t>
        </is>
      </c>
      <c r="B18" s="17" t="inlineStr">
        <is>
          <t>Cortell Tormo, Juan Manuel</t>
        </is>
      </c>
      <c r="C18" s="17" t="inlineStr">
        <is>
          <t>FUNCIONARIO</t>
        </is>
      </c>
      <c r="D18" s="17" t="n"/>
      <c r="E18" s="17" t="n"/>
      <c r="F18" s="17" t="n"/>
      <c r="G18" s="17" t="n"/>
      <c r="H18" s="17" t="n">
        <v>1</v>
      </c>
      <c r="I18" s="17" t="n"/>
      <c r="J18" s="17" t="n">
        <v>1</v>
      </c>
      <c r="K18" s="17" t="inlineStr">
        <is>
          <t>B112</t>
        </is>
      </c>
      <c r="L18" s="17" t="n">
        <v>0</v>
      </c>
      <c r="M18" s="17" t="n">
        <v>0</v>
      </c>
      <c r="N18" s="18" t="inlineStr"/>
      <c r="O18" s="17" t="inlineStr"/>
      <c r="P18" s="18" t="n">
        <v>100</v>
      </c>
      <c r="Q18" s="17" t="n">
        <v>0</v>
      </c>
      <c r="R18" s="17" t="n">
        <v>0</v>
      </c>
      <c r="S18" s="17" t="n">
        <v>1</v>
      </c>
    </row>
    <row r="19">
      <c r="A19" s="17" t="inlineStr">
        <is>
          <t>21682923H</t>
        </is>
      </c>
      <c r="B19" s="17" t="inlineStr">
        <is>
          <t>Aparicio Flores, María del Pilar</t>
        </is>
      </c>
      <c r="C19" s="17" t="inlineStr">
        <is>
          <t>NO FUNCIONARIO</t>
        </is>
      </c>
      <c r="D19" s="17" t="n"/>
      <c r="E19" s="17" t="n"/>
      <c r="F19" s="17" t="n"/>
      <c r="G19" s="17" t="n"/>
      <c r="H19" s="17" t="n"/>
      <c r="I19" s="17" t="n">
        <v>1</v>
      </c>
      <c r="J19" s="17" t="n">
        <v>1</v>
      </c>
      <c r="K19" s="17" t="inlineStr">
        <is>
          <t>B112</t>
        </is>
      </c>
      <c r="L19" s="17" t="n">
        <v>0</v>
      </c>
      <c r="M19" s="17" t="n">
        <v>0</v>
      </c>
      <c r="N19" s="18" t="inlineStr"/>
      <c r="O19" s="17" t="inlineStr"/>
      <c r="P19" s="18" t="n">
        <v>100</v>
      </c>
      <c r="Q19" s="17" t="n">
        <v>0</v>
      </c>
      <c r="R19" s="17" t="n">
        <v>0</v>
      </c>
      <c r="S19" s="17" t="n">
        <v>1</v>
      </c>
    </row>
    <row r="20">
      <c r="A20" s="17" t="inlineStr">
        <is>
          <t>21686601Q</t>
        </is>
      </c>
      <c r="B20" s="17" t="inlineStr">
        <is>
          <t>Rico Gómez, María Luisa</t>
        </is>
      </c>
      <c r="C20" s="17" t="inlineStr">
        <is>
          <t>FUNCIONARIO</t>
        </is>
      </c>
      <c r="D20" s="17" t="n"/>
      <c r="E20" s="17" t="n"/>
      <c r="F20" s="17" t="n"/>
      <c r="G20" s="17" t="n">
        <v>1</v>
      </c>
      <c r="H20" s="17" t="n"/>
      <c r="I20" s="17" t="n">
        <v>1</v>
      </c>
      <c r="J20" s="17" t="n">
        <v>2</v>
      </c>
      <c r="K20" s="17" t="inlineStr">
        <is>
          <t>B112</t>
        </is>
      </c>
      <c r="L20" s="17" t="inlineStr">
        <is>
          <t>10.25</t>
        </is>
      </c>
      <c r="M20" s="17" t="inlineStr">
        <is>
          <t>30</t>
        </is>
      </c>
      <c r="N20" s="18" t="inlineStr"/>
      <c r="O20" s="17" t="inlineStr"/>
      <c r="P20" s="18" t="n">
        <v>70</v>
      </c>
      <c r="Q20" s="17" t="n">
        <v>0.6</v>
      </c>
      <c r="R20" s="17" t="n">
        <v>0</v>
      </c>
      <c r="S20" s="17" t="n">
        <v>1.4</v>
      </c>
    </row>
    <row r="21">
      <c r="A21" s="17" t="inlineStr">
        <is>
          <t>22138253V</t>
        </is>
      </c>
      <c r="B21" s="17" t="inlineStr">
        <is>
          <t>García Martínez, Salvador</t>
        </is>
      </c>
      <c r="C21" s="17" t="inlineStr">
        <is>
          <t>NO FUNCIONARIO</t>
        </is>
      </c>
      <c r="D21" s="17" t="n"/>
      <c r="E21" s="17" t="n"/>
      <c r="F21" s="17" t="n"/>
      <c r="G21" s="17" t="n">
        <v>1</v>
      </c>
      <c r="H21" s="17" t="n"/>
      <c r="I21" s="17" t="n"/>
      <c r="J21" s="17" t="n">
        <v>1</v>
      </c>
      <c r="K21" s="17" t="inlineStr">
        <is>
          <t>B112</t>
        </is>
      </c>
      <c r="L21" s="17" t="n">
        <v>0</v>
      </c>
      <c r="M21" s="17" t="n">
        <v>0</v>
      </c>
      <c r="N21" s="18" t="inlineStr"/>
      <c r="O21" s="17" t="inlineStr"/>
      <c r="P21" s="18" t="n">
        <v>100</v>
      </c>
      <c r="Q21" s="17" t="n">
        <v>0</v>
      </c>
      <c r="R21" s="17" t="n">
        <v>0</v>
      </c>
      <c r="S21" s="17" t="n">
        <v>1</v>
      </c>
    </row>
    <row r="22">
      <c r="A22" s="17" t="inlineStr">
        <is>
          <t>25126858W</t>
        </is>
      </c>
      <c r="B22" s="17" t="inlineStr">
        <is>
          <t>Roig Vila, Rosabel</t>
        </is>
      </c>
      <c r="C22" s="17" t="inlineStr">
        <is>
          <t>FUNCIONARIO</t>
        </is>
      </c>
      <c r="D22" s="17" t="n"/>
      <c r="E22" s="17" t="n"/>
      <c r="F22" s="17" t="n"/>
      <c r="G22" s="17" t="n"/>
      <c r="H22" s="17" t="n"/>
      <c r="I22" s="17" t="n">
        <v>1</v>
      </c>
      <c r="J22" s="17" t="n">
        <v>1</v>
      </c>
      <c r="K22" s="17" t="inlineStr">
        <is>
          <t>B112</t>
        </is>
      </c>
      <c r="L22" s="17" t="n">
        <v>0</v>
      </c>
      <c r="M22" s="17" t="n">
        <v>0</v>
      </c>
      <c r="N22" s="18" t="inlineStr"/>
      <c r="O22" s="17" t="inlineStr"/>
      <c r="P22" s="18" t="n">
        <v>100</v>
      </c>
      <c r="Q22" s="17" t="n">
        <v>0</v>
      </c>
      <c r="R22" s="17" t="n">
        <v>0</v>
      </c>
      <c r="S22" s="17" t="n">
        <v>1</v>
      </c>
    </row>
    <row r="23">
      <c r="A23" s="17" t="inlineStr">
        <is>
          <t>25339428Y</t>
        </is>
      </c>
      <c r="B23" s="17" t="inlineStr">
        <is>
          <t>Alarcón López, Francisco</t>
        </is>
      </c>
      <c r="C23" s="17" t="inlineStr">
        <is>
          <t>FUNCIONARIO</t>
        </is>
      </c>
      <c r="D23" s="17" t="n"/>
      <c r="E23" s="17" t="n">
        <v>1</v>
      </c>
      <c r="F23" s="17" t="n"/>
      <c r="G23" s="17" t="n"/>
      <c r="H23" s="17" t="n"/>
      <c r="I23" s="17" t="n"/>
      <c r="J23" s="17" t="n">
        <v>1</v>
      </c>
      <c r="K23" s="17" t="inlineStr">
        <is>
          <t>B112</t>
        </is>
      </c>
      <c r="L23" s="17" t="n">
        <v>0</v>
      </c>
      <c r="M23" s="17" t="n">
        <v>0</v>
      </c>
      <c r="N23" s="18" t="inlineStr"/>
      <c r="O23" s="17" t="inlineStr"/>
      <c r="P23" s="18" t="n">
        <v>100</v>
      </c>
      <c r="Q23" s="17" t="n">
        <v>0</v>
      </c>
      <c r="R23" s="17" t="n">
        <v>0</v>
      </c>
      <c r="S23" s="17" t="n">
        <v>1</v>
      </c>
    </row>
    <row r="24">
      <c r="A24" s="17" t="inlineStr">
        <is>
          <t>32887286T</t>
        </is>
      </c>
      <c r="B24" s="17" t="inlineStr">
        <is>
          <t>García Torres, Andrea</t>
        </is>
      </c>
      <c r="C24" s="17" t="inlineStr">
        <is>
          <t>NO FUNCIONARIO</t>
        </is>
      </c>
      <c r="D24" s="17" t="n"/>
      <c r="E24" s="17" t="n"/>
      <c r="F24" s="17" t="n"/>
      <c r="G24" s="17" t="n"/>
      <c r="H24" s="17" t="n">
        <v>1</v>
      </c>
      <c r="I24" s="17" t="n"/>
      <c r="J24" s="17" t="n">
        <v>1</v>
      </c>
      <c r="K24" s="17" t="inlineStr">
        <is>
          <t>B112</t>
        </is>
      </c>
      <c r="L24" s="17" t="n">
        <v>0</v>
      </c>
      <c r="M24" s="17" t="n">
        <v>0</v>
      </c>
      <c r="N24" s="18" t="inlineStr"/>
      <c r="O24" s="17" t="inlineStr"/>
      <c r="P24" s="18" t="n">
        <v>100</v>
      </c>
      <c r="Q24" s="17" t="n">
        <v>0</v>
      </c>
      <c r="R24" s="17" t="n">
        <v>0</v>
      </c>
      <c r="S24" s="17" t="n">
        <v>1</v>
      </c>
    </row>
    <row r="25">
      <c r="A25" s="17" t="inlineStr">
        <is>
          <t>33492789M</t>
        </is>
      </c>
      <c r="B25" s="17" t="inlineStr">
        <is>
          <t>Chinchilla Mira, Juan Jose</t>
        </is>
      </c>
      <c r="C25" s="17" t="inlineStr">
        <is>
          <t>NO FUNCIONARIO</t>
        </is>
      </c>
      <c r="D25" s="17" t="n">
        <v>1</v>
      </c>
      <c r="E25" s="17" t="n">
        <v>1</v>
      </c>
      <c r="F25" s="17" t="n"/>
      <c r="G25" s="17" t="n"/>
      <c r="H25" s="17" t="n"/>
      <c r="I25" s="17" t="n"/>
      <c r="J25" s="17" t="n">
        <v>2</v>
      </c>
      <c r="K25" s="17" t="inlineStr">
        <is>
          <t>B112</t>
        </is>
      </c>
      <c r="L25" s="17" t="n">
        <v>0</v>
      </c>
      <c r="M25" s="17" t="n">
        <v>0</v>
      </c>
      <c r="N25" s="18" t="inlineStr"/>
      <c r="O25" s="17" t="inlineStr"/>
      <c r="P25" s="18" t="n">
        <v>100</v>
      </c>
      <c r="Q25" s="17" t="n">
        <v>0</v>
      </c>
      <c r="R25" s="17" t="n">
        <v>0</v>
      </c>
      <c r="S25" s="17" t="n">
        <v>2</v>
      </c>
    </row>
    <row r="26">
      <c r="A26" s="17" t="inlineStr">
        <is>
          <t>43081296L</t>
        </is>
      </c>
      <c r="B26" s="17" t="inlineStr">
        <is>
          <t>Gómez Puerta, José Marcos</t>
        </is>
      </c>
      <c r="C26" s="17" t="inlineStr">
        <is>
          <t>FUNCIONARIO</t>
        </is>
      </c>
      <c r="D26" s="17" t="n"/>
      <c r="E26" s="17" t="n"/>
      <c r="F26" s="17" t="n"/>
      <c r="G26" s="17" t="n">
        <v>1</v>
      </c>
      <c r="H26" s="17" t="n"/>
      <c r="I26" s="17" t="n"/>
      <c r="J26" s="17" t="n">
        <v>1</v>
      </c>
      <c r="K26" s="17" t="inlineStr">
        <is>
          <t>B112</t>
        </is>
      </c>
      <c r="L26" s="17" t="n">
        <v>0</v>
      </c>
      <c r="M26" s="17" t="n">
        <v>0</v>
      </c>
      <c r="N26" s="18" t="inlineStr"/>
      <c r="O26" s="17" t="inlineStr"/>
      <c r="P26" s="18" t="n">
        <v>100</v>
      </c>
      <c r="Q26" s="17" t="n">
        <v>0</v>
      </c>
      <c r="R26" s="17" t="n">
        <v>0</v>
      </c>
      <c r="S26" s="17" t="n">
        <v>1</v>
      </c>
    </row>
    <row r="27">
      <c r="A27" s="17" t="inlineStr">
        <is>
          <t>44757440S</t>
        </is>
      </c>
      <c r="B27" s="17" t="inlineStr">
        <is>
          <t>Ponsoda López de Atalaya, Santiago</t>
        </is>
      </c>
      <c r="C27" s="17" t="inlineStr">
        <is>
          <t>NO FUNCIONARIO</t>
        </is>
      </c>
      <c r="D27" s="17" t="n"/>
      <c r="E27" s="17" t="n"/>
      <c r="F27" s="17" t="n">
        <v>1</v>
      </c>
      <c r="G27" s="17" t="n"/>
      <c r="H27" s="17" t="n"/>
      <c r="I27" s="17" t="n"/>
      <c r="J27" s="17" t="n">
        <v>1</v>
      </c>
      <c r="K27" s="17" t="inlineStr">
        <is>
          <t>B112</t>
        </is>
      </c>
      <c r="L27" s="17" t="inlineStr">
        <is>
          <t>10.25</t>
        </is>
      </c>
      <c r="M27" s="17" t="inlineStr">
        <is>
          <t>30</t>
        </is>
      </c>
      <c r="N27" s="18" t="inlineStr"/>
      <c r="O27" s="17" t="inlineStr"/>
      <c r="P27" s="18" t="n">
        <v>70</v>
      </c>
      <c r="Q27" s="17" t="n">
        <v>0.3</v>
      </c>
      <c r="R27" s="17" t="n">
        <v>0</v>
      </c>
      <c r="S27" s="17" t="n">
        <v>0.7</v>
      </c>
    </row>
    <row r="28">
      <c r="A28" s="17" t="inlineStr">
        <is>
          <t>44769550G</t>
        </is>
      </c>
      <c r="B28" s="17" t="inlineStr">
        <is>
          <t>Ortuño Martínez, Bárbara</t>
        </is>
      </c>
      <c r="C28" s="17" t="inlineStr">
        <is>
          <t>NO FUNCIONARIO</t>
        </is>
      </c>
      <c r="D28" s="17" t="n"/>
      <c r="E28" s="17" t="n"/>
      <c r="F28" s="17" t="n"/>
      <c r="G28" s="17" t="n">
        <v>1</v>
      </c>
      <c r="H28" s="17" t="n"/>
      <c r="I28" s="17" t="n"/>
      <c r="J28" s="17" t="n">
        <v>1</v>
      </c>
      <c r="K28" s="17" t="inlineStr">
        <is>
          <t>B112</t>
        </is>
      </c>
      <c r="L28" s="17" t="inlineStr">
        <is>
          <t>10.25</t>
        </is>
      </c>
      <c r="M28" s="17" t="inlineStr">
        <is>
          <t>30</t>
        </is>
      </c>
      <c r="N28" s="18" t="inlineStr">
        <is>
          <t>10.23</t>
        </is>
      </c>
      <c r="O28" s="17" t="inlineStr">
        <is>
          <t>40</t>
        </is>
      </c>
      <c r="P28" s="18" t="n">
        <v>30</v>
      </c>
      <c r="Q28" s="17" t="n">
        <v>0.3</v>
      </c>
      <c r="R28" s="17" t="n">
        <v>0.4</v>
      </c>
      <c r="S28" s="17" t="n">
        <v>0.3</v>
      </c>
    </row>
    <row r="29">
      <c r="A29" s="17" t="inlineStr">
        <is>
          <t>45563110H</t>
        </is>
      </c>
      <c r="B29" s="17" t="inlineStr">
        <is>
          <t>Pertegal Felices, María Luisa</t>
        </is>
      </c>
      <c r="C29" s="17" t="inlineStr">
        <is>
          <t>FUNCIONARIO</t>
        </is>
      </c>
      <c r="D29" s="17" t="n"/>
      <c r="E29" s="17" t="n">
        <v>1</v>
      </c>
      <c r="F29" s="17" t="n"/>
      <c r="G29" s="17" t="n"/>
      <c r="H29" s="17" t="n"/>
      <c r="I29" s="17" t="n"/>
      <c r="J29" s="17" t="n">
        <v>1</v>
      </c>
      <c r="K29" s="17" t="inlineStr">
        <is>
          <t>B112</t>
        </is>
      </c>
      <c r="L29" s="17" t="n">
        <v>0</v>
      </c>
      <c r="M29" s="17" t="n">
        <v>0</v>
      </c>
      <c r="N29" s="18" t="inlineStr"/>
      <c r="O29" s="17" t="inlineStr"/>
      <c r="P29" s="18" t="n">
        <v>100</v>
      </c>
      <c r="Q29" s="17" t="n">
        <v>0</v>
      </c>
      <c r="R29" s="17" t="n">
        <v>0</v>
      </c>
      <c r="S29" s="17" t="n">
        <v>1</v>
      </c>
    </row>
    <row r="30">
      <c r="A30" s="17" t="inlineStr">
        <is>
          <t>48345196R</t>
        </is>
      </c>
      <c r="B30" s="17" t="inlineStr">
        <is>
          <t>Menargues Marcilla, María de la Asunción</t>
        </is>
      </c>
      <c r="C30" s="17" t="inlineStr">
        <is>
          <t>FUNCIONARIO</t>
        </is>
      </c>
      <c r="D30" s="17" t="n">
        <v>1</v>
      </c>
      <c r="E30" s="17" t="n"/>
      <c r="F30" s="17" t="n"/>
      <c r="G30" s="17" t="n"/>
      <c r="H30" s="17" t="n"/>
      <c r="I30" s="17" t="n">
        <v>1</v>
      </c>
      <c r="J30" s="17" t="n">
        <v>2</v>
      </c>
      <c r="K30" s="17" t="inlineStr">
        <is>
          <t>B112</t>
        </is>
      </c>
      <c r="L30" s="17" t="n">
        <v>0</v>
      </c>
      <c r="M30" s="17" t="n">
        <v>0</v>
      </c>
      <c r="N30" s="18" t="inlineStr"/>
      <c r="O30" s="17" t="inlineStr"/>
      <c r="P30" s="18" t="n">
        <v>100</v>
      </c>
      <c r="Q30" s="17" t="n">
        <v>0</v>
      </c>
      <c r="R30" s="17" t="n">
        <v>0</v>
      </c>
      <c r="S30" s="17" t="n">
        <v>2</v>
      </c>
    </row>
    <row r="31">
      <c r="A31" s="17" t="inlineStr">
        <is>
          <t>48364767E</t>
        </is>
      </c>
      <c r="B31" s="17" t="inlineStr">
        <is>
          <t>Jiménez Olmedo, José Manuel</t>
        </is>
      </c>
      <c r="C31" s="17" t="inlineStr">
        <is>
          <t>FUNCIONARIO</t>
        </is>
      </c>
      <c r="D31" s="17" t="n"/>
      <c r="E31" s="17" t="n"/>
      <c r="F31" s="17" t="n">
        <v>1</v>
      </c>
      <c r="G31" s="17" t="n"/>
      <c r="H31" s="17" t="n">
        <v>1</v>
      </c>
      <c r="I31" s="17" t="n"/>
      <c r="J31" s="17" t="n">
        <v>2</v>
      </c>
      <c r="K31" s="17" t="inlineStr">
        <is>
          <t>B112</t>
        </is>
      </c>
      <c r="L31" s="17" t="n">
        <v>0</v>
      </c>
      <c r="M31" s="17" t="n">
        <v>0</v>
      </c>
      <c r="N31" s="18" t="inlineStr"/>
      <c r="O31" s="17" t="inlineStr"/>
      <c r="P31" s="18" t="n">
        <v>100</v>
      </c>
      <c r="Q31" s="17" t="n">
        <v>0</v>
      </c>
      <c r="R31" s="17" t="n">
        <v>0</v>
      </c>
      <c r="S31" s="17" t="n">
        <v>2</v>
      </c>
    </row>
    <row r="32">
      <c r="A32" s="17" t="inlineStr">
        <is>
          <t>48379055G</t>
        </is>
      </c>
      <c r="B32" s="17" t="inlineStr">
        <is>
          <t>García Jaén, Miguel</t>
        </is>
      </c>
      <c r="C32" s="17" t="inlineStr">
        <is>
          <t>NO FUNCIONARIO</t>
        </is>
      </c>
      <c r="D32" s="17" t="n"/>
      <c r="E32" s="17" t="n"/>
      <c r="F32" s="17" t="n"/>
      <c r="G32" s="17" t="n"/>
      <c r="H32" s="17" t="n">
        <v>1</v>
      </c>
      <c r="I32" s="17" t="n"/>
      <c r="J32" s="17" t="n">
        <v>1</v>
      </c>
      <c r="K32" s="17" t="inlineStr">
        <is>
          <t>B112</t>
        </is>
      </c>
      <c r="L32" s="17" t="n">
        <v>0</v>
      </c>
      <c r="M32" s="17" t="n">
        <v>0</v>
      </c>
      <c r="N32" s="18" t="inlineStr"/>
      <c r="O32" s="17" t="inlineStr"/>
      <c r="P32" s="18" t="n">
        <v>100</v>
      </c>
      <c r="Q32" s="17" t="n">
        <v>0</v>
      </c>
      <c r="R32" s="17" t="n">
        <v>0</v>
      </c>
      <c r="S32" s="17" t="n">
        <v>1</v>
      </c>
    </row>
    <row r="33">
      <c r="A33" s="17" t="inlineStr">
        <is>
          <t>48379979P</t>
        </is>
      </c>
      <c r="B33" s="17" t="inlineStr">
        <is>
          <t>Lozano Cabezas, Ines</t>
        </is>
      </c>
      <c r="C33" s="17" t="inlineStr">
        <is>
          <t>FUNCIONARIO</t>
        </is>
      </c>
      <c r="D33" s="17" t="n"/>
      <c r="E33" s="17" t="n">
        <v>1</v>
      </c>
      <c r="F33" s="17" t="n"/>
      <c r="G33" s="17" t="n">
        <v>1</v>
      </c>
      <c r="H33" s="17" t="n"/>
      <c r="I33" s="17" t="n"/>
      <c r="J33" s="17" t="n">
        <v>2</v>
      </c>
      <c r="K33" s="17" t="inlineStr">
        <is>
          <t>B112</t>
        </is>
      </c>
      <c r="L33" s="17" t="inlineStr">
        <is>
          <t>10.23</t>
        </is>
      </c>
      <c r="M33" s="17" t="inlineStr">
        <is>
          <t>20</t>
        </is>
      </c>
      <c r="N33" s="18" t="inlineStr">
        <is>
          <t>10.25</t>
        </is>
      </c>
      <c r="O33" s="17" t="inlineStr">
        <is>
          <t>30</t>
        </is>
      </c>
      <c r="P33" s="18" t="n">
        <v>50</v>
      </c>
      <c r="Q33" s="17" t="n">
        <v>0.4</v>
      </c>
      <c r="R33" s="17" t="n">
        <v>0.6</v>
      </c>
      <c r="S33" s="17" t="n">
        <v>1</v>
      </c>
    </row>
    <row r="34">
      <c r="A34" s="17" t="inlineStr">
        <is>
          <t>48496100W</t>
        </is>
      </c>
      <c r="B34" s="17" t="inlineStr">
        <is>
          <t>Urrea Solano, María Encarnación</t>
        </is>
      </c>
      <c r="C34" s="17" t="inlineStr">
        <is>
          <t>NO FUNCIONARIO</t>
        </is>
      </c>
      <c r="D34" s="17" t="n"/>
      <c r="E34" s="17" t="n"/>
      <c r="F34" s="17" t="n"/>
      <c r="G34" s="17" t="n"/>
      <c r="H34" s="17" t="n">
        <v>1</v>
      </c>
      <c r="I34" s="17" t="n"/>
      <c r="J34" s="17" t="n">
        <v>1</v>
      </c>
      <c r="K34" s="17" t="inlineStr">
        <is>
          <t>B112</t>
        </is>
      </c>
      <c r="L34" s="17" t="inlineStr">
        <is>
          <t>10.23</t>
        </is>
      </c>
      <c r="M34" s="17" t="inlineStr">
        <is>
          <t>20</t>
        </is>
      </c>
      <c r="N34" s="18" t="inlineStr"/>
      <c r="O34" s="17" t="inlineStr"/>
      <c r="P34" s="18" t="n">
        <v>80</v>
      </c>
      <c r="Q34" s="17" t="n">
        <v>0.2</v>
      </c>
      <c r="R34" s="17" t="n">
        <v>0</v>
      </c>
      <c r="S34" s="17" t="n">
        <v>0.8</v>
      </c>
    </row>
    <row r="35">
      <c r="A35" s="17" t="inlineStr">
        <is>
          <t>48561192G</t>
        </is>
      </c>
      <c r="B35" s="17" t="inlineStr">
        <is>
          <t>Rosa Cintas, Sergio</t>
        </is>
      </c>
      <c r="C35" s="17" t="inlineStr">
        <is>
          <t>NO FUNCIONARIO</t>
        </is>
      </c>
      <c r="D35" s="17" t="n"/>
      <c r="E35" s="17" t="n"/>
      <c r="F35" s="17" t="n">
        <v>1</v>
      </c>
      <c r="G35" s="17" t="n"/>
      <c r="H35" s="17" t="n"/>
      <c r="I35" s="17" t="n"/>
      <c r="J35" s="17" t="n">
        <v>1</v>
      </c>
      <c r="K35" s="17" t="inlineStr">
        <is>
          <t>B112</t>
        </is>
      </c>
      <c r="L35" s="17" t="n">
        <v>0</v>
      </c>
      <c r="M35" s="17" t="n">
        <v>0</v>
      </c>
      <c r="N35" s="18" t="inlineStr"/>
      <c r="O35" s="17" t="inlineStr"/>
      <c r="P35" s="18" t="n">
        <v>100</v>
      </c>
      <c r="Q35" s="17" t="n">
        <v>0</v>
      </c>
      <c r="R35" s="17" t="n">
        <v>0</v>
      </c>
      <c r="S35" s="17" t="n">
        <v>1</v>
      </c>
    </row>
    <row r="36">
      <c r="A36" s="17" t="inlineStr">
        <is>
          <t>48603390C</t>
        </is>
      </c>
      <c r="B36" s="17" t="inlineStr">
        <is>
          <t>Sanchis Soler, Gema</t>
        </is>
      </c>
      <c r="C36" s="17" t="inlineStr">
        <is>
          <t>NO FUNCIONARIO</t>
        </is>
      </c>
      <c r="D36" s="17" t="n"/>
      <c r="E36" s="17" t="n"/>
      <c r="F36" s="17" t="n"/>
      <c r="G36" s="17" t="n"/>
      <c r="H36" s="17" t="n">
        <v>1</v>
      </c>
      <c r="I36" s="17" t="n"/>
      <c r="J36" s="17" t="n">
        <v>1</v>
      </c>
      <c r="K36" s="17" t="inlineStr">
        <is>
          <t>B112</t>
        </is>
      </c>
      <c r="L36" s="17" t="n">
        <v>0</v>
      </c>
      <c r="M36" s="17" t="n">
        <v>0</v>
      </c>
      <c r="N36" s="18" t="inlineStr"/>
      <c r="O36" s="17" t="inlineStr"/>
      <c r="P36" s="18" t="n">
        <v>100</v>
      </c>
      <c r="Q36" s="17" t="n">
        <v>0</v>
      </c>
      <c r="R36" s="17" t="n">
        <v>0</v>
      </c>
      <c r="S36" s="17" t="n">
        <v>1</v>
      </c>
    </row>
    <row r="37">
      <c r="A37" s="17" t="inlineStr">
        <is>
          <t>48769418B</t>
        </is>
      </c>
      <c r="B37" s="17" t="inlineStr">
        <is>
          <t>Merma Molina, Gladys</t>
        </is>
      </c>
      <c r="C37" s="17" t="inlineStr">
        <is>
          <t>FUNCIONARIO</t>
        </is>
      </c>
      <c r="D37" s="17" t="n"/>
      <c r="E37" s="17" t="n">
        <v>1</v>
      </c>
      <c r="F37" s="17" t="n"/>
      <c r="G37" s="17" t="n">
        <v>1</v>
      </c>
      <c r="H37" s="17" t="n"/>
      <c r="I37" s="17" t="n"/>
      <c r="J37" s="17" t="n">
        <v>2</v>
      </c>
      <c r="K37" s="17" t="inlineStr">
        <is>
          <t>B112</t>
        </is>
      </c>
      <c r="L37" s="17" t="inlineStr">
        <is>
          <t>10.25</t>
        </is>
      </c>
      <c r="M37" s="17" t="inlineStr">
        <is>
          <t>30</t>
        </is>
      </c>
      <c r="N37" s="18" t="inlineStr">
        <is>
          <t>10.23</t>
        </is>
      </c>
      <c r="O37" s="17" t="inlineStr">
        <is>
          <t>30</t>
        </is>
      </c>
      <c r="P37" s="18" t="n">
        <v>40</v>
      </c>
      <c r="Q37" s="17" t="n">
        <v>0.6</v>
      </c>
      <c r="R37" s="17" t="n">
        <v>0.6</v>
      </c>
      <c r="S37" s="17" t="n">
        <v>0.8</v>
      </c>
    </row>
    <row r="38">
      <c r="A38" s="17" t="inlineStr">
        <is>
          <t>48785270Q</t>
        </is>
      </c>
      <c r="B38" s="17" t="inlineStr">
        <is>
          <t>Vega Ramirez, Lilyan Mercedes</t>
        </is>
      </c>
      <c r="C38" s="17" t="inlineStr">
        <is>
          <t>NO FUNCIONARIO</t>
        </is>
      </c>
      <c r="D38" s="17" t="n"/>
      <c r="E38" s="17" t="n"/>
      <c r="F38" s="17" t="n">
        <v>1</v>
      </c>
      <c r="G38" s="17" t="n"/>
      <c r="H38" s="17" t="n"/>
      <c r="I38" s="17" t="n"/>
      <c r="J38" s="17" t="n">
        <v>1</v>
      </c>
      <c r="K38" s="17" t="inlineStr">
        <is>
          <t>B112</t>
        </is>
      </c>
      <c r="L38" s="17" t="n">
        <v>0</v>
      </c>
      <c r="M38" s="17" t="n">
        <v>0</v>
      </c>
      <c r="N38" s="18" t="inlineStr"/>
      <c r="O38" s="17" t="inlineStr"/>
      <c r="P38" s="18" t="n">
        <v>100</v>
      </c>
      <c r="Q38" s="17" t="n">
        <v>0</v>
      </c>
      <c r="R38" s="17" t="n">
        <v>0</v>
      </c>
      <c r="S38" s="17" t="n">
        <v>1</v>
      </c>
    </row>
    <row r="39">
      <c r="A39" s="17" t="inlineStr">
        <is>
          <t>52773764B</t>
        </is>
      </c>
      <c r="B39" s="17" t="inlineStr">
        <is>
          <t>Gómez Trigueros, Isabel María</t>
        </is>
      </c>
      <c r="C39" s="17" t="inlineStr">
        <is>
          <t>FUNCIONARIO</t>
        </is>
      </c>
      <c r="D39" s="17" t="n"/>
      <c r="E39" s="17" t="n"/>
      <c r="F39" s="17" t="n"/>
      <c r="G39" s="17" t="n">
        <v>1</v>
      </c>
      <c r="H39" s="17" t="n"/>
      <c r="I39" s="17" t="n"/>
      <c r="J39" s="17" t="n">
        <v>1</v>
      </c>
      <c r="K39" s="17" t="inlineStr">
        <is>
          <t>B112</t>
        </is>
      </c>
      <c r="L39" s="17" t="inlineStr">
        <is>
          <t>10.23</t>
        </is>
      </c>
      <c r="M39" s="17" t="inlineStr">
        <is>
          <t>20</t>
        </is>
      </c>
      <c r="N39" s="18" t="inlineStr">
        <is>
          <t>10.25</t>
        </is>
      </c>
      <c r="O39" s="17" t="inlineStr">
        <is>
          <t>30</t>
        </is>
      </c>
      <c r="P39" s="18" t="n">
        <v>50</v>
      </c>
      <c r="Q39" s="17" t="n">
        <v>0.2</v>
      </c>
      <c r="R39" s="17" t="n">
        <v>0.3</v>
      </c>
      <c r="S39" s="17" t="n">
        <v>0.5</v>
      </c>
    </row>
    <row r="40">
      <c r="A40" s="17" t="inlineStr">
        <is>
          <t>53247303A</t>
        </is>
      </c>
      <c r="B40" s="17" t="inlineStr">
        <is>
          <t>Fernández Sogorb, Aitana</t>
        </is>
      </c>
      <c r="C40" s="17" t="inlineStr">
        <is>
          <t>NO FUNCIONARIO</t>
        </is>
      </c>
      <c r="D40" s="17" t="n"/>
      <c r="E40" s="17" t="n"/>
      <c r="F40" s="17" t="n"/>
      <c r="G40" s="17" t="n"/>
      <c r="H40" s="17" t="n">
        <v>1</v>
      </c>
      <c r="I40" s="17" t="n"/>
      <c r="J40" s="17" t="n">
        <v>1</v>
      </c>
      <c r="K40" s="17" t="inlineStr">
        <is>
          <t>B112</t>
        </is>
      </c>
      <c r="L40" s="17" t="n">
        <v>0</v>
      </c>
      <c r="M40" s="17" t="n">
        <v>0</v>
      </c>
      <c r="N40" s="18" t="inlineStr"/>
      <c r="O40" s="17" t="inlineStr"/>
      <c r="P40" s="18" t="n">
        <v>100</v>
      </c>
      <c r="Q40" s="17" t="n">
        <v>0</v>
      </c>
      <c r="R40" s="17" t="n">
        <v>0</v>
      </c>
      <c r="S40" s="17" t="n">
        <v>1</v>
      </c>
    </row>
    <row r="41">
      <c r="A41" s="17" t="inlineStr">
        <is>
          <t>71018179K</t>
        </is>
      </c>
      <c r="B41" s="17" t="inlineStr">
        <is>
          <t>Cejuela Anta, Roberto</t>
        </is>
      </c>
      <c r="C41" s="17" t="inlineStr">
        <is>
          <t>FUNCIONARIO</t>
        </is>
      </c>
      <c r="D41" s="17" t="n"/>
      <c r="E41" s="17" t="n"/>
      <c r="F41" s="17" t="n"/>
      <c r="G41" s="17" t="n"/>
      <c r="H41" s="17" t="n"/>
      <c r="I41" s="17" t="n">
        <v>1</v>
      </c>
      <c r="J41" s="17" t="n">
        <v>1</v>
      </c>
      <c r="K41" s="17" t="inlineStr">
        <is>
          <t>B112</t>
        </is>
      </c>
      <c r="L41" s="17" t="n">
        <v>0</v>
      </c>
      <c r="M41" s="17" t="n">
        <v>0</v>
      </c>
      <c r="N41" s="18" t="inlineStr"/>
      <c r="O41" s="17" t="inlineStr"/>
      <c r="P41" s="18" t="n">
        <v>100</v>
      </c>
      <c r="Q41" s="17" t="n">
        <v>0</v>
      </c>
      <c r="R41" s="17" t="n">
        <v>0</v>
      </c>
      <c r="S41" s="17" t="n">
        <v>1</v>
      </c>
    </row>
    <row r="42">
      <c r="A42" s="17" t="inlineStr">
        <is>
          <t>73536751R</t>
        </is>
      </c>
      <c r="B42" s="17" t="inlineStr">
        <is>
          <t>Esteve Faubel, José María</t>
        </is>
      </c>
      <c r="C42" s="17" t="inlineStr">
        <is>
          <t>FUNCIONARIO</t>
        </is>
      </c>
      <c r="D42" s="17" t="n"/>
      <c r="E42" s="17" t="n"/>
      <c r="F42" s="17" t="n">
        <v>1</v>
      </c>
      <c r="G42" s="17" t="n"/>
      <c r="H42" s="17" t="n"/>
      <c r="I42" s="17" t="n"/>
      <c r="J42" s="17" t="n">
        <v>1</v>
      </c>
      <c r="K42" s="17" t="inlineStr">
        <is>
          <t>B112</t>
        </is>
      </c>
      <c r="L42" s="17" t="n">
        <v>0</v>
      </c>
      <c r="M42" s="17" t="n">
        <v>0</v>
      </c>
      <c r="N42" s="18" t="inlineStr"/>
      <c r="O42" s="17" t="inlineStr"/>
      <c r="P42" s="18" t="n">
        <v>100</v>
      </c>
      <c r="Q42" s="17" t="n">
        <v>0</v>
      </c>
      <c r="R42" s="17" t="n">
        <v>0</v>
      </c>
      <c r="S42" s="17" t="n">
        <v>1</v>
      </c>
    </row>
    <row r="43">
      <c r="A43" s="17" t="inlineStr">
        <is>
          <t>74002849G</t>
        </is>
      </c>
      <c r="B43" s="17" t="inlineStr">
        <is>
          <t>Ferriz Valero, Alberto</t>
        </is>
      </c>
      <c r="C43" s="17" t="inlineStr">
        <is>
          <t>FUNCIONARIO</t>
        </is>
      </c>
      <c r="D43" s="17" t="n"/>
      <c r="E43" s="17" t="n"/>
      <c r="F43" s="17" t="n"/>
      <c r="G43" s="17" t="n"/>
      <c r="H43" s="17" t="n"/>
      <c r="I43" s="17" t="n">
        <v>1</v>
      </c>
      <c r="J43" s="17" t="n">
        <v>1</v>
      </c>
      <c r="K43" s="17" t="inlineStr">
        <is>
          <t>B112</t>
        </is>
      </c>
      <c r="L43" s="17" t="n">
        <v>0</v>
      </c>
      <c r="M43" s="17" t="n">
        <v>0</v>
      </c>
      <c r="N43" s="18" t="inlineStr"/>
      <c r="O43" s="17" t="inlineStr"/>
      <c r="P43" s="18" t="n">
        <v>100</v>
      </c>
      <c r="Q43" s="17" t="n">
        <v>0</v>
      </c>
      <c r="R43" s="17" t="n">
        <v>0</v>
      </c>
      <c r="S43" s="17" t="n">
        <v>1</v>
      </c>
    </row>
    <row r="44">
      <c r="A44" s="17" t="inlineStr">
        <is>
          <t>74003040B</t>
        </is>
      </c>
      <c r="B44" s="17" t="inlineStr">
        <is>
          <t>Molina García, Nuria</t>
        </is>
      </c>
      <c r="C44" s="17" t="inlineStr">
        <is>
          <t>NO FUNCIONARIO</t>
        </is>
      </c>
      <c r="D44" s="17" t="n"/>
      <c r="E44" s="17" t="n"/>
      <c r="F44" s="17" t="n"/>
      <c r="G44" s="17" t="n"/>
      <c r="H44" s="17" t="n"/>
      <c r="I44" s="17" t="n">
        <v>1</v>
      </c>
      <c r="J44" s="17" t="n">
        <v>1</v>
      </c>
      <c r="K44" s="17" t="inlineStr">
        <is>
          <t>B112</t>
        </is>
      </c>
      <c r="L44" s="17" t="n">
        <v>0</v>
      </c>
      <c r="M44" s="17" t="n">
        <v>0</v>
      </c>
      <c r="N44" s="18" t="inlineStr"/>
      <c r="O44" s="17" t="inlineStr"/>
      <c r="P44" s="18" t="n">
        <v>100</v>
      </c>
      <c r="Q44" s="17" t="n">
        <v>0</v>
      </c>
      <c r="R44" s="17" t="n">
        <v>0</v>
      </c>
      <c r="S44" s="17" t="n">
        <v>1</v>
      </c>
    </row>
    <row r="45">
      <c r="A45" s="17" t="inlineStr">
        <is>
          <t>74221742Y</t>
        </is>
      </c>
      <c r="B45" s="17" t="inlineStr">
        <is>
          <t>Limiñana Morcillo, Rubén</t>
        </is>
      </c>
      <c r="C45" s="17" t="inlineStr">
        <is>
          <t>FUNCIONARIO</t>
        </is>
      </c>
      <c r="D45" s="17" t="n"/>
      <c r="E45" s="17" t="n">
        <v>1</v>
      </c>
      <c r="F45" s="17" t="n">
        <v>1</v>
      </c>
      <c r="G45" s="17" t="n"/>
      <c r="H45" s="17" t="n"/>
      <c r="I45" s="17" t="n"/>
      <c r="J45" s="17" t="n">
        <v>2</v>
      </c>
      <c r="K45" s="17" t="inlineStr">
        <is>
          <t>B112</t>
        </is>
      </c>
      <c r="L45" s="17" t="n">
        <v>0</v>
      </c>
      <c r="M45" s="17" t="n">
        <v>0</v>
      </c>
      <c r="N45" s="18" t="inlineStr"/>
      <c r="O45" s="17" t="inlineStr"/>
      <c r="P45" s="18" t="n">
        <v>100</v>
      </c>
      <c r="Q45" s="17" t="n">
        <v>0</v>
      </c>
      <c r="R45" s="17" t="n">
        <v>0</v>
      </c>
      <c r="S45" s="17" t="n">
        <v>2</v>
      </c>
    </row>
    <row r="46" customFormat="1" s="3">
      <c r="A46" s="17" t="inlineStr">
        <is>
          <t>74237659F</t>
        </is>
      </c>
      <c r="B46" s="17" t="inlineStr">
        <is>
          <t>Sellés Pérez, Sergio</t>
        </is>
      </c>
      <c r="C46" s="17" t="inlineStr">
        <is>
          <t>FUNCIONARIO</t>
        </is>
      </c>
      <c r="D46" s="17" t="n"/>
      <c r="E46" s="17" t="n"/>
      <c r="F46" s="17" t="n"/>
      <c r="G46" s="17" t="n"/>
      <c r="H46" s="17" t="n"/>
      <c r="I46" s="17" t="n">
        <v>1</v>
      </c>
      <c r="J46" s="17" t="n">
        <v>1</v>
      </c>
      <c r="K46" s="17" t="inlineStr">
        <is>
          <t>B112</t>
        </is>
      </c>
      <c r="L46" s="17" t="n">
        <v>0</v>
      </c>
      <c r="M46" s="17" t="n">
        <v>0</v>
      </c>
      <c r="N46" s="18" t="inlineStr"/>
      <c r="O46" s="17" t="inlineStr"/>
      <c r="P46" s="18" t="n">
        <v>100</v>
      </c>
      <c r="Q46" s="17" t="n">
        <v>0</v>
      </c>
      <c r="R46" s="17" t="n">
        <v>0</v>
      </c>
      <c r="S46" s="17" t="n">
        <v>1</v>
      </c>
    </row>
    <row r="47" customFormat="1" s="3">
      <c r="A47" s="17" t="inlineStr">
        <is>
          <t>75129631Q</t>
        </is>
      </c>
      <c r="B47" s="17" t="inlineStr">
        <is>
          <t>Baena Morales, Salvador</t>
        </is>
      </c>
      <c r="C47" s="17" t="inlineStr">
        <is>
          <t>FUNCIONARIO</t>
        </is>
      </c>
      <c r="D47" s="17" t="n"/>
      <c r="E47" s="17" t="n"/>
      <c r="F47" s="17" t="n"/>
      <c r="G47" s="17" t="n"/>
      <c r="H47" s="17" t="n">
        <v>1</v>
      </c>
      <c r="I47" s="17" t="n"/>
      <c r="J47" s="17" t="n">
        <v>1</v>
      </c>
      <c r="K47" s="17" t="inlineStr">
        <is>
          <t>B112</t>
        </is>
      </c>
      <c r="L47" s="17" t="n">
        <v>0</v>
      </c>
      <c r="M47" s="17" t="n">
        <v>0</v>
      </c>
      <c r="N47" s="18" t="inlineStr"/>
      <c r="O47" s="17" t="inlineStr"/>
      <c r="P47" s="18" t="n">
        <v>100</v>
      </c>
      <c r="Q47" s="17" t="n">
        <v>0</v>
      </c>
      <c r="R47" s="17" t="n">
        <v>0</v>
      </c>
      <c r="S47" s="17" t="n">
        <v>1</v>
      </c>
    </row>
    <row r="48" customFormat="1" s="3">
      <c r="A48" s="17" t="inlineStr">
        <is>
          <t>76941801Q</t>
        </is>
      </c>
      <c r="B48" s="17" t="inlineStr">
        <is>
          <t>Iglesias Martínez, Marcos Jesús</t>
        </is>
      </c>
      <c r="C48" s="17" t="inlineStr">
        <is>
          <t>FUNCIONARIO</t>
        </is>
      </c>
      <c r="D48" s="17" t="n"/>
      <c r="E48" s="17" t="n">
        <v>1</v>
      </c>
      <c r="F48" s="17" t="n"/>
      <c r="G48" s="17" t="n">
        <v>1</v>
      </c>
      <c r="H48" s="17" t="n"/>
      <c r="I48" s="17" t="n"/>
      <c r="J48" s="17" t="n">
        <v>2</v>
      </c>
      <c r="K48" s="17" t="inlineStr">
        <is>
          <t>B112</t>
        </is>
      </c>
      <c r="L48" s="17" t="inlineStr">
        <is>
          <t>10.23</t>
        </is>
      </c>
      <c r="M48" s="17" t="inlineStr">
        <is>
          <t>20</t>
        </is>
      </c>
      <c r="N48" s="18" t="inlineStr">
        <is>
          <t>10.25</t>
        </is>
      </c>
      <c r="O48" s="17" t="inlineStr">
        <is>
          <t>30</t>
        </is>
      </c>
      <c r="P48" s="18" t="n">
        <v>50</v>
      </c>
      <c r="Q48" s="17" t="n">
        <v>0.4</v>
      </c>
      <c r="R48" s="17" t="n">
        <v>0.6</v>
      </c>
      <c r="S48" s="17" t="n">
        <v>1</v>
      </c>
    </row>
    <row r="49" customFormat="1" s="3">
      <c r="A49" s="17" t="inlineStr">
        <is>
          <t>79107466R</t>
        </is>
      </c>
      <c r="B49" s="17" t="inlineStr">
        <is>
          <t>Carbonell Martínez, José Antonio</t>
        </is>
      </c>
      <c r="C49" s="17" t="inlineStr">
        <is>
          <t>NO FUNCIONARIO</t>
        </is>
      </c>
      <c r="D49" s="17" t="n"/>
      <c r="E49" s="17" t="n">
        <v>1</v>
      </c>
      <c r="F49" s="17" t="n"/>
      <c r="G49" s="17" t="n"/>
      <c r="H49" s="17" t="n"/>
      <c r="I49" s="17" t="n"/>
      <c r="J49" s="17" t="n">
        <v>1</v>
      </c>
      <c r="K49" s="17" t="inlineStr">
        <is>
          <t>B112</t>
        </is>
      </c>
      <c r="L49" s="17" t="n">
        <v>0</v>
      </c>
      <c r="M49" s="17" t="n">
        <v>0</v>
      </c>
      <c r="N49" s="18" t="inlineStr"/>
      <c r="O49" s="17" t="inlineStr"/>
      <c r="P49" s="18" t="n">
        <v>100</v>
      </c>
      <c r="Q49" s="17" t="n">
        <v>0</v>
      </c>
      <c r="R49" s="17" t="n">
        <v>0</v>
      </c>
      <c r="S49" s="17" t="n">
        <v>1</v>
      </c>
    </row>
    <row r="50">
      <c r="A50" s="17" t="inlineStr">
        <is>
          <t>79160375X</t>
        </is>
      </c>
      <c r="B50" s="17" t="inlineStr">
        <is>
          <t>Esteve Faubel, Rosa Pilar</t>
        </is>
      </c>
      <c r="C50" s="17" t="inlineStr">
        <is>
          <t>NO FUNCIONARIO</t>
        </is>
      </c>
      <c r="D50" s="17" t="n"/>
      <c r="E50" s="17" t="n"/>
      <c r="F50" s="17" t="n"/>
      <c r="G50" s="17" t="n"/>
      <c r="H50" s="17" t="n"/>
      <c r="I50" s="17" t="n">
        <v>1</v>
      </c>
      <c r="J50" s="17" t="n">
        <v>1</v>
      </c>
      <c r="K50" s="17" t="inlineStr">
        <is>
          <t>B112</t>
        </is>
      </c>
      <c r="L50" s="17" t="n">
        <v>0</v>
      </c>
      <c r="M50" s="17" t="n">
        <v>0</v>
      </c>
      <c r="N50" s="18" t="inlineStr"/>
      <c r="O50" s="17" t="inlineStr"/>
      <c r="P50" s="18" t="n">
        <v>100</v>
      </c>
      <c r="Q50" s="17" t="n">
        <v>0</v>
      </c>
      <c r="R50" s="17" t="n">
        <v>0</v>
      </c>
      <c r="S50" s="17" t="n">
        <v>1</v>
      </c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5" t="n"/>
      <c r="O51" s="14" t="n"/>
      <c r="P51" s="15" t="n"/>
      <c r="Q51" s="14" t="n"/>
      <c r="R51" s="14" t="n"/>
      <c r="S51" s="16">
        <f>SUM(S2:S50)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E14" sqref="E14"/>
    </sheetView>
  </sheetViews>
  <sheetFormatPr baseColWidth="10" defaultRowHeight="15"/>
  <cols>
    <col width="16.42578125" customWidth="1" min="1" max="1"/>
    <col width="85.7109375" customWidth="1" min="2" max="2"/>
    <col width="15.42578125" customWidth="1" min="3" max="3"/>
  </cols>
  <sheetData>
    <row r="1">
      <c r="A1" s="44" t="inlineStr">
        <is>
          <t>Cód. org. aplic.</t>
        </is>
      </c>
      <c r="B1" s="44" t="inlineStr">
        <is>
          <t>Descripción justificante</t>
        </is>
      </c>
      <c r="C1" s="44" t="inlineStr">
        <is>
          <t>Imp.cob.aplic.</t>
        </is>
      </c>
    </row>
    <row r="2">
      <c r="A2" s="9" t="inlineStr">
        <is>
          <t>33.10.6C.00.01</t>
        </is>
      </c>
      <c r="B2" s="9" t="inlineStr">
        <is>
          <t>Pago mínimo regalías por transferencia de tecnología 2022</t>
        </is>
      </c>
      <c r="C2" s="90" t="n">
        <v>1800</v>
      </c>
    </row>
    <row r="3">
      <c r="A3" s="11" t="inlineStr">
        <is>
          <t>33.10.6C.00.12</t>
        </is>
      </c>
      <c r="B3" s="11" t="inlineStr">
        <is>
          <t xml:space="preserve">2ª fase del Proyecto Grupo Educaphys. Actividades concertadas en Fase 2.  Tratamiento de los datos recogidos, análisis cualitativos y cuantitativos de la información recolectada, elaboración y entrega del informe final del proyecto.   </t>
        </is>
      </c>
      <c r="C3" s="91" t="n">
        <v>1716</v>
      </c>
    </row>
    <row r="4">
      <c r="A4" s="9" t="inlineStr">
        <is>
          <t>33.10.6C.00.14</t>
        </is>
      </c>
      <c r="B4" s="9" t="inlineStr">
        <is>
          <t xml:space="preserve">Realización de investigación y LONG-LIFE LEARNING EN MATERIA DE COMPETENCIAS DIGITALES EN EL ÁMBITO DE EMPRESA PARA LA MEJORA DE LAS CAPACIDADES DE RECURSOS HUMANOS. </t>
        </is>
      </c>
      <c r="C4" s="90" t="n">
        <v>6160</v>
      </c>
    </row>
    <row r="5">
      <c r="A5" s="11" t="inlineStr">
        <is>
          <t>33.10.6C.00.15</t>
        </is>
      </c>
      <c r="B5" s="11" t="inlineStr">
        <is>
          <t xml:space="preserve">ELABORACIÓN DE UNA GUÍA EDUCATIVA DE NUTRICIÓN PARA JUGADORES DE BALONMANO.  </t>
        </is>
      </c>
      <c r="C5" s="91" t="n">
        <v>3080</v>
      </c>
    </row>
    <row r="6">
      <c r="A6" s="9" t="inlineStr">
        <is>
          <t>33.10.6C.00.16</t>
        </is>
      </c>
      <c r="B6" s="9" t="inlineStr">
        <is>
          <t>Redacción y maquetación de cuatro guías didácticas para el Espacio Memorialista del Fondó.  Expediente de contratación de referencia (2357/2023) Consignación presupuestaria 220230004104 (Gastos Diversos  Turismo)</t>
        </is>
      </c>
      <c r="C6" s="90" t="n">
        <v>1056</v>
      </c>
    </row>
    <row r="7">
      <c r="A7" s="11" t="inlineStr">
        <is>
          <t>33.10.6P.00.14</t>
        </is>
      </c>
      <c r="B7" s="11" t="inlineStr">
        <is>
          <t>DEVOLUCIÓN DE INGRESOS_MODELO 047_ Nº de liquidación:46/2023/RAS/10224/1_Número de justificante: 047/1/002367815_Nº de referencia:047/1/002367815</t>
        </is>
      </c>
      <c r="C7" s="91" t="n">
        <v>-96.8</v>
      </c>
    </row>
    <row r="8">
      <c r="A8" s="9" t="inlineStr">
        <is>
          <t>33.10.6P.00.15</t>
        </is>
      </c>
      <c r="B8" s="9" t="inlineStr">
        <is>
          <t>DEVOLUCIÓN DE INGRESOS_MODELO 047_ Nº de liquidación:46/2023/RAS/10224/1_Número de justificante: 047/1/002367815_Nº de referencia:047/1/002367815</t>
        </is>
      </c>
      <c r="C8" s="90" t="n">
        <v>-5000</v>
      </c>
    </row>
    <row r="9">
      <c r="A9" s="11" t="inlineStr">
        <is>
          <t>33.10.6P.00.22</t>
        </is>
      </c>
      <c r="B9" s="11" t="inlineStr">
        <is>
          <t xml:space="preserve">INNVA1/2022/16 INNVA1/2022/26 INNVA1/2022/34 INNVA1/2022/36 </t>
        </is>
      </c>
      <c r="C9" s="91" t="n">
        <v>84000.82000000001</v>
      </c>
    </row>
    <row r="10">
      <c r="A10" s="9" t="inlineStr">
        <is>
          <t>33.10.6P.00.24</t>
        </is>
      </c>
      <c r="B10" s="9" t="inlineStr">
        <is>
          <t>AYUDAS MEMUNI/2023/2, MEMUNI/2023/3, MEMUNI/2023/5</t>
        </is>
      </c>
      <c r="C10" s="90" t="n">
        <v>2820</v>
      </c>
    </row>
    <row r="11">
      <c r="A11" s="11" t="inlineStr">
        <is>
          <t>33.10.6P.00.26</t>
        </is>
      </c>
      <c r="B11" s="11" t="inlineStr">
        <is>
          <t>ayudas CIGE/2022/4-6-8-10-15-16-21-30-36-45-46-51-52- 54-55-105-170-179</t>
        </is>
      </c>
      <c r="C11" s="91" t="n">
        <v>5028</v>
      </c>
    </row>
    <row r="12">
      <c r="A12" s="9" t="inlineStr">
        <is>
          <t>33.10.6P.00.27</t>
        </is>
      </c>
      <c r="B12" s="9" t="inlineStr">
        <is>
          <t>ayudas CIGE/2022/4-6-8-10-15-16-21-30-36-45-46-51-52- 54-55-105-170-179</t>
        </is>
      </c>
      <c r="C12" s="90" t="n">
        <v>9000</v>
      </c>
    </row>
    <row r="13">
      <c r="A13" s="47" t="inlineStr">
        <is>
          <t>33.10.6P.00.28</t>
        </is>
      </c>
      <c r="B13" s="47" t="inlineStr">
        <is>
          <t>ayudas CIGE/2022/4-6-8-10-15-16-21-30-36-45-46-51-52- 54-55-105-170-179</t>
        </is>
      </c>
      <c r="C13" s="92" t="n">
        <v>10000</v>
      </c>
    </row>
    <row r="14">
      <c r="A14" s="49" t="inlineStr">
        <is>
          <t>Total</t>
        </is>
      </c>
      <c r="B14" s="49" t="n"/>
      <c r="C14" s="93">
        <f>SUBTOTAL(109,Tabla2[Imp.cob.aplic.])</f>
        <v/>
      </c>
    </row>
    <row r="15">
      <c r="C15" s="9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topLeftCell="A7" workbookViewId="0">
      <selection activeCell="B22" sqref="B22:C22"/>
    </sheetView>
  </sheetViews>
  <sheetFormatPr baseColWidth="10" defaultRowHeight="15"/>
  <cols>
    <col width="50.140625" customWidth="1" min="2" max="2"/>
    <col width="13.28515625" customWidth="1" min="3" max="3"/>
  </cols>
  <sheetData>
    <row r="1">
      <c r="A1" s="53" t="inlineStr">
        <is>
          <t>Org. aplic.</t>
        </is>
      </c>
      <c r="B1" s="53" t="inlineStr">
        <is>
          <t>Descripción justificante</t>
        </is>
      </c>
      <c r="C1" s="95" t="inlineStr">
        <is>
          <t>Imp. aplic.</t>
        </is>
      </c>
    </row>
    <row r="2">
      <c r="A2" s="51" t="inlineStr">
        <is>
          <t>33.10.6C.00.01</t>
        </is>
      </c>
      <c r="B2" s="51" t="inlineStr">
        <is>
          <t>Pago regalías 2023 por transferencia de tecnología - Ref. contrato EBT KINETICPERFORMANCE(EBT)-130</t>
        </is>
      </c>
      <c r="C2" s="90" t="n">
        <v>2471.24</v>
      </c>
    </row>
    <row r="3">
      <c r="A3" s="52" t="inlineStr">
        <is>
          <t>33.10.6C.00.17</t>
        </is>
      </c>
      <c r="B3" s="52" t="inlineStr">
        <is>
          <t>ASESORAMIENTO Y LA ASISTENCIA CIENTÍFICO-TÉCNICA EN ACTIVIDADES DE FORMACIÓN, INVESTIGACIÓN Y TRANSFERENCIA EN LOS ÁMBITOS Y OBJETIVOS INTERDISCIPLINARES REFERIDOS A LA FORMACIÓN PERMANENTE. REF. KIOBUS1-24A</t>
        </is>
      </c>
      <c r="C3" s="91" t="n">
        <v>30800</v>
      </c>
    </row>
    <row r="4">
      <c r="A4" s="51" t="inlineStr">
        <is>
          <t>33.10.6C.00.18</t>
        </is>
      </c>
      <c r="B4" s="51" t="inlineStr">
        <is>
          <t>Consultoría y asesoramiento científico-técnico en actividades específicas de formación e investigación de postgrado, y transferencia de resultados de investigación. FUNDORTEGAYGASSET1-24A</t>
        </is>
      </c>
      <c r="C4" s="90" t="n">
        <v>22704</v>
      </c>
    </row>
    <row r="5">
      <c r="A5" s="52" t="inlineStr">
        <is>
          <t>33.10.6P.00.20</t>
        </is>
      </c>
      <c r="B5" s="52" t="inlineStr">
        <is>
          <t>Ingreso formalización: PARA GASTOS DERIVADOS DE LA APLICACIÓN DE LA LEY 52/2007 SUBVENCIÓN CONCURRENCIA COMPETITIVA (JI-2022-2200)</t>
        </is>
      </c>
      <c r="C5" s="91" t="n">
        <v>2250</v>
      </c>
    </row>
    <row r="6">
      <c r="A6" s="51" t="inlineStr">
        <is>
          <t>33.10.6P.00.22</t>
        </is>
      </c>
      <c r="B6" s="51" t="inlineStr">
        <is>
          <t xml:space="preserve">ayudas INNVA1/2022/16, INNVA1/2022/26, INNVA1/2022/34, INNVA1/2022/36 </t>
        </is>
      </c>
      <c r="C6" s="90" t="n">
        <v>119153.79</v>
      </c>
    </row>
    <row r="7">
      <c r="A7" s="52" t="inlineStr">
        <is>
          <t>33.10.6P.00.26</t>
        </is>
      </c>
      <c r="B7" s="52" t="inlineStr">
        <is>
          <t>ayudas CIGE/2022/4, CIGE/2022/6, CIGE/2022/8, CIGE/2022/15, CIGE/2022/16, CIGE/2022/21, CIGE/2022/30, CIGE/2022/45, CIGE/2022/46, CIGE/2022/51, CIGE/2022/52, CIGE/2022/54, CIGE/2022/55, CIGE/2022/105, CIGE/2022/170, CIGE/2022/179</t>
        </is>
      </c>
      <c r="C7" s="91" t="n">
        <v>5000</v>
      </c>
    </row>
    <row r="8">
      <c r="A8" s="51" t="inlineStr">
        <is>
          <t>33.10.6P.00.26</t>
        </is>
      </c>
      <c r="B8" s="51" t="inlineStr">
        <is>
          <t>DEVOLUCIÓN DE INGRESOS_ MODELO 047_ Nº DE LIQUIDACIÓN: 46/2024/RAS/10325/1 Nº DE JUSTIFICANTE: 047/1/002551836_Nº DE REFERENCIA: 047/1/002551836</t>
        </is>
      </c>
      <c r="C8" s="90" t="n">
        <v>-1156.09</v>
      </c>
    </row>
    <row r="9">
      <c r="A9" s="52" t="inlineStr">
        <is>
          <t>33.10.6P.00.27</t>
        </is>
      </c>
      <c r="B9" s="52" t="inlineStr">
        <is>
          <t>ayudas CIGE/2022/4, CIGE/2022/6, CIGE/2022/8, CIGE/2022/15, CIGE/2022/16, CIGE/2022/21, CIGE/2022/30, CIGE/2022/45, CIGE/2022/46, CIGE/2022/51, CIGE/2022/52, CIGE/2022/54, CIGE/2022/55, CIGE/2022/105, CIGE/2022/170, CIGE/2022/179</t>
        </is>
      </c>
      <c r="C9" s="91" t="n">
        <v>6000</v>
      </c>
    </row>
    <row r="10">
      <c r="A10" s="51" t="inlineStr">
        <is>
          <t>33.10.6P.00.28</t>
        </is>
      </c>
      <c r="B10" s="51" t="inlineStr">
        <is>
          <t>ayudas CIGE/2022/4, CIGE/2022/6, CIGE/2022/8, CIGE/2022/15, CIGE/2022/16, CIGE/2022/21, CIGE/2022/30, CIGE/2022/45, CIGE/2022/46, CIGE/2022/51, CIGE/2022/52, CIGE/2022/54, CIGE/2022/55, CIGE/2022/105, CIGE/2022/170, CIGE/2022/179</t>
        </is>
      </c>
      <c r="C10" s="90" t="n">
        <v>10000</v>
      </c>
    </row>
    <row r="11">
      <c r="A11" s="52" t="inlineStr">
        <is>
          <t>33.10.6P.00.28</t>
        </is>
      </c>
      <c r="B11" s="52" t="inlineStr">
        <is>
          <t>DEVOLUCIÓN DE INGRESOS_ MODELO 047_ Nº DE LIQUIDACIÓN: 46/2024/RAS/10325/1 Nº DE JUSTIFICANTE: 047/1/002551836_Nº DE REFERENCIA: 047/1/002551836</t>
        </is>
      </c>
      <c r="C11" s="91" t="n">
        <v>-3698.59</v>
      </c>
    </row>
    <row r="12">
      <c r="A12" s="51" t="inlineStr">
        <is>
          <t>33.10.6P.00.29</t>
        </is>
      </c>
      <c r="B12" s="51" t="inlineStr">
        <is>
          <t>AYUDAS EN CONCURRENCIA COMPETITIVA A PROYECTOS DE SALVAGUARDIA DEL PATRIMONIO CULTURAL INMATERIAL A COMUNIDADES AUTONOMAS</t>
        </is>
      </c>
      <c r="C12" s="90" t="n">
        <v>16335</v>
      </c>
    </row>
    <row r="13">
      <c r="A13" s="52" t="inlineStr">
        <is>
          <t>33.10.6P.00.30</t>
        </is>
      </c>
      <c r="B13" s="52" t="inlineStr">
        <is>
          <t>ayudas CIAORG/2023/2, CIAORG/2023/4, CIAORG/2023/11, CIAORG/2023/15, CIAORG/2023/28, CIAORG/2023/40, CIAORG/2023/43, CIAORG/2023/54, CIAORG/2023/62, CIAORG/2023/65, CIAORG/2023/73, CIAORG/2023/91, CIAORG/2023/152, CIAORG/2023/154, CIAORG/2023/169, CIAORG/2023/170, CIAORG/2023/178 (LINEA DE SUBVENCIÓN S0296)</t>
        </is>
      </c>
      <c r="C13" s="91" t="n">
        <v>9000</v>
      </c>
    </row>
    <row r="14">
      <c r="A14" s="51" t="inlineStr">
        <is>
          <t>33.10.6P.00.31</t>
        </is>
      </c>
      <c r="B14" s="51" t="inlineStr">
        <is>
          <t>ayudas CIGE/2023/52, CIGE/2023/94, CIGE/2023/129, CIGE/2023/146, CIGE/2023/165, CIGE/2023/175, CIGE/2023/181, CIGE/2023/184, CIGE/2023/188, CIGE/2023/196, CIGE/2023/197, CIGE/2023/216, CIGE/2023/225, CIGE/2023/227 (LINEA SUBVENCIÓN S0296)</t>
        </is>
      </c>
      <c r="C14" s="90" t="n">
        <v>10000</v>
      </c>
    </row>
    <row r="15">
      <c r="A15" s="52" t="inlineStr">
        <is>
          <t>33.10.6P.00.32</t>
        </is>
      </c>
      <c r="B15" s="52" t="inlineStr">
        <is>
          <t>ayudas CIGE/2023/52, CIGE/2023/94, CIGE/2023/129, CIGE/2023/146, CIGE/2023/165, CIGE/2023/175, CIGE/2023/181, CIGE/2023/184, CIGE/2023/188, CIGE/2023/196, CIGE/2023/197, CIGE/2023/216, CIGE/2023/225, CIGE/2023/227 (LINEA SUBVENCIÓN S0296)</t>
        </is>
      </c>
      <c r="C15" s="91" t="n">
        <v>9950</v>
      </c>
    </row>
    <row r="16">
      <c r="A16" s="51" t="inlineStr">
        <is>
          <t>33.10.6P.00.33</t>
        </is>
      </c>
      <c r="B16" s="51" t="inlineStr">
        <is>
          <t>AYUDAS PID2023-146660OB-I00, PID2023-148259NB-I00, PID2023-148881OB-I00, PID2023-149456NB-I00, PID2023-149624NB-I00, PID2023-149643NB-I00, PID2023-149994NB-I00, PID2023-150750NB-I00, PID2023-150795NB-C22,PID2023-151958NB-I00, PID2023-151982NB-I00, PID2023-152305NB-I00, PID2023-152358NA-I00, PID2023-152372NB-I00, PID2023-152734NB-I00, PID2023-152869OB-C21, PID2023-153032NB-I00</t>
        </is>
      </c>
      <c r="C16" s="90" t="n">
        <v>23100</v>
      </c>
    </row>
    <row r="17">
      <c r="A17" s="52" t="inlineStr">
        <is>
          <t>33.10.6P.00.33</t>
        </is>
      </c>
      <c r="B17" s="52" t="inlineStr">
        <is>
          <t>Ayudas PID2023-146660OB-I00, PID2023-147126OB-I00, PID2023-148259NB-I00, PID2023-148881OB-I00, PID2023-149456NB-I00, PID2023-149562OB-I00, PID2023-149624NB-I00, PID2023-149643NB-I00, PID2023-149706OB-I00, PID2023-149994NB-I00, 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</t>
        </is>
      </c>
      <c r="C17" s="91" t="n">
        <v>4142.6</v>
      </c>
    </row>
    <row r="18">
      <c r="A18" s="55" t="inlineStr">
        <is>
          <t>33.10.6P.00.35</t>
        </is>
      </c>
      <c r="B18" s="55" t="inlineStr">
        <is>
          <t>109-MD-2024 ACTIVIDADES RELACIONADAS CON LA RECUPERACION DE LA MEMORIA DEMOCRÁTICA</t>
        </is>
      </c>
      <c r="C18" s="96" t="n">
        <v>3000</v>
      </c>
    </row>
    <row r="19">
      <c r="A19" s="55" t="inlineStr">
        <is>
          <t>Total</t>
        </is>
      </c>
      <c r="B19" s="55" t="n"/>
      <c r="C19" s="97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topLeftCell="A10" workbookViewId="0">
      <selection activeCell="B38" sqref="B38"/>
    </sheetView>
  </sheetViews>
  <sheetFormatPr baseColWidth="10" defaultRowHeight="15"/>
  <cols>
    <col width="17.85546875" customWidth="1" min="1" max="1"/>
    <col width="53.28515625" customWidth="1" min="2" max="2"/>
    <col width="19.5703125" customWidth="1" min="3" max="3"/>
  </cols>
  <sheetData>
    <row r="1">
      <c r="A1" s="73" t="inlineStr">
        <is>
          <t>Org. aplic.</t>
        </is>
      </c>
      <c r="B1" s="74" t="inlineStr">
        <is>
          <t>Descripción justificante</t>
        </is>
      </c>
      <c r="C1" s="74" t="inlineStr">
        <is>
          <t>Imp. aplic.</t>
        </is>
      </c>
    </row>
    <row r="2">
      <c r="A2" s="75" t="inlineStr">
        <is>
          <t>33.10.6C.00.01</t>
        </is>
      </c>
      <c r="B2" s="76" t="inlineStr">
        <is>
          <t>Pago mínimo de regalías por transferencia de tecnología 2024 - Ref. contrato de licencia: KINETICPERFORMANCE(EBT)1-13O</t>
        </is>
      </c>
      <c r="C2" s="98" t="n">
        <v>1800</v>
      </c>
    </row>
    <row r="3">
      <c r="A3" s="78" t="inlineStr">
        <is>
          <t>33.10.6C.00.18</t>
        </is>
      </c>
      <c r="B3" s="79" t="inlineStr">
        <is>
          <t>Pago del importe restante del presupuesto total tras la firma del contrato FUNDORTEGAYGASSET1-24A</t>
        </is>
      </c>
      <c r="C3" s="99" t="n">
        <v>22704</v>
      </c>
    </row>
    <row r="4">
      <c r="A4" s="75" t="inlineStr">
        <is>
          <t>33.10.6C.00.19</t>
        </is>
      </c>
      <c r="B4" s="76" t="inlineStr">
        <is>
          <t>ARASTI1-24TPA - Elaboración y diseño de material/programa formativo (guías) de ejercicio físico para personas mayores con determinadas patologías, siguiendo las directrices en la elaboración de acuerdo con la empresa ARASTI BARCA MS SL</t>
        </is>
      </c>
      <c r="C4" s="98" t="n">
        <v>4400</v>
      </c>
    </row>
    <row r="5">
      <c r="A5" s="78" t="inlineStr">
        <is>
          <t>33.10.6C.00.20</t>
        </is>
      </c>
      <c r="B5" s="79" t="inlineStr">
        <is>
          <t>Geolocalización de los lugares por los que pasaron los exiliados españoles en el norte de África (Túnez, Argelia y Marruecos)</t>
        </is>
      </c>
      <c r="C5" s="99" t="n">
        <v>704</v>
      </c>
    </row>
    <row r="6">
      <c r="A6" s="75" t="inlineStr">
        <is>
          <t>33.10.6C.00.21</t>
        </is>
      </c>
      <c r="B6" s="76" t="inlineStr">
        <is>
          <t>CONTRATO DE SERVICIOS DE ASESORAMIENTO Y FORMACIÓN A TRAVÉS DE CONFERENCIAS Y SEMINARIOS SOBRE CONCIENCIA CIUDADANA DENTRO DE LA LINEA DE INVESTIGACIÓN NOSOTROS PROPONEMOS - COEDUCACIÓN CIUDADANA. EXPEDIENTE: 2025/6900</t>
        </is>
      </c>
      <c r="C6" s="98" t="n">
        <v>440</v>
      </c>
    </row>
    <row r="7">
      <c r="A7" s="78" t="inlineStr">
        <is>
          <t>33.10.6C.00.22</t>
        </is>
      </c>
      <c r="B7" s="79" t="inlineStr">
        <is>
          <t>Evaluación longitudinal del rendimiento y del entrenamiento en nadadores absolutos y jóvenes. CLUBASPRILLAS1-25I Primera aportación para contribuir con los gastos necesarios para financiar la investigación anual.</t>
        </is>
      </c>
      <c r="C7" s="99" t="n">
        <v>363.63</v>
      </c>
    </row>
    <row r="8">
      <c r="A8" s="75" t="inlineStr">
        <is>
          <t>33.10.6C.00.23</t>
        </is>
      </c>
      <c r="B8" s="76" t="inlineStr">
        <is>
          <t>Consultoría y asesoramiento científico-técnico en actividades específicas de formación e investigación de postgrado, y transferencia de resultados de investigación. FUNDORTEGAYGASSET1-25A Abono del primer pago del 50% del presupuesto total (22.612,50 euros) tras la firma del Contrato</t>
        </is>
      </c>
      <c r="C8" s="98" t="n">
        <v>19899</v>
      </c>
    </row>
    <row r="9">
      <c r="A9" s="78" t="inlineStr">
        <is>
          <t>33.10.6C.00.23</t>
        </is>
      </c>
      <c r="B9" s="79" t="inlineStr">
        <is>
          <t>Consultoría y asesoramiento científico-técnico en actividades específicas de formación e investigación de postgrado, y transferencia de resultados de investigación. FUNDORTEGAYGASSET1-25A Abono del segundo pago del importe restante (22.612,50€) en el mes de diciembre de 2025</t>
        </is>
      </c>
      <c r="C9" s="99" t="n">
        <v>19899</v>
      </c>
    </row>
    <row r="10">
      <c r="A10" s="75" t="inlineStr">
        <is>
          <t>33.10.6C.00.24</t>
        </is>
      </c>
      <c r="B10" s="76" t="inlineStr">
        <is>
          <t>Realización de servicios requeridos en la primera fase del proyecto de investigación "Construyendo hábitos saludables en jóvenes - Muévete" Toma de contacto con centros educativos del municipio y exposición del estudio de investigación; Gestionar autorizaciones de Consellería Educación y Centros Docentes implicados; Preparación y validación de las herramientas de investigación (41,3223 €/hora, 30 horas)Toma de contacto con centros educativos del municipio y exposición del estudio de investigación; Gestionar autorizaciones de Consellería Educación y Centros Docentes implicados; Preparación y validación de las herramientas de investigación (41,3223 €/hora, 30 horas)</t>
        </is>
      </c>
      <c r="C10" s="98" t="n">
        <v>1090.91</v>
      </c>
    </row>
    <row r="11">
      <c r="A11" s="78" t="inlineStr">
        <is>
          <t>33.10.6C.00.25</t>
        </is>
      </c>
      <c r="B11" s="79" t="inlineStr">
        <is>
          <t>Evaluación del rendimiento y entrenamiento en nadadores de categorías de formación jóvenes. CLUBLEUCANTE1-25I. Primera aportación, tras la firma del contrato, para contribuir con los gastos necesarios para financiar la investigación anual</t>
        </is>
      </c>
      <c r="C11" s="99" t="n">
        <v>363.63</v>
      </c>
    </row>
    <row r="12">
      <c r="A12" s="75" t="inlineStr">
        <is>
          <t>33.10.6D.00.01</t>
        </is>
      </c>
      <c r="B12" s="76" t="inlineStr">
        <is>
          <t>INGRESO PERCIBIDO POR LA UNIVERSIDAD DE ALICANTE EN CONCEPTO DE CONVENIO DE COLABORACIÓN PARA EL MANTENIMIENTO DE LA CÁTEDRA DE ARTE CONTEMPORÁNEO ANTONI MIRÓ DE LA UNIVERSITAT D'ALACANT.</t>
        </is>
      </c>
      <c r="C12" s="98" t="n">
        <v>9681.65</v>
      </c>
    </row>
    <row r="13">
      <c r="A13" s="78" t="inlineStr">
        <is>
          <t>33.10.6G.00.05</t>
        </is>
      </c>
      <c r="B13" s="79" t="inlineStr">
        <is>
          <t>INGRESO INSCRIPCIONES CONGRESO INTERNACIONAL: LA ESPAÑA DEL DESARROLLISMO. LA GRAN TRANSFORMACIÓN SOCIAL (1957-1975)</t>
        </is>
      </c>
      <c r="C13" s="99" t="n">
        <v>1670</v>
      </c>
    </row>
    <row r="14">
      <c r="A14" s="75" t="inlineStr">
        <is>
          <t>33.10.6P.00.22</t>
        </is>
      </c>
      <c r="B14" s="76" t="inlineStr">
        <is>
          <t xml:space="preserve">Minoración Ayuda INNVA1/2022/34 </t>
        </is>
      </c>
      <c r="C14" s="98" t="n">
        <v>-7668.32</v>
      </c>
    </row>
    <row r="15">
      <c r="A15" s="78" t="inlineStr">
        <is>
          <t>33.10.6P.00.22</t>
        </is>
      </c>
      <c r="B15" s="79" t="inlineStr">
        <is>
          <t>Minoración Ayuda INNVA1/2022/34</t>
        </is>
      </c>
      <c r="C15" s="99" t="n">
        <v>-1231.79</v>
      </c>
    </row>
    <row r="16">
      <c r="A16" s="75" t="inlineStr">
        <is>
          <t>33.10.6P.00.22</t>
        </is>
      </c>
      <c r="B16" s="76" t="inlineStr">
        <is>
          <t xml:space="preserve">Minoración Ayuda INNVA1/2022/34 </t>
        </is>
      </c>
      <c r="C16" s="98" t="n">
        <v>-198.67</v>
      </c>
    </row>
    <row r="17">
      <c r="A17" s="78" t="inlineStr">
        <is>
          <t>33.10.6P.00.26</t>
        </is>
      </c>
      <c r="B17" s="79" t="inlineStr">
        <is>
          <t>DEVOLUCIÓN DE INGRESOS_MODELO 047_CIGE 2022</t>
        </is>
      </c>
      <c r="C17" s="99" t="n">
        <v>-2.96</v>
      </c>
    </row>
    <row r="18">
      <c r="A18" s="75" t="inlineStr">
        <is>
          <t>33.10.6P.00.27</t>
        </is>
      </c>
      <c r="B18" s="76" t="inlineStr">
        <is>
          <t>DEVOLUCIÓN DE INGRESOS_MODELO 047_CIGE 2022</t>
        </is>
      </c>
      <c r="C18" s="98" t="n">
        <v>-6000</v>
      </c>
    </row>
    <row r="19">
      <c r="A19" s="78" t="inlineStr">
        <is>
          <t>33.10.6P.00.28</t>
        </is>
      </c>
      <c r="B19" s="79" t="inlineStr">
        <is>
          <t>DEVOLUCIÓN DE INGRESOS_MODELO 047_CIGE 2022</t>
        </is>
      </c>
      <c r="C19" s="99" t="n">
        <v>-4378.56</v>
      </c>
    </row>
    <row r="20">
      <c r="A20" s="75" t="inlineStr">
        <is>
          <t>33.10.6P.00.31</t>
        </is>
      </c>
      <c r="B20" s="76" t="inlineStr">
        <is>
          <t xml:space="preserve">CIGE/2023/52/94/129/146/165/175/181/184/188/196/197/216/225/227. EN CIGE/2023/196 HAY UNA REASIGNACIÓN DEL IMPORTE (EN JI-2024-3632 SE PRODUCE UNA MINORACIÓN DE 9879,02 Y SE ASIGNA A ESTE AÑO) </t>
        </is>
      </c>
      <c r="C20" s="98" t="n">
        <v>10000</v>
      </c>
    </row>
    <row r="21">
      <c r="A21" s="78" t="inlineStr">
        <is>
          <t>33.10.6P.00.31</t>
        </is>
      </c>
      <c r="B21" s="79" t="inlineStr">
        <is>
          <t>Minoración Ayudas CIGE/2023/52, CIGE/2023/94, CIGE/2023/129, CIGE/2023/146, CIGE/2023/165, CIGE/2023/175, CIGE/2023/181, CIGE/2023/184, CIGE/2023/188, CIGE/2023/197, CIGE/2023/216,  CIGE/2023/227 (LINEA SUBVENCIÓN S0296)</t>
        </is>
      </c>
      <c r="C21" s="99" t="n">
        <v>-5403.87</v>
      </c>
    </row>
    <row r="22">
      <c r="A22" s="75" t="inlineStr">
        <is>
          <t>33.10.6P.00.32</t>
        </is>
      </c>
      <c r="B22" s="76" t="inlineStr">
        <is>
          <t xml:space="preserve">CIGE/2023/52/94/129/146/165/175/181/184/188/196/197/216/225/227. EN CIGE/2023/196 HAY UNA REASIGNACIÓN DEL IMPORTE (EN JI-2024-3632 SE PRODUCE UNA MINORACIÓN DE 9879,02 Y SE ASIGNA A ESTE AÑO) </t>
        </is>
      </c>
      <c r="C22" s="98" t="n">
        <v>10000</v>
      </c>
    </row>
    <row r="23">
      <c r="A23" s="78" t="inlineStr">
        <is>
          <t>33.10.6P.00.32</t>
        </is>
      </c>
      <c r="B23" s="79" t="inlineStr">
        <is>
          <t>Minoración Ayudas CIGE/2023/52, CIGE/2023/94, CIGE/2023/129, CIGE/2023/146, CIGE/2023/165, CIGE/2023/175, CIGE/2023/181, CIGE/2023/184, CIGE/2023/188, CIGE/2023/197, CIGE/2023/216,  CIGE/2023/227 (LINEA SUBVENCIÓN S0296)</t>
        </is>
      </c>
      <c r="C23" s="99" t="n">
        <v>-3088.25</v>
      </c>
    </row>
    <row r="24">
      <c r="A24" s="75" t="inlineStr">
        <is>
          <t>33.10.6P.00.33</t>
        </is>
      </c>
      <c r="B24" s="76" t="inlineStr">
        <is>
          <t>AYUDAS PID2023-146660OB-I00,PID2023-147126OB-I00, PID2023-148259NB-I00, PID2023-148881OB-I00, , PID2023-149456NB-I00,PID2023-149562OB-I00, PID2023-149624NB-I00, ,PID2023-149643NB-I00,PID2023-149706OB-I00,PID2023-149994NB-I00,PID2023-150750NB-I00,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PID2023-153032NB-I00,</t>
        </is>
      </c>
      <c r="C24" s="98" t="n">
        <v>3418.8</v>
      </c>
    </row>
    <row r="25">
      <c r="A25" s="78" t="inlineStr">
        <is>
          <t>33.10.6P.00.36</t>
        </is>
      </c>
      <c r="B25" s="79" t="inlineStr">
        <is>
          <t xml:space="preserve">CIAORG/2024/003. CIAORG/2024/005.  CIAORG/2024/017. CIAORG/2024/035. CIAORG/2024/079. CIAORG/2024/085. CIAORG/2024/098. CIAORG/2024/123. CIAORG/2024/158. CIAORG/2024/187. CIAORG/2024/193         </t>
        </is>
      </c>
      <c r="C25" s="99" t="n">
        <v>8800</v>
      </c>
    </row>
    <row r="26">
      <c r="A26" s="75" t="inlineStr">
        <is>
          <t>33.10.6P.00.37</t>
        </is>
      </c>
      <c r="B26" s="76" t="inlineStr">
        <is>
          <t>INREIA/2024/151/176/188. AYUDAS PARA PROYECTOS DE DESARROLLO EXPERIMENTAL EN EL ÁREA DE LA INTELIGENCIA ARTIFICIAL Y EL IMPULSO AL DESARROLLO DE ESPACIOS DE DATOS SECTORIALES. Línea Subvención: S1470</t>
        </is>
      </c>
      <c r="C26" s="98" t="n">
        <v>77426.8</v>
      </c>
    </row>
    <row r="27">
      <c r="A27" s="78" t="inlineStr">
        <is>
          <t>33.10.6P.00.39</t>
        </is>
      </c>
      <c r="B27" s="79" t="inlineStr">
        <is>
          <t>Ingreso ayudas CIGE/2024/56/95/108/145/178/184/194/199/200/201/202/203/204/205/208/209/212/213</t>
        </is>
      </c>
      <c r="C27" s="99" t="n">
        <v>4000</v>
      </c>
    </row>
    <row r="28">
      <c r="A28" s="75" t="inlineStr">
        <is>
          <t>33.10.6P.00.40</t>
        </is>
      </c>
      <c r="B28" s="76" t="inlineStr">
        <is>
          <t>Ingreso ayudas CIGE/2024/56/95/108/145/178/184/194/199/200/201/202/203/204/205/208/209/212/213</t>
        </is>
      </c>
      <c r="C28" s="98" t="n">
        <v>3975</v>
      </c>
    </row>
    <row r="29">
      <c r="A29" s="78" t="inlineStr">
        <is>
          <t>33.10.6P.00.41</t>
        </is>
      </c>
      <c r="B29" s="79" t="inlineStr">
        <is>
          <t>Ingreso subvención para la realización de investigaciones feministas_29-01-ID25</t>
        </is>
      </c>
      <c r="C29" s="99" t="n">
        <v>20809</v>
      </c>
    </row>
    <row r="30">
      <c r="A30" s="75" t="inlineStr">
        <is>
          <t>33.10.6Q.00.01</t>
        </is>
      </c>
      <c r="B30" s="76" t="inlineStr">
        <is>
          <t>Subvencion Nominativa Catedra Camilo Cano de Cultura para el Deporte y Deporte para la Cultura. Decreto N.: 2024-2601</t>
        </is>
      </c>
      <c r="C30" s="98" t="n">
        <v>52100</v>
      </c>
    </row>
    <row r="31">
      <c r="A31" s="78" t="inlineStr">
        <is>
          <t>33.10.6Q.00.03</t>
        </is>
      </c>
      <c r="B31" s="79" t="inlineStr">
        <is>
          <t>CONVENIO COLABORACIÓN CÁTEDRA DE ARTE CONTEMPORÁNEO ANTONI MIRÓ.  CONVENIO ENTRE AYTO. DE ALCOY Y UNIVERSIDAD DE ALICANTE</t>
        </is>
      </c>
      <c r="C31" s="99" t="n">
        <v>4000</v>
      </c>
    </row>
    <row r="32" ht="15.75" customHeight="1" thickBot="1">
      <c r="A32" s="75" t="inlineStr">
        <is>
          <t>33.10.6Q.00.03</t>
        </is>
      </c>
      <c r="B32" s="76" t="inlineStr">
        <is>
          <t>ANULACIÓN DE DERECHO REFERENTE A CONVENIO COLABORACIÓN CÁTEDRA DE ARTE CONTEMPORÁNEO ANTONI MIRÓ.  CONVENIO ENTRE AYTO. DE ALCOY Y UNIVERSIDAD DE ALICANTE.</t>
        </is>
      </c>
      <c r="C32" s="98" t="n">
        <v>-307.73</v>
      </c>
    </row>
    <row r="33" ht="15.75" customHeight="1" thickTop="1">
      <c r="A33" s="81" t="inlineStr">
        <is>
          <t>Total</t>
        </is>
      </c>
      <c r="B33" s="82" t="n"/>
      <c r="C33" s="100" t="n">
        <v>249265.27</v>
      </c>
    </row>
    <row r="37">
      <c r="B37" s="64" t="inlineStr">
        <is>
          <t>Total ingresos investigación 2023-25</t>
        </is>
      </c>
      <c r="C37" s="101">
        <f>Tabla3[[#Totals],[Imp. aplic.]]+Tabla2[[#Totals],[Imp.cob.aplic.]]+C33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F12" sqref="F12"/>
    </sheetView>
  </sheetViews>
  <sheetFormatPr baseColWidth="10" defaultRowHeight="15"/>
  <cols>
    <col width="16.42578125" customWidth="1" min="1" max="1"/>
    <col width="74.42578125" customWidth="1" min="2" max="2"/>
    <col width="15.42578125" customWidth="1" min="3" max="3"/>
  </cols>
  <sheetData>
    <row r="1">
      <c r="A1" s="59" t="inlineStr">
        <is>
          <t>Cód. org. aplic.</t>
        </is>
      </c>
      <c r="B1" s="59" t="inlineStr">
        <is>
          <t>Descripción justificante</t>
        </is>
      </c>
      <c r="C1" s="59" t="inlineStr">
        <is>
          <t>Imp.cob.aplic.</t>
        </is>
      </c>
    </row>
    <row r="2">
      <c r="A2" s="60" t="inlineStr">
        <is>
          <t>10.91.2T.00.08</t>
        </is>
      </c>
      <c r="B2" s="60" t="inlineStr">
        <is>
          <t xml:space="preserve">Plan_GH76 Curso_2022-23 Emitido_2022-23 - CONGRESO INTERNACIONAL EDUCACIÓN Y CONOCIMIENTO </t>
        </is>
      </c>
      <c r="C2" s="102" t="n">
        <v>637.5</v>
      </c>
    </row>
    <row r="3" customFormat="1" s="46">
      <c r="A3" s="61" t="inlineStr">
        <is>
          <t>10.91.2T.00.11</t>
        </is>
      </c>
      <c r="B3" s="61" t="inlineStr">
        <is>
          <t xml:space="preserve">Plan_GH91 Curso_2022-23 Emitido_2022-23 -Blogs. Un recurso para el aula </t>
        </is>
      </c>
      <c r="C3" s="103" t="n">
        <v>331.5</v>
      </c>
    </row>
    <row r="4">
      <c r="A4" s="60" t="inlineStr">
        <is>
          <t>10.91.2T.00.12</t>
        </is>
      </c>
      <c r="B4" s="60" t="inlineStr">
        <is>
          <t xml:space="preserve">Plan_GH93 Curso_2022-23 Emitido_2022-23 - DISEÑO Y CREACIÓN DE WEBQUESTS. APRENDIZAJE A TRAVÉS DE INTERNET </t>
        </is>
      </c>
      <c r="C4" s="102" t="n">
        <v>280.5</v>
      </c>
    </row>
    <row r="5" customFormat="1" s="46">
      <c r="A5" s="61" t="inlineStr">
        <is>
          <t>10.91.2T.00.14</t>
        </is>
      </c>
      <c r="B5" s="61" t="inlineStr">
        <is>
          <t>Plan_GH92 Curso_2022-23 Emitido_2022-23 - DISEÑO DE MURALES MULTIMEDIA EN INTERNET COMO RECURSO DIDÁCTICO</t>
        </is>
      </c>
      <c r="C5" s="103" t="n">
        <v>433.5</v>
      </c>
    </row>
    <row r="6">
      <c r="A6" s="60" t="inlineStr">
        <is>
          <t>10.91.2T.00.15</t>
        </is>
      </c>
      <c r="B6" s="60" t="inlineStr">
        <is>
          <t xml:space="preserve">Plan_GI82 Curso_2022-23 Emitido_2022-23 - METODOLOGÍA DE LA ENSEÑANZA EN BALONCESTO </t>
        </is>
      </c>
      <c r="C6" s="102" t="n">
        <v>4258.5</v>
      </c>
    </row>
    <row r="7" customFormat="1" s="46">
      <c r="A7" s="61" t="inlineStr">
        <is>
          <t>10.91.2T.00.19</t>
        </is>
      </c>
      <c r="B7" s="61" t="inlineStr">
        <is>
          <t xml:space="preserve">LIQ-TitProp_GH77-1 Curso_2023-24 AñoCont_2023 - CONGRESO INTERNACIONAL HUMANIDADES Y CONOCIMIENTO </t>
        </is>
      </c>
      <c r="C7" s="103" t="n">
        <v>382.5</v>
      </c>
    </row>
    <row r="8">
      <c r="A8" s="60" t="inlineStr">
        <is>
          <t>10.91.2T.00.23</t>
        </is>
      </c>
      <c r="B8" s="60" t="inlineStr">
        <is>
          <t xml:space="preserve">LIQ-TitProp_GJ96-1 Curso_2023-24 AñoCont_2023 - SALUD Y VALORES OLÍMPICOS: UN ENFOQUE PRÁCTICO PARA INSPIRARTE Y MOTIVAR </t>
        </is>
      </c>
      <c r="C8" s="102" t="n">
        <v>255</v>
      </c>
    </row>
    <row r="9">
      <c r="A9" s="45" t="inlineStr">
        <is>
          <t>Total</t>
        </is>
      </c>
      <c r="B9" s="45" t="n"/>
      <c r="C9" s="104">
        <f>SUBTOTAL(109,Tabla46[Imp.cob.aplic.])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B12" sqref="B12"/>
    </sheetView>
  </sheetViews>
  <sheetFormatPr baseColWidth="10" defaultRowHeight="15"/>
  <cols>
    <col width="16.42578125" customWidth="1" min="1" max="1"/>
    <col width="74.42578125" customWidth="1" min="2" max="2"/>
    <col width="15.42578125" customWidth="1" min="3" max="3"/>
  </cols>
  <sheetData>
    <row r="1">
      <c r="A1" s="59" t="inlineStr">
        <is>
          <t>Cód. org. aplic.</t>
        </is>
      </c>
      <c r="B1" s="59" t="inlineStr">
        <is>
          <t>Descripción justificante</t>
        </is>
      </c>
      <c r="C1" s="59" t="inlineStr">
        <is>
          <t>Imp.cob.aplic.</t>
        </is>
      </c>
    </row>
    <row r="2">
      <c r="A2" s="60" t="inlineStr">
        <is>
          <t>10.91.2T.00.08</t>
        </is>
      </c>
      <c r="B2" s="60" t="inlineStr">
        <is>
          <t xml:space="preserve">LIQ-TitProp_GK20-1 Curso_2023-24 AñoCont_2024 - CONGRESO INTERNACIONAL EDUCACIÓN Y CONOCIMIENTO 2024 </t>
        </is>
      </c>
      <c r="C2" s="102" t="n">
        <v>510</v>
      </c>
    </row>
    <row r="3" customFormat="1" s="46">
      <c r="A3" s="61" t="inlineStr">
        <is>
          <t>10.91.2T.00.19</t>
        </is>
      </c>
      <c r="B3" s="61" t="inlineStr">
        <is>
          <t xml:space="preserve">LIQ-TitProp_GK84-1 Curso_2024-25 AñoCont_2024 - III CONGRESO INTERNACIONAL HUMANIDADES Y CONOCIMIENTO (2024) </t>
        </is>
      </c>
      <c r="C3" s="103" t="n">
        <v>340</v>
      </c>
    </row>
    <row r="4">
      <c r="A4" s="45" t="inlineStr">
        <is>
          <t>Total</t>
        </is>
      </c>
      <c r="B4" s="45" t="n"/>
      <c r="C4" s="105">
        <f>SUBTOTAL(109,Tabla468[Imp.cob.aplic.])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D18" sqref="D18"/>
    </sheetView>
  </sheetViews>
  <sheetFormatPr baseColWidth="10" defaultRowHeight="15"/>
  <cols>
    <col width="16.5703125" customWidth="1" min="1" max="1"/>
    <col width="50.28515625" customWidth="1" min="2" max="2"/>
    <col width="13.85546875" customWidth="1" min="3" max="3"/>
  </cols>
  <sheetData>
    <row r="1">
      <c r="A1" s="73" t="inlineStr">
        <is>
          <t>Org. aplic.</t>
        </is>
      </c>
      <c r="B1" s="74" t="inlineStr">
        <is>
          <t>Descripción justificante</t>
        </is>
      </c>
      <c r="C1" s="106" t="inlineStr">
        <is>
          <t>Imp. aplic.</t>
        </is>
      </c>
    </row>
    <row r="2">
      <c r="A2" s="75" t="inlineStr">
        <is>
          <t>10.91.2T.00.08</t>
        </is>
      </c>
      <c r="B2" s="76" t="inlineStr">
        <is>
          <t>LIQ-TitProp_GM78-N Curso_2024-25 AñoCont_2025 - 4º CONGRESO INTERNACIONAL: EDUCACIÓN Y CONOCIMIENTO</t>
        </is>
      </c>
      <c r="C2" s="98" t="n">
        <v>204</v>
      </c>
    </row>
    <row r="3">
      <c r="A3" s="78" t="inlineStr">
        <is>
          <t>10.91.2T.00.19</t>
        </is>
      </c>
      <c r="B3" s="79" t="inlineStr">
        <is>
          <t xml:space="preserve">LIQ-TitProp_GM87-N Curso_2025-26 AñoCont_2025 - 4º CONGRESO INTERNACIONAL HUMANIDADES Y CONOCIMIENTO </t>
        </is>
      </c>
      <c r="C3" s="99" t="n">
        <v>153</v>
      </c>
    </row>
    <row r="4">
      <c r="A4" s="75" t="inlineStr">
        <is>
          <t>10.91.2T.01.60</t>
        </is>
      </c>
      <c r="B4" s="76" t="inlineStr">
        <is>
          <t>CÓD: GM35. COMPETENCIAS GEOESPACIALES, TECNOLOGÍAS E IA PARA LA ENSEÑANZA DE LA GEOGRAFÍA</t>
        </is>
      </c>
      <c r="C4" s="98" t="n">
        <v>481.95</v>
      </c>
    </row>
    <row r="5" ht="15.75" customHeight="1" thickBot="1">
      <c r="A5" s="78" t="inlineStr">
        <is>
          <t>10.91.2T.01.61</t>
        </is>
      </c>
      <c r="B5" s="79" t="inlineStr">
        <is>
          <t>LIQ-TitProp_GM35-N Curso_2024-25 AñoCont_2025 - COMPETENCIAS GEOESPACIALES, TECNOLOGÍAS E INTELIGENCIA ARTIFICIAL PARA LA</t>
        </is>
      </c>
      <c r="C5" s="99" t="n">
        <v>299.7</v>
      </c>
    </row>
    <row r="6" ht="15.75" customHeight="1" thickTop="1">
      <c r="A6" s="81" t="inlineStr">
        <is>
          <t>Total</t>
        </is>
      </c>
      <c r="B6" s="82" t="n"/>
      <c r="C6" s="107" t="n">
        <v>1138.65</v>
      </c>
    </row>
    <row r="9">
      <c r="B9" s="64" t="inlineStr">
        <is>
          <t>Total ingresos de formación 2023-25</t>
        </is>
      </c>
      <c r="C9" s="108">
        <f>C6+Tabla46[[#Totals],[Imp.cob.aplic.]]+Tabla468[[#Totals],[Imp.cob.aplic.]]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ddmdp@ua.es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2026-05-28T21:59:10Z</dcterms:modified>
  <cp:lastModifiedBy>mayte.pujalte</cp:lastModifiedBy>
</cp:coreProperties>
</file>