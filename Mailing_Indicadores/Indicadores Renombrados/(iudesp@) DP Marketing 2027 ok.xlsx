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855" firstSheet="2"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'Tesis'!$A$1:$U$4</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9">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b val="1"/>
      <color theme="0"/>
      <sz val="11"/>
      <scheme val="minor"/>
    </font>
    <font>
      <name val="Calibri"/>
      <family val="2"/>
      <b val="1"/>
      <color theme="1"/>
      <sz val="11"/>
      <scheme val="minor"/>
    </font>
    <font>
      <name val="Calibri"/>
      <family val="2"/>
      <color theme="1"/>
      <sz val="11"/>
      <scheme val="minor"/>
    </font>
    <font>
      <name val="Arial"/>
      <family val="2"/>
      <b val="1"/>
      <color theme="0"/>
      <sz val="10"/>
    </font>
    <font>
      <name val="Arial"/>
      <family val="2"/>
      <b val="1"/>
      <color theme="1"/>
      <sz val="10"/>
    </font>
    <font>
      <name val="Arial"/>
      <family val="2"/>
      <b val="1"/>
      <color theme="0"/>
      <sz val="10"/>
    </font>
    <font>
      <name val="Arial"/>
      <family val="2"/>
      <color theme="1"/>
      <sz val="10"/>
    </font>
    <font>
      <name val="Arial"/>
      <family val="2"/>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3" fillId="0" borderId="0"/>
    <xf numFmtId="0" fontId="2" fillId="0" borderId="0"/>
    <xf numFmtId="0" fontId="5" fillId="0" borderId="0"/>
    <xf numFmtId="0" fontId="5" fillId="0" borderId="0"/>
    <xf numFmtId="0" fontId="6" fillId="0" borderId="0"/>
    <xf numFmtId="0" fontId="1" fillId="0" borderId="0"/>
    <xf numFmtId="167" fontId="13" fillId="0" borderId="0"/>
  </cellStyleXfs>
  <cellXfs count="113">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4" borderId="1" pivotButton="0" quotePrefix="0" xfId="1"/>
    <xf numFmtId="0" fontId="2" fillId="4" borderId="1" applyAlignment="1" pivotButton="0" quotePrefix="0" xfId="1">
      <alignment horizontal="right"/>
    </xf>
    <xf numFmtId="0" fontId="2" fillId="4" borderId="2" pivotButton="0" quotePrefix="0" xfId="1"/>
    <xf numFmtId="0" fontId="2" fillId="4" borderId="2" applyAlignment="1" pivotButton="0" quotePrefix="0" xfId="1">
      <alignment horizontal="right"/>
    </xf>
    <xf numFmtId="1" fontId="2" fillId="4" borderId="2" pivotButton="0" quotePrefix="0" xfId="1"/>
    <xf numFmtId="164" fontId="2" fillId="4" borderId="2" pivotButton="0" quotePrefix="0" xfId="1"/>
    <xf numFmtId="0" fontId="10" fillId="6" borderId="1" applyAlignment="1" pivotButton="0" quotePrefix="0" xfId="0">
      <alignment horizontal="left" vertical="center"/>
    </xf>
    <xf numFmtId="0" fontId="10" fillId="6" borderId="3"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2" fillId="0" borderId="1" pivotButton="0" quotePrefix="0" xfId="1"/>
    <xf numFmtId="165" fontId="2" fillId="4" borderId="2" pivotButton="0" quotePrefix="0" xfId="1"/>
    <xf numFmtId="0" fontId="10" fillId="6" borderId="1" applyAlignment="1" pivotButton="0" quotePrefix="0" xfId="0">
      <alignment horizontal="left" vertical="center" wrapText="1"/>
    </xf>
    <xf numFmtId="0" fontId="2" fillId="0" borderId="1" pivotButton="0" quotePrefix="0" xfId="0"/>
    <xf numFmtId="166" fontId="6" fillId="8" borderId="6" pivotButton="0" quotePrefix="0" xfId="6"/>
    <xf numFmtId="166" fontId="6" fillId="0" borderId="6" pivotButton="0" quotePrefix="0" xfId="6"/>
    <xf numFmtId="0" fontId="9" fillId="8" borderId="6" pivotButton="0" quotePrefix="0" xfId="0"/>
    <xf numFmtId="0" fontId="9" fillId="0" borderId="6" pivotButton="0" quotePrefix="0" xfId="0"/>
    <xf numFmtId="166" fontId="0" fillId="0" borderId="0" pivotButton="0" quotePrefix="0" xfId="0"/>
    <xf numFmtId="0" fontId="0" fillId="9" borderId="0" pivotButton="0" quotePrefix="0" xfId="0"/>
    <xf numFmtId="0" fontId="0" fillId="9" borderId="0" applyAlignment="1" pivotButton="0" quotePrefix="0" xfId="0">
      <alignment horizontal="left"/>
    </xf>
    <xf numFmtId="164" fontId="4" fillId="3" borderId="1" applyAlignment="1" pivotButton="0" quotePrefix="0" xfId="1">
      <alignment horizontal="center"/>
    </xf>
    <xf numFmtId="0" fontId="10" fillId="6" borderId="1" applyAlignment="1" pivotButton="0" quotePrefix="0" xfId="0">
      <alignment horizontal="right" vertical="center"/>
    </xf>
    <xf numFmtId="164" fontId="2" fillId="4" borderId="2" applyAlignment="1" pivotButton="0" quotePrefix="0" xfId="1">
      <alignment horizontal="right"/>
    </xf>
    <xf numFmtId="0" fontId="2" fillId="0" borderId="1" applyAlignment="1" pivotButton="0" quotePrefix="0" xfId="0">
      <alignment horizontal="right"/>
    </xf>
    <xf numFmtId="0" fontId="12" fillId="9" borderId="0" pivotButton="0" quotePrefix="0" xfId="0"/>
    <xf numFmtId="166" fontId="6" fillId="8" borderId="8" pivotButton="0" quotePrefix="0" xfId="6"/>
    <xf numFmtId="0" fontId="0" fillId="0" borderId="8" pivotButton="0" quotePrefix="0" xfId="0"/>
    <xf numFmtId="0" fontId="9" fillId="8" borderId="8" pivotButton="0" quotePrefix="0" xfId="0"/>
    <xf numFmtId="0" fontId="14" fillId="7" borderId="7" pivotButton="0" quotePrefix="0" xfId="0"/>
    <xf numFmtId="0" fontId="9" fillId="0" borderId="8" pivotButton="0" quotePrefix="0" xfId="0"/>
    <xf numFmtId="166" fontId="6" fillId="0" borderId="8" pivotButton="0" quotePrefix="0" xfId="6"/>
    <xf numFmtId="166" fontId="0" fillId="0" borderId="8" pivotButton="0" quotePrefix="0" xfId="0"/>
    <xf numFmtId="0" fontId="0" fillId="8" borderId="6" pivotButton="0" quotePrefix="0" xfId="0"/>
    <xf numFmtId="166" fontId="0" fillId="8" borderId="6" pivotButton="0" quotePrefix="0" xfId="6"/>
    <xf numFmtId="0" fontId="0" fillId="0" borderId="6" pivotButton="0" quotePrefix="0" xfId="0"/>
    <xf numFmtId="166" fontId="0" fillId="0" borderId="6" pivotButton="0" quotePrefix="0" xfId="6"/>
    <xf numFmtId="0" fontId="11" fillId="7" borderId="7" pivotButton="0" quotePrefix="0" xfId="0"/>
    <xf numFmtId="166" fontId="11" fillId="7" borderId="7" pivotButton="0" quotePrefix="0" xfId="6"/>
    <xf numFmtId="0" fontId="0" fillId="0" borderId="8" pivotButton="0" quotePrefix="0" xfId="0"/>
    <xf numFmtId="166" fontId="0" fillId="0" borderId="8" pivotButton="0" quotePrefix="0" xfId="6"/>
    <xf numFmtId="0" fontId="0" fillId="0" borderId="8" pivotButton="0" quotePrefix="0" xfId="0"/>
    <xf numFmtId="166" fontId="13" fillId="0" borderId="8" pivotButton="0" quotePrefix="0" xfId="0"/>
    <xf numFmtId="0" fontId="9" fillId="10" borderId="8" pivotButton="0" quotePrefix="0" xfId="0"/>
    <xf numFmtId="166" fontId="6" fillId="10" borderId="8" pivotButton="0" quotePrefix="0" xfId="0"/>
    <xf numFmtId="0" fontId="0" fillId="11" borderId="0" pivotButton="0" quotePrefix="0" xfId="0"/>
    <xf numFmtId="0" fontId="12" fillId="0" borderId="1" pivotButton="0" quotePrefix="0" xfId="0"/>
    <xf numFmtId="167" fontId="12" fillId="0" borderId="1" pivotButton="0" quotePrefix="0" xfId="6"/>
    <xf numFmtId="0" fontId="16" fillId="12" borderId="9" pivotButton="0" quotePrefix="0" xfId="0"/>
    <xf numFmtId="0" fontId="16" fillId="12" borderId="10" pivotButton="0" quotePrefix="0" xfId="0"/>
    <xf numFmtId="0" fontId="17" fillId="13" borderId="9" pivotButton="0" quotePrefix="0" xfId="0"/>
    <xf numFmtId="0" fontId="17" fillId="13" borderId="10" pivotButton="0" quotePrefix="0" xfId="0"/>
    <xf numFmtId="167" fontId="17" fillId="13" borderId="10" pivotButton="0" quotePrefix="0" xfId="6"/>
    <xf numFmtId="0" fontId="17" fillId="0" borderId="9" pivotButton="0" quotePrefix="0" xfId="0"/>
    <xf numFmtId="0" fontId="17" fillId="0" borderId="10" pivotButton="0" quotePrefix="0" xfId="0"/>
    <xf numFmtId="167" fontId="17" fillId="0" borderId="10" pivotButton="0" quotePrefix="0" xfId="6"/>
    <xf numFmtId="0" fontId="18" fillId="0" borderId="11" pivotButton="0" quotePrefix="0" xfId="0"/>
    <xf numFmtId="0" fontId="18" fillId="0" borderId="12" pivotButton="0" quotePrefix="0" xfId="0"/>
    <xf numFmtId="167" fontId="18" fillId="0" borderId="12" pivotButton="0" quotePrefix="0" xfId="6"/>
    <xf numFmtId="0" fontId="14" fillId="12" borderId="9" pivotButton="0" quotePrefix="0" xfId="0"/>
    <xf numFmtId="0" fontId="14" fillId="12" borderId="10" pivotButton="0" quotePrefix="0" xfId="0"/>
    <xf numFmtId="167" fontId="14" fillId="12" borderId="10" pivotButton="0" quotePrefix="0" xfId="6"/>
    <xf numFmtId="0" fontId="9" fillId="13" borderId="9" pivotButton="0" quotePrefix="0" xfId="0"/>
    <xf numFmtId="0" fontId="9" fillId="13" borderId="10" pivotButton="0" quotePrefix="0" xfId="0"/>
    <xf numFmtId="167" fontId="9" fillId="13" borderId="10" pivotButton="0" quotePrefix="0" xfId="6"/>
    <xf numFmtId="0" fontId="9" fillId="0" borderId="9" pivotButton="0" quotePrefix="0" xfId="0"/>
    <xf numFmtId="0" fontId="9" fillId="0" borderId="10" pivotButton="0" quotePrefix="0" xfId="0"/>
    <xf numFmtId="167" fontId="9" fillId="0" borderId="10" pivotButton="0" quotePrefix="0" xfId="6"/>
    <xf numFmtId="0" fontId="15" fillId="0" borderId="11" pivotButton="0" quotePrefix="0" xfId="0"/>
    <xf numFmtId="0" fontId="15" fillId="0" borderId="12" pivotButton="0" quotePrefix="0" xfId="0"/>
    <xf numFmtId="167" fontId="15" fillId="0" borderId="12" pivotButton="0" quotePrefix="0" xfId="0"/>
    <xf numFmtId="165" fontId="2" fillId="4" borderId="2" pivotButton="0" quotePrefix="0" xfId="1"/>
    <xf numFmtId="164" fontId="2" fillId="4" borderId="2" pivotButton="0" quotePrefix="0" xfId="1"/>
    <xf numFmtId="164" fontId="2" fillId="4" borderId="2" applyAlignment="1" pivotButton="0" quotePrefix="0" xfId="1">
      <alignment horizontal="right"/>
    </xf>
    <xf numFmtId="164" fontId="4" fillId="3" borderId="1" applyAlignment="1" pivotButton="0" quotePrefix="0" xfId="1">
      <alignment horizontal="center"/>
    </xf>
    <xf numFmtId="166" fontId="6" fillId="8" borderId="6" pivotButton="0" quotePrefix="0" xfId="6"/>
    <xf numFmtId="166" fontId="6" fillId="0" borderId="6" pivotButton="0" quotePrefix="0" xfId="6"/>
    <xf numFmtId="166" fontId="6" fillId="0" borderId="8" pivotButton="0" quotePrefix="0" xfId="6"/>
    <xf numFmtId="166" fontId="0" fillId="0" borderId="8" pivotButton="0" quotePrefix="0" xfId="0"/>
    <xf numFmtId="166" fontId="0" fillId="0" borderId="0" pivotButton="0" quotePrefix="0" xfId="0"/>
    <xf numFmtId="166" fontId="11" fillId="7" borderId="7" pivotButton="0" quotePrefix="0" xfId="6"/>
    <xf numFmtId="166" fontId="0" fillId="8" borderId="6" pivotButton="0" quotePrefix="0" xfId="6"/>
    <xf numFmtId="166" fontId="0" fillId="0" borderId="6" pivotButton="0" quotePrefix="0" xfId="6"/>
    <xf numFmtId="166" fontId="0" fillId="0" borderId="8" pivotButton="0" quotePrefix="0" xfId="6"/>
    <xf numFmtId="166" fontId="13" fillId="0" borderId="8" pivotButton="0" quotePrefix="0" xfId="0"/>
    <xf numFmtId="167" fontId="17" fillId="13" borderId="10" pivotButton="0" quotePrefix="0" xfId="6"/>
    <xf numFmtId="167" fontId="17" fillId="0" borderId="10" pivotButton="0" quotePrefix="0" xfId="6"/>
    <xf numFmtId="167" fontId="18" fillId="0" borderId="12" pivotButton="0" quotePrefix="0" xfId="6"/>
    <xf numFmtId="167" fontId="12" fillId="0" borderId="1" pivotButton="0" quotePrefix="0" xfId="6"/>
    <xf numFmtId="166" fontId="6" fillId="8" borderId="8" pivotButton="0" quotePrefix="0" xfId="6"/>
    <xf numFmtId="166" fontId="6" fillId="10" borderId="8" pivotButton="0" quotePrefix="0" xfId="0"/>
    <xf numFmtId="167" fontId="14" fillId="12" borderId="10" pivotButton="0" quotePrefix="0" xfId="6"/>
    <xf numFmtId="167" fontId="9" fillId="13" borderId="10" pivotButton="0" quotePrefix="0" xfId="6"/>
    <xf numFmtId="167" fontId="9" fillId="0" borderId="10" pivotButton="0" quotePrefix="0" xfId="6"/>
    <xf numFmtId="167" fontId="15" fillId="0" borderId="12"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34">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font>
        <name val="Arial"/>
        <family val="2"/>
        <strike val="0"/>
        <outline val="0"/>
        <shadow val="0"/>
        <condense val="0"/>
        <color auto="1"/>
        <extend val="0"/>
        <sz val="10"/>
        <vertAlign val="baseline"/>
      </font>
      <fill>
        <patternFill patternType="solid">
          <fgColor theme="9" tint="0.7999816888943144"/>
          <bgColor theme="0"/>
        </patternFill>
      </fill>
    </dxf>
    <dxf>
      <font>
        <name val="Arial"/>
        <family val="2"/>
        <strike val="0"/>
        <outline val="0"/>
        <shadow val="0"/>
        <condense val="0"/>
        <color auto="1"/>
        <extend val="0"/>
        <sz val="10"/>
        <vertAlign val="baseline"/>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6" headerRowCount="1" totalsRowCount="1" headerRowDxfId="33" headerRowBorderDxfId="32" tableBorderDxfId="31" totalsRowBorderDxfId="30">
  <autoFilter ref="A1:C5"/>
  <tableColumns count="3">
    <tableColumn id="1" name="Cód. org. aplic." totalsRowLabel="Total"/>
    <tableColumn id="2" name="Descripción justificante"/>
    <tableColumn id="3" name="Imp.cob.aplic." totalsRowFunction="sum"/>
  </tableColumns>
  <tableStyleInfo name="TableStyleMedium2" showFirstColumn="0" showLastColumn="0" showRowStripes="1" showColumnStripes="0"/>
</table>
</file>

<file path=xl/tables/table2.xml><?xml version="1.0" encoding="utf-8"?>
<table xmlns="http://schemas.openxmlformats.org/spreadsheetml/2006/main" id="2" name="Tabla3" displayName="Tabla3" ref="A1:C8" headerRowCount="1" totalsRowCount="1" headerRowBorderDxfId="29" tableBorderDxfId="28" totalsRowBorderDxfId="27">
  <autoFilter ref="A1:C7"/>
  <tableColumns count="3">
    <tableColumn id="1" name="Org. aplic." totalsRowLabel="Total" dataDxfId="26" totalsRowDxfId="25"/>
    <tableColumn id="2" name="Descripción justificante" dataDxfId="24" totalsRowDxfId="23"/>
    <tableColumn id="3" name="Imp. aplic." totalsRowFunction="sum" dataDxfId="22" totalsRowDxfId="21"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5" displayName="Tabla5" ref="A1:C11" headerRowCount="1" totalsRowCount="1" headerRowDxfId="20" totalsRowDxfId="17" headerRowBorderDxfId="19" tableBorderDxfId="18" totalsRowBorderDxfId="16">
  <autoFilter ref="A1:C10"/>
  <tableColumns count="3">
    <tableColumn id="1" name="Cód. org. aplic." totalsRowLabel="Total" dataDxfId="15" totalsRowDxfId="14"/>
    <tableColumn id="2" name="Descripción justificante" dataDxfId="13" totalsRowDxfId="12"/>
    <tableColumn id="3" name="Imp.cob.aplic." totalsRowFunction="sum" dataDxfId="11" totalsRowDxfId="10"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id="4" name="Tabla6" displayName="Tabla6" ref="A1:C10" headerRowCount="1" totalsRowCount="1" headerRowDxfId="9" headerRowBorderDxfId="8" tableBorderDxfId="7" totalsRowBorderDxfId="6">
  <autoFilter ref="A1:C9"/>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fitToPage="1"/>
  </sheetPr>
  <dimension ref="A1:V9"/>
  <sheetViews>
    <sheetView showGridLines="0" zoomScale="120" zoomScaleNormal="120" workbookViewId="0">
      <pane xSplit="1" ySplit="1" topLeftCell="E2" activePane="bottomRight" state="frozen"/>
      <selection pane="topRight" activeCell="B1" sqref="B1"/>
      <selection pane="bottomLeft" activeCell="A2" sqref="A2"/>
      <selection pane="bottomRight" activeCell="E8" sqref="E8"/>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25.6640625" customWidth="1" style="6" min="10" max="10"/>
    <col width="5.109375" customWidth="1" style="6" min="11" max="12"/>
    <col width="4.44140625" customWidth="1" style="6" min="13" max="13"/>
    <col width="4.88671875" customWidth="1" style="6" min="14" max="14"/>
    <col width="4.88671875" customWidth="1" style="7" min="15" max="15"/>
    <col width="4.88671875" customWidth="1" style="6" min="16" max="16"/>
    <col width="3.5546875" customWidth="1" style="7" min="17" max="17"/>
    <col width="6" customWidth="1" style="6" min="18" max="19"/>
    <col width="5.109375" customWidth="1" style="6" min="20" max="21"/>
    <col width="10.33203125" customWidth="1" style="6" min="22" max="16384"/>
  </cols>
  <sheetData>
    <row r="1" ht="40.8"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ht="10.8" customHeight="1" thickBot="1">
      <c r="A2" s="20" t="inlineStr">
        <is>
          <t xml:space="preserve">U058 </t>
        </is>
      </c>
      <c r="B2" s="20" t="inlineStr">
        <is>
          <t xml:space="preserve">ADM. I.U. DE INVESTIGACIONES TURÍSTICAS </t>
        </is>
      </c>
      <c r="C2" s="20" t="inlineStr">
        <is>
          <t xml:space="preserve">DOCTORADO EN TURISMO </t>
        </is>
      </c>
      <c r="D2" s="20" t="inlineStr">
        <is>
          <t xml:space="preserve">Navarro Ruiz, Sandra </t>
        </is>
      </c>
      <c r="E2" s="20" t="inlineStr">
        <is>
          <t xml:space="preserve">"COMPORTAMIENTO INTRADESTINO DE LOS VISITANTES E IMPLICACIONES PARA LA GESTIÓN TURÍSTICA LOCAL. ESTUDIO DE LOS VISITANTES DE CRUCERO EN VALENCIA" </t>
        </is>
      </c>
      <c r="F2" s="20" t="inlineStr">
        <is>
          <t xml:space="preserve">10/12/2019 </t>
        </is>
      </c>
      <c r="G2" s="20" t="inlineStr">
        <is>
          <t xml:space="preserve">33486969G </t>
        </is>
      </c>
      <c r="H2" s="20" t="inlineStr">
        <is>
          <t xml:space="preserve">Codirector de tesis </t>
        </is>
      </c>
      <c r="I2" s="20" t="inlineStr">
        <is>
          <t xml:space="preserve">B181 </t>
        </is>
      </c>
      <c r="J2" s="20" t="inlineStr">
        <is>
          <t xml:space="preserve">MARKETING </t>
        </is>
      </c>
      <c r="K2" s="89" t="n">
        <v>0.5</v>
      </c>
      <c r="L2" s="20" t="inlineStr">
        <is>
          <t>B181</t>
        </is>
      </c>
      <c r="M2" s="20" t="n">
        <v>2019</v>
      </c>
      <c r="N2" s="20" t="inlineStr"/>
      <c r="O2" s="21" t="inlineStr"/>
      <c r="P2" s="20" t="inlineStr"/>
      <c r="Q2" s="21" t="inlineStr"/>
      <c r="R2" s="22" t="n">
        <v>100</v>
      </c>
      <c r="S2" s="90" t="n">
        <v>0.5</v>
      </c>
      <c r="T2" s="91" t="n">
        <v>0</v>
      </c>
      <c r="U2" s="91" t="n">
        <v>0</v>
      </c>
    </row>
    <row r="3" ht="10.8" customHeight="1" thickBot="1">
      <c r="A3" s="24" t="inlineStr">
        <is>
          <t xml:space="preserve">U036 </t>
        </is>
      </c>
      <c r="B3" s="24" t="inlineStr">
        <is>
          <t xml:space="preserve">ADM. FACULTAD DE CIENCIAS ECONÓMICAS </t>
        </is>
      </c>
      <c r="C3" s="24" t="inlineStr">
        <is>
          <t xml:space="preserve">DOCTORADO EN EMPRESA, ECONOMÍA Y SOCIEDAD </t>
        </is>
      </c>
      <c r="D3" s="24" t="inlineStr">
        <is>
          <t xml:space="preserve">Campayo Sánchez, Fernando </t>
        </is>
      </c>
      <c r="E3" s="24" t="inlineStr">
        <is>
          <t xml:space="preserve">Entrada y supervivencia del producto: un análisis de la rivalidad como factor explicativo </t>
        </is>
      </c>
      <c r="F3" s="24" t="inlineStr">
        <is>
          <t xml:space="preserve">11/06/2021 </t>
        </is>
      </c>
      <c r="G3" s="25" t="inlineStr">
        <is>
          <t xml:space="preserve">21661276Z </t>
        </is>
      </c>
      <c r="H3" s="26" t="inlineStr">
        <is>
          <t xml:space="preserve">Codirector de tesis </t>
        </is>
      </c>
      <c r="I3" s="26" t="inlineStr">
        <is>
          <t xml:space="preserve">B181 </t>
        </is>
      </c>
      <c r="J3" s="27" t="inlineStr">
        <is>
          <t xml:space="preserve">MARKETING </t>
        </is>
      </c>
      <c r="K3" s="28" t="n">
        <v>0.5</v>
      </c>
      <c r="L3" s="28" t="inlineStr">
        <is>
          <t>B181</t>
        </is>
      </c>
      <c r="M3" s="18" t="n">
        <v>2020</v>
      </c>
      <c r="N3" s="18" t="inlineStr"/>
      <c r="O3" s="19" t="inlineStr"/>
      <c r="P3" s="18" t="inlineStr"/>
      <c r="Q3" s="19" t="inlineStr"/>
      <c r="R3" s="18" t="n">
        <v>100</v>
      </c>
      <c r="S3" s="18" t="n">
        <v>0.5</v>
      </c>
      <c r="T3" s="19" t="n">
        <v>0</v>
      </c>
      <c r="U3" s="19" t="n">
        <v>0</v>
      </c>
    </row>
    <row r="4" ht="10.8" customHeight="1" thickBot="1">
      <c r="A4" s="24" t="inlineStr">
        <is>
          <t xml:space="preserve">U036 </t>
        </is>
      </c>
      <c r="B4" s="24" t="inlineStr">
        <is>
          <t xml:space="preserve">ADM. FACULTAD DE CIENCIAS ECONÓMICAS </t>
        </is>
      </c>
      <c r="C4" s="24" t="inlineStr">
        <is>
          <t xml:space="preserve">DOCTORADO EN EMPRESA, ECONOMÍA Y SOCIEDAD </t>
        </is>
      </c>
      <c r="D4" s="24" t="inlineStr">
        <is>
          <t xml:space="preserve">Campayo Sánchez, Fernando </t>
        </is>
      </c>
      <c r="E4" s="24" t="inlineStr">
        <is>
          <t xml:space="preserve">Entrada y supervivencia del producto: un análisis de la rivalidad como factor explicativo </t>
        </is>
      </c>
      <c r="F4" s="24" t="inlineStr">
        <is>
          <t xml:space="preserve">11/06/2021 </t>
        </is>
      </c>
      <c r="G4" s="25" t="inlineStr">
        <is>
          <t xml:space="preserve">21989618P </t>
        </is>
      </c>
      <c r="H4" s="26" t="inlineStr">
        <is>
          <t xml:space="preserve">Codirector de tesis </t>
        </is>
      </c>
      <c r="I4" s="26" t="inlineStr">
        <is>
          <t xml:space="preserve">B181 </t>
        </is>
      </c>
      <c r="J4" s="27" t="inlineStr">
        <is>
          <t xml:space="preserve">MARKETING </t>
        </is>
      </c>
      <c r="K4" s="28" t="n">
        <v>0.5</v>
      </c>
      <c r="L4" s="28" t="inlineStr">
        <is>
          <t>B181</t>
        </is>
      </c>
      <c r="M4" s="18" t="n">
        <v>2020</v>
      </c>
      <c r="N4" s="18" t="inlineStr"/>
      <c r="O4" s="19" t="inlineStr"/>
      <c r="P4" s="18" t="inlineStr"/>
      <c r="Q4" s="19" t="inlineStr"/>
      <c r="R4" s="18" t="n">
        <v>100</v>
      </c>
      <c r="S4" s="18" t="n">
        <v>0.5</v>
      </c>
      <c r="T4" s="19" t="n">
        <v>0</v>
      </c>
      <c r="U4" s="19" t="n">
        <v>0</v>
      </c>
    </row>
    <row r="5">
      <c r="A5" s="18" t="inlineStr">
        <is>
          <t xml:space="preserve">U058 </t>
        </is>
      </c>
      <c r="B5" s="18" t="inlineStr">
        <is>
          <t>ADM. I.U. DE INVESTIGACIONES TURÍSTICAS</t>
        </is>
      </c>
      <c r="C5" s="18" t="inlineStr">
        <is>
          <t xml:space="preserve">DOCTORADO EN TURISMO </t>
        </is>
      </c>
      <c r="D5" s="18" t="inlineStr">
        <is>
          <t>Garulo Ramón, Carlos</t>
        </is>
      </c>
      <c r="E5" s="18" t="inlineStr">
        <is>
          <t>Externalización de servicios de información turística en la red tourist info de la provincia de Alicante.</t>
        </is>
      </c>
      <c r="F5" s="18" t="inlineStr">
        <is>
          <t xml:space="preserve">20/09/2022 </t>
        </is>
      </c>
      <c r="G5" s="30" t="inlineStr">
        <is>
          <t xml:space="preserve">21508717Z </t>
        </is>
      </c>
      <c r="H5" s="18" t="inlineStr">
        <is>
          <t xml:space="preserve">Codirector de tesis </t>
        </is>
      </c>
      <c r="I5" s="18" t="inlineStr">
        <is>
          <t xml:space="preserve">B181 </t>
        </is>
      </c>
      <c r="J5" s="18" t="inlineStr">
        <is>
          <t xml:space="preserve">MARKETING </t>
        </is>
      </c>
      <c r="K5" s="31" t="n">
        <v>0.5</v>
      </c>
      <c r="L5" s="31" t="inlineStr">
        <is>
          <t>B181</t>
        </is>
      </c>
      <c r="M5" s="18" t="n">
        <v>2021</v>
      </c>
      <c r="N5" s="31" t="inlineStr">
        <is>
          <t>10.17</t>
        </is>
      </c>
      <c r="O5" s="31" t="n">
        <v>10</v>
      </c>
      <c r="P5" s="31" t="inlineStr"/>
      <c r="Q5" s="31" t="n">
        <v>0</v>
      </c>
      <c r="R5" s="31" t="n">
        <v>90</v>
      </c>
      <c r="S5" s="31" t="n">
        <v>0.45</v>
      </c>
      <c r="T5" s="42" t="n">
        <v>0.05</v>
      </c>
      <c r="U5" s="42" t="n">
        <v>0</v>
      </c>
    </row>
    <row r="6">
      <c r="A6" s="18" t="inlineStr">
        <is>
          <t xml:space="preserve">U036 </t>
        </is>
      </c>
      <c r="B6" s="18" t="inlineStr">
        <is>
          <t xml:space="preserve">ADM. FACULTAD DE CIENCIAS ECONÓMICAS </t>
        </is>
      </c>
      <c r="C6" s="18" t="inlineStr">
        <is>
          <t xml:space="preserve">DOCTORADO EN EMPRESA, ECONOMÍA Y SOCIEDAD </t>
        </is>
      </c>
      <c r="D6" s="18" t="inlineStr">
        <is>
          <t>Abdelkader Attia Ali, Attia</t>
        </is>
      </c>
      <c r="E6" s="18" t="inlineStr">
        <is>
          <t>THE IMPACT OF SERVICE RECOVERY STRATEGIES ON CUSTOMER SATISFACTION WITH
 SERVICE RECOVERY, REPURCHASE INTENTIONS, WORD OF MOUTH: AN APPLIED STUDY OF
THE ROLE OF PERCEIVED JUSTICE</t>
        </is>
      </c>
      <c r="F6" s="18" t="inlineStr">
        <is>
          <t>20/09/2024</t>
        </is>
      </c>
      <c r="G6" s="30" t="inlineStr">
        <is>
          <t>22144656A</t>
        </is>
      </c>
      <c r="H6" s="18" t="inlineStr">
        <is>
          <t>Codirector de tesis</t>
        </is>
      </c>
      <c r="I6" s="18" t="inlineStr">
        <is>
          <t>B181</t>
        </is>
      </c>
      <c r="J6" s="18" t="inlineStr">
        <is>
          <t>MARKETING</t>
        </is>
      </c>
      <c r="K6" s="31" t="n">
        <v>0.5</v>
      </c>
      <c r="L6" s="31" t="inlineStr">
        <is>
          <t>B181</t>
        </is>
      </c>
      <c r="M6" s="18" t="n">
        <v>2023</v>
      </c>
      <c r="N6" s="31" t="inlineStr"/>
      <c r="O6" s="31" t="inlineStr"/>
      <c r="P6" s="31" t="inlineStr"/>
      <c r="Q6" s="31" t="inlineStr"/>
      <c r="R6" s="31" t="n">
        <v>100</v>
      </c>
      <c r="S6" s="31" t="n">
        <v>0.5</v>
      </c>
      <c r="T6" s="42" t="n">
        <v>0</v>
      </c>
      <c r="U6" s="42" t="n">
        <v>0</v>
      </c>
    </row>
    <row r="7">
      <c r="A7" s="24" t="inlineStr">
        <is>
          <t>U058</t>
        </is>
      </c>
      <c r="B7" s="24" t="inlineStr">
        <is>
          <t>I.U. DE INVESTIGACIONES TURÍSTICAS (10.17)</t>
        </is>
      </c>
      <c r="C7" s="24" t="inlineStr">
        <is>
          <t>DOCTORADO EN TURISMO</t>
        </is>
      </c>
      <c r="D7" s="24" t="inlineStr">
        <is>
          <t>Romero Montero, Andres</t>
        </is>
      </c>
      <c r="E7" s="24" t="inlineStr">
        <is>
          <t>Inbound Marketing Turístico: Modelo de Visibilidad Orgánico para Alojamientos</t>
        </is>
      </c>
      <c r="F7" s="24" t="inlineStr">
        <is>
          <t>24/07/2024</t>
        </is>
      </c>
      <c r="G7" s="24" t="inlineStr">
        <is>
          <t>21508717Z</t>
        </is>
      </c>
      <c r="H7" s="24" t="inlineStr">
        <is>
          <t>Director de tesis</t>
        </is>
      </c>
      <c r="I7" s="24" t="inlineStr">
        <is>
          <t>B181</t>
        </is>
      </c>
      <c r="J7" s="24" t="inlineStr">
        <is>
          <t>MARKETING</t>
        </is>
      </c>
      <c r="K7" s="40" t="n">
        <v>1</v>
      </c>
      <c r="L7" s="24" t="inlineStr">
        <is>
          <t>B181</t>
        </is>
      </c>
      <c r="M7" s="40" t="n">
        <v>2023</v>
      </c>
      <c r="N7" s="24" t="inlineStr">
        <is>
          <t>10.17</t>
        </is>
      </c>
      <c r="O7" s="40" t="inlineStr">
        <is>
          <t>10</t>
        </is>
      </c>
      <c r="P7" s="24" t="inlineStr"/>
      <c r="Q7" s="24" t="inlineStr"/>
      <c r="R7" s="40" t="n">
        <v>90</v>
      </c>
      <c r="S7" s="40" t="n">
        <v>0.9</v>
      </c>
      <c r="T7" s="40" t="n">
        <v>0.1</v>
      </c>
      <c r="U7" s="40" t="n">
        <v>0</v>
      </c>
      <c r="V7" s="6" t="inlineStr">
        <is>
          <t>S</t>
        </is>
      </c>
    </row>
    <row r="8">
      <c r="A8" s="24" t="inlineStr">
        <is>
          <t>U036</t>
        </is>
      </c>
      <c r="B8" s="24" t="inlineStr">
        <is>
          <t>Administración Facultad de Ciencias Económicas</t>
        </is>
      </c>
      <c r="C8" s="24" t="inlineStr">
        <is>
          <t>DOCTORADO EN EMPRESA, ECONOMÍA Y SOCIEDAD</t>
        </is>
      </c>
      <c r="D8" s="24" t="inlineStr">
        <is>
          <t>Bagnato , Giovanna</t>
        </is>
      </c>
      <c r="E8" s="24" t="inlineStr">
        <is>
          <t>Challenging normative technology acceptance: Technology engagement of people with disabilities in the age of
generative artificial intelligence</t>
        </is>
      </c>
      <c r="F8" s="24" t="inlineStr">
        <is>
          <t>08/09/2025</t>
        </is>
      </c>
      <c r="G8" s="24" t="inlineStr">
        <is>
          <t>22144656A</t>
        </is>
      </c>
      <c r="H8" s="24" t="inlineStr">
        <is>
          <t>Codirector de tesis</t>
        </is>
      </c>
      <c r="I8" s="24" t="inlineStr">
        <is>
          <t>B181</t>
        </is>
      </c>
      <c r="J8" s="24" t="inlineStr">
        <is>
          <t>Marketing</t>
        </is>
      </c>
      <c r="K8" s="40" t="n">
        <v>0.5</v>
      </c>
      <c r="L8" s="24" t="inlineStr">
        <is>
          <t>B181</t>
        </is>
      </c>
      <c r="M8" s="40" t="n">
        <v>2024</v>
      </c>
      <c r="N8" s="24" t="inlineStr"/>
      <c r="O8" s="40" t="inlineStr"/>
      <c r="P8" s="24" t="inlineStr"/>
      <c r="Q8" s="24" t="inlineStr"/>
      <c r="R8" s="40" t="n">
        <v>100</v>
      </c>
      <c r="S8" s="40" t="n">
        <v>0.5</v>
      </c>
      <c r="T8" s="40" t="n">
        <v>0</v>
      </c>
      <c r="U8" s="40" t="n">
        <v>0</v>
      </c>
      <c r="V8" s="6" t="inlineStr">
        <is>
          <t>S</t>
        </is>
      </c>
    </row>
    <row r="9">
      <c r="A9" s="2" t="n"/>
      <c r="B9" s="2" t="n"/>
      <c r="C9" s="2" t="n"/>
      <c r="D9" s="2" t="n"/>
      <c r="E9" s="2" t="n"/>
      <c r="F9" s="2" t="n"/>
      <c r="G9" s="2" t="n"/>
      <c r="H9" s="2" t="n"/>
      <c r="I9" s="2" t="n"/>
      <c r="J9" s="2" t="n"/>
      <c r="K9" s="2" t="n"/>
      <c r="L9" s="2" t="n"/>
      <c r="M9" s="2" t="n"/>
      <c r="N9" s="2" t="n"/>
      <c r="O9" s="2" t="n"/>
      <c r="P9" s="2" t="n"/>
      <c r="Q9" s="2" t="n"/>
      <c r="R9" s="2" t="n"/>
      <c r="S9" s="92">
        <f>SUM(S2:S8)</f>
        <v/>
      </c>
      <c r="T9" s="2" t="n"/>
      <c r="U9" s="2" t="n"/>
    </row>
  </sheetData>
  <autoFilter ref="A1:U4">
    <sortState ref="A2:U1911">
      <sortCondition ref="L2:L1911"/>
      <sortCondition ref="M2:M1911"/>
      <sortCondition ref="D2:D1911"/>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10"/>
  <sheetViews>
    <sheetView zoomScaleNormal="100" workbookViewId="0">
      <selection activeCell="B20" sqref="B20"/>
    </sheetView>
  </sheetViews>
  <sheetFormatPr baseColWidth="10" defaultColWidth="11.44140625" defaultRowHeight="13.2"/>
  <cols>
    <col width="10.44140625" bestFit="1" customWidth="1" style="11" min="1" max="1"/>
    <col width="44.109375" bestFit="1" customWidth="1" style="11" min="2" max="2"/>
    <col width="17" bestFit="1" customWidth="1" style="11" min="3" max="3"/>
    <col width="3.33203125" bestFit="1" customWidth="1" style="11" min="4" max="9"/>
    <col width="13.109375" bestFit="1" customWidth="1" style="11" min="10" max="10"/>
    <col width="5.33203125" bestFit="1" customWidth="1" style="11" min="11" max="11"/>
    <col width="5.6640625" bestFit="1" customWidth="1" style="11" min="12" max="13"/>
    <col width="5.6640625" bestFit="1" customWidth="1" style="12" min="14" max="14"/>
    <col width="5.6640625" bestFit="1" customWidth="1" style="11" min="15" max="15"/>
    <col width="5.6640625" bestFit="1" customWidth="1" style="12" min="16" max="16"/>
    <col width="5.6640625" bestFit="1" customWidth="1" style="11" min="17" max="19"/>
    <col width="11.44140625" customWidth="1" style="11" min="20" max="16384"/>
  </cols>
  <sheetData>
    <row r="1" ht="60"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5"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c r="T1" s="11" t="n"/>
    </row>
    <row r="2" ht="14.4" customHeight="1">
      <c r="A2" s="16" t="inlineStr">
        <is>
          <t>21508717Z</t>
        </is>
      </c>
      <c r="B2" s="16" t="inlineStr">
        <is>
          <t>Sellers Rubio, Ricardo</t>
        </is>
      </c>
      <c r="C2" s="16" t="inlineStr">
        <is>
          <t>FUNCIONARIO</t>
        </is>
      </c>
      <c r="D2" s="16" t="n">
        <v>1</v>
      </c>
      <c r="E2" s="16" t="n"/>
      <c r="F2" s="16" t="n"/>
      <c r="G2" s="16" t="n"/>
      <c r="H2" s="16" t="n"/>
      <c r="I2" s="16" t="n"/>
      <c r="J2" s="16" t="n">
        <v>1</v>
      </c>
      <c r="K2" s="16" t="inlineStr">
        <is>
          <t>B181</t>
        </is>
      </c>
      <c r="L2" s="17" t="inlineStr">
        <is>
          <t>10.17</t>
        </is>
      </c>
      <c r="M2" s="17" t="inlineStr">
        <is>
          <t>10</t>
        </is>
      </c>
      <c r="N2" s="17" t="inlineStr"/>
      <c r="O2" s="17" t="inlineStr"/>
      <c r="P2" s="17" t="n">
        <v>90</v>
      </c>
      <c r="Q2" s="17" t="n">
        <v>0.1</v>
      </c>
      <c r="R2" s="17" t="n">
        <v>0</v>
      </c>
      <c r="S2" s="17" t="n">
        <v>0.9</v>
      </c>
    </row>
    <row r="3" ht="14.4" customHeight="1">
      <c r="A3" s="16" t="inlineStr">
        <is>
          <t>21689421F</t>
        </is>
      </c>
      <c r="B3" s="16" t="inlineStr">
        <is>
          <t>Campayo Sánchez, Fernando</t>
        </is>
      </c>
      <c r="C3" s="16" t="inlineStr">
        <is>
          <t>NO FUNCIONARIO</t>
        </is>
      </c>
      <c r="D3" s="16" t="n"/>
      <c r="E3" s="16" t="n"/>
      <c r="F3" s="16" t="n"/>
      <c r="G3" s="16" t="n"/>
      <c r="H3" s="16" t="n"/>
      <c r="I3" s="16" t="n">
        <v>1</v>
      </c>
      <c r="J3" s="16" t="n">
        <v>1</v>
      </c>
      <c r="K3" s="16" t="inlineStr">
        <is>
          <t>B181</t>
        </is>
      </c>
      <c r="L3" s="17" t="n">
        <v>0</v>
      </c>
      <c r="M3" s="17" t="n">
        <v>0</v>
      </c>
      <c r="N3" s="17" t="inlineStr"/>
      <c r="O3" s="17" t="inlineStr"/>
      <c r="P3" s="17" t="n">
        <v>100</v>
      </c>
      <c r="Q3" s="17" t="n">
        <v>0</v>
      </c>
      <c r="R3" s="17" t="n">
        <v>0</v>
      </c>
      <c r="S3" s="17" t="n">
        <v>1</v>
      </c>
    </row>
    <row r="4" ht="14.4" customHeight="1">
      <c r="A4" s="16" t="inlineStr">
        <is>
          <t>21989618P</t>
        </is>
      </c>
      <c r="B4" s="16" t="inlineStr">
        <is>
          <t>Mas Ruiz, Francisco José</t>
        </is>
      </c>
      <c r="C4" s="16" t="inlineStr">
        <is>
          <t>FUNCIONARIO</t>
        </is>
      </c>
      <c r="D4" s="16" t="n"/>
      <c r="E4" s="16" t="n"/>
      <c r="F4" s="16" t="n">
        <v>1</v>
      </c>
      <c r="G4" s="16" t="n"/>
      <c r="H4" s="16" t="n"/>
      <c r="I4" s="16" t="n"/>
      <c r="J4" s="16" t="n">
        <v>1</v>
      </c>
      <c r="K4" s="16" t="inlineStr">
        <is>
          <t>B181</t>
        </is>
      </c>
      <c r="L4" s="17" t="n">
        <v>0</v>
      </c>
      <c r="M4" s="17" t="n">
        <v>0</v>
      </c>
      <c r="N4" s="17" t="inlineStr"/>
      <c r="O4" s="17" t="inlineStr"/>
      <c r="P4" s="17" t="n">
        <v>100</v>
      </c>
      <c r="Q4" s="17" t="n">
        <v>0</v>
      </c>
      <c r="R4" s="17" t="n">
        <v>0</v>
      </c>
      <c r="S4" s="17" t="n">
        <v>1</v>
      </c>
    </row>
    <row r="5" ht="14.4" customHeight="1">
      <c r="A5" s="16" t="inlineStr">
        <is>
          <t>22144656A</t>
        </is>
      </c>
      <c r="B5" s="16" t="inlineStr">
        <is>
          <t>Ruiz Moreno, Manuel Felipe</t>
        </is>
      </c>
      <c r="C5" s="16" t="inlineStr">
        <is>
          <t>FUNCIONARIO</t>
        </is>
      </c>
      <c r="D5" s="16" t="n"/>
      <c r="E5" s="16" t="n"/>
      <c r="F5" s="16" t="n"/>
      <c r="G5" s="16" t="n">
        <v>1</v>
      </c>
      <c r="H5" s="16" t="n"/>
      <c r="I5" s="16" t="n"/>
      <c r="J5" s="16" t="n">
        <v>1</v>
      </c>
      <c r="K5" s="16" t="inlineStr">
        <is>
          <t>B181</t>
        </is>
      </c>
      <c r="L5" s="17" t="n">
        <v>0</v>
      </c>
      <c r="M5" s="17" t="n">
        <v>0</v>
      </c>
      <c r="N5" s="17" t="inlineStr"/>
      <c r="O5" s="17" t="inlineStr"/>
      <c r="P5" s="17" t="n">
        <v>100</v>
      </c>
      <c r="Q5" s="17" t="n">
        <v>0</v>
      </c>
      <c r="R5" s="17" t="n">
        <v>0</v>
      </c>
      <c r="S5" s="17" t="n">
        <v>1</v>
      </c>
    </row>
    <row r="6" ht="14.4" customHeight="1">
      <c r="A6" s="16" t="inlineStr">
        <is>
          <t>22558097L</t>
        </is>
      </c>
      <c r="B6" s="16" t="inlineStr">
        <is>
          <t>De Juan Vigaray, María Dolores</t>
        </is>
      </c>
      <c r="C6" s="16" t="inlineStr">
        <is>
          <t>FUNCIONARIO</t>
        </is>
      </c>
      <c r="D6" s="16" t="n"/>
      <c r="E6" s="16" t="n"/>
      <c r="F6" s="16" t="n">
        <v>1</v>
      </c>
      <c r="G6" s="16" t="n"/>
      <c r="H6" s="16" t="n"/>
      <c r="I6" s="16" t="n"/>
      <c r="J6" s="16" t="n">
        <v>1</v>
      </c>
      <c r="K6" s="16" t="inlineStr">
        <is>
          <t>B181</t>
        </is>
      </c>
      <c r="L6" s="17" t="n">
        <v>0</v>
      </c>
      <c r="M6" s="17" t="n">
        <v>0</v>
      </c>
      <c r="N6" s="17" t="inlineStr"/>
      <c r="O6" s="17" t="inlineStr"/>
      <c r="P6" s="17" t="n">
        <v>100</v>
      </c>
      <c r="Q6" s="17" t="n">
        <v>0</v>
      </c>
      <c r="R6" s="17" t="n">
        <v>0</v>
      </c>
      <c r="S6" s="17" t="n">
        <v>1</v>
      </c>
    </row>
    <row r="7" ht="14.4" customHeight="1">
      <c r="A7" s="16" t="inlineStr">
        <is>
          <t>33486969G</t>
        </is>
      </c>
      <c r="B7" s="16" t="inlineStr">
        <is>
          <t>Casado Díaz, Ana Belén</t>
        </is>
      </c>
      <c r="C7" s="16" t="inlineStr">
        <is>
          <t>FUNCIONARIO</t>
        </is>
      </c>
      <c r="D7" s="16" t="n"/>
      <c r="E7" s="16" t="n"/>
      <c r="F7" s="16" t="n">
        <v>1</v>
      </c>
      <c r="G7" s="16" t="n"/>
      <c r="H7" s="16" t="n"/>
      <c r="I7" s="16" t="n"/>
      <c r="J7" s="16" t="n">
        <v>1</v>
      </c>
      <c r="K7" s="16" t="inlineStr">
        <is>
          <t>B181</t>
        </is>
      </c>
      <c r="L7" s="17" t="inlineStr">
        <is>
          <t>10.17</t>
        </is>
      </c>
      <c r="M7" s="17" t="inlineStr">
        <is>
          <t>10</t>
        </is>
      </c>
      <c r="N7" s="17" t="inlineStr"/>
      <c r="O7" s="17" t="inlineStr"/>
      <c r="P7" s="17" t="n">
        <v>90</v>
      </c>
      <c r="Q7" s="17" t="n">
        <v>0.1</v>
      </c>
      <c r="R7" s="17" t="n">
        <v>0</v>
      </c>
      <c r="S7" s="17" t="n">
        <v>0.9</v>
      </c>
    </row>
    <row r="8" ht="14.4" customHeight="1">
      <c r="A8" s="16" t="inlineStr">
        <is>
          <t>48567830H</t>
        </is>
      </c>
      <c r="B8" s="16" t="inlineStr">
        <is>
          <t>Sancho Esper, Franco Manuel</t>
        </is>
      </c>
      <c r="C8" s="16" t="inlineStr">
        <is>
          <t>FUNCIONARIO</t>
        </is>
      </c>
      <c r="D8" s="16" t="n"/>
      <c r="E8" s="16" t="n">
        <v>1</v>
      </c>
      <c r="F8" s="16" t="n"/>
      <c r="G8" s="16" t="n">
        <v>1</v>
      </c>
      <c r="H8" s="16" t="n"/>
      <c r="I8" s="16" t="n"/>
      <c r="J8" s="16" t="n">
        <v>2</v>
      </c>
      <c r="K8" s="16" t="inlineStr">
        <is>
          <t>B181</t>
        </is>
      </c>
      <c r="L8" s="17" t="inlineStr">
        <is>
          <t>10.17</t>
        </is>
      </c>
      <c r="M8" s="17" t="inlineStr">
        <is>
          <t>10</t>
        </is>
      </c>
      <c r="N8" s="17" t="inlineStr"/>
      <c r="O8" s="17" t="inlineStr"/>
      <c r="P8" s="17" t="n">
        <v>90</v>
      </c>
      <c r="Q8" s="17" t="n">
        <v>0.2</v>
      </c>
      <c r="R8" s="17" t="n">
        <v>0</v>
      </c>
      <c r="S8" s="17" t="n">
        <v>1.8</v>
      </c>
    </row>
    <row r="9" ht="14.4" customHeight="1">
      <c r="A9" s="16" t="inlineStr">
        <is>
          <t>48576617L</t>
        </is>
      </c>
      <c r="B9" s="16" t="inlineStr">
        <is>
          <t>Rodríguez Sánchez, Carla</t>
        </is>
      </c>
      <c r="C9" s="16" t="inlineStr">
        <is>
          <t>FUNCIONARIO</t>
        </is>
      </c>
      <c r="D9" s="16" t="n"/>
      <c r="E9" s="16" t="n"/>
      <c r="F9" s="16" t="n">
        <v>1</v>
      </c>
      <c r="G9" s="16" t="n"/>
      <c r="H9" s="16" t="n"/>
      <c r="I9" s="16" t="n">
        <v>1</v>
      </c>
      <c r="J9" s="16" t="n">
        <v>2</v>
      </c>
      <c r="K9" s="16" t="inlineStr">
        <is>
          <t>B181</t>
        </is>
      </c>
      <c r="L9" s="17" t="inlineStr">
        <is>
          <t>10.17</t>
        </is>
      </c>
      <c r="M9" s="17" t="inlineStr">
        <is>
          <t>10</t>
        </is>
      </c>
      <c r="N9" s="17" t="inlineStr"/>
      <c r="O9" s="17" t="inlineStr"/>
      <c r="P9" s="17" t="n">
        <v>90</v>
      </c>
      <c r="Q9" s="17" t="n">
        <v>0.2</v>
      </c>
      <c r="R9" s="17" t="n">
        <v>0</v>
      </c>
      <c r="S9" s="17" t="n">
        <v>1.8</v>
      </c>
    </row>
    <row r="10" ht="14.4" customHeight="1">
      <c r="A10" s="37" t="n"/>
      <c r="B10" s="37" t="n"/>
      <c r="C10" s="38" t="n"/>
      <c r="D10" s="37" t="n"/>
      <c r="E10" s="37" t="n"/>
      <c r="F10" s="37" t="n"/>
      <c r="G10" s="37" t="n"/>
      <c r="H10" s="37" t="n"/>
      <c r="I10" s="37" t="n"/>
      <c r="J10" s="37" t="n"/>
      <c r="K10" s="37" t="n"/>
      <c r="L10" s="37" t="n"/>
      <c r="M10" s="37" t="n"/>
      <c r="N10" s="37" t="n"/>
      <c r="O10" s="37" t="n"/>
      <c r="P10" s="37" t="n"/>
      <c r="Q10" s="37" t="n"/>
      <c r="R10" s="37" t="n"/>
      <c r="S10" s="43">
        <f>SUM(S2:S9)</f>
        <v/>
      </c>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F18" sqref="F18"/>
    </sheetView>
  </sheetViews>
  <sheetFormatPr baseColWidth="10" defaultRowHeight="14.4"/>
  <cols>
    <col width="17" customWidth="1" min="1" max="1"/>
    <col width="96.88671875" customWidth="1" min="2" max="2"/>
    <col width="16" customWidth="1" min="3" max="3"/>
  </cols>
  <sheetData>
    <row r="1">
      <c r="A1" s="47" t="inlineStr">
        <is>
          <t>Cód. org. aplic.</t>
        </is>
      </c>
      <c r="B1" s="47" t="inlineStr">
        <is>
          <t>Descripción justificante</t>
        </is>
      </c>
      <c r="C1" s="47" t="inlineStr">
        <is>
          <t>Imp.cob.aplic.</t>
        </is>
      </c>
    </row>
    <row r="2">
      <c r="A2" s="34" t="inlineStr">
        <is>
          <t>37.00.6C.00.13</t>
        </is>
      </c>
      <c r="B2" s="34" t="inlineStr">
        <is>
          <t>INFORME DE RESULTADOS DEL PROYECTO DE INVESTIGACIÓN  "PERCEPCIÓN DE LA JUVENTUD UNIVERSITARIA VALENCIANA RESPECTO A LA TRANSICIÓN ENERGÉTICA Y ACTIVISMO SOCIAL: UNA PERSPECTIVA DE GÉNERO".</t>
        </is>
      </c>
      <c r="C2" s="93" t="n">
        <v>2669.09</v>
      </c>
    </row>
    <row r="3">
      <c r="A3" s="35" t="inlineStr">
        <is>
          <t>37.00.6C.00.13</t>
        </is>
      </c>
      <c r="B3" s="35" t="inlineStr">
        <is>
          <t>PRIMER PAGO RECOGIDA DE DATOS PARA LA REALIZACIÓN DEL PROYECTO "PERCEPCIÓN DE LA JUVENTUD UNIVERSITARIA VALENCIANA RESPECTO A LA TRANSICIÓN ENERGÉTICA Y ACTIVISMO SOCIAL: UNA PERSPECTIVA DE GÉNERO".</t>
        </is>
      </c>
      <c r="C3" s="94" t="n">
        <v>2545.45</v>
      </c>
    </row>
    <row r="4">
      <c r="A4" s="34" t="inlineStr">
        <is>
          <t>37.00.6P.00.07</t>
        </is>
      </c>
      <c r="B4" s="34" t="inlineStr">
        <is>
          <t>ayudas CIGE/2022/4-6-8-10-15-16-21-30-36-45-46-51-52- 54-55-105-170-179</t>
        </is>
      </c>
      <c r="C4" s="93" t="n">
        <v>9950</v>
      </c>
    </row>
    <row r="5">
      <c r="A5" s="48" t="inlineStr">
        <is>
          <t>37.00.6P.00.08</t>
        </is>
      </c>
      <c r="B5" s="48" t="inlineStr">
        <is>
          <t xml:space="preserve">ayudas PID2022  138464NB-142516OB-139990NB-141382OB-137350NB-139899OB--136847NB-137385NB-139294NB-137873NA-138786NB-141712NB-136590OB-139105OB-142356NB-141694NB-136399NB  </t>
        </is>
      </c>
      <c r="C5" s="95" t="n">
        <v>33212</v>
      </c>
    </row>
    <row r="6">
      <c r="A6" s="59" t="inlineStr">
        <is>
          <t>Total</t>
        </is>
      </c>
      <c r="B6" s="59" t="n"/>
      <c r="C6" s="96">
        <f>SUBTOTAL(109,Tabla2[Imp.cob.aplic.])</f>
        <v/>
      </c>
    </row>
    <row r="7">
      <c r="C7" s="97" t="n"/>
    </row>
    <row r="12">
      <c r="C12" s="97"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8"/>
  <sheetViews>
    <sheetView workbookViewId="0">
      <selection activeCell="B12" sqref="B12:C12"/>
    </sheetView>
  </sheetViews>
  <sheetFormatPr baseColWidth="10" defaultRowHeight="14.4"/>
  <cols>
    <col width="18.33203125" customWidth="1" min="1" max="1"/>
    <col width="61.44140625" customWidth="1" min="2" max="2"/>
    <col width="13.109375" customWidth="1" min="3" max="3"/>
  </cols>
  <sheetData>
    <row r="1">
      <c r="A1" s="55" t="inlineStr">
        <is>
          <t>Org. aplic.</t>
        </is>
      </c>
      <c r="B1" s="55" t="inlineStr">
        <is>
          <t>Descripción justificante</t>
        </is>
      </c>
      <c r="C1" s="98" t="inlineStr">
        <is>
          <t>Imp. aplic.</t>
        </is>
      </c>
    </row>
    <row r="2">
      <c r="A2" s="51" t="inlineStr">
        <is>
          <t>37.00.6C.00.14</t>
        </is>
      </c>
      <c r="B2" s="51" t="inlineStr">
        <is>
          <t>PRIMER PAGO DEL ESTUDIO "LA PREOCUPACIÓN MEDIOAMBIENTAL EN LA JUVENTUD VALENCIANA: ¿INHIBIDOR O MOTIVADOR DEL COMPORTAMIENTO PROAMBIENTAL?"</t>
        </is>
      </c>
      <c r="C2" s="99" t="n">
        <v>1919.99</v>
      </c>
    </row>
    <row r="3">
      <c r="A3" s="53" t="inlineStr">
        <is>
          <t>37.00.6C.00.14</t>
        </is>
      </c>
      <c r="B3" s="53" t="inlineStr">
        <is>
          <t>FUNDACIONAYUDAACCION2-23A SEGUNDO PAGO DEL ESTUDIO "LA PREOCUPACIÓN MEDIOAMBIENTAL EN LA JUVENTUD VALENCIANA: ¿INHIBIDOR O MOTIVADOR DEL COMPORTAMIENTO PROAMBIENTAL?"</t>
        </is>
      </c>
      <c r="C3" s="100" t="n">
        <v>2880</v>
      </c>
    </row>
    <row r="4">
      <c r="A4" s="51" t="inlineStr">
        <is>
          <t>37.00.6P.00.06</t>
        </is>
      </c>
      <c r="B4" s="51" t="inlineStr">
        <is>
          <t xml:space="preserve">PID2021-122263OB-C22 -122320NA-I00 -122397NB-C22 --122500OB-I00 -122685OB-I00 -122988NB-I00 -123079OB-I00 -123091NB-C22 -123118NA-I00 -123124OB-I00 -123699NB-I00-123135OB-C21 -123453NB-I00 -123956OB-I00 </t>
        </is>
      </c>
      <c r="C4" s="99" t="n">
        <v>4200</v>
      </c>
    </row>
    <row r="5">
      <c r="A5" s="53" t="inlineStr">
        <is>
          <t>37.00.6P.00.07</t>
        </is>
      </c>
      <c r="B5" s="53" t="inlineStr">
        <is>
          <t>ayudas CIGE/2022/4, CIGE/2022/6, CIGE/2022/8, CIGE/2022/15, CIGE/2022/16, CIGE/2022/21, CIGE/2022/30, CIGE/2022/45, CIGE/2022/46, CIGE/2022/51, CIGE/2022/52, CIGE/2022/54, CIGE/2022/55, CIGE/2022/105, CIGE/2022/170, CIGE/2022/179</t>
        </is>
      </c>
      <c r="C5" s="100" t="n">
        <v>9904</v>
      </c>
    </row>
    <row r="6">
      <c r="A6" s="51" t="inlineStr">
        <is>
          <t>37.00.6P.00.07</t>
        </is>
      </c>
      <c r="B6" s="51" t="inlineStr">
        <is>
          <t>DEVOLUCIÓN DE INGRESOS_ MODELO 047_ Nº DE LIQUIDACIÓN: 46/2024/RAS/10325/1 Nº DE JUSTIFICANTE: 047/1/002551836_Nº DE REFERENCIA: 047/1/002551836</t>
        </is>
      </c>
      <c r="C6" s="99" t="n">
        <v>-337.03</v>
      </c>
    </row>
    <row r="7">
      <c r="A7" s="59" t="inlineStr">
        <is>
          <t>37.00.6P.00.08</t>
        </is>
      </c>
      <c r="B7" s="59" t="inlineStr">
        <is>
          <t>PID2022-139105OB-I00-141712NB-C22-142356NB-I00-141694NB-I00-136399NB-C21-142159OB-I00-137566OB-I00-139552OB-C22-137302NB-C33-139820NB-I00-142960OB-C21</t>
        </is>
      </c>
      <c r="C7" s="101" t="n">
        <v>7912</v>
      </c>
    </row>
    <row r="8">
      <c r="A8" s="59" t="inlineStr">
        <is>
          <t>Total</t>
        </is>
      </c>
      <c r="B8" s="59" t="n"/>
      <c r="C8" s="102">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C11" sqref="C11"/>
    </sheetView>
  </sheetViews>
  <sheetFormatPr baseColWidth="10" defaultRowHeight="14.4"/>
  <cols>
    <col width="17.5546875" customWidth="1" min="1" max="1"/>
    <col width="55.6640625" customWidth="1" min="2" max="2"/>
    <col width="18.109375" customWidth="1" min="3" max="3"/>
  </cols>
  <sheetData>
    <row r="1">
      <c r="A1" s="66" t="inlineStr">
        <is>
          <t>Org. aplic.</t>
        </is>
      </c>
      <c r="B1" s="67" t="inlineStr">
        <is>
          <t>Descripción justificante</t>
        </is>
      </c>
      <c r="C1" s="67" t="inlineStr">
        <is>
          <t>Imp. aplic.</t>
        </is>
      </c>
    </row>
    <row r="2">
      <c r="A2" s="68" t="inlineStr">
        <is>
          <t>37.00.6C.00.15</t>
        </is>
      </c>
      <c r="B2" s="69" t="inlineStr">
        <is>
          <t>Primer hito de entrega del servicio de elaboración de un informe específico de la demanda para la Asociación Ruta del Vino de Alicante en el marco del proyecto "Experiencias Enoturísticas de España: Observatorio, experiencias innovadoras, economía circular y venta omnicanal de experiencias singulares"</t>
        </is>
      </c>
      <c r="C2" s="103" t="n">
        <v>3213.13</v>
      </c>
    </row>
    <row r="3">
      <c r="A3" s="71" t="inlineStr">
        <is>
          <t>37.00.6C.00.16</t>
        </is>
      </c>
      <c r="B3" s="72" t="inlineStr">
        <is>
          <t>FUNDACIONAYUDAACCION1-25A Percepciones Juveniles sobre la Migración Forzada: Narrativas, Discursos e Impactos en la Comunitat Valenciana</t>
        </is>
      </c>
      <c r="C3" s="104" t="n">
        <v>1454.54</v>
      </c>
    </row>
    <row r="4">
      <c r="A4" s="68" t="inlineStr">
        <is>
          <t>37.00.6C.00.16</t>
        </is>
      </c>
      <c r="B4" s="69" t="inlineStr">
        <is>
          <t>Informe de resultados de la investigación referente a la percepción juvenil sobre la migración forzada: narrativas, discursos e impactos en la Comunitat Valenciana. Segundo y último pago del contrato FUNDACIONAYUDAACCION1-25A, referencia profesor Franco Manuel Sancho Esper.</t>
        </is>
      </c>
      <c r="C4" s="103" t="n">
        <v>2181.82</v>
      </c>
    </row>
    <row r="5">
      <c r="A5" s="71" t="inlineStr">
        <is>
          <t>37.00.6P.00.07</t>
        </is>
      </c>
      <c r="B5" s="72" t="inlineStr">
        <is>
          <t>DEVOLUCIÓN DE INGRESOS_MODELO 047_CIGE 2022</t>
        </is>
      </c>
      <c r="C5" s="104" t="n">
        <v>-638.6799999999999</v>
      </c>
    </row>
    <row r="6" ht="15" customHeight="1" thickBot="1">
      <c r="A6" s="68" t="inlineStr">
        <is>
          <t>37.00.6P.00.08</t>
        </is>
      </c>
      <c r="B6" s="69"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6" s="103" t="n">
        <v>4876</v>
      </c>
    </row>
    <row r="7" ht="15" customHeight="1" thickTop="1">
      <c r="A7" s="74" t="inlineStr">
        <is>
          <t>Total</t>
        </is>
      </c>
      <c r="B7" s="75" t="n"/>
      <c r="C7" s="105" t="n">
        <v>11086.81</v>
      </c>
    </row>
    <row r="10">
      <c r="B10" s="64" t="inlineStr">
        <is>
          <t>Total ingresos investigación 2023-25</t>
        </is>
      </c>
      <c r="C10" s="106">
        <f>C7+Tabla2[[#Totals],[Imp.cob.aplic.]]+Tabla3[[#Totals],[Imp.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B21" sqref="B21"/>
    </sheetView>
  </sheetViews>
  <sheetFormatPr baseColWidth="10" defaultRowHeight="14.4"/>
  <cols>
    <col width="17" customWidth="1" min="1" max="1"/>
    <col width="86.109375" customWidth="1" min="2" max="2"/>
    <col width="16" customWidth="1" min="3" max="3"/>
  </cols>
  <sheetData>
    <row r="1">
      <c r="A1" s="47" t="inlineStr">
        <is>
          <t>Cód. org. aplic.</t>
        </is>
      </c>
      <c r="B1" s="47" t="inlineStr">
        <is>
          <t>Descripción justificante</t>
        </is>
      </c>
      <c r="C1" s="47" t="inlineStr">
        <is>
          <t>Imp.cob.aplic.</t>
        </is>
      </c>
    </row>
    <row r="2">
      <c r="A2" s="34" t="inlineStr">
        <is>
          <t>37.00.2T.00.04</t>
        </is>
      </c>
      <c r="B2" s="34" t="inlineStr">
        <is>
          <t xml:space="preserve">LIQ-TitProp_9376-1 Curso_2023-24_AñoCont_2023 - MÁSTER DE FORMACIÓN PERMANENTE EN MARKETING </t>
        </is>
      </c>
      <c r="C2" s="93" t="n">
        <v>1080</v>
      </c>
    </row>
    <row r="3">
      <c r="A3" s="35" t="inlineStr">
        <is>
          <t>37.00.2T.00.04</t>
        </is>
      </c>
      <c r="B3" s="35" t="inlineStr">
        <is>
          <t>DEVOLUCIÓN DE TASAS NÓMINAS_REMESA Nº 2023DTR380589_RDT INVERSA: 2023EXPADM2019</t>
        </is>
      </c>
      <c r="C3" s="94" t="n">
        <v>-1260.25</v>
      </c>
    </row>
    <row r="4">
      <c r="A4" s="34" t="inlineStr">
        <is>
          <t>37.00.2T.00.04</t>
        </is>
      </c>
      <c r="B4" s="34" t="inlineStr">
        <is>
          <t>DEVOLUCIÓN DE TASAS NÓMINA_REMESA Nº2023DTR015312; RDT INVERSA 1449; EXP.32</t>
        </is>
      </c>
      <c r="C4" s="93" t="n">
        <v>-1231.65</v>
      </c>
    </row>
    <row r="5">
      <c r="A5" s="35" t="inlineStr">
        <is>
          <t>37.00.2T.00.04</t>
        </is>
      </c>
      <c r="B5" s="35" t="inlineStr">
        <is>
          <t>DEVOLUCIÓN DE TASAS NÓMINA_REMESA Nº 2023DTR015443/ RDT INVERSA: 124/2023EXPADM0031</t>
        </is>
      </c>
      <c r="C5" s="94" t="n">
        <v>-1231.65</v>
      </c>
    </row>
    <row r="6">
      <c r="A6" s="34" t="inlineStr">
        <is>
          <t>37.00.2T.00.05</t>
        </is>
      </c>
      <c r="B6" s="34" t="inlineStr">
        <is>
          <t>40% DE LA MATRÍCULA DEL CURSO: FORMACIÓN CONTINUA EN DIRECCIÓN COMERCIAL Y VENTAS (GI29) ALUMNA: MARGARITA VERDÚ SANCHÍS</t>
        </is>
      </c>
      <c r="C6" s="93" t="n">
        <v>763.2</v>
      </c>
    </row>
    <row r="7">
      <c r="A7" s="35" t="inlineStr">
        <is>
          <t>37.00.2T.00.05</t>
        </is>
      </c>
      <c r="B7" s="35" t="inlineStr">
        <is>
          <t>MATRÍCULA DEL CURSO "FORMACIÓN CONTINUA EN DIRECCIÓN COMERCIAL Y VENTAS (GI29)"  ALUMNO: JUAN JOSÉ CORTÉS OLTRA</t>
        </is>
      </c>
      <c r="C7" s="94" t="n">
        <v>1908</v>
      </c>
    </row>
    <row r="8">
      <c r="A8" s="34" t="inlineStr">
        <is>
          <t>37.00.2T.00.05</t>
        </is>
      </c>
      <c r="B8" s="34" t="inlineStr">
        <is>
          <t xml:space="preserve">LIQ-TitProp_GI29-1 Curso_2023-24 AñoCont_2023 - DIRECCIÓN COMERCIAL Y VENTAS </t>
        </is>
      </c>
      <c r="C8" s="93" t="n">
        <v>17172</v>
      </c>
    </row>
    <row r="9">
      <c r="A9" s="35" t="inlineStr">
        <is>
          <t>37.00.2T.00.05</t>
        </is>
      </c>
      <c r="B9" s="35" t="inlineStr">
        <is>
          <t>60% DE LA MATRÍCULA DEL CURSO: FORMACIÓN CONTINUA EN DIRECCIÓN COMERCIAL Y VENTAS (GI29) ALUMNA: MARGARITA VERDÚ SANCHÍS</t>
        </is>
      </c>
      <c r="C9" s="94" t="n">
        <v>1144.8</v>
      </c>
    </row>
    <row r="10">
      <c r="A10" s="46" t="inlineStr">
        <is>
          <t>37.00.2T.00.06</t>
        </is>
      </c>
      <c r="B10" s="46" t="inlineStr">
        <is>
          <t xml:space="preserve">LIQ-TitProp_GI30-1 Curso_2023-24_AñoCont_2023 - DIRECCIÓN DE MARKETING </t>
        </is>
      </c>
      <c r="C10" s="107" t="n">
        <v>10303.2</v>
      </c>
    </row>
    <row r="11" customFormat="1" s="63">
      <c r="A11" s="61" t="inlineStr">
        <is>
          <t>Total</t>
        </is>
      </c>
      <c r="B11" s="61" t="n"/>
      <c r="C11" s="108">
        <f>SUBTOTAL(109,Tabla5[Imp.cob.aplic.])</f>
        <v/>
      </c>
    </row>
    <row r="12">
      <c r="C12" s="9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B13" sqref="B13:C13"/>
    </sheetView>
  </sheetViews>
  <sheetFormatPr baseColWidth="10" defaultRowHeight="14.4"/>
  <cols>
    <col width="18.6640625" customWidth="1" min="1" max="1"/>
    <col width="75.88671875" customWidth="1" min="2" max="2"/>
    <col width="12.33203125" customWidth="1" min="3" max="3"/>
  </cols>
  <sheetData>
    <row r="1">
      <c r="A1" s="55" t="inlineStr">
        <is>
          <t>Org. aplic.</t>
        </is>
      </c>
      <c r="B1" s="55" t="inlineStr">
        <is>
          <t>Descripción justificante</t>
        </is>
      </c>
      <c r="C1" s="55" t="inlineStr">
        <is>
          <t>Imp. aplic.</t>
        </is>
      </c>
    </row>
    <row r="2">
      <c r="A2" s="51" t="inlineStr">
        <is>
          <t>37.00.2T.00.05</t>
        </is>
      </c>
      <c r="B2" s="51" t="inlineStr">
        <is>
          <t>LIQ-TitProp_GI29-1 Curso_2023-24 AñoCont_2023 - DIRECCIÓN COMERCIAL Y VENTAS (EMITIDO Y COBRADO 2024)</t>
        </is>
      </c>
      <c r="C2" s="99" t="n">
        <v>1717.2</v>
      </c>
    </row>
    <row r="3">
      <c r="A3" s="53" t="inlineStr">
        <is>
          <t>37.00.2T.00.05</t>
        </is>
      </c>
      <c r="B3" s="53" t="inlineStr">
        <is>
          <t>MATRÍCULA EN EL CURSO ACADÉMICO 2023-2024 "FORMACIÓN CONTINUA EN DIRECCIÓN COMERCIAL Y VENTAS". ALUMNO: JUAN NAVARRO BELTRA</t>
        </is>
      </c>
      <c r="C3" s="100" t="n">
        <v>1908</v>
      </c>
    </row>
    <row r="4">
      <c r="A4" s="51" t="inlineStr">
        <is>
          <t>37.00.2T.00.05</t>
        </is>
      </c>
      <c r="B4" s="51" t="inlineStr">
        <is>
          <t>MATRÍCULA EN CURSO ACADÉMICO 2023-2024 "FORMACIÓN CONTINUA EN DIRECCIÓN COMERCIAL Y VENTAS". ALUMNO: RUBÉN GARCÍA SÁNCHEZ.</t>
        </is>
      </c>
      <c r="C4" s="99" t="n">
        <v>1908</v>
      </c>
    </row>
    <row r="5">
      <c r="A5" s="53" t="inlineStr">
        <is>
          <t>37.00.2T.00.05</t>
        </is>
      </c>
      <c r="B5" s="53" t="inlineStr">
        <is>
          <t>MATRÍCULA EN FORMACIÓN CONTINUA EN DIRECCIÓN COMERCIAL Y VENTAS, CURSO ACADÉMICO 2024-2025, DE PABLO CORPUS SELVA.</t>
        </is>
      </c>
      <c r="C5" s="100" t="n">
        <v>1908</v>
      </c>
    </row>
    <row r="6">
      <c r="A6" s="51" t="inlineStr">
        <is>
          <t>37.00.2T.00.05</t>
        </is>
      </c>
      <c r="B6" s="51" t="inlineStr">
        <is>
          <t>MATRÍCULA DEL ALUMNO PABLO CORPUS SELVA EN EL CURSO GI29: DIRECCIÓN COMERCIAL Y VENTAS</t>
        </is>
      </c>
      <c r="C6" s="99" t="n">
        <v>1908</v>
      </c>
    </row>
    <row r="7">
      <c r="A7" s="53" t="inlineStr">
        <is>
          <t>37.00.2T.00.05</t>
        </is>
      </c>
      <c r="B7" s="53" t="inlineStr">
        <is>
          <t xml:space="preserve">LIQ-TitProp_GI29-1 Curso_2024-25 AñoCont_2024 - DIRECCIÓN COMERCIAL Y VENTAS </t>
        </is>
      </c>
      <c r="C7" s="100" t="n">
        <v>20606.4</v>
      </c>
    </row>
    <row r="8">
      <c r="A8" s="51" t="inlineStr">
        <is>
          <t>37.00.2T.00.05</t>
        </is>
      </c>
      <c r="B8" s="51" t="inlineStr">
        <is>
          <t>MATRÍCULA EN EL CURSO "FORMACIÓN CONTINUA EN DIRECCIÓN COMERCIAL Y VENTAS" 2024-2025 DE PABLO CANTOS LÓPEZ.</t>
        </is>
      </c>
      <c r="C8" s="99" t="n">
        <v>1908</v>
      </c>
    </row>
    <row r="9">
      <c r="A9" s="59" t="inlineStr">
        <is>
          <t>37.00.2T.00.06</t>
        </is>
      </c>
      <c r="B9" s="59" t="inlineStr">
        <is>
          <t xml:space="preserve">LIQ-EP_Plan_GI30-N Curso_2024-25_AñoCont_2024 TipoRec_Emitido - DIRECCIÓN DE MARKETING _ (Cierre-24) </t>
        </is>
      </c>
      <c r="C9" s="101" t="n">
        <v>10303.2</v>
      </c>
    </row>
    <row r="10">
      <c r="A10" s="59" t="inlineStr">
        <is>
          <t>Total</t>
        </is>
      </c>
      <c r="B10" s="59" t="n"/>
      <c r="C10" s="102">
        <f>SUBTOTAL(109,Tabla6[Imp. 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3"/>
  <sheetViews>
    <sheetView tabSelected="1" workbookViewId="0">
      <selection activeCell="C14" sqref="C14"/>
    </sheetView>
  </sheetViews>
  <sheetFormatPr baseColWidth="10" defaultRowHeight="14.4"/>
  <cols>
    <col width="16.33203125" customWidth="1" min="1" max="1"/>
    <col width="52.88671875" customWidth="1" min="2" max="2"/>
    <col width="18.44140625" customWidth="1" min="3" max="3"/>
  </cols>
  <sheetData>
    <row r="1">
      <c r="A1" s="77" t="inlineStr">
        <is>
          <t>Org. aplic.</t>
        </is>
      </c>
      <c r="B1" s="78" t="inlineStr">
        <is>
          <t>Descripción justificante</t>
        </is>
      </c>
      <c r="C1" s="109" t="inlineStr">
        <is>
          <t>Imp. aplic.</t>
        </is>
      </c>
    </row>
    <row r="2">
      <c r="A2" s="80" t="inlineStr">
        <is>
          <t>37.00.2T.00.07</t>
        </is>
      </c>
      <c r="B2" s="81" t="inlineStr">
        <is>
          <t>CÓD. GM39. MICROCREDENCIAL. EXCELENCIA COMERCIAL: MEJORA CONTINUA Y OPTIMIZACIÓN DE PROCESOS DE VENTA (NEXT)</t>
        </is>
      </c>
      <c r="C2" s="110" t="n">
        <v>4145.4</v>
      </c>
    </row>
    <row r="3">
      <c r="A3" s="83" t="inlineStr">
        <is>
          <t>37.00.2T.00.08</t>
        </is>
      </c>
      <c r="B3" s="84" t="inlineStr">
        <is>
          <t xml:space="preserve">MATRÍCULA DEL ALUMNO MARTÍN FEDERICO BERNARDI ALTAMIRANO  EN EL CURSO "EXCELENCIA COMERCIAL: MEJORA CONTINUA Y OPTIMIZACIÓN DE PROCESOS" {PLAN GM39), EDICIÓN 2024- 2025. </t>
        </is>
      </c>
      <c r="C3" s="111" t="n">
        <v>141</v>
      </c>
    </row>
    <row r="4">
      <c r="A4" s="80" t="inlineStr">
        <is>
          <t>37.00.2T.00.10</t>
        </is>
      </c>
      <c r="B4" s="81" t="inlineStr">
        <is>
          <t>LIQ-TitProp_GM40-N Curso_2024-25 AñoCont_2025 - LA PROFESIÓN DE AGENTE COMERCIAL. UN SISTEMA EFECTIVO DE VENTAS</t>
        </is>
      </c>
      <c r="C4" s="110" t="n">
        <v>1225.08</v>
      </c>
    </row>
    <row r="5">
      <c r="A5" s="83" t="inlineStr">
        <is>
          <t>37.00.2T.00.09</t>
        </is>
      </c>
      <c r="B5" s="84" t="inlineStr">
        <is>
          <t>CÓD: GM40. MICROCREDENCIAL. LA PROFESIÓN DE GENTE COMERCIAL: UN SISTEMA EFECTIVO DE VENTAS (NEXT)</t>
        </is>
      </c>
      <c r="C5" s="111" t="n">
        <v>2405.34</v>
      </c>
    </row>
    <row r="6">
      <c r="A6" s="80" t="inlineStr">
        <is>
          <t>37.00.2T.00.05</t>
        </is>
      </c>
      <c r="B6" s="81" t="inlineStr">
        <is>
          <t>MATRÍCULA EN EL CURSO "DIRECCIÓN COMERCIAL Y VENTAS", EDICIÓN 2025-2026, DE ALEJANDRO LUNA BELLOT (Op5000058226).</t>
        </is>
      </c>
      <c r="C6" s="110" t="n">
        <v>1944.97</v>
      </c>
    </row>
    <row r="7">
      <c r="A7" s="83" t="inlineStr">
        <is>
          <t>37.00.2T.00.05</t>
        </is>
      </c>
      <c r="B7" s="84" t="inlineStr">
        <is>
          <t xml:space="preserve">MATRÍCULA EN EL CURSO "DIRECCIÓN COMERCIAL Y VENTAS", EDICIÓN 2025-2026, DE MANUEL LOZANO IBÁÑEZ (Op5000058225). </t>
        </is>
      </c>
      <c r="C7" s="111" t="n">
        <v>1944.97</v>
      </c>
    </row>
    <row r="8">
      <c r="A8" s="80" t="inlineStr">
        <is>
          <t>37.00.2T.00.05</t>
        </is>
      </c>
      <c r="B8" s="81" t="inlineStr">
        <is>
          <t>LIQ-TitProp_9473-N Curso_2025-26 AñoCont_2025 - EXPERTO/A EN DIRECCIÓN COMERCIAL Y VENTAS (CIERRE 25 EMITIDO 25 COBRADO 25)</t>
        </is>
      </c>
      <c r="C8" s="110" t="n">
        <v>4866.86</v>
      </c>
    </row>
    <row r="9" ht="15" customHeight="1" thickBot="1">
      <c r="A9" s="83" t="inlineStr">
        <is>
          <t>37.00.2T.00.05</t>
        </is>
      </c>
      <c r="B9" s="84" t="inlineStr">
        <is>
          <t xml:space="preserve">LIQ-TitProp_GN75-N Curso_2025-26 AñoCont_2025 - DIRECCIÓN COMERCIAL Y VENTAS _ (Cierre-25)  EMITIDO-25 COBRADO-25 NO-RDT </t>
        </is>
      </c>
      <c r="C9" s="111" t="n">
        <v>13743.02</v>
      </c>
    </row>
    <row r="10" ht="15" customHeight="1" thickTop="1">
      <c r="A10" s="86" t="inlineStr">
        <is>
          <t>Total</t>
        </is>
      </c>
      <c r="B10" s="87" t="n"/>
      <c r="C10" s="112" t="n">
        <v>30416.64</v>
      </c>
    </row>
    <row r="13">
      <c r="B13" s="64" t="inlineStr">
        <is>
          <t>Total ingresos formación 2023-25</t>
        </is>
      </c>
      <c r="C13" s="106">
        <f>C10+Tabla5[[#Totals],[Imp.cob.aplic.]]+Tabla6[[#Totals],[Imp. aplic.]]</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iudesp@ua.es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2026-05-28T21:59:15Z</dcterms:modified>
  <cp:lastModifiedBy>MARIA TERESA PUJALTE DEVIS</cp:lastModifiedBy>
</cp:coreProperties>
</file>