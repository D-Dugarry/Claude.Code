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794" firstSheet="0" activeTab="0" autoFilterDateGrouping="1"/>
  </bookViews>
  <sheets>
    <sheet name="Tesis" sheetId="1" state="visible" r:id="rId1"/>
    <sheet name="Sexenios" sheetId="2" state="visible" r:id="rId2"/>
    <sheet name="Ingresos investigación 2023" sheetId="3" state="visible" r:id="rId3"/>
    <sheet name="Ingresos investigación 2024" sheetId="4" state="visible" r:id="rId4"/>
    <sheet name="Ingresos investigación 2025" sheetId="5" state="visible" r:id="rId5"/>
    <sheet name="Ingresos formación 2023" sheetId="6" state="visible" r:id="rId6"/>
    <sheet name="Ingresos formación 2024" sheetId="7" state="visible" r:id="rId7"/>
    <sheet name="Ingresos formación 2025" sheetId="8" state="visible" r:id="rId8"/>
    <sheet name="Correo" sheetId="9" state="veryHidden" r:id="rId9"/>
  </sheets>
  <definedNames>
    <definedName name="_xlnm._FilterDatabase" localSheetId="0" hidden="1">'Tesis'!$A$1:$U$12</definedName>
    <definedName name="_xlnm.Print_Titles" localSheetId="0">'Tesis'!$1:$1,'Tesis'!$D:$D</definedName>
    <definedName name="_xlnm.Print_Titles" localSheetId="1">'Sexenios'!$1:$1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#,##0.0"/>
    <numFmt numFmtId="166" formatCode="_-* #,##0.00_-;\-* #,##0.00_-;_-* &quot;-&quot;??_-;_-@_-"/>
    <numFmt numFmtId="167" formatCode="_-* #,##0.00\ _€_-;\-* #,##0.00\ _€_-;_-* &quot;-&quot;??\ _€_-;_-@_-"/>
  </numFmts>
  <fonts count="21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b val="1"/>
      <color indexed="8"/>
      <sz val="8"/>
    </font>
    <font>
      <name val="Arial"/>
      <family val="2"/>
      <color indexed="8"/>
      <sz val="10"/>
    </font>
    <font>
      <name val="Arial"/>
      <family val="2"/>
      <sz val="10"/>
    </font>
    <font>
      <name val="Arial"/>
      <family val="2"/>
      <b val="1"/>
      <color indexed="8"/>
      <sz val="10"/>
    </font>
    <font>
      <name val="Arial"/>
      <family val="2"/>
      <b val="1"/>
      <sz val="10"/>
    </font>
    <font>
      <name val="Arial"/>
      <family val="2"/>
      <color theme="1"/>
      <sz val="10"/>
    </font>
    <font>
      <name val="Arial"/>
      <family val="2"/>
      <color rgb="FF000000"/>
      <sz val="8"/>
    </font>
    <font>
      <name val="Arial"/>
      <family val="2"/>
      <b val="1"/>
      <color theme="1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0"/>
      <sz val="10"/>
    </font>
    <font>
      <name val="Arial"/>
      <family val="2"/>
      <color theme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Arial"/>
      <family val="2"/>
      <b val="1"/>
      <color theme="0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</fonts>
  <fills count="14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theme="9"/>
        <bgColor theme="9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/>
        <bgColor theme="9" tint="0.799981688894314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/>
      <top style="medium">
        <color rgb="FF878787"/>
      </top>
      <bottom style="medium">
        <color rgb="FF878787"/>
      </bottom>
      <diagonal/>
    </border>
    <border>
      <left/>
      <right/>
      <top style="thin">
        <color theme="9" tint="0.3999755851924192"/>
      </top>
      <bottom style="thin">
        <color theme="9" tint="0.3999755851924192"/>
      </bottom>
      <diagonal/>
    </border>
    <border>
      <left/>
      <right/>
      <top/>
      <bottom style="thin">
        <color theme="9" tint="0.3999755851924192"/>
      </bottom>
      <diagonal/>
    </border>
    <border>
      <left/>
      <right/>
      <top style="thin">
        <color theme="9" tint="0.3999755851924192"/>
      </top>
      <bottom/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755851924192"/>
      </left>
      <right/>
      <top style="double">
        <color theme="4"/>
      </top>
      <bottom style="thin">
        <color theme="4" tint="0.3999755851924192"/>
      </bottom>
      <diagonal/>
    </border>
    <border>
      <left/>
      <right/>
      <top style="double">
        <color theme="4"/>
      </top>
      <bottom style="thin">
        <color theme="4" tint="0.3999755851924192"/>
      </bottom>
      <diagonal/>
    </border>
  </borders>
  <cellStyleXfs count="7">
    <xf numFmtId="0" fontId="12" fillId="0" borderId="0"/>
    <xf numFmtId="0" fontId="2" fillId="0" borderId="0"/>
    <xf numFmtId="0" fontId="5" fillId="0" borderId="0"/>
    <xf numFmtId="0" fontId="5" fillId="0" borderId="0"/>
    <xf numFmtId="0" fontId="6" fillId="0" borderId="0"/>
    <xf numFmtId="0" fontId="1" fillId="0" borderId="0"/>
    <xf numFmtId="167" fontId="12" fillId="0" borderId="0"/>
  </cellStyleXfs>
  <cellXfs count="95">
    <xf numFmtId="0" fontId="0" fillId="0" borderId="0" pivotButton="0" quotePrefix="0" xfId="0"/>
    <xf numFmtId="0" fontId="3" fillId="3" borderId="1" applyAlignment="1" pivotButton="0" quotePrefix="0" xfId="1">
      <alignment horizontal="center"/>
    </xf>
    <xf numFmtId="0" fontId="4" fillId="3" borderId="1" applyAlignment="1" pivotButton="0" quotePrefix="0" xfId="1">
      <alignment horizontal="center"/>
    </xf>
    <xf numFmtId="0" fontId="4" fillId="3" borderId="1" applyAlignment="1" pivotButton="0" quotePrefix="0" xfId="2">
      <alignment horizontal="center"/>
    </xf>
    <xf numFmtId="0" fontId="4" fillId="3" borderId="1" applyAlignment="1" pivotButton="0" quotePrefix="0" xfId="3">
      <alignment horizontal="center" wrapText="1"/>
    </xf>
    <xf numFmtId="0" fontId="4" fillId="3" borderId="1" applyAlignment="1" pivotButton="0" quotePrefix="0" xfId="3">
      <alignment horizontal="right" wrapText="1"/>
    </xf>
    <xf numFmtId="0" fontId="2" fillId="4" borderId="0" pivotButton="0" quotePrefix="0" xfId="1"/>
    <xf numFmtId="0" fontId="2" fillId="2" borderId="0" pivotButton="0" quotePrefix="0" xfId="1"/>
    <xf numFmtId="0" fontId="2" fillId="2" borderId="0" applyAlignment="1" pivotButton="0" quotePrefix="0" xfId="1">
      <alignment horizontal="right"/>
    </xf>
    <xf numFmtId="0" fontId="2" fillId="4" borderId="0" applyAlignment="1" pivotButton="0" quotePrefix="0" xfId="1">
      <alignment horizontal="right"/>
    </xf>
    <xf numFmtId="0" fontId="8" fillId="5" borderId="1" applyAlignment="1" pivotButton="0" quotePrefix="0" xfId="3">
      <alignment horizontal="center" textRotation="90" wrapText="1"/>
    </xf>
    <xf numFmtId="0" fontId="8" fillId="3" borderId="1" applyAlignment="1" pivotButton="0" quotePrefix="0" xfId="3">
      <alignment horizontal="center" textRotation="90" wrapText="1"/>
    </xf>
    <xf numFmtId="0" fontId="5" fillId="0" borderId="0" pivotButton="0" quotePrefix="0" xfId="5"/>
    <xf numFmtId="0" fontId="9" fillId="0" borderId="0" pivotButton="0" quotePrefix="0" xfId="5"/>
    <xf numFmtId="0" fontId="9" fillId="0" borderId="0" applyAlignment="1" pivotButton="0" quotePrefix="0" xfId="5">
      <alignment horizontal="right"/>
    </xf>
    <xf numFmtId="0" fontId="7" fillId="2" borderId="1" pivotButton="0" quotePrefix="0" xfId="0"/>
    <xf numFmtId="0" fontId="7" fillId="2" borderId="1" applyAlignment="1" pivotButton="0" quotePrefix="0" xfId="0">
      <alignment textRotation="90"/>
    </xf>
    <xf numFmtId="0" fontId="2" fillId="4" borderId="1" pivotButton="0" quotePrefix="0" xfId="1"/>
    <xf numFmtId="0" fontId="10" fillId="6" borderId="1" applyAlignment="1" pivotButton="0" quotePrefix="0" xfId="0">
      <alignment horizontal="left" vertical="center"/>
    </xf>
    <xf numFmtId="0" fontId="10" fillId="6" borderId="2" applyAlignment="1" pivotButton="0" quotePrefix="0" xfId="0">
      <alignment horizontal="left" vertical="center"/>
    </xf>
    <xf numFmtId="0" fontId="10" fillId="6" borderId="3" applyAlignment="1" pivotButton="0" quotePrefix="0" xfId="0">
      <alignment horizontal="left" vertical="center"/>
    </xf>
    <xf numFmtId="0" fontId="10" fillId="6" borderId="4" applyAlignment="1" pivotButton="0" quotePrefix="0" xfId="0">
      <alignment horizontal="left" vertical="center"/>
    </xf>
    <xf numFmtId="164" fontId="2" fillId="4" borderId="1" pivotButton="0" quotePrefix="0" xfId="1"/>
    <xf numFmtId="0" fontId="2" fillId="4" borderId="1" applyAlignment="1" pivotButton="0" quotePrefix="0" xfId="1">
      <alignment horizontal="right"/>
    </xf>
    <xf numFmtId="1" fontId="2" fillId="4" borderId="1" pivotButton="0" quotePrefix="0" xfId="1"/>
    <xf numFmtId="165" fontId="2" fillId="4" borderId="1" pivotButton="0" quotePrefix="0" xfId="1"/>
    <xf numFmtId="0" fontId="2" fillId="0" borderId="1" pivotButton="0" quotePrefix="0" xfId="1"/>
    <xf numFmtId="0" fontId="8" fillId="3" borderId="1" applyAlignment="1" pivotButton="0" quotePrefix="0" xfId="3">
      <alignment horizontal="center" wrapText="1"/>
    </xf>
    <xf numFmtId="0" fontId="2" fillId="0" borderId="1" pivotButton="0" quotePrefix="0" xfId="0"/>
    <xf numFmtId="164" fontId="2" fillId="2" borderId="0" pivotButton="0" quotePrefix="0" xfId="1"/>
    <xf numFmtId="0" fontId="14" fillId="7" borderId="5" pivotButton="0" quotePrefix="0" xfId="0"/>
    <xf numFmtId="166" fontId="0" fillId="7" borderId="5" pivotButton="0" quotePrefix="0" xfId="6"/>
    <xf numFmtId="0" fontId="14" fillId="0" borderId="5" pivotButton="0" quotePrefix="0" xfId="0"/>
    <xf numFmtId="166" fontId="0" fillId="0" borderId="5" pivotButton="0" quotePrefix="0" xfId="6"/>
    <xf numFmtId="166" fontId="0" fillId="0" borderId="0" pivotButton="0" quotePrefix="0" xfId="0"/>
    <xf numFmtId="0" fontId="9" fillId="9" borderId="0" pivotButton="0" quotePrefix="0" xfId="5"/>
    <xf numFmtId="0" fontId="9" fillId="9" borderId="0" applyAlignment="1" pivotButton="0" quotePrefix="0" xfId="5">
      <alignment horizontal="right"/>
    </xf>
    <xf numFmtId="0" fontId="9" fillId="0" borderId="1" pivotButton="0" quotePrefix="0" xfId="5"/>
    <xf numFmtId="0" fontId="9" fillId="0" borderId="1" applyAlignment="1" pivotButton="0" quotePrefix="0" xfId="5">
      <alignment horizontal="right"/>
    </xf>
    <xf numFmtId="164" fontId="3" fillId="2" borderId="0" pivotButton="0" quotePrefix="0" xfId="1"/>
    <xf numFmtId="0" fontId="13" fillId="8" borderId="6" pivotButton="0" quotePrefix="0" xfId="0"/>
    <xf numFmtId="0" fontId="0" fillId="0" borderId="7" pivotButton="0" quotePrefix="0" xfId="0"/>
    <xf numFmtId="0" fontId="14" fillId="7" borderId="7" pivotButton="0" quotePrefix="0" xfId="0"/>
    <xf numFmtId="166" fontId="0" fillId="7" borderId="7" pivotButton="0" quotePrefix="0" xfId="6"/>
    <xf numFmtId="0" fontId="9" fillId="10" borderId="7" pivotButton="0" quotePrefix="0" xfId="0"/>
    <xf numFmtId="166" fontId="12" fillId="10" borderId="7" pivotButton="0" quotePrefix="0" xfId="0"/>
    <xf numFmtId="0" fontId="0" fillId="11" borderId="0" pivotButton="0" quotePrefix="0" xfId="0"/>
    <xf numFmtId="0" fontId="0" fillId="7" borderId="5" pivotButton="0" quotePrefix="0" xfId="0"/>
    <xf numFmtId="0" fontId="0" fillId="0" borderId="5" pivotButton="0" quotePrefix="0" xfId="0"/>
    <xf numFmtId="0" fontId="15" fillId="8" borderId="6" pivotButton="0" quotePrefix="0" xfId="0"/>
    <xf numFmtId="166" fontId="15" fillId="8" borderId="6" pivotButton="0" quotePrefix="0" xfId="6"/>
    <xf numFmtId="166" fontId="0" fillId="0" borderId="7" pivotButton="0" quotePrefix="0" xfId="6"/>
    <xf numFmtId="166" fontId="12" fillId="0" borderId="7" pivotButton="0" quotePrefix="0" xfId="0"/>
    <xf numFmtId="0" fontId="0" fillId="7" borderId="7" pivotButton="0" quotePrefix="0" xfId="0"/>
    <xf numFmtId="0" fontId="0" fillId="10" borderId="7" pivotButton="0" quotePrefix="0" xfId="0"/>
    <xf numFmtId="166" fontId="0" fillId="10" borderId="7" pivotButton="0" quotePrefix="0" xfId="0"/>
    <xf numFmtId="0" fontId="9" fillId="7" borderId="7" pivotButton="0" quotePrefix="0" xfId="0"/>
    <xf numFmtId="166" fontId="0" fillId="10" borderId="7" pivotButton="0" quotePrefix="0" xfId="6"/>
    <xf numFmtId="0" fontId="16" fillId="0" borderId="1" pivotButton="0" quotePrefix="0" xfId="0"/>
    <xf numFmtId="166" fontId="16" fillId="0" borderId="1" pivotButton="0" quotePrefix="0" xfId="0"/>
    <xf numFmtId="0" fontId="18" fillId="12" borderId="8" pivotButton="0" quotePrefix="0" xfId="0"/>
    <xf numFmtId="0" fontId="18" fillId="12" borderId="9" pivotButton="0" quotePrefix="0" xfId="0"/>
    <xf numFmtId="0" fontId="19" fillId="13" borderId="8" pivotButton="0" quotePrefix="0" xfId="0"/>
    <xf numFmtId="0" fontId="19" fillId="13" borderId="9" pivotButton="0" quotePrefix="0" xfId="0"/>
    <xf numFmtId="167" fontId="19" fillId="13" borderId="9" pivotButton="0" quotePrefix="0" xfId="6"/>
    <xf numFmtId="0" fontId="19" fillId="0" borderId="8" pivotButton="0" quotePrefix="0" xfId="0"/>
    <xf numFmtId="0" fontId="19" fillId="0" borderId="9" pivotButton="0" quotePrefix="0" xfId="0"/>
    <xf numFmtId="167" fontId="19" fillId="0" borderId="9" pivotButton="0" quotePrefix="0" xfId="6"/>
    <xf numFmtId="0" fontId="20" fillId="0" borderId="10" pivotButton="0" quotePrefix="0" xfId="0"/>
    <xf numFmtId="0" fontId="20" fillId="0" borderId="11" pivotButton="0" quotePrefix="0" xfId="0"/>
    <xf numFmtId="167" fontId="20" fillId="0" borderId="11" pivotButton="0" quotePrefix="0" xfId="6"/>
    <xf numFmtId="167" fontId="18" fillId="12" borderId="9" pivotButton="0" quotePrefix="0" xfId="6"/>
    <xf numFmtId="167" fontId="20" fillId="0" borderId="11" pivotButton="0" quotePrefix="0" xfId="0"/>
    <xf numFmtId="164" fontId="11" fillId="9" borderId="0" pivotButton="0" quotePrefix="0" xfId="5"/>
    <xf numFmtId="165" fontId="2" fillId="4" borderId="1" pivotButton="0" quotePrefix="0" xfId="1"/>
    <xf numFmtId="164" fontId="2" fillId="4" borderId="1" pivotButton="0" quotePrefix="0" xfId="1"/>
    <xf numFmtId="164" fontId="2" fillId="2" borderId="0" pivotButton="0" quotePrefix="0" xfId="1"/>
    <xf numFmtId="164" fontId="3" fillId="2" borderId="0" pivotButton="0" quotePrefix="0" xfId="1"/>
    <xf numFmtId="164" fontId="11" fillId="9" borderId="0" pivotButton="0" quotePrefix="0" xfId="5"/>
    <xf numFmtId="166" fontId="0" fillId="7" borderId="5" pivotButton="0" quotePrefix="0" xfId="6"/>
    <xf numFmtId="166" fontId="0" fillId="0" borderId="5" pivotButton="0" quotePrefix="0" xfId="6"/>
    <xf numFmtId="166" fontId="12" fillId="10" borderId="7" pivotButton="0" quotePrefix="0" xfId="0"/>
    <xf numFmtId="166" fontId="0" fillId="0" borderId="0" pivotButton="0" quotePrefix="0" xfId="0"/>
    <xf numFmtId="166" fontId="15" fillId="8" borderId="6" pivotButton="0" quotePrefix="0" xfId="6"/>
    <xf numFmtId="166" fontId="0" fillId="0" borderId="7" pivotButton="0" quotePrefix="0" xfId="6"/>
    <xf numFmtId="166" fontId="12" fillId="0" borderId="7" pivotButton="0" quotePrefix="0" xfId="0"/>
    <xf numFmtId="167" fontId="19" fillId="13" borderId="9" pivotButton="0" quotePrefix="0" xfId="6"/>
    <xf numFmtId="167" fontId="19" fillId="0" borderId="9" pivotButton="0" quotePrefix="0" xfId="6"/>
    <xf numFmtId="167" fontId="20" fillId="0" borderId="11" pivotButton="0" quotePrefix="0" xfId="6"/>
    <xf numFmtId="166" fontId="16" fillId="0" borderId="1" pivotButton="0" quotePrefix="0" xfId="0"/>
    <xf numFmtId="166" fontId="0" fillId="7" borderId="7" pivotButton="0" quotePrefix="0" xfId="6"/>
    <xf numFmtId="166" fontId="0" fillId="10" borderId="7" pivotButton="0" quotePrefix="0" xfId="6"/>
    <xf numFmtId="166" fontId="0" fillId="10" borderId="7" pivotButton="0" quotePrefix="0" xfId="0"/>
    <xf numFmtId="167" fontId="18" fillId="12" borderId="9" pivotButton="0" quotePrefix="0" xfId="6"/>
    <xf numFmtId="167" fontId="20" fillId="0" borderId="11" pivotButton="0" quotePrefix="0" xfId="0"/>
  </cellXfs>
  <cellStyles count="7">
    <cellStyle name="Normal" xfId="0" builtinId="0"/>
    <cellStyle name="Normal_Ind.2010" xfId="1"/>
    <cellStyle name="Normal_Becas 14_9_2005" xfId="2"/>
    <cellStyle name="Normal_PDI por Centro" xfId="3"/>
    <cellStyle name="Normal 2" xfId="4"/>
    <cellStyle name="Normal 3" xfId="5"/>
    <cellStyle name="Millares" xfId="6" builtinId="3"/>
  </cellStyles>
  <dxfs count="42"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-* #,##0.00_-;\-* #,##0.00_-;_-* &quot;-&quot;??_-;_-@_-"/>
      <fill>
        <patternFill patternType="solid">
          <fgColor theme="9" tint="0.7999816888943144"/>
          <bgColor theme="0"/>
        </patternFill>
      </fill>
      <border outline="0">
        <left/>
        <right/>
        <top style="thin">
          <color theme="9" tint="0.3999755851924192"/>
        </top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-* #,##0.00_-;\-* #,##0.00_-;_-* &quot;-&quot;??_-;_-@_-"/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/>
        <vertical/>
        <horizontal/>
      </border>
    </dxf>
    <dxf>
      <fill>
        <patternFill patternType="solid">
          <fgColor theme="9" tint="0.7999816888943144"/>
          <bgColor theme="0"/>
        </patternFill>
      </fill>
      <border outline="0">
        <left/>
        <right/>
        <top style="thin">
          <color theme="9" tint="0.3999755851924192"/>
        </top>
        <bottom/>
      </border>
    </dxf>
    <dxf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/>
        <vertical/>
        <horizontal/>
      </border>
    </dxf>
    <dxf>
      <fill>
        <patternFill patternType="solid">
          <fgColor theme="9" tint="0.7999816888943144"/>
          <bgColor theme="0"/>
        </patternFill>
      </fill>
      <border outline="0">
        <left/>
        <right/>
        <top style="thin">
          <color theme="9" tint="0.3999755851924192"/>
        </top>
        <bottom/>
      </border>
    </dxf>
    <dxf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/>
        <vertical/>
        <horizontal/>
      </border>
    </dxf>
    <dxf>
      <border outline="0">
        <top style="thin">
          <color theme="9" tint="0.3999755851924192"/>
        </top>
      </border>
    </dxf>
    <dxf>
      <fill>
        <patternFill>
          <bgColor theme="0"/>
        </patternFill>
      </fill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9"/>
          <bgColor theme="9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-* #,##0.00_-;\-* #,##0.00_-;_-* &quot;-&quot;??_-;_-@_-"/>
      <fill>
        <patternFill patternType="solid">
          <fgColor theme="9" tint="0.7999816888943144"/>
          <bgColor theme="0"/>
        </patternFill>
      </fill>
      <border outline="0">
        <left/>
        <right/>
        <top style="thin">
          <color theme="9" tint="0.3999755851924192"/>
        </top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-* #,##0.00_-;\-* #,##0.00_-;_-* &quot;-&quot;??_-;_-@_-"/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0"/>
        </patternFill>
      </fill>
      <border outline="0">
        <left/>
        <right/>
        <top style="thin">
          <color theme="9" tint="0.3999755851924192"/>
        </top>
        <bottom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0"/>
        </patternFill>
      </fill>
      <border outline="0">
        <left/>
        <right/>
        <top style="thin">
          <color theme="9" tint="0.3999755851924192"/>
        </top>
        <bottom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top style="thin">
          <color theme="9" tint="0.3999755851924192"/>
        </top>
      </border>
    </dxf>
    <dxf>
      <fill>
        <patternFill>
          <bgColor theme="0"/>
        </patternFill>
      </fill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0"/>
        <vertAlign val="baseline"/>
      </font>
      <fill>
        <patternFill patternType="solid">
          <fgColor theme="9"/>
          <bgColor theme="9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 outline="0">
        <left/>
        <right/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-* #,##0.00_-;\-* #,##0.00_-;_-* &quot;-&quot;??_-;_-@_-"/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left/>
        <right/>
        <top/>
        <bottom/>
      </border>
    </dxf>
    <dxf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left/>
        <right/>
        <top/>
        <bottom/>
      </border>
    </dxf>
    <dxf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top style="thin">
          <color theme="9" tint="0.3999755851924192"/>
        </top>
      </border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9" tint="0.7999816888943144"/>
          <bgColor theme="0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-* #,##0.00_-;\-* #,##0.00_-;_-* &quot;-&quot;??_-;_-@_-"/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0"/>
        </patternFill>
      </fill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0"/>
        </patternFill>
      </fill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top style="thin">
          <color theme="9" tint="0.3999755851924192"/>
        </top>
      </border>
    </dxf>
    <dxf>
      <fill>
        <patternFill>
          <bgColor theme="0"/>
        </patternFill>
      </fill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0"/>
        <vertAlign val="baseline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Tabla2" displayName="Tabla2" ref="A1:C11" headerRowCount="1" totalsRowCount="1" headerRowDxfId="41" totalsRowDxfId="38" headerRowBorderDxfId="40" tableBorderDxfId="39" totalsRowBorderDxfId="37">
  <autoFilter ref="A1:C10"/>
  <tableColumns count="3">
    <tableColumn id="1" name="Cód. org. aplic." totalsRowLabel="Total" dataDxfId="36" totalsRowDxfId="35"/>
    <tableColumn id="2" name="Descripción justificante" dataDxfId="34" totalsRowDxfId="33"/>
    <tableColumn id="3" name="Imp.cob.aplic." totalsRowFunction="sum" dataDxfId="32" totalsRowDxfId="31" dataCellStyle="Millares" totalsRowCellStyle="Millares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id="2" name="Tabla3" displayName="Tabla3" ref="A1:C14" headerRowCount="1" totalsRowCount="1" headerRowBorderDxfId="30" tableBorderDxfId="29" totalsRowBorderDxfId="28">
  <autoFilter ref="A1:C13"/>
  <tableColumns count="3">
    <tableColumn id="1" name="Org. aplic." totalsRowLabel="Total" dataDxfId="27" totalsRowDxfId="26"/>
    <tableColumn id="2" name="Descripción justificante" dataDxfId="25" totalsRowDxfId="24"/>
    <tableColumn id="3" name="Imp. aplic." totalsRowFunction="sum" dataDxfId="23" totalsRowDxfId="22" dataCellStyle="Millares" totalsRowCellStyle="Millar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a5" displayName="Tabla5" ref="A1:C18" headerRowCount="1" totalsRowCount="1" headerRowDxfId="21" totalsRowDxfId="18" headerRowBorderDxfId="20" tableBorderDxfId="19" totalsRowBorderDxfId="17">
  <autoFilter ref="A1:C17"/>
  <tableColumns count="3">
    <tableColumn id="1" name="Cód. org. aplic." totalsRowLabel="Total" dataDxfId="16" totalsRowDxfId="15"/>
    <tableColumn id="2" name="Descripción justificante" dataDxfId="14" totalsRowDxfId="13"/>
    <tableColumn id="3" name="Imp.cob.aplic." totalsRowFunction="sum" dataDxfId="12" totalsRowDxfId="11" dataCellStyle="Millares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id="4" name="Tabla6" displayName="Tabla6" ref="A1:C14" headerRowCount="1" totalsRowCount="1" headerRowDxfId="10" totalsRowDxfId="7" headerRowBorderDxfId="9" tableBorderDxfId="8" totalsRowBorderDxfId="6">
  <autoFilter ref="A1:C13"/>
  <tableColumns count="3">
    <tableColumn id="1" name="Org. aplic." totalsRowLabel="Total" dataDxfId="5" totalsRowDxfId="4"/>
    <tableColumn id="2" name="Descripción justificante" dataDxfId="3" totalsRowDxfId="2"/>
    <tableColumn id="3" name="Imp. aplic." totalsRowFunction="sum" dataDxfId="1" totalsRowDxfId="0" dataCellStyle="Millares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8"/>
  <sheetViews>
    <sheetView showGridLines="0" tabSelected="1" zoomScale="120" zoomScaleNormal="120" workbookViewId="0">
      <pane xSplit="1" ySplit="1" topLeftCell="F2" activePane="bottomRight" state="frozen"/>
      <selection pane="topRight" activeCell="B1" sqref="B1"/>
      <selection pane="bottomLeft" activeCell="A2" sqref="A2"/>
      <selection pane="bottomRight" activeCell="V25" sqref="V25"/>
    </sheetView>
  </sheetViews>
  <sheetFormatPr baseColWidth="10" defaultColWidth="10.28515625" defaultRowHeight="11.25"/>
  <cols>
    <col width="5" customWidth="1" style="6" min="1" max="1"/>
    <col width="29.7109375" customWidth="1" style="6" min="2" max="4"/>
    <col width="40.7109375" customWidth="1" style="6" min="5" max="5"/>
    <col width="9.140625" customWidth="1" style="6" min="6" max="6"/>
    <col width="9.7109375" customWidth="1" style="6" min="7" max="7"/>
    <col width="14.42578125" customWidth="1" style="6" min="8" max="8"/>
    <col width="5.85546875" customWidth="1" style="6" min="9" max="9"/>
    <col width="33.7109375" customWidth="1" style="6" min="10" max="10"/>
    <col width="5.140625" customWidth="1" style="6" min="11" max="12"/>
    <col width="4.42578125" customWidth="1" style="6" min="13" max="13"/>
    <col width="4.85546875" customWidth="1" style="6" min="14" max="14"/>
    <col width="4.85546875" customWidth="1" style="9" min="15" max="15"/>
    <col width="4.85546875" customWidth="1" style="6" min="16" max="16"/>
    <col width="3.5703125" customWidth="1" style="9" min="17" max="17"/>
    <col width="3.5703125" customWidth="1" style="6" min="18" max="18"/>
    <col width="5.140625" customWidth="1" style="6" min="19" max="21"/>
    <col width="10.28515625" customWidth="1" style="6" min="22" max="16384"/>
  </cols>
  <sheetData>
    <row r="1" ht="45.75" customHeight="1" thickBot="1">
      <c r="A1" s="1" t="inlineStr">
        <is>
          <t>C.D.</t>
        </is>
      </c>
      <c r="B1" s="2" t="inlineStr">
        <is>
          <t>Departamento</t>
        </is>
      </c>
      <c r="C1" s="2" t="inlineStr">
        <is>
          <t>Plan</t>
        </is>
      </c>
      <c r="D1" s="2" t="inlineStr">
        <is>
          <t>Alumno</t>
        </is>
      </c>
      <c r="E1" s="2" t="inlineStr">
        <is>
          <t>Tesis</t>
        </is>
      </c>
      <c r="F1" s="2" t="inlineStr">
        <is>
          <t>Fecha</t>
        </is>
      </c>
      <c r="G1" s="2" t="inlineStr">
        <is>
          <t>Tutor</t>
        </is>
      </c>
      <c r="H1" s="2" t="inlineStr">
        <is>
          <t>Rol</t>
        </is>
      </c>
      <c r="I1" s="1" t="inlineStr">
        <is>
          <t>C.DEP.</t>
        </is>
      </c>
      <c r="J1" s="2" t="inlineStr">
        <is>
          <t>Departamento Tutor</t>
        </is>
      </c>
      <c r="K1" s="1" t="inlineStr">
        <is>
          <t>ASIGNACIÓN</t>
        </is>
      </c>
      <c r="L1" s="2" t="inlineStr">
        <is>
          <t>DEP.ASIG.</t>
        </is>
      </c>
      <c r="M1" s="3" t="inlineStr">
        <is>
          <t>EJERCICIO</t>
        </is>
      </c>
      <c r="N1" s="4" t="inlineStr">
        <is>
          <t>INS 1</t>
        </is>
      </c>
      <c r="O1" s="5" t="inlineStr">
        <is>
          <t>DED INS 1</t>
        </is>
      </c>
      <c r="P1" s="4" t="inlineStr">
        <is>
          <t>INS 2</t>
        </is>
      </c>
      <c r="Q1" s="5" t="inlineStr">
        <is>
          <t>DED INS 2</t>
        </is>
      </c>
      <c r="R1" s="4" t="inlineStr">
        <is>
          <t>DED DEP</t>
        </is>
      </c>
      <c r="S1" s="4" t="inlineStr">
        <is>
          <t>TDOC DEP</t>
        </is>
      </c>
      <c r="T1" s="4" t="inlineStr">
        <is>
          <t>TDOC INST 1</t>
        </is>
      </c>
      <c r="U1" s="4" t="inlineStr">
        <is>
          <t>TDOC INST 2</t>
        </is>
      </c>
    </row>
    <row r="2" ht="12" customHeight="1" thickBot="1">
      <c r="A2" s="18" t="inlineStr">
        <is>
          <t xml:space="preserve">U025 </t>
        </is>
      </c>
      <c r="B2" s="18" t="inlineStr">
        <is>
          <t xml:space="preserve">ADM. FACULTAD DE DERECHO </t>
        </is>
      </c>
      <c r="C2" s="18" t="inlineStr">
        <is>
          <t xml:space="preserve">DOCTORADO EN DERECHO </t>
        </is>
      </c>
      <c r="D2" s="18" t="inlineStr">
        <is>
          <t xml:space="preserve">Lorca Sánchez, Miguel Angel </t>
        </is>
      </c>
      <c r="E2" s="18" t="inlineStr">
        <is>
          <t xml:space="preserve">El derecho al secreto de las comunicaciones. Influencia de la jurisprudencia y análisis de su aplicación en la práctica jurídica. </t>
        </is>
      </c>
      <c r="F2" s="18" t="inlineStr">
        <is>
          <t xml:space="preserve">12/03/2021 </t>
        </is>
      </c>
      <c r="G2" s="19" t="inlineStr">
        <is>
          <t xml:space="preserve">48316091Z </t>
        </is>
      </c>
      <c r="H2" s="20" t="inlineStr">
        <is>
          <t xml:space="preserve">Codirector de tesis </t>
        </is>
      </c>
      <c r="I2" s="20" t="inlineStr">
        <is>
          <t xml:space="preserve">B154 </t>
        </is>
      </c>
      <c r="J2" s="21" t="inlineStr">
        <is>
          <t xml:space="preserve">DERECHO MERCANTIL Y DERECHO PROCESAL </t>
        </is>
      </c>
      <c r="K2" s="26" t="n">
        <v>0.5</v>
      </c>
      <c r="L2" s="26" t="inlineStr">
        <is>
          <t>B154</t>
        </is>
      </c>
      <c r="M2" s="17" t="n">
        <v>2020</v>
      </c>
      <c r="N2" s="17" t="inlineStr"/>
      <c r="O2" s="23" t="inlineStr"/>
      <c r="P2" s="17" t="inlineStr"/>
      <c r="Q2" s="23" t="inlineStr"/>
      <c r="R2" s="17" t="n">
        <v>100</v>
      </c>
      <c r="S2" s="17" t="n">
        <v>0.5</v>
      </c>
      <c r="T2" s="17" t="n">
        <v>0</v>
      </c>
      <c r="U2" s="17" t="n">
        <v>0</v>
      </c>
    </row>
    <row r="3" ht="12" customHeight="1" thickBot="1">
      <c r="A3" s="18" t="inlineStr">
        <is>
          <t xml:space="preserve">U025 </t>
        </is>
      </c>
      <c r="B3" s="18" t="inlineStr">
        <is>
          <t xml:space="preserve">ADM. FACULTAD DE DERECHO </t>
        </is>
      </c>
      <c r="C3" s="18" t="inlineStr">
        <is>
          <t xml:space="preserve">DOCTORADO EN DERECHO </t>
        </is>
      </c>
      <c r="D3" s="18" t="inlineStr">
        <is>
          <t xml:space="preserve">Lorca Sánchez, Miguel Angel </t>
        </is>
      </c>
      <c r="E3" s="18" t="inlineStr">
        <is>
          <t xml:space="preserve">El derecho al secreto de las comunicaciones. Influencia de la jurisprudencia y análisis de su aplicación en la práctica jurídica. </t>
        </is>
      </c>
      <c r="F3" s="18" t="inlineStr">
        <is>
          <t xml:space="preserve">12/03/2021 </t>
        </is>
      </c>
      <c r="G3" s="19" t="inlineStr">
        <is>
          <t xml:space="preserve">21418740J </t>
        </is>
      </c>
      <c r="H3" s="20" t="inlineStr">
        <is>
          <t xml:space="preserve">Codirector de tesis </t>
        </is>
      </c>
      <c r="I3" s="20" t="inlineStr">
        <is>
          <t xml:space="preserve">B154 </t>
        </is>
      </c>
      <c r="J3" s="21" t="inlineStr">
        <is>
          <t xml:space="preserve">DERECHO MERCANTIL Y DERECHO PROCESAL </t>
        </is>
      </c>
      <c r="K3" s="26" t="n">
        <v>0.5</v>
      </c>
      <c r="L3" s="26" t="inlineStr">
        <is>
          <t>B154</t>
        </is>
      </c>
      <c r="M3" s="17" t="n">
        <v>2020</v>
      </c>
      <c r="N3" s="17" t="inlineStr"/>
      <c r="O3" s="23" t="inlineStr"/>
      <c r="P3" s="17" t="inlineStr"/>
      <c r="Q3" s="23" t="inlineStr"/>
      <c r="R3" s="17" t="n">
        <v>100</v>
      </c>
      <c r="S3" s="17" t="n">
        <v>0.5</v>
      </c>
      <c r="T3" s="17" t="n">
        <v>0</v>
      </c>
      <c r="U3" s="17" t="n">
        <v>0</v>
      </c>
    </row>
    <row r="4" ht="12" customHeight="1" thickBot="1">
      <c r="A4" s="18" t="inlineStr">
        <is>
          <t xml:space="preserve">U025 </t>
        </is>
      </c>
      <c r="B4" s="18" t="inlineStr">
        <is>
          <t xml:space="preserve">ADM. FACULTAD DE DERECHO </t>
        </is>
      </c>
      <c r="C4" s="18" t="inlineStr">
        <is>
          <t xml:space="preserve">DOCTORADO EN DERECHO </t>
        </is>
      </c>
      <c r="D4" s="18" t="inlineStr">
        <is>
          <t xml:space="preserve">Antequera Jiménez, Pedro Jesus </t>
        </is>
      </c>
      <c r="E4" s="18" t="inlineStr">
        <is>
          <t xml:space="preserve">LA MEDIACIÓN PENAL EN ASUNTOS DE VIOLENCIA DE GÉNERO </t>
        </is>
      </c>
      <c r="F4" s="18" t="inlineStr">
        <is>
          <t xml:space="preserve">30/04/2021 </t>
        </is>
      </c>
      <c r="G4" s="19" t="inlineStr">
        <is>
          <t xml:space="preserve">21418740J </t>
        </is>
      </c>
      <c r="H4" s="20" t="inlineStr">
        <is>
          <t xml:space="preserve">Codirector de tesis </t>
        </is>
      </c>
      <c r="I4" s="20" t="inlineStr">
        <is>
          <t xml:space="preserve">B154 </t>
        </is>
      </c>
      <c r="J4" s="21" t="inlineStr">
        <is>
          <t xml:space="preserve">DERECHO MERCANTIL Y DERECHO PROCESAL </t>
        </is>
      </c>
      <c r="K4" s="26" t="n">
        <v>0.5</v>
      </c>
      <c r="L4" s="26" t="inlineStr">
        <is>
          <t>B154</t>
        </is>
      </c>
      <c r="M4" s="17" t="n">
        <v>2020</v>
      </c>
      <c r="N4" s="17" t="inlineStr"/>
      <c r="O4" s="23" t="inlineStr"/>
      <c r="P4" s="17" t="inlineStr"/>
      <c r="Q4" s="23" t="inlineStr"/>
      <c r="R4" s="17" t="n">
        <v>100</v>
      </c>
      <c r="S4" s="17" t="n">
        <v>0.5</v>
      </c>
      <c r="T4" s="17" t="n">
        <v>0</v>
      </c>
      <c r="U4" s="17" t="n">
        <v>0</v>
      </c>
    </row>
    <row r="5" ht="12" customHeight="1" thickBot="1">
      <c r="A5" s="18" t="inlineStr">
        <is>
          <t xml:space="preserve">U025 </t>
        </is>
      </c>
      <c r="B5" s="18" t="inlineStr">
        <is>
          <t xml:space="preserve">ADM. FACULTAD DE DERECHO </t>
        </is>
      </c>
      <c r="C5" s="18" t="inlineStr">
        <is>
          <t xml:space="preserve">DOCTORADO EN DERECHO </t>
        </is>
      </c>
      <c r="D5" s="18" t="inlineStr">
        <is>
          <t xml:space="preserve">Antequera Jiménez, Pedro Jesus </t>
        </is>
      </c>
      <c r="E5" s="18" t="inlineStr">
        <is>
          <t xml:space="preserve">LA MEDIACIÓN PENAL EN ASUNTOS DE VIOLENCIA DE GÉNERO </t>
        </is>
      </c>
      <c r="F5" s="18" t="inlineStr">
        <is>
          <t xml:space="preserve">30/04/2021 </t>
        </is>
      </c>
      <c r="G5" s="19" t="inlineStr">
        <is>
          <t xml:space="preserve">21435269M </t>
        </is>
      </c>
      <c r="H5" s="20" t="inlineStr">
        <is>
          <t xml:space="preserve">Codirector de tesis </t>
        </is>
      </c>
      <c r="I5" s="20" t="inlineStr">
        <is>
          <t xml:space="preserve">B154 </t>
        </is>
      </c>
      <c r="J5" s="21" t="inlineStr">
        <is>
          <t xml:space="preserve">DERECHO MERCANTIL Y DERECHO PROCESAL </t>
        </is>
      </c>
      <c r="K5" s="26" t="n">
        <v>0.5</v>
      </c>
      <c r="L5" s="26" t="inlineStr">
        <is>
          <t>B154</t>
        </is>
      </c>
      <c r="M5" s="17" t="n">
        <v>2020</v>
      </c>
      <c r="N5" s="17" t="inlineStr"/>
      <c r="O5" s="23" t="inlineStr"/>
      <c r="P5" s="17" t="inlineStr"/>
      <c r="Q5" s="23" t="inlineStr"/>
      <c r="R5" s="17" t="n">
        <v>100</v>
      </c>
      <c r="S5" s="17" t="n">
        <v>0.5</v>
      </c>
      <c r="T5" s="17" t="n">
        <v>0</v>
      </c>
      <c r="U5" s="17" t="n">
        <v>0</v>
      </c>
    </row>
    <row r="6" ht="12" customHeight="1" thickBot="1">
      <c r="A6" s="18" t="inlineStr">
        <is>
          <t xml:space="preserve">U025 </t>
        </is>
      </c>
      <c r="B6" s="18" t="inlineStr">
        <is>
          <t xml:space="preserve">ADM. FACULTAD DE DERECHO </t>
        </is>
      </c>
      <c r="C6" s="18" t="inlineStr">
        <is>
          <t xml:space="preserve">DOCTORADO EN DERECHO </t>
        </is>
      </c>
      <c r="D6" s="18" t="inlineStr">
        <is>
          <t xml:space="preserve">García-Cremades Mira, Alejandro </t>
        </is>
      </c>
      <c r="E6" s="18" t="inlineStr">
        <is>
          <t xml:space="preserve">Mecanismos de solución del bloqueo societario </t>
        </is>
      </c>
      <c r="F6" s="18" t="inlineStr">
        <is>
          <t xml:space="preserve">14/07/2021 </t>
        </is>
      </c>
      <c r="G6" s="19" t="inlineStr">
        <is>
          <t xml:space="preserve">25146159Y </t>
        </is>
      </c>
      <c r="H6" s="20" t="inlineStr">
        <is>
          <t xml:space="preserve">Codirector de tesis </t>
        </is>
      </c>
      <c r="I6" s="20" t="inlineStr">
        <is>
          <t xml:space="preserve">B154 </t>
        </is>
      </c>
      <c r="J6" s="21" t="inlineStr">
        <is>
          <t xml:space="preserve">DERECHO MERCANTIL Y DERECHO PROCESAL </t>
        </is>
      </c>
      <c r="K6" s="26" t="n">
        <v>0.5</v>
      </c>
      <c r="L6" s="26" t="inlineStr">
        <is>
          <t>B154</t>
        </is>
      </c>
      <c r="M6" s="17" t="n">
        <v>2020</v>
      </c>
      <c r="N6" s="17" t="inlineStr">
        <is>
          <t>10.17</t>
        </is>
      </c>
      <c r="O6" s="23" t="n">
        <v>25</v>
      </c>
      <c r="P6" s="17" t="inlineStr"/>
      <c r="Q6" s="23" t="n">
        <v>0</v>
      </c>
      <c r="R6" s="17" t="n">
        <v>75</v>
      </c>
      <c r="S6" s="17" t="n">
        <v>0.375</v>
      </c>
      <c r="T6" s="17" t="n">
        <v>0.125</v>
      </c>
      <c r="U6" s="17" t="n">
        <v>0</v>
      </c>
    </row>
    <row r="7" ht="12" customHeight="1" thickBot="1">
      <c r="A7" s="18" t="inlineStr">
        <is>
          <t xml:space="preserve">U025 </t>
        </is>
      </c>
      <c r="B7" s="18" t="inlineStr">
        <is>
          <t xml:space="preserve">ADM. FACULTAD DE DERECHO </t>
        </is>
      </c>
      <c r="C7" s="18" t="inlineStr">
        <is>
          <t xml:space="preserve">DOCTORADO EN DERECHO </t>
        </is>
      </c>
      <c r="D7" s="18" t="inlineStr">
        <is>
          <t xml:space="preserve">García-Cremades Mira, Alejandro </t>
        </is>
      </c>
      <c r="E7" s="18" t="inlineStr">
        <is>
          <t xml:space="preserve">Mecanismos de solución del bloqueo societario </t>
        </is>
      </c>
      <c r="F7" s="18" t="inlineStr">
        <is>
          <t xml:space="preserve">14/07/2021 </t>
        </is>
      </c>
      <c r="G7" s="19" t="inlineStr">
        <is>
          <t xml:space="preserve">22126890Q </t>
        </is>
      </c>
      <c r="H7" s="20" t="inlineStr">
        <is>
          <t xml:space="preserve">Codirector de tesis </t>
        </is>
      </c>
      <c r="I7" s="20" t="inlineStr">
        <is>
          <t xml:space="preserve">B154 </t>
        </is>
      </c>
      <c r="J7" s="21" t="inlineStr">
        <is>
          <t xml:space="preserve">DERECHO MERCANTIL Y DERECHO PROCESAL </t>
        </is>
      </c>
      <c r="K7" s="26" t="n">
        <v>0.5</v>
      </c>
      <c r="L7" s="26" t="inlineStr">
        <is>
          <t>B154</t>
        </is>
      </c>
      <c r="M7" s="17" t="n">
        <v>2020</v>
      </c>
      <c r="N7" s="17" t="inlineStr">
        <is>
          <t>10.17</t>
        </is>
      </c>
      <c r="O7" s="23" t="n">
        <v>10</v>
      </c>
      <c r="P7" s="17" t="inlineStr"/>
      <c r="Q7" s="23" t="n">
        <v>0</v>
      </c>
      <c r="R7" s="17" t="n">
        <v>90</v>
      </c>
      <c r="S7" s="17" t="n">
        <v>0.45</v>
      </c>
      <c r="T7" s="17" t="n">
        <v>0.05</v>
      </c>
      <c r="U7" s="17" t="n">
        <v>0</v>
      </c>
    </row>
    <row r="8" ht="12" customHeight="1" thickBot="1">
      <c r="A8" s="18" t="inlineStr">
        <is>
          <t xml:space="preserve">U025 </t>
        </is>
      </c>
      <c r="B8" s="18" t="inlineStr">
        <is>
          <t xml:space="preserve">ADM. FACULTAD DE DERECHO </t>
        </is>
      </c>
      <c r="C8" s="18" t="inlineStr">
        <is>
          <t xml:space="preserve">DOCTORADO EN DERECHO </t>
        </is>
      </c>
      <c r="D8" s="18" t="inlineStr">
        <is>
          <t xml:space="preserve">Rabasa Martínez, Ignacio </t>
        </is>
      </c>
      <c r="E8" s="18" t="inlineStr">
        <is>
          <t xml:space="preserve">EL SECRETO EMPRESARIAL EN LA INDUSTRIA DEL FITOMEJORAMIENTO </t>
        </is>
      </c>
      <c r="F8" s="18" t="inlineStr">
        <is>
          <t xml:space="preserve">29/01/2021 </t>
        </is>
      </c>
      <c r="G8" s="19" t="inlineStr">
        <is>
          <t xml:space="preserve">22126890Q </t>
        </is>
      </c>
      <c r="H8" s="20" t="inlineStr">
        <is>
          <t xml:space="preserve">Director de tesis </t>
        </is>
      </c>
      <c r="I8" s="20" t="inlineStr">
        <is>
          <t xml:space="preserve">B154 </t>
        </is>
      </c>
      <c r="J8" s="21" t="inlineStr">
        <is>
          <t xml:space="preserve">DERECHO MERCANTIL Y DERECHO PROCESAL </t>
        </is>
      </c>
      <c r="K8" s="26" t="n">
        <v>1</v>
      </c>
      <c r="L8" s="26" t="inlineStr">
        <is>
          <t>B154</t>
        </is>
      </c>
      <c r="M8" s="17" t="n">
        <v>2020</v>
      </c>
      <c r="N8" s="17" t="inlineStr">
        <is>
          <t>10.17</t>
        </is>
      </c>
      <c r="O8" s="23" t="n">
        <v>10</v>
      </c>
      <c r="P8" s="17" t="inlineStr"/>
      <c r="Q8" s="23" t="n">
        <v>0</v>
      </c>
      <c r="R8" s="17" t="n">
        <v>90</v>
      </c>
      <c r="S8" s="17" t="n">
        <v>0.9</v>
      </c>
      <c r="T8" s="17" t="n">
        <v>0.1</v>
      </c>
      <c r="U8" s="17" t="n">
        <v>0</v>
      </c>
    </row>
    <row r="9">
      <c r="A9" s="17" t="inlineStr">
        <is>
          <t xml:space="preserve">U025 </t>
        </is>
      </c>
      <c r="B9" s="17" t="inlineStr">
        <is>
          <t xml:space="preserve">ADM. FACULTAD DE DERECHO </t>
        </is>
      </c>
      <c r="C9" s="17" t="inlineStr">
        <is>
          <t xml:space="preserve">DOCTORADO EN DERECHO </t>
        </is>
      </c>
      <c r="D9" s="17" t="inlineStr">
        <is>
          <t xml:space="preserve">García Martínez, Andrea </t>
        </is>
      </c>
      <c r="E9" s="17" t="inlineStr">
        <is>
          <t xml:space="preserve">El debilitamiento de la función de garantía del capital social como mecanismo de protección de los acreedores </t>
        </is>
      </c>
      <c r="F9" s="17" t="inlineStr">
        <is>
          <t xml:space="preserve">10/12/2021 </t>
        </is>
      </c>
      <c r="G9" s="17" t="inlineStr">
        <is>
          <t xml:space="preserve">22126890Q </t>
        </is>
      </c>
      <c r="H9" s="17" t="inlineStr">
        <is>
          <t xml:space="preserve">Director de tesis </t>
        </is>
      </c>
      <c r="I9" s="17" t="inlineStr">
        <is>
          <t xml:space="preserve">B154 </t>
        </is>
      </c>
      <c r="J9" s="17" t="inlineStr">
        <is>
          <t xml:space="preserve">DERECHO MERCANTIL Y DERECHO PROCESAL </t>
        </is>
      </c>
      <c r="K9" s="26" t="n">
        <v>1</v>
      </c>
      <c r="L9" s="26" t="inlineStr">
        <is>
          <t>B154</t>
        </is>
      </c>
      <c r="M9" s="17" t="n">
        <v>2021</v>
      </c>
      <c r="N9" s="17" t="inlineStr">
        <is>
          <t>10.17</t>
        </is>
      </c>
      <c r="O9" s="23" t="n">
        <v>10</v>
      </c>
      <c r="P9" s="17" t="inlineStr"/>
      <c r="Q9" s="23" t="n">
        <v>0</v>
      </c>
      <c r="R9" s="17" t="n">
        <v>90</v>
      </c>
      <c r="S9" s="17" t="n">
        <v>0.9</v>
      </c>
      <c r="T9" s="17" t="n">
        <v>0.1</v>
      </c>
      <c r="U9" s="17" t="n">
        <v>0</v>
      </c>
    </row>
    <row r="10">
      <c r="A10" s="17" t="inlineStr">
        <is>
          <t xml:space="preserve">U025 </t>
        </is>
      </c>
      <c r="B10" s="17" t="inlineStr">
        <is>
          <t xml:space="preserve">ADM. FACULTAD DE DERECHO </t>
        </is>
      </c>
      <c r="C10" s="17" t="inlineStr">
        <is>
          <t xml:space="preserve">DOCTORADO EN DERECHO </t>
        </is>
      </c>
      <c r="D10" s="17" t="inlineStr">
        <is>
          <t xml:space="preserve">Funes Beltrán, Tamara </t>
        </is>
      </c>
      <c r="E10" s="17" t="inlineStr">
        <is>
          <t xml:space="preserve">El decomiso </t>
        </is>
      </c>
      <c r="F10" s="17" t="inlineStr">
        <is>
          <t xml:space="preserve">05/06/2023 </t>
        </is>
      </c>
      <c r="G10" s="17" t="inlineStr">
        <is>
          <t xml:space="preserve">48316091Z </t>
        </is>
      </c>
      <c r="H10" s="17" t="inlineStr">
        <is>
          <t xml:space="preserve">Codirector de tesis </t>
        </is>
      </c>
      <c r="I10" s="17" t="inlineStr">
        <is>
          <t xml:space="preserve">B154 </t>
        </is>
      </c>
      <c r="J10" s="17" t="inlineStr">
        <is>
          <t xml:space="preserve">DERECHO MERCANTIL Y DERECHO PROCESAL </t>
        </is>
      </c>
      <c r="K10" s="28" t="n">
        <v>0.5</v>
      </c>
      <c r="L10" s="28" t="inlineStr">
        <is>
          <t>B154</t>
        </is>
      </c>
      <c r="M10" s="17" t="n">
        <v>2022</v>
      </c>
      <c r="N10" s="28" t="inlineStr"/>
      <c r="O10" s="28" t="inlineStr"/>
      <c r="P10" s="28" t="inlineStr"/>
      <c r="Q10" s="28" t="inlineStr"/>
      <c r="R10" s="28" t="n">
        <v>100</v>
      </c>
      <c r="S10" s="28" t="n">
        <v>0.5</v>
      </c>
      <c r="T10" s="28" t="n">
        <v>0</v>
      </c>
      <c r="U10" s="28" t="n">
        <v>0</v>
      </c>
    </row>
    <row r="11">
      <c r="A11" s="17" t="inlineStr">
        <is>
          <t xml:space="preserve">U025 </t>
        </is>
      </c>
      <c r="B11" s="17" t="inlineStr">
        <is>
          <t xml:space="preserve">ADM. FACULTAD DE DERECHO </t>
        </is>
      </c>
      <c r="C11" s="17" t="inlineStr">
        <is>
          <t xml:space="preserve">DOCTORADO EN DERECHO </t>
        </is>
      </c>
      <c r="D11" s="17" t="inlineStr">
        <is>
          <t xml:space="preserve">Funes Beltrán, Tamara </t>
        </is>
      </c>
      <c r="E11" s="17" t="inlineStr">
        <is>
          <t xml:space="preserve">El decomiso </t>
        </is>
      </c>
      <c r="F11" s="17" t="inlineStr">
        <is>
          <t xml:space="preserve">05/06/2023 </t>
        </is>
      </c>
      <c r="G11" s="17" t="inlineStr">
        <is>
          <t xml:space="preserve">21418740J </t>
        </is>
      </c>
      <c r="H11" s="17" t="inlineStr">
        <is>
          <t xml:space="preserve">Codirector de tesis </t>
        </is>
      </c>
      <c r="I11" s="17" t="inlineStr">
        <is>
          <t xml:space="preserve">B154 </t>
        </is>
      </c>
      <c r="J11" s="17" t="inlineStr">
        <is>
          <t xml:space="preserve">DERECHO MERCANTIL Y DERECHO PROCESAL </t>
        </is>
      </c>
      <c r="K11" s="28" t="n">
        <v>0.5</v>
      </c>
      <c r="L11" s="28" t="inlineStr">
        <is>
          <t>B154</t>
        </is>
      </c>
      <c r="M11" s="17" t="n">
        <v>2022</v>
      </c>
      <c r="N11" s="28" t="inlineStr"/>
      <c r="O11" s="28" t="inlineStr"/>
      <c r="P11" s="28" t="inlineStr"/>
      <c r="Q11" s="28" t="inlineStr"/>
      <c r="R11" s="28" t="n">
        <v>100</v>
      </c>
      <c r="S11" s="28" t="n">
        <v>0.5</v>
      </c>
      <c r="T11" s="28" t="n">
        <v>0</v>
      </c>
      <c r="U11" s="28" t="n">
        <v>0</v>
      </c>
    </row>
    <row r="12">
      <c r="A12" s="17" t="inlineStr">
        <is>
          <t xml:space="preserve">U025 </t>
        </is>
      </c>
      <c r="B12" s="17" t="inlineStr">
        <is>
          <t xml:space="preserve">ADM. FACULTAD DE DERECHO </t>
        </is>
      </c>
      <c r="C12" s="17" t="inlineStr">
        <is>
          <t xml:space="preserve">DOCTORADO EN DERECHO </t>
        </is>
      </c>
      <c r="D12" s="17" t="inlineStr">
        <is>
          <t xml:space="preserve">Vázquez Esteban, Marina </t>
        </is>
      </c>
      <c r="E12" s="17" t="inlineStr">
        <is>
          <t xml:space="preserve">La tutela de los socios en contextos de reestructuración de sociedades de capital </t>
        </is>
      </c>
      <c r="F12" s="17" t="inlineStr">
        <is>
          <t xml:space="preserve">02/06/2023 </t>
        </is>
      </c>
      <c r="G12" s="17" t="inlineStr">
        <is>
          <t xml:space="preserve">22126890Q </t>
        </is>
      </c>
      <c r="H12" s="17" t="inlineStr">
        <is>
          <t xml:space="preserve">Director de tesis </t>
        </is>
      </c>
      <c r="I12" s="17" t="inlineStr">
        <is>
          <t xml:space="preserve">B154 </t>
        </is>
      </c>
      <c r="J12" s="17" t="inlineStr">
        <is>
          <t xml:space="preserve">DERECHO MERCANTIL Y DERECHO PROCESAL </t>
        </is>
      </c>
      <c r="K12" s="28" t="n">
        <v>1</v>
      </c>
      <c r="L12" s="28" t="inlineStr">
        <is>
          <t>B154</t>
        </is>
      </c>
      <c r="M12" s="17" t="n">
        <v>2022</v>
      </c>
      <c r="N12" s="28" t="inlineStr">
        <is>
          <t>10.17</t>
        </is>
      </c>
      <c r="O12" s="28" t="n">
        <v>10</v>
      </c>
      <c r="P12" s="28" t="inlineStr"/>
      <c r="Q12" s="28" t="n">
        <v>0</v>
      </c>
      <c r="R12" s="28" t="n">
        <v>90</v>
      </c>
      <c r="S12" s="28" t="n">
        <v>0.9</v>
      </c>
      <c r="T12" s="28" t="n">
        <v>0.1</v>
      </c>
      <c r="U12" s="28" t="n">
        <v>0</v>
      </c>
    </row>
    <row r="13">
      <c r="A13" s="17" t="inlineStr">
        <is>
          <t>U025</t>
        </is>
      </c>
      <c r="B13" s="17" t="inlineStr">
        <is>
          <t>ADM. FACULTAD DE DERECHO</t>
        </is>
      </c>
      <c r="C13" s="17" t="inlineStr">
        <is>
          <t>DOCTORADO EN DERECHO</t>
        </is>
      </c>
      <c r="D13" s="17" t="inlineStr">
        <is>
          <t>Llopis Blanque, Alejandro</t>
        </is>
      </c>
      <c r="E13" s="17" t="inlineStr">
        <is>
          <t>El accionista inversor en el BME Growth y su protección a través de la información</t>
        </is>
      </c>
      <c r="F13" s="17" t="inlineStr">
        <is>
          <t>25/07/2024</t>
        </is>
      </c>
      <c r="G13" s="17" t="inlineStr">
        <is>
          <t>22126890Q</t>
        </is>
      </c>
      <c r="H13" s="17" t="inlineStr">
        <is>
          <t>Director de tesis</t>
        </is>
      </c>
      <c r="I13" s="17" t="inlineStr">
        <is>
          <t>B154</t>
        </is>
      </c>
      <c r="J13" s="17" t="inlineStr">
        <is>
          <t>DERECHO MERCANTIL Y DERECHO PROCESAL</t>
        </is>
      </c>
      <c r="K13" s="74" t="n">
        <v>1</v>
      </c>
      <c r="L13" s="17" t="inlineStr">
        <is>
          <t>B154</t>
        </is>
      </c>
      <c r="M13" s="17" t="n">
        <v>2023</v>
      </c>
      <c r="N13" s="17" t="inlineStr">
        <is>
          <t>10.17</t>
        </is>
      </c>
      <c r="O13" s="23" t="inlineStr">
        <is>
          <t>10</t>
        </is>
      </c>
      <c r="P13" s="17" t="inlineStr"/>
      <c r="Q13" s="23" t="inlineStr"/>
      <c r="R13" s="24" t="n">
        <v>90</v>
      </c>
      <c r="S13" s="75" t="n">
        <v>0.9</v>
      </c>
      <c r="T13" s="75" t="n">
        <v>0.1</v>
      </c>
      <c r="U13" s="75" t="n">
        <v>0</v>
      </c>
    </row>
    <row r="14">
      <c r="A14" s="17" t="inlineStr">
        <is>
          <t>U025</t>
        </is>
      </c>
      <c r="B14" s="17" t="inlineStr">
        <is>
          <t>ADM. FACULTAD DE DERECHO</t>
        </is>
      </c>
      <c r="C14" s="17" t="inlineStr">
        <is>
          <t>DOCTORADO EN DERECHO</t>
        </is>
      </c>
      <c r="D14" s="17" t="inlineStr">
        <is>
          <t>García Velasco, Isabel Cristina</t>
        </is>
      </c>
      <c r="E14" s="17" t="inlineStr">
        <is>
          <t>Órgano de certificación como medio de control externo para productos reconocidos como denominación de origen en Colombia</t>
        </is>
      </c>
      <c r="F14" s="17" t="inlineStr">
        <is>
          <t>20/05/2024</t>
        </is>
      </c>
      <c r="G14" s="17" t="inlineStr">
        <is>
          <t>33524308Z</t>
        </is>
      </c>
      <c r="H14" s="17" t="inlineStr">
        <is>
          <t>Codirector de tesis</t>
        </is>
      </c>
      <c r="I14" s="17" t="inlineStr">
        <is>
          <t>B154</t>
        </is>
      </c>
      <c r="J14" s="17" t="inlineStr">
        <is>
          <t>DERECHO MERCANTIL Y DERECHO PROCESAL</t>
        </is>
      </c>
      <c r="K14" s="74" t="n">
        <v>0.5</v>
      </c>
      <c r="L14" s="17" t="inlineStr">
        <is>
          <t>B154</t>
        </is>
      </c>
      <c r="M14" s="17" t="n">
        <v>2023</v>
      </c>
      <c r="N14" s="17" t="inlineStr"/>
      <c r="O14" s="23" t="inlineStr"/>
      <c r="P14" s="17" t="inlineStr"/>
      <c r="Q14" s="23" t="inlineStr"/>
      <c r="R14" s="24" t="n">
        <v>100</v>
      </c>
      <c r="S14" s="75" t="n">
        <v>0.5</v>
      </c>
      <c r="T14" s="75" t="n">
        <v>0</v>
      </c>
      <c r="U14" s="75" t="n">
        <v>0</v>
      </c>
    </row>
    <row r="15">
      <c r="A15" s="17" t="inlineStr">
        <is>
          <t>U025</t>
        </is>
      </c>
      <c r="B15" s="17" t="inlineStr">
        <is>
          <t>ADM. FACULTAD DE DERECHO</t>
        </is>
      </c>
      <c r="C15" s="17" t="inlineStr">
        <is>
          <t>DOCTORADO EN DERECHO</t>
        </is>
      </c>
      <c r="D15" s="17" t="inlineStr">
        <is>
          <t>García Velasco, Isabel Cristina</t>
        </is>
      </c>
      <c r="E15" s="17" t="inlineStr">
        <is>
          <t>Órgano de certificación como medio de control externo para productos reconocidos como denominación de origen en Colombia</t>
        </is>
      </c>
      <c r="F15" s="17" t="inlineStr">
        <is>
          <t>20/05/2024</t>
        </is>
      </c>
      <c r="G15" s="17" t="inlineStr">
        <is>
          <t>22126890Q</t>
        </is>
      </c>
      <c r="H15" s="17" t="inlineStr">
        <is>
          <t>Codirector de tesis</t>
        </is>
      </c>
      <c r="I15" s="17" t="inlineStr">
        <is>
          <t>B154</t>
        </is>
      </c>
      <c r="J15" s="17" t="inlineStr">
        <is>
          <t>DERECHO MERCANTIL Y DERECHO PROCESAL</t>
        </is>
      </c>
      <c r="K15" s="74" t="n">
        <v>0.5</v>
      </c>
      <c r="L15" s="17" t="inlineStr">
        <is>
          <t>B154</t>
        </is>
      </c>
      <c r="M15" s="17" t="n">
        <v>2023</v>
      </c>
      <c r="N15" s="17" t="inlineStr">
        <is>
          <t>10.17</t>
        </is>
      </c>
      <c r="O15" s="23" t="inlineStr">
        <is>
          <t>10</t>
        </is>
      </c>
      <c r="P15" s="17" t="inlineStr"/>
      <c r="Q15" s="23" t="inlineStr"/>
      <c r="R15" s="24" t="n">
        <v>90</v>
      </c>
      <c r="S15" s="75" t="n">
        <v>0.45</v>
      </c>
      <c r="T15" s="75" t="n">
        <v>0.05</v>
      </c>
      <c r="U15" s="75" t="n">
        <v>0</v>
      </c>
    </row>
    <row r="16">
      <c r="A16" s="17" t="inlineStr">
        <is>
          <t>U025</t>
        </is>
      </c>
      <c r="B16" s="17" t="inlineStr">
        <is>
          <t>Administración Facultad de Derecho</t>
        </is>
      </c>
      <c r="C16" s="17" t="inlineStr">
        <is>
          <t>DOCTORADO EN DERECHO</t>
        </is>
      </c>
      <c r="D16" s="17" t="inlineStr">
        <is>
          <t>Llorca Galiana, Jaume</t>
        </is>
      </c>
      <c r="E16" s="17" t="inlineStr">
        <is>
          <t>El contrato de seguro de responsabilidad civil de la administración concursal</t>
        </is>
      </c>
      <c r="F16" s="17" t="inlineStr">
        <is>
          <t>26/06/2025</t>
        </is>
      </c>
      <c r="G16" s="17" t="inlineStr">
        <is>
          <t>22126890Q</t>
        </is>
      </c>
      <c r="H16" s="17" t="inlineStr">
        <is>
          <t>Director de tesis</t>
        </is>
      </c>
      <c r="I16" s="17" t="inlineStr">
        <is>
          <t>B154</t>
        </is>
      </c>
      <c r="J16" s="17" t="inlineStr">
        <is>
          <t>Derecho Mercantil y Derecho Procesal</t>
        </is>
      </c>
      <c r="K16" s="74" t="n">
        <v>1</v>
      </c>
      <c r="L16" s="17" t="inlineStr">
        <is>
          <t>B154</t>
        </is>
      </c>
      <c r="M16" s="17" t="n">
        <v>2024</v>
      </c>
      <c r="N16" s="17" t="inlineStr">
        <is>
          <t>10.17</t>
        </is>
      </c>
      <c r="O16" s="23" t="inlineStr">
        <is>
          <t>10</t>
        </is>
      </c>
      <c r="P16" s="17" t="inlineStr"/>
      <c r="Q16" s="23" t="inlineStr"/>
      <c r="R16" s="24" t="n">
        <v>90</v>
      </c>
      <c r="S16" s="75" t="n">
        <v>0.9</v>
      </c>
      <c r="T16" s="75" t="n">
        <v>0.1</v>
      </c>
      <c r="U16" s="75" t="n">
        <v>0</v>
      </c>
    </row>
    <row r="17">
      <c r="A17" s="17" t="inlineStr">
        <is>
          <t>U025</t>
        </is>
      </c>
      <c r="B17" s="17" t="inlineStr">
        <is>
          <t>Administración Facultad de Derecho</t>
        </is>
      </c>
      <c r="C17" s="17" t="inlineStr">
        <is>
          <t>DOCTORADO EN DERECHO</t>
        </is>
      </c>
      <c r="D17" s="17" t="inlineStr">
        <is>
          <t>Bernad Sánchez, Álvaro</t>
        </is>
      </c>
      <c r="E17" s="17" t="inlineStr">
        <is>
          <t>Un recorrido por la presunción de inocencia</t>
        </is>
      </c>
      <c r="F17" s="17" t="inlineStr">
        <is>
          <t>14/07/2025</t>
        </is>
      </c>
      <c r="G17" s="17" t="inlineStr">
        <is>
          <t>48316091Z</t>
        </is>
      </c>
      <c r="H17" s="17" t="inlineStr">
        <is>
          <t>Codirector de tesis</t>
        </is>
      </c>
      <c r="I17" s="17" t="inlineStr">
        <is>
          <t>B154</t>
        </is>
      </c>
      <c r="J17" s="17" t="inlineStr">
        <is>
          <t>Derecho Mercantil y Derecho Procesal</t>
        </is>
      </c>
      <c r="K17" s="74" t="n">
        <v>0.5</v>
      </c>
      <c r="L17" s="17" t="inlineStr">
        <is>
          <t>B154</t>
        </is>
      </c>
      <c r="M17" s="17" t="n">
        <v>2024</v>
      </c>
      <c r="N17" s="17" t="inlineStr"/>
      <c r="O17" s="23" t="inlineStr"/>
      <c r="P17" s="17" t="inlineStr"/>
      <c r="Q17" s="23" t="inlineStr"/>
      <c r="R17" s="24" t="n">
        <v>100</v>
      </c>
      <c r="S17" s="75" t="n">
        <v>0.5</v>
      </c>
      <c r="T17" s="75" t="n">
        <v>0</v>
      </c>
      <c r="U17" s="75" t="n">
        <v>0</v>
      </c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8" t="n"/>
      <c r="O18" s="7" t="n"/>
      <c r="P18" s="8" t="n"/>
      <c r="Q18" s="7" t="n"/>
      <c r="R18" s="76" t="n"/>
      <c r="S18" s="77">
        <f>SUM(S2:S17)</f>
        <v/>
      </c>
      <c r="T18" s="7" t="n"/>
      <c r="U18" s="7" t="n"/>
    </row>
  </sheetData>
  <autoFilter ref="A1:U12">
    <sortState ref="A2:U1904">
      <sortCondition ref="L2:L1904"/>
      <sortCondition ref="M2:M1904"/>
      <sortCondition ref="D2:D1904"/>
    </sortState>
  </autoFilter>
  <printOptions horizontalCentered="1"/>
  <pageMargins left="0.1968503937007874" right="0.1968503937007874" top="0.3937007874015748" bottom="0.3937007874015748" header="0.7874015748031497" footer="0"/>
  <pageSetup orientation="landscape" paperSize="9" scale="93" fitToHeight="50" fitToWidth="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21"/>
  <sheetViews>
    <sheetView zoomScaleNormal="100" workbookViewId="0">
      <selection activeCell="P29" sqref="P29"/>
    </sheetView>
  </sheetViews>
  <sheetFormatPr baseColWidth="10" defaultColWidth="11.42578125" defaultRowHeight="12.75"/>
  <cols>
    <col width="10.85546875" bestFit="1" customWidth="1" style="13" min="1" max="1"/>
    <col width="48.140625" bestFit="1" customWidth="1" style="13" min="2" max="2"/>
    <col width="17" bestFit="1" customWidth="1" style="13" min="3" max="3"/>
    <col width="3.28515625" bestFit="1" customWidth="1" style="13" min="4" max="9"/>
    <col width="13.140625" bestFit="1" customWidth="1" style="13" min="10" max="10"/>
    <col width="5.28515625" bestFit="1" customWidth="1" style="13" min="11" max="11"/>
    <col width="5.7109375" bestFit="1" customWidth="1" style="13" min="12" max="13"/>
    <col width="5.7109375" bestFit="1" customWidth="1" style="14" min="14" max="14"/>
    <col width="5.7109375" bestFit="1" customWidth="1" style="13" min="15" max="15"/>
    <col width="5.7109375" bestFit="1" customWidth="1" style="14" min="16" max="16"/>
    <col width="5.7109375" bestFit="1" customWidth="1" style="13" min="17" max="19"/>
    <col width="11.42578125" customWidth="1" style="13" min="20" max="16384"/>
  </cols>
  <sheetData>
    <row r="1" ht="60" customFormat="1" customHeight="1" s="12">
      <c r="A1" s="15" t="inlineStr">
        <is>
          <t>NIF</t>
        </is>
      </c>
      <c r="B1" s="15" t="inlineStr">
        <is>
          <t>NOMBRE_COMPLETO</t>
        </is>
      </c>
      <c r="C1" s="15" t="inlineStr">
        <is>
          <t>TIPO_SEXENIO</t>
        </is>
      </c>
      <c r="D1" s="16" t="inlineStr">
        <is>
          <t>2020</t>
        </is>
      </c>
      <c r="E1" s="16" t="inlineStr">
        <is>
          <t>2021</t>
        </is>
      </c>
      <c r="F1" s="16" t="inlineStr">
        <is>
          <t>2022</t>
        </is>
      </c>
      <c r="G1" s="16" t="inlineStr">
        <is>
          <t>2023</t>
        </is>
      </c>
      <c r="H1" s="16" t="inlineStr">
        <is>
          <t>2024</t>
        </is>
      </c>
      <c r="I1" s="16" t="inlineStr">
        <is>
          <t>2025</t>
        </is>
      </c>
      <c r="J1" s="15" t="inlineStr">
        <is>
          <t>Total general</t>
        </is>
      </c>
      <c r="K1" s="27" t="inlineStr">
        <is>
          <t>COD DEP</t>
        </is>
      </c>
      <c r="L1" s="10" t="inlineStr">
        <is>
          <t>INS
1</t>
        </is>
      </c>
      <c r="M1" s="10" t="inlineStr">
        <is>
          <t>DED
INS 1</t>
        </is>
      </c>
      <c r="N1" s="10" t="inlineStr">
        <is>
          <t>INS
2</t>
        </is>
      </c>
      <c r="O1" s="10" t="inlineStr">
        <is>
          <t>DED
INS 2</t>
        </is>
      </c>
      <c r="P1" s="11" t="inlineStr">
        <is>
          <t>DED
DEP</t>
        </is>
      </c>
      <c r="Q1" s="11" t="inlineStr">
        <is>
          <t>SEX
INS 1</t>
        </is>
      </c>
      <c r="R1" s="11" t="inlineStr">
        <is>
          <t>SEX
INS 2</t>
        </is>
      </c>
      <c r="S1" s="11" t="inlineStr">
        <is>
          <t>SEX
DEP</t>
        </is>
      </c>
    </row>
    <row r="2">
      <c r="A2" s="37" t="inlineStr">
        <is>
          <t>12759974B</t>
        </is>
      </c>
      <c r="B2" s="37" t="inlineStr">
        <is>
          <t>Fernández Pérez, Nuria</t>
        </is>
      </c>
      <c r="C2" s="37" t="inlineStr">
        <is>
          <t>FUNCIONARIO</t>
        </is>
      </c>
      <c r="D2" s="37" t="n"/>
      <c r="E2" s="37" t="n"/>
      <c r="F2" s="37" t="n">
        <v>1</v>
      </c>
      <c r="G2" s="37" t="n"/>
      <c r="H2" s="37" t="n"/>
      <c r="I2" s="37" t="n"/>
      <c r="J2" s="37" t="n">
        <v>1</v>
      </c>
      <c r="K2" s="37" t="inlineStr">
        <is>
          <t>B154</t>
        </is>
      </c>
      <c r="L2" s="37" t="inlineStr">
        <is>
          <t>10.17</t>
        </is>
      </c>
      <c r="M2" s="37" t="inlineStr">
        <is>
          <t>50</t>
        </is>
      </c>
      <c r="N2" s="38" t="inlineStr"/>
      <c r="O2" s="37" t="inlineStr"/>
      <c r="P2" s="38" t="n">
        <v>50</v>
      </c>
      <c r="Q2" s="37" t="n">
        <v>0.5</v>
      </c>
      <c r="R2" s="37" t="n">
        <v>0</v>
      </c>
      <c r="S2" s="37" t="n">
        <v>0.5</v>
      </c>
    </row>
    <row r="3">
      <c r="A3" s="37" t="inlineStr">
        <is>
          <t>21418740J</t>
        </is>
      </c>
      <c r="B3" s="37" t="inlineStr">
        <is>
          <t>Asencio Mellado, José María</t>
        </is>
      </c>
      <c r="C3" s="37" t="n">
        <v>6</v>
      </c>
      <c r="D3" s="37" t="n"/>
      <c r="E3" s="37" t="n"/>
      <c r="F3" s="37" t="n"/>
      <c r="G3" s="37" t="n"/>
      <c r="H3" s="37" t="n"/>
      <c r="I3" s="37" t="n">
        <v>1</v>
      </c>
      <c r="J3" s="37" t="n">
        <v>1</v>
      </c>
      <c r="K3" s="37" t="inlineStr">
        <is>
          <t>B154</t>
        </is>
      </c>
      <c r="L3" s="37" t="n">
        <v>0</v>
      </c>
      <c r="M3" s="37" t="n">
        <v>0</v>
      </c>
      <c r="N3" s="38" t="inlineStr"/>
      <c r="O3" s="37" t="inlineStr"/>
      <c r="P3" s="38" t="n">
        <v>100</v>
      </c>
      <c r="Q3" s="37" t="n">
        <v>0</v>
      </c>
      <c r="R3" s="37" t="n">
        <v>0</v>
      </c>
      <c r="S3" s="37" t="n">
        <v>1</v>
      </c>
    </row>
    <row r="4">
      <c r="A4" s="37" t="inlineStr">
        <is>
          <t>21435269M</t>
        </is>
      </c>
      <c r="B4" s="37" t="inlineStr">
        <is>
          <t>Cuadrado Salinas, María del Carmen</t>
        </is>
      </c>
      <c r="C4" s="37" t="inlineStr">
        <is>
          <t>FUNCIONARIO</t>
        </is>
      </c>
      <c r="D4" s="37" t="n"/>
      <c r="E4" s="37" t="n"/>
      <c r="F4" s="37" t="n"/>
      <c r="G4" s="37" t="n"/>
      <c r="H4" s="37" t="n">
        <v>2</v>
      </c>
      <c r="I4" s="37" t="n"/>
      <c r="J4" s="37" t="n">
        <v>2</v>
      </c>
      <c r="K4" s="37" t="inlineStr">
        <is>
          <t>B154</t>
        </is>
      </c>
      <c r="L4" s="37" t="n">
        <v>0</v>
      </c>
      <c r="M4" s="37" t="n">
        <v>0</v>
      </c>
      <c r="N4" s="38" t="inlineStr"/>
      <c r="O4" s="37" t="inlineStr"/>
      <c r="P4" s="38" t="n">
        <v>100</v>
      </c>
      <c r="Q4" s="37" t="n">
        <v>0</v>
      </c>
      <c r="R4" s="37" t="n">
        <v>0</v>
      </c>
      <c r="S4" s="37" t="n">
        <v>2</v>
      </c>
    </row>
    <row r="5">
      <c r="A5" s="37" t="inlineStr">
        <is>
          <t>21648758P</t>
        </is>
      </c>
      <c r="B5" s="37" t="inlineStr">
        <is>
          <t>Pastor Sempere, María del Carmen</t>
        </is>
      </c>
      <c r="C5" s="37" t="inlineStr">
        <is>
          <t>FUNCIONARIO</t>
        </is>
      </c>
      <c r="D5" s="37" t="n"/>
      <c r="E5" s="37" t="n"/>
      <c r="F5" s="37" t="n"/>
      <c r="G5" s="37" t="n">
        <v>1</v>
      </c>
      <c r="H5" s="37" t="n"/>
      <c r="I5" s="37" t="n"/>
      <c r="J5" s="37" t="n">
        <v>1</v>
      </c>
      <c r="K5" s="37" t="inlineStr">
        <is>
          <t>B154</t>
        </is>
      </c>
      <c r="L5" s="37" t="inlineStr">
        <is>
          <t>10.06</t>
        </is>
      </c>
      <c r="M5" s="37" t="inlineStr">
        <is>
          <t>90</t>
        </is>
      </c>
      <c r="N5" s="38" t="inlineStr"/>
      <c r="O5" s="37" t="inlineStr"/>
      <c r="P5" s="38" t="n">
        <v>10</v>
      </c>
      <c r="Q5" s="37" t="n">
        <v>0.9</v>
      </c>
      <c r="R5" s="37" t="n">
        <v>0</v>
      </c>
      <c r="S5" s="37" t="n">
        <v>0.1</v>
      </c>
    </row>
    <row r="6">
      <c r="A6" s="37" t="inlineStr">
        <is>
          <t>22126890Q</t>
        </is>
      </c>
      <c r="B6" s="37" t="inlineStr">
        <is>
          <t>Gallego Sánchez, Esperanza</t>
        </is>
      </c>
      <c r="C6" s="37" t="inlineStr">
        <is>
          <t>FUNCIONARIO</t>
        </is>
      </c>
      <c r="D6" s="37" t="n"/>
      <c r="E6" s="37" t="n"/>
      <c r="F6" s="37" t="n">
        <v>1</v>
      </c>
      <c r="G6" s="37" t="n"/>
      <c r="H6" s="37" t="n"/>
      <c r="I6" s="37" t="n"/>
      <c r="J6" s="37" t="n">
        <v>1</v>
      </c>
      <c r="K6" s="37" t="inlineStr">
        <is>
          <t>B154</t>
        </is>
      </c>
      <c r="L6" s="37" t="inlineStr">
        <is>
          <t>10.17</t>
        </is>
      </c>
      <c r="M6" s="37" t="inlineStr">
        <is>
          <t>10</t>
        </is>
      </c>
      <c r="N6" s="38" t="inlineStr"/>
      <c r="O6" s="37" t="inlineStr"/>
      <c r="P6" s="38" t="n">
        <v>90</v>
      </c>
      <c r="Q6" s="37" t="n">
        <v>0.1</v>
      </c>
      <c r="R6" s="37" t="n">
        <v>0</v>
      </c>
      <c r="S6" s="37" t="n">
        <v>0.9</v>
      </c>
    </row>
    <row r="7">
      <c r="A7" s="37" t="inlineStr">
        <is>
          <t>22139886V</t>
        </is>
      </c>
      <c r="B7" s="37" t="inlineStr">
        <is>
          <t>López Yagües, Verónica</t>
        </is>
      </c>
      <c r="C7" s="37" t="inlineStr">
        <is>
          <t>FUNCIONARIO</t>
        </is>
      </c>
      <c r="D7" s="37" t="n"/>
      <c r="E7" s="37" t="n"/>
      <c r="F7" s="37" t="n"/>
      <c r="G7" s="37" t="n"/>
      <c r="H7" s="37" t="n">
        <v>1</v>
      </c>
      <c r="I7" s="37" t="n"/>
      <c r="J7" s="37" t="n">
        <v>1</v>
      </c>
      <c r="K7" s="37" t="inlineStr">
        <is>
          <t>B154</t>
        </is>
      </c>
      <c r="L7" s="37" t="n">
        <v>0</v>
      </c>
      <c r="M7" s="37" t="n">
        <v>0</v>
      </c>
      <c r="N7" s="38" t="inlineStr"/>
      <c r="O7" s="37" t="inlineStr"/>
      <c r="P7" s="38" t="n">
        <v>100</v>
      </c>
      <c r="Q7" s="37" t="n">
        <v>0</v>
      </c>
      <c r="R7" s="37" t="n">
        <v>0</v>
      </c>
      <c r="S7" s="37" t="n">
        <v>1</v>
      </c>
    </row>
    <row r="8">
      <c r="A8" s="37" t="inlineStr">
        <is>
          <t>25146159Y</t>
        </is>
      </c>
      <c r="B8" s="37" t="inlineStr">
        <is>
          <t>Iñiguez Ortega, María Pilar</t>
        </is>
      </c>
      <c r="C8" s="37" t="inlineStr">
        <is>
          <t>FUNCIONARIO</t>
        </is>
      </c>
      <c r="D8" s="37" t="n"/>
      <c r="E8" s="37" t="n">
        <v>1</v>
      </c>
      <c r="F8" s="37" t="n"/>
      <c r="G8" s="37" t="n"/>
      <c r="H8" s="37" t="n"/>
      <c r="I8" s="37" t="n"/>
      <c r="J8" s="37" t="n">
        <v>1</v>
      </c>
      <c r="K8" s="37" t="inlineStr">
        <is>
          <t>B154</t>
        </is>
      </c>
      <c r="L8" s="37" t="inlineStr">
        <is>
          <t>10.17</t>
        </is>
      </c>
      <c r="M8" s="37" t="inlineStr">
        <is>
          <t>25</t>
        </is>
      </c>
      <c r="N8" s="38" t="inlineStr"/>
      <c r="O8" s="37" t="inlineStr"/>
      <c r="P8" s="38" t="n">
        <v>75</v>
      </c>
      <c r="Q8" s="37" t="n">
        <v>0.25</v>
      </c>
      <c r="R8" s="37" t="n">
        <v>0</v>
      </c>
      <c r="S8" s="37" t="n">
        <v>0.75</v>
      </c>
    </row>
    <row r="9">
      <c r="A9" s="37" t="inlineStr">
        <is>
          <t>33524308Z</t>
        </is>
      </c>
      <c r="B9" s="37" t="inlineStr">
        <is>
          <t>Montero García-Noblejas, María Pilar</t>
        </is>
      </c>
      <c r="C9" s="37" t="inlineStr">
        <is>
          <t>FUNCIONARIO</t>
        </is>
      </c>
      <c r="D9" s="37" t="n">
        <v>1</v>
      </c>
      <c r="E9" s="37" t="n"/>
      <c r="F9" s="37" t="n"/>
      <c r="G9" s="37" t="n"/>
      <c r="H9" s="37" t="n"/>
      <c r="I9" s="37" t="n"/>
      <c r="J9" s="37" t="n">
        <v>1</v>
      </c>
      <c r="K9" s="37" t="inlineStr">
        <is>
          <t>B154</t>
        </is>
      </c>
      <c r="L9" s="37" t="n">
        <v>0</v>
      </c>
      <c r="M9" s="37" t="n">
        <v>0</v>
      </c>
      <c r="N9" s="38" t="inlineStr"/>
      <c r="O9" s="37" t="inlineStr"/>
      <c r="P9" s="38" t="n">
        <v>100</v>
      </c>
      <c r="Q9" s="37" t="n">
        <v>0</v>
      </c>
      <c r="R9" s="37" t="n">
        <v>0</v>
      </c>
      <c r="S9" s="37" t="n">
        <v>1</v>
      </c>
    </row>
    <row r="10">
      <c r="A10" s="37" t="inlineStr">
        <is>
          <t>44878796T</t>
        </is>
      </c>
      <c r="B10" s="37" t="inlineStr">
        <is>
          <t>Durán Silva, Carmen María</t>
        </is>
      </c>
      <c r="C10" s="37" t="inlineStr">
        <is>
          <t>NO FUNCIONARIO</t>
        </is>
      </c>
      <c r="D10" s="37" t="n"/>
      <c r="E10" s="37" t="n"/>
      <c r="F10" s="37" t="n">
        <v>1</v>
      </c>
      <c r="G10" s="37" t="n"/>
      <c r="H10" s="37" t="n"/>
      <c r="I10" s="37" t="n"/>
      <c r="J10" s="37" t="n">
        <v>1</v>
      </c>
      <c r="K10" s="37" t="inlineStr">
        <is>
          <t>B154</t>
        </is>
      </c>
      <c r="L10" s="37" t="n">
        <v>0</v>
      </c>
      <c r="M10" s="37" t="n">
        <v>0</v>
      </c>
      <c r="N10" s="38" t="inlineStr"/>
      <c r="O10" s="37" t="inlineStr"/>
      <c r="P10" s="38" t="n">
        <v>100</v>
      </c>
      <c r="Q10" s="37" t="n">
        <v>0</v>
      </c>
      <c r="R10" s="37" t="n">
        <v>0</v>
      </c>
      <c r="S10" s="37" t="n">
        <v>1</v>
      </c>
    </row>
    <row r="11">
      <c r="A11" s="37" t="inlineStr">
        <is>
          <t>48316091Z</t>
        </is>
      </c>
      <c r="B11" s="37" t="inlineStr">
        <is>
          <t>Fernández López, Mercedes</t>
        </is>
      </c>
      <c r="C11" s="37" t="inlineStr">
        <is>
          <t>FUNCIONARIO</t>
        </is>
      </c>
      <c r="D11" s="37" t="n"/>
      <c r="E11" s="37" t="n"/>
      <c r="F11" s="37" t="n"/>
      <c r="G11" s="37" t="n"/>
      <c r="H11" s="37" t="n"/>
      <c r="I11" s="37" t="n">
        <v>1</v>
      </c>
      <c r="J11" s="37" t="n">
        <v>1</v>
      </c>
      <c r="K11" s="37" t="inlineStr">
        <is>
          <t>B154</t>
        </is>
      </c>
      <c r="L11" s="37" t="n">
        <v>0</v>
      </c>
      <c r="M11" s="37" t="n">
        <v>0</v>
      </c>
      <c r="N11" s="38" t="inlineStr"/>
      <c r="O11" s="37" t="inlineStr"/>
      <c r="P11" s="38" t="n">
        <v>100</v>
      </c>
      <c r="Q11" s="37" t="n">
        <v>0</v>
      </c>
      <c r="R11" s="37" t="n">
        <v>0</v>
      </c>
      <c r="S11" s="37" t="n">
        <v>1</v>
      </c>
    </row>
    <row r="12">
      <c r="A12" s="37" t="inlineStr">
        <is>
          <t>48318632W</t>
        </is>
      </c>
      <c r="B12" s="37" t="inlineStr">
        <is>
          <t>Ruiz de la Cuesta Fernández, María Soledad</t>
        </is>
      </c>
      <c r="C12" s="37" t="inlineStr">
        <is>
          <t>NO FUNCIONARIO</t>
        </is>
      </c>
      <c r="D12" s="37" t="n"/>
      <c r="E12" s="37" t="n"/>
      <c r="F12" s="37" t="n"/>
      <c r="G12" s="37" t="n"/>
      <c r="H12" s="37" t="n"/>
      <c r="I12" s="37" t="n">
        <v>1</v>
      </c>
      <c r="J12" s="37" t="n">
        <v>1</v>
      </c>
      <c r="K12" s="37" t="inlineStr">
        <is>
          <t>B154</t>
        </is>
      </c>
      <c r="L12" s="37" t="n">
        <v>0</v>
      </c>
      <c r="M12" s="37" t="n">
        <v>0</v>
      </c>
      <c r="N12" s="38" t="inlineStr"/>
      <c r="O12" s="37" t="inlineStr"/>
      <c r="P12" s="38" t="n">
        <v>100</v>
      </c>
      <c r="Q12" s="37" t="n">
        <v>0</v>
      </c>
      <c r="R12" s="37" t="n">
        <v>0</v>
      </c>
      <c r="S12" s="37" t="n">
        <v>1</v>
      </c>
    </row>
    <row r="13">
      <c r="A13" s="37" t="inlineStr">
        <is>
          <t>48350398M</t>
        </is>
      </c>
      <c r="B13" s="37" t="inlineStr">
        <is>
          <t>Asensi Merás, Altea</t>
        </is>
      </c>
      <c r="C13" s="37" t="inlineStr">
        <is>
          <t>FUNCIONARIO</t>
        </is>
      </c>
      <c r="D13" s="37" t="n"/>
      <c r="E13" s="37" t="n"/>
      <c r="F13" s="37" t="n"/>
      <c r="G13" s="37" t="n"/>
      <c r="H13" s="37" t="n">
        <v>2</v>
      </c>
      <c r="I13" s="37" t="n"/>
      <c r="J13" s="37" t="n">
        <v>2</v>
      </c>
      <c r="K13" s="37" t="inlineStr">
        <is>
          <t>B154</t>
        </is>
      </c>
      <c r="L13" s="37" t="inlineStr">
        <is>
          <t>10.17</t>
        </is>
      </c>
      <c r="M13" s="37" t="inlineStr">
        <is>
          <t>15</t>
        </is>
      </c>
      <c r="N13" s="38" t="inlineStr"/>
      <c r="O13" s="37" t="inlineStr"/>
      <c r="P13" s="38" t="n">
        <v>85</v>
      </c>
      <c r="Q13" s="37" t="n">
        <v>0.3</v>
      </c>
      <c r="R13" s="37" t="n">
        <v>0</v>
      </c>
      <c r="S13" s="37" t="n">
        <v>1.7</v>
      </c>
    </row>
    <row r="14">
      <c r="A14" s="37" t="inlineStr">
        <is>
          <t>48352505L</t>
        </is>
      </c>
      <c r="B14" s="37" t="inlineStr">
        <is>
          <t>Moya Ballester, Jorge</t>
        </is>
      </c>
      <c r="C14" s="37" t="inlineStr">
        <is>
          <t>FUNCIONARIO</t>
        </is>
      </c>
      <c r="D14" s="37" t="n"/>
      <c r="E14" s="37" t="n"/>
      <c r="F14" s="37" t="n"/>
      <c r="G14" s="37" t="n"/>
      <c r="H14" s="37" t="n">
        <v>1</v>
      </c>
      <c r="I14" s="37" t="n"/>
      <c r="J14" s="37" t="n">
        <v>1</v>
      </c>
      <c r="K14" s="37" t="inlineStr">
        <is>
          <t>B154</t>
        </is>
      </c>
      <c r="L14" s="37" t="n">
        <v>0</v>
      </c>
      <c r="M14" s="37" t="n">
        <v>0</v>
      </c>
      <c r="N14" s="38" t="inlineStr"/>
      <c r="O14" s="37" t="inlineStr"/>
      <c r="P14" s="38" t="n">
        <v>100</v>
      </c>
      <c r="Q14" s="37" t="n">
        <v>0</v>
      </c>
      <c r="R14" s="37" t="n">
        <v>0</v>
      </c>
      <c r="S14" s="37" t="n">
        <v>1</v>
      </c>
    </row>
    <row r="15">
      <c r="A15" s="37" t="inlineStr">
        <is>
          <t>48620683V</t>
        </is>
      </c>
      <c r="B15" s="37" t="inlineStr">
        <is>
          <t>García Martínez, Andrea</t>
        </is>
      </c>
      <c r="C15" s="37" t="inlineStr">
        <is>
          <t>NO FUNCIONARIO</t>
        </is>
      </c>
      <c r="D15" s="37" t="n"/>
      <c r="E15" s="37" t="n"/>
      <c r="F15" s="37" t="n"/>
      <c r="G15" s="37" t="n"/>
      <c r="H15" s="37" t="n">
        <v>1</v>
      </c>
      <c r="I15" s="37" t="n"/>
      <c r="J15" s="37" t="n">
        <v>1</v>
      </c>
      <c r="K15" s="37" t="inlineStr">
        <is>
          <t>B154</t>
        </is>
      </c>
      <c r="L15" s="37" t="inlineStr">
        <is>
          <t>10.25</t>
        </is>
      </c>
      <c r="M15" s="37" t="inlineStr">
        <is>
          <t>20</t>
        </is>
      </c>
      <c r="N15" s="38" t="inlineStr"/>
      <c r="O15" s="37" t="inlineStr"/>
      <c r="P15" s="38" t="n">
        <v>80</v>
      </c>
      <c r="Q15" s="37" t="n">
        <v>0.2</v>
      </c>
      <c r="R15" s="37" t="n">
        <v>0</v>
      </c>
      <c r="S15" s="37" t="n">
        <v>0.8</v>
      </c>
    </row>
    <row r="16">
      <c r="A16" s="37" t="inlineStr">
        <is>
          <t>48623874B</t>
        </is>
      </c>
      <c r="B16" s="37" t="inlineStr">
        <is>
          <t>Gimeno Bevia, Jose Vicente</t>
        </is>
      </c>
      <c r="C16" s="37" t="inlineStr">
        <is>
          <t>FUNCIONARIO</t>
        </is>
      </c>
      <c r="D16" s="37" t="n"/>
      <c r="E16" s="37" t="n"/>
      <c r="F16" s="37" t="n"/>
      <c r="G16" s="37" t="n"/>
      <c r="H16" s="37" t="n"/>
      <c r="I16" s="37" t="n">
        <v>2</v>
      </c>
      <c r="J16" s="37" t="n">
        <v>2</v>
      </c>
      <c r="K16" s="37" t="inlineStr">
        <is>
          <t>B154</t>
        </is>
      </c>
      <c r="L16" s="37" t="n">
        <v>0</v>
      </c>
      <c r="M16" s="37" t="n">
        <v>0</v>
      </c>
      <c r="N16" s="38" t="inlineStr"/>
      <c r="O16" s="37" t="inlineStr"/>
      <c r="P16" s="38" t="n">
        <v>100</v>
      </c>
      <c r="Q16" s="37" t="n">
        <v>0</v>
      </c>
      <c r="R16" s="37" t="n">
        <v>0</v>
      </c>
      <c r="S16" s="37" t="n">
        <v>2</v>
      </c>
    </row>
    <row r="17">
      <c r="A17" s="37" t="inlineStr">
        <is>
          <t>48725429K</t>
        </is>
      </c>
      <c r="B17" s="37" t="inlineStr">
        <is>
          <t>Rabasa Martínez, Ignacio</t>
        </is>
      </c>
      <c r="C17" s="37" t="inlineStr">
        <is>
          <t>NO FUNCIONARIO</t>
        </is>
      </c>
      <c r="D17" s="37" t="n"/>
      <c r="E17" s="37" t="n"/>
      <c r="F17" s="37" t="n"/>
      <c r="G17" s="37" t="n"/>
      <c r="H17" s="37" t="n">
        <v>1</v>
      </c>
      <c r="I17" s="37" t="n"/>
      <c r="J17" s="37" t="n">
        <v>1</v>
      </c>
      <c r="K17" s="37" t="inlineStr">
        <is>
          <t>B154</t>
        </is>
      </c>
      <c r="L17" s="37" t="n">
        <v>0</v>
      </c>
      <c r="M17" s="37" t="n">
        <v>0</v>
      </c>
      <c r="N17" s="38" t="inlineStr"/>
      <c r="O17" s="37" t="inlineStr"/>
      <c r="P17" s="38" t="n">
        <v>100</v>
      </c>
      <c r="Q17" s="37" t="n">
        <v>0</v>
      </c>
      <c r="R17" s="37" t="n">
        <v>0</v>
      </c>
      <c r="S17" s="37" t="n">
        <v>1</v>
      </c>
    </row>
    <row r="18">
      <c r="A18" s="37" t="inlineStr">
        <is>
          <t>48765965P</t>
        </is>
      </c>
      <c r="B18" s="37" t="inlineStr">
        <is>
          <t>Vázquez Esteban, Marina</t>
        </is>
      </c>
      <c r="C18" s="37" t="inlineStr">
        <is>
          <t>NO FUNCIONARIO</t>
        </is>
      </c>
      <c r="D18" s="37" t="n"/>
      <c r="E18" s="37" t="n"/>
      <c r="F18" s="37" t="n"/>
      <c r="G18" s="37" t="n"/>
      <c r="H18" s="37" t="n"/>
      <c r="I18" s="37" t="n">
        <v>1</v>
      </c>
      <c r="J18" s="37" t="n">
        <v>1</v>
      </c>
      <c r="K18" s="37" t="inlineStr">
        <is>
          <t>B154</t>
        </is>
      </c>
      <c r="L18" s="37" t="inlineStr">
        <is>
          <t>10.25</t>
        </is>
      </c>
      <c r="M18" s="37" t="inlineStr">
        <is>
          <t>20</t>
        </is>
      </c>
      <c r="N18" s="38" t="inlineStr"/>
      <c r="O18" s="37" t="inlineStr"/>
      <c r="P18" s="38" t="n">
        <v>80</v>
      </c>
      <c r="Q18" s="37" t="n">
        <v>0.2</v>
      </c>
      <c r="R18" s="37" t="n">
        <v>0</v>
      </c>
      <c r="S18" s="37" t="n">
        <v>0.8</v>
      </c>
    </row>
    <row r="19">
      <c r="A19" s="37" t="inlineStr">
        <is>
          <t>52779870E</t>
        </is>
      </c>
      <c r="B19" s="37" t="inlineStr">
        <is>
          <t>Rizo Gómez, Maria Belen</t>
        </is>
      </c>
      <c r="C19" s="37" t="inlineStr">
        <is>
          <t>FUNCIONARIO</t>
        </is>
      </c>
      <c r="D19" s="37" t="n"/>
      <c r="E19" s="37" t="n">
        <v>1</v>
      </c>
      <c r="F19" s="37" t="n"/>
      <c r="G19" s="37" t="n"/>
      <c r="H19" s="37" t="n"/>
      <c r="I19" s="37" t="n"/>
      <c r="J19" s="37" t="n">
        <v>1</v>
      </c>
      <c r="K19" s="37" t="inlineStr">
        <is>
          <t>B154</t>
        </is>
      </c>
      <c r="L19" s="37" t="n">
        <v>0</v>
      </c>
      <c r="M19" s="37" t="n">
        <v>0</v>
      </c>
      <c r="N19" s="38" t="inlineStr"/>
      <c r="O19" s="37" t="inlineStr"/>
      <c r="P19" s="38" t="n">
        <v>100</v>
      </c>
      <c r="Q19" s="37" t="n">
        <v>0</v>
      </c>
      <c r="R19" s="37" t="n">
        <v>0</v>
      </c>
      <c r="S19" s="37" t="n">
        <v>1</v>
      </c>
    </row>
    <row r="20">
      <c r="A20" s="35" t="n"/>
      <c r="B20" s="35" t="n"/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6" t="n"/>
      <c r="O20" s="35" t="n"/>
      <c r="P20" s="36" t="n"/>
      <c r="Q20" s="35" t="n"/>
      <c r="R20" s="35" t="n"/>
      <c r="S20" s="78">
        <f>SUM(S2:S19)</f>
        <v/>
      </c>
    </row>
    <row r="21" ht="11.25" customFormat="1" customHeight="1" s="12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4" t="n"/>
      <c r="O21" s="13" t="n"/>
      <c r="P21" s="14" t="n"/>
      <c r="Q21" s="13" t="n"/>
      <c r="R21" s="13" t="n"/>
      <c r="S21" s="13" t="n"/>
    </row>
  </sheetData>
  <pageMargins left="0.3937007874015748" right="0.3937007874015748" top="0.3937007874015748" bottom="0.3937007874015748" header="0.3149606299212598" footer="0.3149606299212598"/>
  <pageSetup orientation="landscape" paperSize="9" scale="1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B17" sqref="B17"/>
    </sheetView>
  </sheetViews>
  <sheetFormatPr baseColWidth="10" defaultRowHeight="15"/>
  <cols>
    <col width="16.42578125" customWidth="1" min="1" max="1"/>
    <col width="76" customWidth="1" min="2" max="2"/>
    <col width="15.42578125" customWidth="1" min="3" max="3"/>
  </cols>
  <sheetData>
    <row r="1">
      <c r="A1" s="40" t="inlineStr">
        <is>
          <t>Cód. org. aplic.</t>
        </is>
      </c>
      <c r="B1" s="40" t="inlineStr">
        <is>
          <t>Descripción justificante</t>
        </is>
      </c>
      <c r="C1" s="40" t="inlineStr">
        <is>
          <t>Imp.cob.aplic.</t>
        </is>
      </c>
    </row>
    <row r="2">
      <c r="A2" s="30" t="inlineStr">
        <is>
          <t>35.20.6G.00.02</t>
        </is>
      </c>
      <c r="B2" s="30" t="inlineStr">
        <is>
          <t>Congreso Internacional Persona Jurídica, Proceso Penal y Digitalización.</t>
        </is>
      </c>
      <c r="C2" s="79" t="n">
        <v>352</v>
      </c>
    </row>
    <row r="3">
      <c r="A3" s="32" t="inlineStr">
        <is>
          <t>35.20.6G.00.02</t>
        </is>
      </c>
      <c r="B3" s="32" t="inlineStr">
        <is>
          <t>Aportación a la Universidad de Alicante en el Proyecto "Congreso Internacional Persona Jurídica, Proceso Penal y Digitalización"</t>
        </is>
      </c>
      <c r="C3" s="80" t="n">
        <v>352</v>
      </c>
    </row>
    <row r="4">
      <c r="A4" s="30" t="inlineStr">
        <is>
          <t>35.20.6M.00.02</t>
        </is>
      </c>
      <c r="B4" s="30" t="inlineStr">
        <is>
          <t>CONV. UNIVERSIDADES PÚBLICAS C.V., UNIVERSIDAD DE ALICANTE PAGO 65% ANTICIPO</t>
        </is>
      </c>
      <c r="C4" s="79" t="n">
        <v>48750</v>
      </c>
    </row>
    <row r="5">
      <c r="A5" s="30" t="inlineStr">
        <is>
          <t>35.20.6M.00.06</t>
        </is>
      </c>
      <c r="B5" s="30" t="inlineStr">
        <is>
          <t xml:space="preserve">Servicios de Tutorización para apoyo académico realizando tareas de orientación y acompañamiento a estudiantes en la asignatura "TFG de Estudios de Derecho y Ciencia Política".  (Primer semestre curso 2022/23). </t>
        </is>
      </c>
      <c r="C5" s="79" t="n">
        <v>756.8</v>
      </c>
    </row>
    <row r="6">
      <c r="A6" s="32" t="inlineStr">
        <is>
          <t>35.20.6M.00.07</t>
        </is>
      </c>
      <c r="B6" s="32" t="inlineStr">
        <is>
          <t>Mecenazgo para la Conferencia "La Europa de la Propiedad Intelectual"</t>
        </is>
      </c>
      <c r="C6" s="80" t="n">
        <v>1320</v>
      </c>
    </row>
    <row r="7">
      <c r="A7" s="30" t="inlineStr">
        <is>
          <t>35.20.6P.00.11</t>
        </is>
      </c>
      <c r="B7" s="30" t="inlineStr">
        <is>
          <t>DEVOLUCIÓN DE INGRESOS_MODELO 047_ Nº de liquidación:46/2023/RAS/10224/1_Número de justificante: 047/1/002367815_Nº de referencia:047/1/002367815</t>
        </is>
      </c>
      <c r="C7" s="79" t="n">
        <v>-932.8099999999999</v>
      </c>
    </row>
    <row r="8">
      <c r="A8" s="32" t="inlineStr">
        <is>
          <t>35.20.6P.00.12</t>
        </is>
      </c>
      <c r="B8" s="32" t="inlineStr">
        <is>
          <t xml:space="preserve">PID2020-118574GB-I00/118816GB-I00/119124RB-I00/119144RB-I00/119320GB-I00/119383GB-I00/119734RB-I00/119878GB-I00/119959GB-I00/120213RB-I00 </t>
        </is>
      </c>
      <c r="C8" s="80" t="n">
        <v>16476.38</v>
      </c>
    </row>
    <row r="9">
      <c r="A9" s="30" t="inlineStr">
        <is>
          <t>35.20.6P.00.13</t>
        </is>
      </c>
      <c r="B9" s="30" t="inlineStr">
        <is>
          <t>PID2020-115956GB-I00/116185GB-I00/116496RB-C21/116514GB-I00/116998RB-I00/117303GBC22/118006RB-I00/118322RB-I00/118447RA-I00/118476RR-C22</t>
        </is>
      </c>
      <c r="C9" s="79" t="n">
        <v>16476.38</v>
      </c>
    </row>
    <row r="10">
      <c r="A10" s="32" t="inlineStr">
        <is>
          <t>35.20.6P.00.16</t>
        </is>
      </c>
      <c r="B10" s="32" t="inlineStr">
        <is>
          <t>CIPROM/2021/001/006/017/021/022/027/057/060/062/068/070/074</t>
        </is>
      </c>
      <c r="C10" s="80" t="n">
        <v>141550</v>
      </c>
    </row>
    <row r="11">
      <c r="A11" s="44" t="inlineStr">
        <is>
          <t>Total</t>
        </is>
      </c>
      <c r="B11" s="44" t="n"/>
      <c r="C11" s="81">
        <f>SUBTOTAL(109,Tabla2[Imp.cob.aplic.])</f>
        <v/>
      </c>
    </row>
    <row r="12">
      <c r="C12" s="82" t="n"/>
    </row>
    <row r="13" customFormat="1" s="46"/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B17" sqref="B17:C17"/>
    </sheetView>
  </sheetViews>
  <sheetFormatPr baseColWidth="10" defaultRowHeight="15"/>
  <cols>
    <col width="55.140625" customWidth="1" min="2" max="2"/>
    <col width="13.28515625" customWidth="1" min="3" max="3"/>
  </cols>
  <sheetData>
    <row r="1">
      <c r="A1" s="49" t="inlineStr">
        <is>
          <t>Org. aplic.</t>
        </is>
      </c>
      <c r="B1" s="49" t="inlineStr">
        <is>
          <t>Descripción justificante</t>
        </is>
      </c>
      <c r="C1" s="83" t="inlineStr">
        <is>
          <t>Imp. aplic.</t>
        </is>
      </c>
    </row>
    <row r="2">
      <c r="A2" s="47" t="inlineStr">
        <is>
          <t>35.20.6M.00.02</t>
        </is>
      </c>
      <c r="B2" s="47" t="inlineStr">
        <is>
          <t>2º PAGO CONVENIO CON LAS UNIVERSIDADES PÚBLICAS DE LA COMUNIDAD VALENCIANA. (CONSELLERIA JUSTICIA). ANULACION POR FALTA JUSTIFICACION.</t>
        </is>
      </c>
      <c r="C2" s="79" t="n">
        <v>-16168.69</v>
      </c>
    </row>
    <row r="3">
      <c r="A3" s="48" t="inlineStr">
        <is>
          <t>35.20.6M.00.02</t>
        </is>
      </c>
      <c r="B3" s="48" t="inlineStr">
        <is>
          <t>CONVENIO CONSELLERIA JUSTICIA.  (actividades de investigación, información, formación y difusión en materia de acceso a la justicia, mediación, asistencia a víctimas del delito y víctimas del terrorismo)</t>
        </is>
      </c>
      <c r="C3" s="80" t="n">
        <v>27300</v>
      </c>
    </row>
    <row r="4">
      <c r="A4" s="47" t="inlineStr">
        <is>
          <t>35.20.6M.00.02</t>
        </is>
      </c>
      <c r="B4" s="47" t="inlineStr">
        <is>
          <t>DEVOLUCIÓN DE INGRESOS_MODELO 047_Nº DE LIQUIDACIÓN 46/2024/RSC/11254/1_ Nº DE JUSTIFICANTE: 047/1/002560883_Nº DE REFERENCIA: 047/1/002560883</t>
        </is>
      </c>
      <c r="C4" s="79" t="n">
        <v>-3598.75</v>
      </c>
    </row>
    <row r="5">
      <c r="A5" s="48" t="inlineStr">
        <is>
          <t>35.20.6M.00.08</t>
        </is>
      </c>
      <c r="B5" s="48" t="inlineStr">
        <is>
          <t>ORIENTACION Y ACOMPAÑAMIENTO EN EL APRENDIZAJE DE LA ASIGNATURA "DERECHO PROCESAL PENAL" DE LOS ESTUDIOS DE DERECHO Y CIENCIA POLITICA (PRIMER SEMESTRE 2023/24)</t>
        </is>
      </c>
      <c r="C5" s="80" t="n">
        <v>1117.78</v>
      </c>
    </row>
    <row r="6">
      <c r="A6" s="47" t="inlineStr">
        <is>
          <t>35.20.6M.00.08</t>
        </is>
      </c>
      <c r="B6" s="47" t="inlineStr">
        <is>
          <t>ORIENTACION Y ACOMPAÑAMIENTO EN EL APRENDIZAJE DE LA ASIGNATURA "DERECHO PROCESAL PENAL" DE LOS ESTUDIOS DE DERECHO Y CIENCIA POLITICA ( SEGUNDO SEMESTRE 2023-2024)</t>
        </is>
      </c>
      <c r="C6" s="79" t="n">
        <v>2098.8</v>
      </c>
    </row>
    <row r="7">
      <c r="A7" s="48" t="inlineStr">
        <is>
          <t>35.20.6M.00.09</t>
        </is>
      </c>
      <c r="B7" s="48" t="inlineStr">
        <is>
          <t xml:space="preserve">Taller sobre formación en comunicación docente dirigida a procuradores.  </t>
        </is>
      </c>
      <c r="C7" s="80" t="n">
        <v>352</v>
      </c>
    </row>
    <row r="8">
      <c r="A8" s="47" t="inlineStr">
        <is>
          <t>35.20.6M.00.10</t>
        </is>
      </c>
      <c r="B8" s="47" t="inlineStr">
        <is>
          <t>ORIENTACIÓN Y ACOMPAÑAMIENTO EN EL APRENDIZAJE DE LA ASIGNATURA "DERECHO PROCESAL PENAL" DE LOS ESTUDIOS DE DERECHO Y CIENCIA POLÍTICA (SEGUNDO SEMESTRE CURSO 2023/2024)</t>
        </is>
      </c>
      <c r="C8" s="79" t="n">
        <v>1022.91</v>
      </c>
    </row>
    <row r="9">
      <c r="A9" s="48" t="inlineStr">
        <is>
          <t>35.20.6M.00.10</t>
        </is>
      </c>
      <c r="B9" s="48" t="inlineStr">
        <is>
          <t xml:space="preserve">ORIENTACIÓN Y ACOMPAÑAMIENTO EN EL APRENDIZAJE DE LA ASIGNATURA DERECHO PROCESAL PENAL  DE LOS ESTUDIOS DE DERECHO Y CIENCIA POLÍTICA (SEGUNDO SEMESTRE CURSO 2023/2024) </t>
        </is>
      </c>
      <c r="C9" s="80" t="n">
        <v>1742.4</v>
      </c>
    </row>
    <row r="10">
      <c r="A10" s="47" t="inlineStr">
        <is>
          <t>35.20.6M.00.11</t>
        </is>
      </c>
      <c r="B10" s="47" t="inlineStr">
        <is>
          <t xml:space="preserve">ORIENTACIÓN Y ACOMPAÑAMIENTO EN EL APRENDIZAJE DE LOS ESTUDIANTES DE LA ASIGNATURA "DERECHO PROCESAL PENAL" DE LOS ESTUDIOS DE DERECHO Y CIENCIA POLÍTICA (PRIMER SEMESTRE CURSO 2024/2025) </t>
        </is>
      </c>
      <c r="C10" s="79" t="n">
        <v>1199.09</v>
      </c>
    </row>
    <row r="11">
      <c r="A11" s="48" t="inlineStr">
        <is>
          <t>35.20.6P.00.13</t>
        </is>
      </c>
      <c r="B11" s="48" t="inlineStr">
        <is>
          <t>DEVOLUCIÓN DE INGRESO_ CARTA DE PAGO_ REFERENCIA: PID2020-118006RB-I00, ANUALIDAD: 2021</t>
        </is>
      </c>
      <c r="C11" s="80" t="n">
        <v>-409.27</v>
      </c>
    </row>
    <row r="12">
      <c r="A12" s="47" t="inlineStr">
        <is>
          <t>35.20.6P.00.16</t>
        </is>
      </c>
      <c r="B12" s="47" t="inlineStr">
        <is>
          <t>AYUDA CIPROM/2021/001, CIPROM/2021/006, CIPROM/2021/017, CIPROM/2021/021, CIPROM/2021/022, CIPROM/2021/027, CIPROM/2021/057, CIPROM/2021/060, CIPROM/2021/062, CIPROM/2021/068, CIPROM/2021/070, CIPROM/2021/074</t>
        </is>
      </c>
      <c r="C12" s="79" t="n">
        <v>141550</v>
      </c>
    </row>
    <row r="13">
      <c r="A13" s="41" t="inlineStr">
        <is>
          <t>35.20.6Q.00.02</t>
        </is>
      </c>
      <c r="B13" s="41" t="inlineStr">
        <is>
          <t>CONVENIO DE COLABORACIÓN CON ALIBABA COM</t>
        </is>
      </c>
      <c r="C13" s="84" t="n">
        <v>30000</v>
      </c>
    </row>
    <row r="14">
      <c r="A14" s="41" t="inlineStr">
        <is>
          <t>Total</t>
        </is>
      </c>
      <c r="B14" s="41" t="n"/>
      <c r="C14" s="85">
        <f>SUBTOTAL(109,Tabla3[Imp. aplic.])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G29" sqref="G29"/>
    </sheetView>
  </sheetViews>
  <sheetFormatPr baseColWidth="10" defaultRowHeight="15"/>
  <cols>
    <col width="20" customWidth="1" min="1" max="1"/>
    <col width="56.85546875" customWidth="1" min="2" max="2"/>
    <col width="16.5703125" customWidth="1" min="3" max="3"/>
  </cols>
  <sheetData>
    <row r="1">
      <c r="A1" s="60" t="inlineStr">
        <is>
          <t>Org. aplic.</t>
        </is>
      </c>
      <c r="B1" s="61" t="inlineStr">
        <is>
          <t>Descripción justificante</t>
        </is>
      </c>
      <c r="C1" s="61" t="inlineStr">
        <is>
          <t>Imp. aplic.</t>
        </is>
      </c>
    </row>
    <row r="2">
      <c r="A2" s="62" t="inlineStr">
        <is>
          <t>35.20.6C.00.17</t>
        </is>
      </c>
      <c r="B2" s="63" t="inlineStr">
        <is>
          <t>Elaboración de una guía práctica e interactiva sobre IP e internacionalización para empresas españolas, con normativa, procedimientos, herramientas y recomendaciones estratégicas.</t>
        </is>
      </c>
      <c r="C2" s="86" t="n">
        <v>5913.6</v>
      </c>
    </row>
    <row r="3">
      <c r="A3" s="65" t="inlineStr">
        <is>
          <t>35.20.6G.00.03</t>
        </is>
      </c>
      <c r="B3" s="66" t="inlineStr">
        <is>
          <t>Ingresos por inscripciones al X Congreso Internacional CUEMYC</t>
        </is>
      </c>
      <c r="C3" s="87" t="n">
        <v>4460</v>
      </c>
    </row>
    <row r="4">
      <c r="A4" s="62" t="inlineStr">
        <is>
          <t>35.20.6M.00.02</t>
        </is>
      </c>
      <c r="B4" s="63" t="inlineStr">
        <is>
          <t>65% INGRESO DEL CONVENIO DE COLABORACIÓN ENTRE LA GENERALITAT, A TRAVÉS DE LA CONSELLERIA DE JUSTICIA Y ADMINISTRACIÓN PÚBLICA, Y LA UNIVERSIDAD DE ALICANTE, PARA EL DESARROLLO DE ACTIVIDADES DE INVESTIGACIÓN, INFORMACIÓN, FORMACIÓN Y DIFUSIÓN EN MATERIAS DE COMPETENCIA DE LA DIRECCIÓN GENERAL DE ATENCIÓN A LAS VÍCTIMAS Y ACCESO A LA JUSTICIA. LÍNEA SUBVENCIÓN: S0779</t>
        </is>
      </c>
      <c r="C4" s="86" t="n">
        <v>27300</v>
      </c>
    </row>
    <row r="5">
      <c r="A5" s="65" t="inlineStr">
        <is>
          <t>35.20.6M.00.02</t>
        </is>
      </c>
      <c r="B5" s="66" t="inlineStr">
        <is>
          <t>35% INGRESO DEL CONVENIO DE COLABORACIÓN ENTRE LA GENERALITAT, A TRAVÉS DE LA CONSELLERIA DE JUSTICIA Y ADMINISTRACIÓN PÚBLICA, Y LA UNIVERSIDAD DE ALICANTE, PARA EL DESARROLLO DE ACTIVIDADES DE INVESTIGACIÓN, INFORMACIÓN, FORMACIÓN Y DIFUSIÓN EN MATERIAS DE COMPETENCIA DE LA DIRECCIÓN GENERAL DE ATENCIÓN A LAS VÍCTIMAS Y ACCESO A LA JUSTICIA. LÍNEA SUBVENCIÓN: S0779</t>
        </is>
      </c>
      <c r="C5" s="87" t="n">
        <v>14700</v>
      </c>
    </row>
    <row r="6">
      <c r="A6" s="62" t="inlineStr">
        <is>
          <t>35.20.6M.00.11</t>
        </is>
      </c>
      <c r="B6" s="63" t="inlineStr">
        <is>
          <t>ORIENTACIÓN Y ACOMPAÑAMIENTO EN EL APRENDIZAJE DE LOS ESTUDIANTES DE LA ASIGNATURA "DERECHO PROCESAL PENAL" DE LOS ESTUDIOS DE DERECHO Y CIENCIA POLÍTICA (SEGUNDO PAGO DEL PRIMER CUATRIMESTRE  CURSO 24-25)</t>
        </is>
      </c>
      <c r="C6" s="86" t="n">
        <v>2336.4</v>
      </c>
    </row>
    <row r="7">
      <c r="A7" s="65" t="inlineStr">
        <is>
          <t>35.20.6M.00.12</t>
        </is>
      </c>
      <c r="B7" s="66" t="inlineStr">
        <is>
          <t>MECENAZGO DEL X CONGRESO INTERNACIONAL PROCESSULUS . ENCUENTRO DE JÓVENES INVESTIGADORES EN DERECHO PROCESAL.</t>
        </is>
      </c>
      <c r="C7" s="87" t="n">
        <v>880</v>
      </c>
    </row>
    <row r="8">
      <c r="A8" s="62" t="inlineStr">
        <is>
          <t>35.20.6M.00.13</t>
        </is>
      </c>
      <c r="B8" s="63" t="inlineStr">
        <is>
          <t xml:space="preserve">ORIENTACIÓN Y ACOMPAÑAMIENTO EN EL APRENDIZAJE DE LOS ESTUDIANTES DE LA ASIGNATURA "DERECHO PROCESO PENAL" DE LOS ESTUDIOS DE DERECHO Y CIENCIA POLÍTICA.  </t>
        </is>
      </c>
      <c r="C8" s="86" t="n">
        <v>1158.43</v>
      </c>
    </row>
    <row r="9">
      <c r="A9" s="65" t="inlineStr">
        <is>
          <t>35.20.6M.00.13</t>
        </is>
      </c>
      <c r="B9" s="66" t="inlineStr">
        <is>
          <t>ORIENTACIÓN Y ACOMPAÑAMIENTO EN EL APRENDIZAJE DE LOS ESTUDIANTES DE LA ASIGNATURA "DERECHO PROCESO PENAL" DE LOS ESTUDIOS DE DERECHO Y CIENCIA POLÍTICA</t>
        </is>
      </c>
      <c r="C9" s="87" t="n">
        <v>2451.68</v>
      </c>
    </row>
    <row r="10">
      <c r="A10" s="62" t="inlineStr">
        <is>
          <t>35.20.6M.00.14</t>
        </is>
      </c>
      <c r="B10" s="63" t="inlineStr">
        <is>
          <t>ORIENTACIÓN Y ACOMPAÑAMIENTO EN EL APRENDIZAJE DE LOS ESTUDIANTES DE LA ASIGNATURA "DERECHO PROCESAL PENAL" DE LOS ESTUDIOS DE DERECHO Y CIENCIA POLÍTICA (PRIMER SEMESTRE CURSO 2025/2026)</t>
        </is>
      </c>
      <c r="C10" s="86" t="n">
        <v>1226.19</v>
      </c>
    </row>
    <row r="11">
      <c r="A11" s="65" t="inlineStr">
        <is>
          <t>35.20.6P.00.12</t>
        </is>
      </c>
      <c r="B11" s="66" t="inlineStr">
        <is>
          <t>DEVOLUCIÓN DE INGRESOS_CARTA DE PAGO_REFERENCIA: PID2020-119878GB-I00, ANUALIDAD: 2021</t>
        </is>
      </c>
      <c r="C11" s="87" t="n">
        <v>-494.94</v>
      </c>
    </row>
    <row r="12">
      <c r="A12" s="62" t="inlineStr">
        <is>
          <t>35.20.6P.00.16</t>
        </is>
      </c>
      <c r="B12" s="63" t="inlineStr">
        <is>
          <t xml:space="preserve">CIPROM/2021/001/006/017/021/022/027/057/060/062/068/070/074 </t>
        </is>
      </c>
      <c r="C12" s="86" t="n">
        <v>141550</v>
      </c>
    </row>
    <row r="13">
      <c r="A13" s="65" t="inlineStr">
        <is>
          <t>35.20.6P.00.18</t>
        </is>
      </c>
      <c r="B13" s="66" t="inlineStr">
        <is>
          <t>INGRESO MICIU (AR FEDER). PID2024-157422OA-I00. PID2024-161522OA-I00. PID2024-157087OA-I00. PID2024-162784OB-I00. PID2024-160976NB-I00. PID2024-156526OB-I00. PID2024-158829NB-C41. PID2024-162730NB-I00. PID2024-160791OB-I00. PID2024-158157OB-C31. PID2024-160373OB-C22. PID2024-162431OB-I00. PID2024-159329NB-C22. PID2024-157026OB-I00. PID2024-159638OB-I00. PID2024-155511NB-I00. PID2024-157839NB-I00. PID2024-161912OB-I00. PID2024-155779OB-C33. PID2024-157037OB-I00. PID2024-156263OB-C22. PID2024-161188OB-C22. PID2024-161711OB-I00. PID2024-159363NB-I00. PID2024-155338NB-I00. PID2024-158514NB-I00. PID2024-160604NB-I00</t>
        </is>
      </c>
      <c r="C13" s="87" t="n">
        <v>21000</v>
      </c>
    </row>
    <row r="14">
      <c r="A14" s="62" t="inlineStr">
        <is>
          <t>35.20.6P.00.18</t>
        </is>
      </c>
      <c r="B14" s="63" t="inlineStr">
        <is>
          <t xml:space="preserve">AEI (SUBVENCIÓN).PID2024-155372OB-I00. PID2024-157422OA-I00. PID2024-161522OA-I00. PID2024-157087OA-I00. PID2024-162784OB-I00. PID2024-155652NA-I00. PID2024-160976NB-I00. PID2024-161610OB-I00. PID2024-156526OB-I00. PID2024-158829NB-C41. PID2024-162730NB-I00. PID2024-160791OB-I00. PID2024-155363OB-C43. PID2024-158157OB-C31. PID2024-160373OB-C22. PID2024-162431OB-I00. PID2024-159329NB-C22. PID2024-155726OB-I00. PID2024-157026OB-I00. PID2024-159638OB-I00. PID2024-158024NB-I00. PID2024-160371NB-I00. PID2024-157115NB-I00. PID2024-155511NB-I00. PID2024-157839NB-I00. PID2024-161912OB-I00. PID2024-155779OB-C33. PID2024-155232NB-I00. PID2024-157037OB-I00. PID2024-156263OB-C22. PID2024-161188OB-C22. PID2024-161711OB-I00. PID2024-159363NB-I00. PID2024-156796OB-I00. PID2024-158760NB-I00. PID2024-155338NB-I00. PID2024-158514NB-I00. PID2024-160151NB-I00. PID2024-161439NB-I00. PID2024-162487OB-C21. PID2024-160604NB-I00. </t>
        </is>
      </c>
      <c r="C14" s="86" t="n">
        <v>11900</v>
      </c>
    </row>
    <row r="15">
      <c r="A15" s="65" t="inlineStr">
        <is>
          <t>35.20.6Q.00.02</t>
        </is>
      </c>
      <c r="B15" s="66" t="inlineStr">
        <is>
          <t xml:space="preserve">CONVENIO DE COLABORACIÓN CON ALIBABA COM </t>
        </is>
      </c>
      <c r="C15" s="87" t="n">
        <v>9953</v>
      </c>
    </row>
    <row r="16">
      <c r="A16" s="62" t="inlineStr">
        <is>
          <t>35.20.6Q.00.02</t>
        </is>
      </c>
      <c r="B16" s="63" t="inlineStr">
        <is>
          <t>CONVENIO ENTRE LA UNIVERSIDAD DE ALICANTE Y ALIBABA.COM SINGAPORE E-COMMERCE PRIVATE LIMITED PARA LA "CÁTEDRA INTERNACIONAL DE PROTECCIÓN DE LA PROPIEDAD INTELECTUAL DE LA UNIVERSIDAD DE ALICANTE2</t>
        </is>
      </c>
      <c r="C16" s="86" t="n">
        <v>50000</v>
      </c>
    </row>
    <row r="17">
      <c r="A17" s="65" t="inlineStr">
        <is>
          <t>35.20.6X.00.02</t>
        </is>
      </c>
      <c r="B17" s="66" t="inlineStr">
        <is>
          <t>1st interim payment: 10% of the total amount upon submission and approval of Methodology and Planning Document (D1.2) - ALINV 06/24 AL-INVEST Verde Intellectual Property Mentorships to Support the Valorisation of Sustainable Local Products, AL-INVmentor Andean Countries Mentorships</t>
        </is>
      </c>
      <c r="C17" s="87" t="n">
        <v>2970</v>
      </c>
    </row>
    <row r="18">
      <c r="A18" s="62" t="inlineStr">
        <is>
          <t>35.20.6X.00.02</t>
        </is>
      </c>
      <c r="B18" s="63" t="inlineStr">
        <is>
          <t>2ND interim payment: 30% of the total amount upon submission and approval of Final Version of Phase 1 Report  mapping and mentoring and AL-INVmentor - Andean Countries Mentorships detailed Plan for Phase 2 Final version (D2.2) - ALINV 06/24 AL-INVEST Verde Intellectual Property Mentorships to Support the Valorisation of Sustainable Local Products, AL-INVmentor Andean Countries Mentorships</t>
        </is>
      </c>
      <c r="C18" s="86" t="n">
        <v>8910</v>
      </c>
    </row>
    <row r="19">
      <c r="A19" s="65" t="inlineStr">
        <is>
          <t>35.20.6X.00.02</t>
        </is>
      </c>
      <c r="B19" s="66" t="inlineStr">
        <is>
          <t>3rd Payment 25% - upon the submission and approval of D3 Training and Working Groups Report. Al Invest Act 37 ACN MENTOR</t>
        </is>
      </c>
      <c r="C19" s="87" t="n">
        <v>7425</v>
      </c>
    </row>
    <row r="20">
      <c r="A20" s="62" t="inlineStr">
        <is>
          <t>35.20.6X.00.02</t>
        </is>
      </c>
      <c r="B20" s="63" t="inlineStr">
        <is>
          <t xml:space="preserve">4th Payment 20% - upon the submission and approval of D4 Product Specifications and Strategic Guidelines. ALINV 06/24 AL-INVEST Verde Intellectual Property Mentorships to Support the valorisation of Sustainable Local Products, AL-INVmentor Andean Countries Mentorships </t>
        </is>
      </c>
      <c r="C20" s="86" t="n">
        <v>5940</v>
      </c>
    </row>
    <row r="21">
      <c r="A21" s="65" t="inlineStr">
        <is>
          <t>35.20.6X.00.02</t>
        </is>
      </c>
      <c r="B21" s="66" t="inlineStr">
        <is>
          <t>5th Payment 15% - upon the submission and approval of D5.2 Final version of the Final Report. ALINV 06/24 AL-INVEST Verde Intellectual Property Mentorships to Support the valorisation of Sustainable Local Products, AL-INVmentor Andean Countries Mentorships</t>
        </is>
      </c>
      <c r="C21" s="87" t="n">
        <v>4455</v>
      </c>
    </row>
    <row r="22">
      <c r="A22" s="62" t="inlineStr">
        <is>
          <t>35.20.6X.00.05</t>
        </is>
      </c>
      <c r="B22" s="63" t="inlineStr">
        <is>
          <t>1st interim payment: 20% of the total amount upon submission and approval of Project brief and the Methodology (D1) - Enhancing Sustainable Soybean and Beef Value Chains through Intellectual Property in Argentina</t>
        </is>
      </c>
      <c r="C22" s="86" t="n">
        <v>3440</v>
      </c>
    </row>
    <row r="23">
      <c r="A23" s="65" t="inlineStr">
        <is>
          <t>35.20.6X.00.05</t>
        </is>
      </c>
      <c r="B23" s="66" t="inlineStr">
        <is>
          <t>2nd interim payment: 20% of the total amount upon submission and approval of First Draft Legal Study and IP Strategy (D2) - Enhancing Sustainable Soybean and Beef Value Chains through Intellectual Property in Argentina</t>
        </is>
      </c>
      <c r="C23" s="87" t="n">
        <v>3440</v>
      </c>
    </row>
    <row r="24">
      <c r="A24" s="62" t="inlineStr">
        <is>
          <t>35.20.6X.00.05</t>
        </is>
      </c>
      <c r="B24" s="63" t="inlineStr">
        <is>
          <t>3rd interim payment: 30% of the total amount upon submission and approval of Final Draft Legal Study and IP Strategy (D3) - Enhancing Sustainable Soybean and Beef Value Chains through Intellectual Property in Argentina</t>
        </is>
      </c>
      <c r="C24" s="86" t="n">
        <v>5160</v>
      </c>
    </row>
    <row r="25" ht="15.75" customHeight="1" thickBot="1">
      <c r="A25" s="65" t="inlineStr">
        <is>
          <t>35.20.6X.00.05</t>
        </is>
      </c>
      <c r="B25" s="66" t="inlineStr">
        <is>
          <t>4th interim payment: 30% of the total amount upon submission and approval of Finalisation &amp; Reporting- Enhancing Sustainable Soybean and Beef Value Chains Through Intellectual Property in Argentina</t>
        </is>
      </c>
      <c r="C25" s="87" t="n">
        <v>5160</v>
      </c>
    </row>
    <row r="26" ht="15.75" customHeight="1" thickTop="1">
      <c r="A26" s="68" t="inlineStr">
        <is>
          <t>Total</t>
        </is>
      </c>
      <c r="B26" s="69" t="n"/>
      <c r="C26" s="88" t="n">
        <v>341234.36</v>
      </c>
    </row>
    <row r="30">
      <c r="B30" s="58" t="inlineStr">
        <is>
          <t>Total ingresos investigación 2023-25</t>
        </is>
      </c>
      <c r="C30" s="89">
        <f>Tabla3[[#Totals],[Imp. aplic.]]+Tabla2[[#Totals],[Imp.cob.aplic.]]+C26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B26" sqref="B26"/>
    </sheetView>
  </sheetViews>
  <sheetFormatPr baseColWidth="10" defaultRowHeight="15"/>
  <cols>
    <col width="16.42578125" customWidth="1" min="1" max="1"/>
    <col width="81.140625" customWidth="1" min="2" max="2"/>
    <col width="15.42578125" customWidth="1" min="3" max="3"/>
  </cols>
  <sheetData>
    <row r="1">
      <c r="A1" s="40" t="inlineStr">
        <is>
          <t>Cód. org. aplic.</t>
        </is>
      </c>
      <c r="B1" s="40" t="inlineStr">
        <is>
          <t>Descripción justificante</t>
        </is>
      </c>
      <c r="C1" s="40" t="inlineStr">
        <is>
          <t>Imp.cob.aplic.</t>
        </is>
      </c>
    </row>
    <row r="2">
      <c r="A2" s="30" t="inlineStr">
        <is>
          <t>35.20.2T.00.02</t>
        </is>
      </c>
      <c r="B2" s="30" t="inlineStr">
        <is>
          <t>DEVOLUCIÓN DE TASAS NÓMINAS_REMESA Nº 2023DTR380589_RDT INVERSA: 2023EXPADM2019</t>
        </is>
      </c>
      <c r="C2" s="79" t="n">
        <v>-635.38</v>
      </c>
    </row>
    <row r="3">
      <c r="A3" s="32" t="inlineStr">
        <is>
          <t>35.20.2T.00.03</t>
        </is>
      </c>
      <c r="B3" s="32" t="inlineStr">
        <is>
          <t>DEVOLUCIÓN DE TASAS NÓMINAS_REMESA Nº 2023DTR380589_RDT INVERSA: 2023EXPADM2019</t>
        </is>
      </c>
      <c r="C3" s="80" t="n">
        <v>-182.43</v>
      </c>
    </row>
    <row r="4">
      <c r="A4" s="30" t="inlineStr">
        <is>
          <t>35.20.2T.00.04</t>
        </is>
      </c>
      <c r="B4" s="30" t="inlineStr">
        <is>
          <t xml:space="preserve">Plan_9318 Curso_2022-23 Emitido_2022-23 - MÁSTER EN PROPIEDAD INTELECTUAL E INNOVACIÓN DIGITAL </t>
        </is>
      </c>
      <c r="C4" s="79" t="n">
        <v>8160</v>
      </c>
    </row>
    <row r="5">
      <c r="A5" s="32" t="inlineStr">
        <is>
          <t>35.20.2T.00.04</t>
        </is>
      </c>
      <c r="B5" s="32" t="inlineStr">
        <is>
          <t xml:space="preserve">Plan_9319 Curso_2022-23 Emitido_2022-23 - ESPECIALISTA EN INNOVACIONES TÉCNICAS Y DIGITALES </t>
        </is>
      </c>
      <c r="C5" s="80" t="n">
        <v>2241.18</v>
      </c>
    </row>
    <row r="6">
      <c r="A6" s="30" t="inlineStr">
        <is>
          <t>35.20.2T.00.05</t>
        </is>
      </c>
      <c r="B6" s="30" t="inlineStr">
        <is>
          <t xml:space="preserve">Plan_9323 Curso_2022-23 Emitido_2022-23 - ESPECIALISTA EN DISEÑO Y GESTIÓN DE LA INNOVACIÓN APLICABLE AL SECTOR DEL CALZADO </t>
        </is>
      </c>
      <c r="C6" s="79" t="n">
        <v>9863.91</v>
      </c>
    </row>
    <row r="7">
      <c r="A7" s="32" t="inlineStr">
        <is>
          <t>35.20.2T.00.05</t>
        </is>
      </c>
      <c r="B7" s="32" t="inlineStr">
        <is>
          <t xml:space="preserve">Plan_9324 Curso_2022-23 Emitido_2022-23 - EXPERTO/A EN NUEVAS TECNOLOGÍAS Y CONTROL DE LA CALIDAD APLICABLE AL SECTOR DEL CALZADO. </t>
        </is>
      </c>
      <c r="C7" s="80" t="n">
        <v>1461.32</v>
      </c>
    </row>
    <row r="8">
      <c r="A8" s="30" t="inlineStr">
        <is>
          <t>35.20.2T.00.05</t>
        </is>
      </c>
      <c r="B8" s="30" t="inlineStr">
        <is>
          <t xml:space="preserve">Plan_9322 Curso_2022-23 Emitido_2022-23 - MÁSTER EN DISEÑO, NUEVAS TECNOLOGÍAS Y GESTIÓN DE LA INNOVACIÓN EN EL SECTO </t>
        </is>
      </c>
      <c r="C8" s="79" t="n">
        <v>7621.68</v>
      </c>
    </row>
    <row r="9">
      <c r="A9" s="32" t="inlineStr">
        <is>
          <t>35.20.2T.00.05</t>
        </is>
      </c>
      <c r="B9" s="32" t="inlineStr">
        <is>
          <t xml:space="preserve">Plan_9322 Curso_2022-23 Emitido_2022-23 - MÁSTER EN DISEÑO, NUEVAS TECNOLOGÍAS Y GESTIÓN DE LA INNOVACIÓN EN EL SECTO </t>
        </is>
      </c>
      <c r="C9" s="80" t="n">
        <v>3809.42</v>
      </c>
    </row>
    <row r="10">
      <c r="A10" s="30" t="inlineStr">
        <is>
          <t>35.20.2T.00.05</t>
        </is>
      </c>
      <c r="B10" s="30" t="inlineStr">
        <is>
          <t xml:space="preserve">LIQ-TitProp_9322-1 Curso_2023-24_AñoCont_2023 - MÁSTER EN DISEÑO, NUEVAS TECNOLOGÍAS Y GESTIÓN DE LA INNOVACIÓN EN EL SECTO </t>
        </is>
      </c>
      <c r="C10" s="79" t="n">
        <v>500.11</v>
      </c>
    </row>
    <row r="11">
      <c r="A11" s="32" t="inlineStr">
        <is>
          <t>35.20.2T.00.05</t>
        </is>
      </c>
      <c r="B11" s="32" t="inlineStr">
        <is>
          <t>DEVOLUCIÓN DE TASAS NÓMINAS_REMESA Nº 2023DTR380589_RDT INVERSA: 2023EXPADM2019</t>
        </is>
      </c>
      <c r="C11" s="80" t="n">
        <v>-1087.72</v>
      </c>
    </row>
    <row r="12">
      <c r="A12" s="30" t="inlineStr">
        <is>
          <t>35.20.2T.00.05</t>
        </is>
      </c>
      <c r="B12" s="30" t="inlineStr">
        <is>
          <t>Matrícula curso académico 2022/23 "Experto/a en nuevas tecnologías y control de la calidad aplicable al sector del calzado". Alumno: Jose Martín Jiménez</t>
        </is>
      </c>
      <c r="C12" s="79" t="n">
        <v>1729.25</v>
      </c>
    </row>
    <row r="13">
      <c r="A13" s="32" t="inlineStr">
        <is>
          <t>35.20.2T.00.05</t>
        </is>
      </c>
      <c r="B13" s="32" t="inlineStr">
        <is>
          <t xml:space="preserve">LIQ-TitProp_9378-1 Curso_2023-24_AñoCont_2023 - MÁSTER DE FORMACIÓN PERMANENTE EN DISEÑO, NUEVAS TECNOLOGÍAS Y GESTIÓN </t>
        </is>
      </c>
      <c r="C13" s="80" t="n">
        <v>635.37</v>
      </c>
    </row>
    <row r="14">
      <c r="A14" s="42" t="inlineStr">
        <is>
          <t>35.20.2T.00.05</t>
        </is>
      </c>
      <c r="B14" s="42" t="inlineStr">
        <is>
          <t xml:space="preserve">Plan_9324 Curso_2022-23 Emitido_2022-23 - EXPERTO/A EN NUEVAS TECNOLOGÍAS Y CONTROL DE LA CALIDAD APLICABLE AL SECTOR DEL CALZADO. </t>
        </is>
      </c>
      <c r="C14" s="90" t="n">
        <v>1454.6</v>
      </c>
    </row>
    <row r="15" customFormat="1" s="46">
      <c r="A15" s="44" t="inlineStr">
        <is>
          <t>10.91.2T.00.20</t>
        </is>
      </c>
      <c r="B15" s="44" t="inlineStr">
        <is>
          <t xml:space="preserve">LIQ-TitProp_9379 Curso_2023-24 Emitido_2023-24 - MÁSTER DE FORMACIÓN PERMANENTE EN PROPIEDAD INTELECTUAL E INNOVACIÓN DIGITAL </t>
        </is>
      </c>
      <c r="C15" s="91" t="n">
        <v>206834.96</v>
      </c>
    </row>
    <row r="16">
      <c r="A16" s="56" t="inlineStr">
        <is>
          <t>10.91.2T.00.20</t>
        </is>
      </c>
      <c r="B16" s="56" t="inlineStr">
        <is>
          <t xml:space="preserve">LIQ-TitProp_9425 Curso_2023-24 AñoCont_2023 - ESPECIALISTA EN MARCAS Y DISEÑOS. COMPETENCIA Y DERECHOS DE AUTOR </t>
        </is>
      </c>
      <c r="C16" s="90" t="n">
        <v>4416</v>
      </c>
    </row>
    <row r="17" customFormat="1" s="46">
      <c r="A17" s="44" t="inlineStr">
        <is>
          <t>10.91.2T.00.20</t>
        </is>
      </c>
      <c r="B17" s="44" t="inlineStr">
        <is>
          <t>DEVOLUCIÓN DE TASAS_ NÓMINA NÚMERO DE CONTROL 4349. RDT INVERSA EN 2023EXPADM2073</t>
        </is>
      </c>
      <c r="C17" s="91" t="n">
        <v>-426.39</v>
      </c>
    </row>
    <row r="18">
      <c r="A18" s="44" t="inlineStr">
        <is>
          <t>Total</t>
        </is>
      </c>
      <c r="B18" s="44" t="n"/>
      <c r="C18" s="92">
        <f>SUBTOTAL(109,Tabla5[Imp.cob.aplic.])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B18" sqref="B18:C18"/>
    </sheetView>
  </sheetViews>
  <sheetFormatPr baseColWidth="10" defaultRowHeight="15"/>
  <cols>
    <col width="16.5703125" customWidth="1" min="1" max="1"/>
    <col width="66.140625" customWidth="1" min="2" max="2"/>
    <col width="11.7109375" customWidth="1" min="3" max="3"/>
  </cols>
  <sheetData>
    <row r="1">
      <c r="A1" s="49" t="inlineStr">
        <is>
          <t>Org. aplic.</t>
        </is>
      </c>
      <c r="B1" s="49" t="inlineStr">
        <is>
          <t>Descripción justificante</t>
        </is>
      </c>
      <c r="C1" s="49" t="inlineStr">
        <is>
          <t>Imp. aplic.</t>
        </is>
      </c>
    </row>
    <row r="2">
      <c r="A2" s="53" t="inlineStr">
        <is>
          <t>35.20.2T.00.04</t>
        </is>
      </c>
      <c r="B2" s="53" t="inlineStr">
        <is>
          <t>Maksym Yastreb, Máster de Formación Permanente en Propiedad Intelectual e Innovación Digital, recibo 2023450737533 y 2023450737644</t>
        </is>
      </c>
      <c r="C2" s="90" t="n">
        <v>9104.17</v>
      </c>
    </row>
    <row r="3" customFormat="1" s="46">
      <c r="A3" s="54" t="inlineStr">
        <is>
          <t>10.91.2T.00.20</t>
        </is>
      </c>
      <c r="B3" s="54" t="inlineStr">
        <is>
          <t xml:space="preserve">LIQ-TitProp_9379-3 Curso_2023-24 AñoCont_2023 - MÁSTER DE FORMACIÓN PERMANENTE EN PROPIEDAD INTELECTUAL E INNOVACIÓN DIGITA </t>
        </is>
      </c>
      <c r="C3" s="91" t="n">
        <v>13.02</v>
      </c>
    </row>
    <row r="4">
      <c r="A4" s="53" t="inlineStr">
        <is>
          <t>10.91.2T.00.20</t>
        </is>
      </c>
      <c r="B4" s="53" t="inlineStr">
        <is>
          <t xml:space="preserve">LIQ-TitProp_9370-5 Curso_2023-24 AñoCont_2023 - MÁSTER DE FORMACIÓN PERMANENTE EN COMERCIO INTERNACIONAL </t>
        </is>
      </c>
      <c r="C4" s="90" t="n">
        <v>900.9299999999999</v>
      </c>
    </row>
    <row r="5" customFormat="1" s="46">
      <c r="A5" s="54" t="inlineStr">
        <is>
          <t>10.91.2T.00.20</t>
        </is>
      </c>
      <c r="B5" s="54" t="inlineStr">
        <is>
          <t xml:space="preserve">LIQ-TitProp_9379-4 Curso_2023-24 AñoCont_2023 - MÁSTER DE FORMACIÓN PERMANENTE EN PROPIEDAD INTELECTUAL E INNOVACIÓN DIGITA </t>
        </is>
      </c>
      <c r="C5" s="91" t="n">
        <v>192</v>
      </c>
    </row>
    <row r="6">
      <c r="A6" s="53" t="inlineStr">
        <is>
          <t>10.91.2T.00.20</t>
        </is>
      </c>
      <c r="B6" s="53" t="inlineStr">
        <is>
          <t xml:space="preserve">LIQ-TitProp_9379-1 Curso_2024-25 AñoCont_2024 - MÁSTER DE FORMACIÓN PERMANENTE EN PROPIEDAD INTELECTUAL E INNOVACIÓN DIGITA </t>
        </is>
      </c>
      <c r="C6" s="90" t="n">
        <v>224898.56</v>
      </c>
    </row>
    <row r="7" customFormat="1" s="46">
      <c r="A7" s="54" t="inlineStr">
        <is>
          <t>10.91.2T.00.20</t>
        </is>
      </c>
      <c r="B7" s="54" t="inlineStr">
        <is>
          <t xml:space="preserve">LIQ-TitProp_9425-1 Curso_2024-25 AñoCont_2024 - ESPECIALISTA EN MARCAS Y DISEÑOS. COMPETENCIA Y DERECHOS DE AUTOR </t>
        </is>
      </c>
      <c r="C7" s="91" t="n">
        <v>4170.91</v>
      </c>
    </row>
    <row r="8">
      <c r="A8" s="53" t="inlineStr">
        <is>
          <t>10.91.2T.00.20</t>
        </is>
      </c>
      <c r="B8" s="53" t="inlineStr">
        <is>
          <t>DEVOLUCIÓN DE PRECIOS PÚBLICOS POR INGRESOS DE MATRÍCULA_REMESA Nº2024DTR401170_ RDT INVERSA 2024EXPADM2255</t>
        </is>
      </c>
      <c r="C8" s="90" t="n">
        <v>-80</v>
      </c>
    </row>
    <row r="9" customFormat="1" s="46">
      <c r="A9" s="54" t="inlineStr">
        <is>
          <t>10.91.2T.00.20</t>
        </is>
      </c>
      <c r="B9" s="54" t="inlineStr">
        <is>
          <t xml:space="preserve">LIQ-EP_Plan_9379-N Curso_2024-25_AñoCont_2024 TipoRec_Emitido - MÁSTER DE FORMACIÓN PERMANENTE EN PROPIEDAD INTELECTUAL E INNOVACIÓN DIGITAL _ (Cierre-24) </t>
        </is>
      </c>
      <c r="C9" s="91" t="n">
        <v>11240.98</v>
      </c>
    </row>
    <row r="10">
      <c r="A10" s="53" t="inlineStr">
        <is>
          <t>10.91.2T.00.20</t>
        </is>
      </c>
      <c r="B10" s="53" t="inlineStr">
        <is>
          <t xml:space="preserve">LIQ-EP_Plan_9370-3 Curso_2024-25_AñoCont_2024 TipoRec_Emitido - MÁSTER DE FORMACIÓN PERMANENTE EN COMERCIO INTERNACIONAL _ (Cierre-24) </t>
        </is>
      </c>
      <c r="C10" s="90" t="n">
        <v>576.42</v>
      </c>
    </row>
    <row r="11" customFormat="1" s="46">
      <c r="A11" s="54" t="inlineStr">
        <is>
          <t>10.91.2T.00.47</t>
        </is>
      </c>
      <c r="B11" s="54" t="inlineStr">
        <is>
          <t>CÓD: GL95 Microcredencial: MEDIATION AS AN ADR METHOD IN BUSINESS</t>
        </is>
      </c>
      <c r="C11" s="91" t="n">
        <v>13209</v>
      </c>
    </row>
    <row r="12">
      <c r="A12" s="53" t="inlineStr">
        <is>
          <t>10.91.2T.00.70</t>
        </is>
      </c>
      <c r="B12" s="53" t="inlineStr">
        <is>
          <t xml:space="preserve">CÓD: GL95. Microcredencial: MEDIACIÓN COMO MÉTODO DE ADR EN CONFLICTOS EMPRESARIALES Y PROP. INTEL. </t>
        </is>
      </c>
      <c r="C12" s="90" t="n">
        <v>1921</v>
      </c>
    </row>
    <row r="13" customFormat="1" s="46">
      <c r="A13" s="54" t="inlineStr">
        <is>
          <t>10.91.2T.00.82</t>
        </is>
      </c>
      <c r="B13" s="54" t="inlineStr">
        <is>
          <t xml:space="preserve">CÓD: GL96. Microcredencial. TÉCNICAS Y PRÁCTICAS DE MEDIACIÓN EN CONFLICTOS EMPR. Y EN PROP. INT. _Plan_GL96-1 Curso_2024-25_AñoCont_2024  </t>
        </is>
      </c>
      <c r="C13" s="91" t="n">
        <v>2881.5</v>
      </c>
    </row>
    <row r="14">
      <c r="A14" s="54" t="inlineStr">
        <is>
          <t>Total</t>
        </is>
      </c>
      <c r="B14" s="54" t="n"/>
      <c r="C14" s="92">
        <f>SUBTOTAL(109,Tabla6[Imp. aplic.])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topLeftCell="A4" workbookViewId="0">
      <selection activeCell="C24" sqref="C24"/>
    </sheetView>
  </sheetViews>
  <sheetFormatPr baseColWidth="10" defaultRowHeight="15"/>
  <cols>
    <col width="17.42578125" customWidth="1" min="1" max="1"/>
    <col width="56.42578125" customWidth="1" min="2" max="2"/>
    <col width="20.85546875" customWidth="1" min="3" max="3"/>
  </cols>
  <sheetData>
    <row r="1">
      <c r="A1" s="60" t="inlineStr">
        <is>
          <t>Org. aplic.</t>
        </is>
      </c>
      <c r="B1" s="61" t="inlineStr">
        <is>
          <t>Descripción justificante</t>
        </is>
      </c>
      <c r="C1" s="93" t="inlineStr">
        <is>
          <t>Imp. aplic.</t>
        </is>
      </c>
    </row>
    <row r="2">
      <c r="A2" s="62" t="inlineStr">
        <is>
          <t>10.91.2T.00.20</t>
        </is>
      </c>
      <c r="B2" s="63" t="inlineStr">
        <is>
          <t>LIQ-TitProp_9425-1 Curso_2025-26 AñoCont_2025 - ESPECIALISTA EN MARCAS Y DISEÑOS. COMPETENCIA Y DERECHOS DE AUTOR</t>
        </is>
      </c>
      <c r="C2" s="86" t="n">
        <v>5354.4</v>
      </c>
    </row>
    <row r="3">
      <c r="A3" s="65" t="inlineStr">
        <is>
          <t>10.91.2T.00.20</t>
        </is>
      </c>
      <c r="B3" s="66" t="inlineStr">
        <is>
          <t xml:space="preserve">LIQ-TitProp_9379-1 Curso_2025-26 AñoCont_2025 - MÁSTER DE FORMACIÓN PERMANENTE EN PROPIEDAD INTELECTUAL E INNOVACIÓN DIGITA </t>
        </is>
      </c>
      <c r="C3" s="87" t="n">
        <v>282058.62</v>
      </c>
    </row>
    <row r="4">
      <c r="A4" s="62" t="inlineStr">
        <is>
          <t>10.91.2T.00.20</t>
        </is>
      </c>
      <c r="B4" s="63" t="inlineStr">
        <is>
          <t xml:space="preserve">LIQ-TitProp_9379-2 Curso_2025-26 AñoCont_2025 - MÁSTER DE FORMACIÓN PERMANENTE EN PROPIEDAD INTELECTUAL E INNOVACIÓN DIGITA </t>
        </is>
      </c>
      <c r="C4" s="86" t="n">
        <v>13451.18</v>
      </c>
    </row>
    <row r="5">
      <c r="A5" s="65" t="inlineStr">
        <is>
          <t>10.91.2T.00.20</t>
        </is>
      </c>
      <c r="B5" s="66" t="inlineStr">
        <is>
          <t xml:space="preserve">LIQ-TitProp_9425-2 Curso_2025-26 AñoCont_2025 - ESPECIALISTA EN MARCAS Y DISEÑOS. COMPETENCIA Y DERECHOS DE AUTOR </t>
        </is>
      </c>
      <c r="C5" s="87" t="n">
        <v>5355.09</v>
      </c>
    </row>
    <row r="6">
      <c r="A6" s="62" t="inlineStr">
        <is>
          <t>10.91.2T.00.20</t>
        </is>
      </c>
      <c r="B6" s="63" t="inlineStr">
        <is>
          <t xml:space="preserve">LIQ-TitProp_9426-1 Curso_2025-26 AñoCont_2025 - ESPECIALISTA EN FITOMEJORAMIENTO Y SIGNOS DISTINTIVOS DE CALIDAD </t>
        </is>
      </c>
      <c r="C6" s="86" t="n">
        <v>5354.4</v>
      </c>
    </row>
    <row r="7">
      <c r="A7" s="65" t="inlineStr">
        <is>
          <t>10.91.2T.00.20</t>
        </is>
      </c>
      <c r="B7" s="66" t="inlineStr">
        <is>
          <t xml:space="preserve">LIQ-TitProp_9379-N Curso_2025-26 AñoCont_2025 - MÁSTER DE FORMACIÓN PERMANENTE EN PROPIEDAD INTELECTUAL E INNOVACIÓN DIGITA (CIERRE 2025 EMITIDO 25 NO COBRADO) </t>
        </is>
      </c>
      <c r="C7" s="87" t="n">
        <v>3505.28</v>
      </c>
    </row>
    <row r="8">
      <c r="A8" s="62" t="inlineStr">
        <is>
          <t>10.91.2T.00.20</t>
        </is>
      </c>
      <c r="B8" s="63" t="inlineStr">
        <is>
          <t xml:space="preserve">LIQ-TitProp_9379-N Curso_2024-25 AñoCont_2025 - MÁSTER DE FORMACIÓN PERMANENTE EN PROPIEDAD INTELECTUAL E INNOVACIÓN DIGITA _ (Cierre-25) </t>
        </is>
      </c>
      <c r="C8" s="86" t="n">
        <v>768</v>
      </c>
    </row>
    <row r="9">
      <c r="A9" s="65" t="inlineStr">
        <is>
          <t>10.91.2T.00.58</t>
        </is>
      </c>
      <c r="B9" s="66" t="inlineStr">
        <is>
          <t>CÓD: GL96. Microcredencial: Mediation Techniques and Practices in Business Disputes and Intellectual Property</t>
        </is>
      </c>
      <c r="C9" s="87" t="n">
        <v>24365.25</v>
      </c>
    </row>
    <row r="10">
      <c r="A10" s="62" t="inlineStr">
        <is>
          <t>10.91.2T.01.87</t>
        </is>
      </c>
      <c r="B10" s="63" t="inlineStr">
        <is>
          <t xml:space="preserve">LIQ-TitProp_GN55-N Curso_2025-26 AñoCont_2025 - MEDIACIÓN COMO MÉTODO DE ADR EN CONFLICTOS EMPRESARIALES Y PRO. INTELECTUAL </t>
        </is>
      </c>
      <c r="C10" s="86" t="n">
        <v>4284</v>
      </c>
    </row>
    <row r="11" ht="15.75" customHeight="1" thickBot="1">
      <c r="A11" s="65" t="inlineStr">
        <is>
          <t>10.91.2T.02.06</t>
        </is>
      </c>
      <c r="B11" s="66" t="inlineStr">
        <is>
          <t xml:space="preserve">LIQ-TitProp_GN56-N Curso_2025-26 AñoCont_2025 - MEDIACIÓN COMERCIAL: MEDIACIÓN EMPRESARIAL Y EN PROPIEDAD INTELECTUAL _ (Cierre-25) </t>
        </is>
      </c>
      <c r="C11" s="87" t="n">
        <v>4930</v>
      </c>
    </row>
    <row r="12" ht="15.75" customHeight="1" thickTop="1">
      <c r="A12" s="68" t="inlineStr">
        <is>
          <t>Total</t>
        </is>
      </c>
      <c r="B12" s="69" t="n"/>
      <c r="C12" s="94" t="n">
        <v>349426.2200000001</v>
      </c>
    </row>
    <row r="16">
      <c r="B16" s="58" t="inlineStr">
        <is>
          <t>Total ingresos formación 2023-25</t>
        </is>
      </c>
      <c r="C16" s="89">
        <f>Tabla6[[#Totals],[Imp. aplic.]]+Tabla5[[#Totals],[Imp.cob.aplic.]]+C12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ddtss@ua.es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21387280V</dc:creator>
  <dcterms:created xsi:type="dcterms:W3CDTF">2019-07-03T07:15:54Z</dcterms:created>
  <dcterms:modified xsi:type="dcterms:W3CDTF">2026-05-28T21:59:10Z</dcterms:modified>
  <cp:lastModifiedBy>mayte.pujalte</cp:lastModifiedBy>
</cp:coreProperties>
</file>