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Tesis" sheetId="1" state="visible" r:id="rId1"/>
    <sheet name="Sexenios" sheetId="2" state="visible" r:id="rId2"/>
    <sheet name="Ingresos investigación 2025" sheetId="3" state="visible" r:id="rId3"/>
    <sheet name="Correo" sheetId="4" state="veryHidden" r:id="rId4"/>
  </sheets>
  <definedNames>
    <definedName name="_xlnm._FilterDatabase" localSheetId="0" hidden="1">'Tesis'!$A$1:$U$2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.00\ _€_-;\-* #,##0.00\ _€_-;_-* &quot;-&quot;??\ _€_-;_-@_-"/>
  </numFmts>
  <fonts count="14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sz val="10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6">
    <xf numFmtId="0" fontId="10" fillId="0" borderId="0"/>
    <xf numFmtId="0" fontId="1" fillId="0" borderId="0"/>
    <xf numFmtId="0" fontId="4" fillId="0" borderId="0"/>
    <xf numFmtId="0" fontId="4" fillId="0" borderId="0"/>
    <xf numFmtId="0" fontId="7" fillId="0" borderId="0"/>
    <xf numFmtId="43" fontId="10" fillId="0" borderId="0"/>
  </cellStyleXfs>
  <cellXfs count="44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3" fillId="2" borderId="1" applyAlignment="1" pivotButton="0" quotePrefix="0" xfId="1">
      <alignment horizontal="center"/>
    </xf>
    <xf numFmtId="0" fontId="3" fillId="2" borderId="1" applyAlignment="1" pivotButton="0" quotePrefix="0" xfId="2">
      <alignment horizontal="center"/>
    </xf>
    <xf numFmtId="0" fontId="3" fillId="2" borderId="1" applyAlignment="1" pivotButton="0" quotePrefix="0" xfId="3">
      <alignment horizontal="center" wrapText="1"/>
    </xf>
    <xf numFmtId="0" fontId="3" fillId="2" borderId="1" applyAlignment="1" pivotButton="0" quotePrefix="0" xfId="3">
      <alignment horizontal="right" wrapText="1"/>
    </xf>
    <xf numFmtId="0" fontId="1" fillId="3" borderId="0" pivotButton="0" quotePrefix="0" xfId="1"/>
    <xf numFmtId="0" fontId="1" fillId="3" borderId="0" applyAlignment="1" pivotButton="0" quotePrefix="0" xfId="1">
      <alignment horizontal="right"/>
    </xf>
    <xf numFmtId="0" fontId="6" fillId="5" borderId="1" applyAlignment="1" pivotButton="0" quotePrefix="0" xfId="3">
      <alignment horizontal="center" textRotation="90" wrapText="1"/>
    </xf>
    <xf numFmtId="0" fontId="6" fillId="2" borderId="1" applyAlignment="1" pivotButton="0" quotePrefix="0" xfId="3">
      <alignment horizontal="center" textRotation="90" wrapText="1"/>
    </xf>
    <xf numFmtId="0" fontId="4" fillId="0" borderId="0" pivotButton="0" quotePrefix="0" xfId="4"/>
    <xf numFmtId="0" fontId="8" fillId="0" borderId="0" pivotButton="0" quotePrefix="0" xfId="4"/>
    <xf numFmtId="0" fontId="8" fillId="0" borderId="0" applyAlignment="1" pivotButton="0" quotePrefix="0" xfId="4">
      <alignment horizontal="right"/>
    </xf>
    <xf numFmtId="0" fontId="5" fillId="4" borderId="1" pivotButton="0" quotePrefix="0" xfId="0"/>
    <xf numFmtId="0" fontId="5" fillId="4" borderId="1" applyAlignment="1" pivotButton="0" quotePrefix="0" xfId="0">
      <alignment textRotation="90"/>
    </xf>
    <xf numFmtId="0" fontId="6" fillId="2" borderId="1" applyAlignment="1" pivotButton="0" quotePrefix="0" xfId="3">
      <alignment horizontal="center" wrapText="1"/>
    </xf>
    <xf numFmtId="0" fontId="1" fillId="6" borderId="0" pivotButton="0" quotePrefix="0" xfId="1"/>
    <xf numFmtId="0" fontId="1" fillId="6" borderId="0" applyAlignment="1" pivotButton="0" quotePrefix="0" xfId="1">
      <alignment horizontal="right"/>
    </xf>
    <xf numFmtId="0" fontId="8" fillId="6" borderId="0" pivotButton="0" quotePrefix="0" xfId="4"/>
    <xf numFmtId="0" fontId="8" fillId="6" borderId="0" applyAlignment="1" pivotButton="0" quotePrefix="0" xfId="4">
      <alignment horizontal="right"/>
    </xf>
    <xf numFmtId="0" fontId="9" fillId="6" borderId="0" pivotButton="0" quotePrefix="0" xfId="4"/>
    <xf numFmtId="0" fontId="8" fillId="0" borderId="1" pivotButton="0" quotePrefix="0" xfId="4"/>
    <xf numFmtId="0" fontId="8" fillId="0" borderId="1" applyAlignment="1" pivotButton="0" quotePrefix="0" xfId="4">
      <alignment horizontal="right"/>
    </xf>
    <xf numFmtId="164" fontId="2" fillId="6" borderId="0" pivotButton="0" quotePrefix="0" xfId="1"/>
    <xf numFmtId="0" fontId="1" fillId="3" borderId="1" pivotButton="0" quotePrefix="0" xfId="1"/>
    <xf numFmtId="0" fontId="1" fillId="0" borderId="1" pivotButton="0" quotePrefix="0" xfId="1"/>
    <xf numFmtId="0" fontId="1" fillId="3" borderId="2" pivotButton="0" quotePrefix="0" xfId="1"/>
    <xf numFmtId="0" fontId="1" fillId="3" borderId="1" applyAlignment="1" pivotButton="0" quotePrefix="0" xfId="1">
      <alignment horizontal="right"/>
    </xf>
    <xf numFmtId="0" fontId="1" fillId="3" borderId="0" pivotButton="0" quotePrefix="0" xfId="1"/>
    <xf numFmtId="0" fontId="1" fillId="0" borderId="1" pivotButton="0" quotePrefix="0" xfId="0"/>
    <xf numFmtId="0" fontId="1" fillId="0" borderId="0" pivotButton="0" quotePrefix="0" xfId="0"/>
    <xf numFmtId="0" fontId="11" fillId="7" borderId="3" pivotButton="0" quotePrefix="0" xfId="0"/>
    <xf numFmtId="0" fontId="11" fillId="7" borderId="4" pivotButton="0" quotePrefix="0" xfId="0"/>
    <xf numFmtId="0" fontId="12" fillId="8" borderId="3" pivotButton="0" quotePrefix="0" xfId="0"/>
    <xf numFmtId="0" fontId="12" fillId="8" borderId="4" pivotButton="0" quotePrefix="0" xfId="0"/>
    <xf numFmtId="165" fontId="12" fillId="8" borderId="4" pivotButton="0" quotePrefix="0" xfId="5"/>
    <xf numFmtId="0" fontId="12" fillId="0" borderId="3" pivotButton="0" quotePrefix="0" xfId="0"/>
    <xf numFmtId="0" fontId="12" fillId="0" borderId="4" pivotButton="0" quotePrefix="0" xfId="0"/>
    <xf numFmtId="165" fontId="12" fillId="0" borderId="4" pivotButton="0" quotePrefix="0" xfId="5"/>
    <xf numFmtId="0" fontId="13" fillId="0" borderId="5" pivotButton="0" quotePrefix="0" xfId="0"/>
    <xf numFmtId="0" fontId="13" fillId="0" borderId="6" pivotButton="0" quotePrefix="0" xfId="0"/>
    <xf numFmtId="165" fontId="13" fillId="0" borderId="6" pivotButton="0" quotePrefix="0" xfId="5"/>
    <xf numFmtId="0" fontId="6" fillId="0" borderId="1" pivotButton="0" quotePrefix="0" xfId="0"/>
    <xf numFmtId="165" fontId="6" fillId="0" borderId="1" pivotButton="0" quotePrefix="0" xfId="0"/>
  </cellXfs>
  <cellStyles count="6">
    <cellStyle name="Normal" xfId="0" builtinId="0"/>
    <cellStyle name="Normal_Ind.2010" xfId="1"/>
    <cellStyle name="Normal_Becas 14_9_2005" xfId="2"/>
    <cellStyle name="Normal_PDI por Centro" xfId="3"/>
    <cellStyle name="Normal 3" xfId="4"/>
    <cellStyle name="Millares" xfId="5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N11" sqref="N11"/>
    </sheetView>
  </sheetViews>
  <sheetFormatPr baseColWidth="10" defaultColWidth="10.28515625" defaultRowHeight="11.25"/>
  <cols>
    <col width="5" customWidth="1" style="28" min="1" max="1"/>
    <col width="29.7109375" customWidth="1" style="28" min="2" max="4"/>
    <col width="40.7109375" customWidth="1" style="28" min="5" max="5"/>
    <col width="9.140625" customWidth="1" style="28" min="6" max="6"/>
    <col width="9.7109375" customWidth="1" style="28" min="7" max="7"/>
    <col width="14.42578125" customWidth="1" style="28" min="8" max="8"/>
    <col width="5.85546875" customWidth="1" style="28" min="9" max="9"/>
    <col width="25.7109375" customWidth="1" style="28" min="10" max="10"/>
    <col width="5.140625" customWidth="1" style="28" min="11" max="12"/>
    <col width="4.42578125" customWidth="1" style="28" min="13" max="13"/>
    <col width="4.85546875" customWidth="1" style="28" min="14" max="14"/>
    <col width="4.85546875" customWidth="1" style="7" min="15" max="15"/>
    <col width="4.85546875" customWidth="1" style="28" min="16" max="16"/>
    <col width="3.5703125" customWidth="1" style="7" min="17" max="17"/>
    <col width="3.5703125" customWidth="1" style="28" min="18" max="18"/>
    <col width="5.140625" customWidth="1" style="28" min="19" max="21"/>
    <col width="10.28515625" customWidth="1" style="28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 customFormat="1" s="28">
      <c r="A2" s="24" t="inlineStr">
        <is>
          <t xml:space="preserve">U025 </t>
        </is>
      </c>
      <c r="B2" s="24" t="inlineStr">
        <is>
          <t xml:space="preserve">ADM. FACULTAD DE DERECHO </t>
        </is>
      </c>
      <c r="C2" s="24" t="inlineStr">
        <is>
          <t xml:space="preserve">DOCTORADO EN DERECHO </t>
        </is>
      </c>
      <c r="D2" s="24" t="inlineStr">
        <is>
          <t xml:space="preserve">Martínez Fernández, Álvaro </t>
        </is>
      </c>
      <c r="E2" s="24" t="inlineStr">
        <is>
          <t xml:space="preserve">Fundamentos históricos de la llamada Cautela Socini </t>
        </is>
      </c>
      <c r="F2" s="24" t="inlineStr">
        <is>
          <t xml:space="preserve">28/10/2020 </t>
        </is>
      </c>
      <c r="G2" s="24" t="inlineStr">
        <is>
          <t xml:space="preserve">13114561F </t>
        </is>
      </c>
      <c r="H2" s="24" t="inlineStr">
        <is>
          <t xml:space="preserve">Codirector de tesis </t>
        </is>
      </c>
      <c r="I2" s="24" t="inlineStr">
        <is>
          <t xml:space="preserve">B104 </t>
        </is>
      </c>
      <c r="J2" s="24" t="inlineStr">
        <is>
          <t xml:space="preserve">CIENCIAS HISTORICO-JURIDICAS </t>
        </is>
      </c>
      <c r="K2" s="25" t="n">
        <v>0.5</v>
      </c>
      <c r="L2" s="25" t="inlineStr">
        <is>
          <t>B104</t>
        </is>
      </c>
      <c r="M2" s="26" t="n">
        <v>2019</v>
      </c>
      <c r="N2" s="24" t="inlineStr"/>
      <c r="O2" s="27" t="inlineStr"/>
      <c r="P2" s="24" t="inlineStr"/>
      <c r="Q2" s="27" t="inlineStr"/>
      <c r="R2" s="24" t="n">
        <v>100</v>
      </c>
      <c r="S2" s="24" t="n">
        <v>0.5</v>
      </c>
      <c r="T2" s="24" t="n">
        <v>0</v>
      </c>
      <c r="U2" s="24" t="n">
        <v>0</v>
      </c>
    </row>
    <row r="3" customFormat="1" s="28">
      <c r="A3" s="24" t="inlineStr">
        <is>
          <t>U025</t>
        </is>
      </c>
      <c r="B3" s="24" t="inlineStr">
        <is>
          <t>ADM. FACULTAD DE DERECHO</t>
        </is>
      </c>
      <c r="C3" s="24" t="inlineStr">
        <is>
          <t>DOCTORADO EN DERECHO</t>
        </is>
      </c>
      <c r="D3" s="24" t="inlineStr">
        <is>
          <t>Yang , Yang</t>
        </is>
      </c>
      <c r="E3" s="24" t="inlineStr">
        <is>
          <t>Return to the continent legal system administrative trial organizations as the clue</t>
        </is>
      </c>
      <c r="F3" s="24" t="inlineStr">
        <is>
          <t>20/05/2024</t>
        </is>
      </c>
      <c r="G3" s="24" t="inlineStr">
        <is>
          <t>21435704A</t>
        </is>
      </c>
      <c r="H3" s="24" t="inlineStr">
        <is>
          <t>Director de tesis</t>
        </is>
      </c>
      <c r="I3" s="25" t="inlineStr">
        <is>
          <t>B104</t>
        </is>
      </c>
      <c r="J3" s="24" t="inlineStr">
        <is>
          <t>CIENCIAS HISTORICO-JURIDICAS</t>
        </is>
      </c>
      <c r="K3" s="29" t="n">
        <v>1</v>
      </c>
      <c r="L3" s="29" t="inlineStr">
        <is>
          <t>B104</t>
        </is>
      </c>
      <c r="M3" s="29" t="n">
        <v>2023</v>
      </c>
      <c r="N3" s="29" t="inlineStr">
        <is>
          <t>10.05</t>
        </is>
      </c>
      <c r="O3" s="29" t="inlineStr">
        <is>
          <t>50</t>
        </is>
      </c>
      <c r="P3" s="29" t="inlineStr"/>
      <c r="Q3" s="29" t="inlineStr"/>
      <c r="R3" s="29" t="n">
        <v>50</v>
      </c>
      <c r="S3" s="29" t="n">
        <v>0.5</v>
      </c>
      <c r="T3" s="29" t="n">
        <v>0.5</v>
      </c>
      <c r="U3" s="29" t="n">
        <v>0</v>
      </c>
      <c r="V3" s="30" t="n"/>
    </row>
    <row r="4" customFormat="1" s="28">
      <c r="A4" s="24" t="inlineStr">
        <is>
          <t>U073</t>
        </is>
      </c>
      <c r="B4" s="24" t="inlineStr">
        <is>
          <t>I.U. INVESTIGACIÓN DE ESTUDIOS DE GÉNERO (10.23)</t>
        </is>
      </c>
      <c r="C4" s="24" t="inlineStr">
        <is>
          <t>DOCTORADO EN ESTUDIOS INTERDISCIPLINARES DE GÉNERO</t>
        </is>
      </c>
      <c r="D4" s="24" t="inlineStr">
        <is>
          <t>Fernández Cortés, María Jesús</t>
        </is>
      </c>
      <c r="E4" s="24" t="inlineStr">
        <is>
          <t>Mediación en la empresa familiar: el empoderamiento de las mujeres a través de la comunicación</t>
        </is>
      </c>
      <c r="F4" s="24" t="inlineStr">
        <is>
          <t>01/03/2024</t>
        </is>
      </c>
      <c r="G4" s="24" t="inlineStr">
        <is>
          <t>52987571X</t>
        </is>
      </c>
      <c r="H4" s="24" t="inlineStr">
        <is>
          <t>Director de tesis</t>
        </is>
      </c>
      <c r="I4" s="25" t="inlineStr">
        <is>
          <t>B104</t>
        </is>
      </c>
      <c r="J4" s="24" t="inlineStr">
        <is>
          <t>CIENCIAS HISTORICO-JURIDICAS</t>
        </is>
      </c>
      <c r="K4" s="29" t="n">
        <v>1</v>
      </c>
      <c r="L4" s="29" t="inlineStr">
        <is>
          <t>B104</t>
        </is>
      </c>
      <c r="M4" s="29" t="n">
        <v>2023</v>
      </c>
      <c r="N4" s="29" t="inlineStr">
        <is>
          <t>10.23</t>
        </is>
      </c>
      <c r="O4" s="29" t="inlineStr">
        <is>
          <t>30</t>
        </is>
      </c>
      <c r="P4" s="29" t="inlineStr"/>
      <c r="Q4" s="29" t="inlineStr"/>
      <c r="R4" s="29" t="n">
        <v>70</v>
      </c>
      <c r="S4" s="29" t="n">
        <v>0.7</v>
      </c>
      <c r="T4" s="29" t="n">
        <v>0.3</v>
      </c>
      <c r="U4" s="29" t="n">
        <v>0</v>
      </c>
    </row>
    <row r="5" customFormat="1" s="28">
      <c r="A5" s="24" t="inlineStr">
        <is>
          <t>U020</t>
        </is>
      </c>
      <c r="B5" s="24" t="inlineStr">
        <is>
          <t>Instituto Universitario Agua y Ciencias Ambientales (10.05)</t>
        </is>
      </c>
      <c r="C5" s="24" t="inlineStr">
        <is>
          <t>DOCTORADO EN AGUA Y DESARROLLO SOSTENIBLE</t>
        </is>
      </c>
      <c r="D5" s="24" t="inlineStr">
        <is>
          <t>Busarello , Fernando Rodrigo</t>
        </is>
      </c>
      <c r="E5" s="24" t="inlineStr">
        <is>
          <t>A FORÇA JURÍDICA DAS DECLARAÇÕES TÉCNICO-POLÍTICAS PRODUZIDAS PELOS FÓRUNS MUNDIAIS DA ÁGUA SOB A PERSPECTIVA PÓS-POSITIVISTA</t>
        </is>
      </c>
      <c r="F5" s="24" t="inlineStr">
        <is>
          <t>20/03/2025</t>
        </is>
      </c>
      <c r="G5" s="24" t="inlineStr">
        <is>
          <t>21435704A</t>
        </is>
      </c>
      <c r="H5" s="24" t="inlineStr">
        <is>
          <t>Codirector de tesis</t>
        </is>
      </c>
      <c r="I5" s="25" t="inlineStr">
        <is>
          <t>B104</t>
        </is>
      </c>
      <c r="J5" s="24" t="inlineStr">
        <is>
          <t>Ciencias Histórico-Jurídicas</t>
        </is>
      </c>
      <c r="K5" s="29" t="n">
        <v>0.5</v>
      </c>
      <c r="L5" s="29" t="inlineStr">
        <is>
          <t>B104</t>
        </is>
      </c>
      <c r="M5" s="29" t="n">
        <v>2024</v>
      </c>
      <c r="N5" s="29" t="inlineStr">
        <is>
          <t>10.05</t>
        </is>
      </c>
      <c r="O5" s="29" t="inlineStr">
        <is>
          <t>50</t>
        </is>
      </c>
      <c r="P5" s="29" t="inlineStr"/>
      <c r="Q5" s="29" t="inlineStr"/>
      <c r="R5" s="29" t="n">
        <v>50</v>
      </c>
      <c r="S5" s="29" t="n">
        <v>0.25</v>
      </c>
      <c r="T5" s="29" t="n">
        <v>0.25</v>
      </c>
      <c r="U5" s="29" t="n">
        <v>0</v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7" t="n"/>
      <c r="R6" s="16" t="n"/>
      <c r="S6" s="23">
        <f>SUM(S2:S5)</f>
        <v/>
      </c>
      <c r="T6" s="16" t="n"/>
      <c r="U6" s="16" t="n"/>
    </row>
  </sheetData>
  <autoFilter ref="A1:U2">
    <sortState ref="A2:T1904">
      <sortCondition ref="K2:K1904"/>
      <sortCondition ref="L2:L1904"/>
      <sortCondition ref="D2:D1904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7"/>
  <sheetViews>
    <sheetView zoomScaleNormal="100" workbookViewId="0">
      <selection activeCell="J17" sqref="J17"/>
    </sheetView>
  </sheetViews>
  <sheetFormatPr baseColWidth="10" defaultColWidth="11.42578125" defaultRowHeight="12.75"/>
  <cols>
    <col width="10.28515625" bestFit="1" customWidth="1" style="11" min="1" max="1"/>
    <col width="37.7109375" bestFit="1" customWidth="1" style="11" min="2" max="2"/>
    <col width="14.5703125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>
      <c r="A2" s="21" t="inlineStr">
        <is>
          <t>13114561F</t>
        </is>
      </c>
      <c r="B2" s="21" t="inlineStr">
        <is>
          <t>Calzada González, María Aránzazu</t>
        </is>
      </c>
      <c r="C2" s="21" t="inlineStr">
        <is>
          <t>Vivos</t>
        </is>
      </c>
      <c r="D2" s="21" t="n"/>
      <c r="E2" s="21" t="n"/>
      <c r="F2" s="21" t="n"/>
      <c r="G2" s="21" t="n"/>
      <c r="H2" s="21" t="n"/>
      <c r="I2" s="21" t="n">
        <v>1</v>
      </c>
      <c r="J2" s="21" t="n">
        <v>1</v>
      </c>
      <c r="K2" s="21" t="inlineStr">
        <is>
          <t>B104</t>
        </is>
      </c>
      <c r="L2" s="21" t="n">
        <v>0</v>
      </c>
      <c r="M2" s="21" t="n">
        <v>0</v>
      </c>
      <c r="N2" s="22" t="inlineStr"/>
      <c r="O2" s="21" t="inlineStr"/>
      <c r="P2" s="22" t="n">
        <v>100</v>
      </c>
      <c r="Q2" s="21" t="n">
        <v>0</v>
      </c>
      <c r="R2" s="21" t="n">
        <v>0</v>
      </c>
      <c r="S2" s="21" t="n">
        <v>1</v>
      </c>
    </row>
    <row r="3">
      <c r="A3" s="21" t="inlineStr">
        <is>
          <t>21423896V</t>
        </is>
      </c>
      <c r="B3" s="21" t="inlineStr">
        <is>
          <t>Alenda Salinas, Manuel</t>
        </is>
      </c>
      <c r="C3" s="21" t="inlineStr">
        <is>
          <t>Vivos</t>
        </is>
      </c>
      <c r="D3" s="21" t="n"/>
      <c r="E3" s="21" t="n"/>
      <c r="F3" s="21" t="n"/>
      <c r="G3" s="21" t="n"/>
      <c r="H3" s="21" t="n"/>
      <c r="I3" s="21" t="n">
        <v>1</v>
      </c>
      <c r="J3" s="21" t="n">
        <v>1</v>
      </c>
      <c r="K3" s="21" t="inlineStr">
        <is>
          <t>B104</t>
        </is>
      </c>
      <c r="L3" s="21" t="n">
        <v>0</v>
      </c>
      <c r="M3" s="21" t="n">
        <v>0</v>
      </c>
      <c r="N3" s="22" t="inlineStr"/>
      <c r="O3" s="21" t="inlineStr"/>
      <c r="P3" s="22" t="n">
        <v>100</v>
      </c>
      <c r="Q3" s="21" t="n">
        <v>0</v>
      </c>
      <c r="R3" s="21" t="n">
        <v>0</v>
      </c>
      <c r="S3" s="21" t="n">
        <v>1</v>
      </c>
    </row>
    <row r="4">
      <c r="A4" s="21" t="inlineStr">
        <is>
          <t>21435704A</t>
        </is>
      </c>
      <c r="B4" s="21" t="inlineStr">
        <is>
          <t>Martínez Almira, María Magdalena</t>
        </is>
      </c>
      <c r="C4" s="21" t="inlineStr">
        <is>
          <t>FUNCIONARIO</t>
        </is>
      </c>
      <c r="D4" s="21" t="n"/>
      <c r="E4" s="21" t="n"/>
      <c r="F4" s="21" t="n"/>
      <c r="G4" s="21" t="n"/>
      <c r="H4" s="21" t="n">
        <v>1</v>
      </c>
      <c r="I4" s="21" t="n"/>
      <c r="J4" s="21" t="n">
        <v>1</v>
      </c>
      <c r="K4" s="21" t="inlineStr">
        <is>
          <t>B104</t>
        </is>
      </c>
      <c r="L4" s="21" t="inlineStr">
        <is>
          <t>10.05</t>
        </is>
      </c>
      <c r="M4" s="21" t="inlineStr">
        <is>
          <t>50</t>
        </is>
      </c>
      <c r="N4" s="22" t="inlineStr"/>
      <c r="O4" s="21" t="inlineStr"/>
      <c r="P4" s="22" t="n">
        <v>50</v>
      </c>
      <c r="Q4" s="21" t="n">
        <v>0.5</v>
      </c>
      <c r="R4" s="21" t="n">
        <v>0</v>
      </c>
      <c r="S4" s="21" t="n">
        <v>0.5</v>
      </c>
    </row>
    <row r="5">
      <c r="A5" s="21" t="inlineStr">
        <is>
          <t>21457967W</t>
        </is>
      </c>
      <c r="B5" s="21" t="inlineStr">
        <is>
          <t>Pineda Marcos, Matilde</t>
        </is>
      </c>
      <c r="C5" s="21" t="inlineStr">
        <is>
          <t>FUNCIONARIO</t>
        </is>
      </c>
      <c r="D5" s="21" t="n"/>
      <c r="E5" s="21" t="n"/>
      <c r="F5" s="21" t="n"/>
      <c r="G5" s="21" t="n"/>
      <c r="H5" s="21" t="n"/>
      <c r="I5" s="21" t="n">
        <v>1</v>
      </c>
      <c r="J5" s="21" t="n">
        <v>1</v>
      </c>
      <c r="K5" s="21" t="inlineStr">
        <is>
          <t>B104</t>
        </is>
      </c>
      <c r="L5" s="21" t="n">
        <v>0</v>
      </c>
      <c r="M5" s="21" t="n">
        <v>0</v>
      </c>
      <c r="N5" s="22" t="inlineStr"/>
      <c r="O5" s="21" t="inlineStr"/>
      <c r="P5" s="22" t="n">
        <v>100</v>
      </c>
      <c r="Q5" s="21" t="n">
        <v>0</v>
      </c>
      <c r="R5" s="21" t="n">
        <v>0</v>
      </c>
      <c r="S5" s="21" t="n">
        <v>1</v>
      </c>
    </row>
    <row r="6">
      <c r="A6" s="21" t="inlineStr">
        <is>
          <t>52987571X</t>
        </is>
      </c>
      <c r="B6" s="21" t="inlineStr">
        <is>
          <t>Souto Galván, Beatriz</t>
        </is>
      </c>
      <c r="C6" s="21" t="inlineStr">
        <is>
          <t>FUNCIONARIO</t>
        </is>
      </c>
      <c r="D6" s="21" t="n"/>
      <c r="E6" s="21" t="n"/>
      <c r="F6" s="21" t="n"/>
      <c r="G6" s="21" t="n">
        <v>1</v>
      </c>
      <c r="H6" s="21" t="n"/>
      <c r="I6" s="21" t="n"/>
      <c r="J6" s="21" t="n">
        <v>1</v>
      </c>
      <c r="K6" s="21" t="inlineStr">
        <is>
          <t>B104</t>
        </is>
      </c>
      <c r="L6" s="21" t="inlineStr">
        <is>
          <t>10.23</t>
        </is>
      </c>
      <c r="M6" s="21" t="inlineStr">
        <is>
          <t>30</t>
        </is>
      </c>
      <c r="N6" s="22" t="inlineStr"/>
      <c r="O6" s="21" t="inlineStr"/>
      <c r="P6" s="22" t="n">
        <v>70</v>
      </c>
      <c r="Q6" s="21" t="n">
        <v>0.3</v>
      </c>
      <c r="R6" s="21" t="n">
        <v>0</v>
      </c>
      <c r="S6" s="21" t="n">
        <v>0.7</v>
      </c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9" t="n"/>
      <c r="O7" s="18" t="n"/>
      <c r="P7" s="19" t="n"/>
      <c r="Q7" s="18" t="n"/>
      <c r="R7" s="18" t="n"/>
      <c r="S7" s="20">
        <f>SUM(S2:S6)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7" sqref="B27"/>
    </sheetView>
  </sheetViews>
  <sheetFormatPr baseColWidth="10" defaultRowHeight="12.75"/>
  <cols>
    <col width="18.42578125" customWidth="1" min="1" max="1"/>
    <col width="73.140625" customWidth="1" min="2" max="2"/>
    <col width="20.7109375" customWidth="1" min="3" max="3"/>
  </cols>
  <sheetData>
    <row r="1">
      <c r="A1" s="31" t="inlineStr">
        <is>
          <t>Org. aplic.</t>
        </is>
      </c>
      <c r="B1" s="32" t="inlineStr">
        <is>
          <t>Descripción justificante</t>
        </is>
      </c>
      <c r="C1" s="32" t="inlineStr">
        <is>
          <t>Imp. aplic.</t>
        </is>
      </c>
    </row>
    <row r="2">
      <c r="A2" s="33" t="inlineStr">
        <is>
          <t>31.50.6C.00.01</t>
        </is>
      </c>
      <c r="B2" s="34" t="inlineStr">
        <is>
          <t>Servicios de traducción y corrección. Primera fase del proceso</t>
        </is>
      </c>
      <c r="C2" s="35" t="n">
        <v>38720</v>
      </c>
    </row>
    <row r="3">
      <c r="A3" s="36" t="inlineStr">
        <is>
          <t>31.50.6P.00.02</t>
        </is>
      </c>
      <c r="B3" s="37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3" s="38" t="n">
        <v>21000</v>
      </c>
    </row>
    <row r="4" ht="13.5" customHeight="1" thickBot="1">
      <c r="A4" s="33" t="inlineStr">
        <is>
          <t>31.50.6P.00.02</t>
        </is>
      </c>
      <c r="B4" s="34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4" s="35" t="n">
        <v>11900</v>
      </c>
    </row>
    <row r="5" ht="13.5" customHeight="1" thickTop="1">
      <c r="A5" s="39" t="inlineStr">
        <is>
          <t>Total</t>
        </is>
      </c>
      <c r="B5" s="40" t="n"/>
      <c r="C5" s="41" t="n">
        <v>71620</v>
      </c>
    </row>
    <row r="8">
      <c r="B8" s="42" t="inlineStr">
        <is>
          <t>Total ingresos investigación 2023-2025</t>
        </is>
      </c>
      <c r="C8" s="43">
        <f>C5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dcarn@ua.es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2019-10-14T10:43:09Z</dcterms:created>
  <dcterms:modified xsi:type="dcterms:W3CDTF">2026-05-28T21:59:09Z</dcterms:modified>
  <cp:lastModifiedBy>mayte.pujalte</cp:lastModifiedBy>
  <cp:lastPrinted>2019-10-14T10:44:28Z</cp:lastPrinted>
</cp:coreProperties>
</file>