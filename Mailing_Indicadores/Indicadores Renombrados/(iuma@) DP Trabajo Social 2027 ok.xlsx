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8"/>
    </font>
    <font>
      <name val="Calibri"/>
      <family val="2"/>
      <b val="1"/>
      <color theme="0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0" fillId="0" borderId="0"/>
  </cellStyleXfs>
  <cellXfs count="7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64" fontId="2" fillId="4" borderId="1" pivotButton="0" quotePrefix="0" xfId="1"/>
    <xf numFmtId="165" fontId="0" fillId="7" borderId="3" pivotButton="0" quotePrefix="0" xfId="6"/>
    <xf numFmtId="165" fontId="0" fillId="0" borderId="3" pivotButton="0" quotePrefix="0" xfId="6"/>
    <xf numFmtId="14" fontId="2" fillId="4" borderId="1" pivotButton="0" quotePrefix="0" xfId="1"/>
    <xf numFmtId="0" fontId="2" fillId="0" borderId="1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2" pivotButton="0" quotePrefix="0" xfId="1"/>
    <xf numFmtId="165" fontId="0" fillId="0" borderId="0" pivotButton="0" quotePrefix="0" xfId="0"/>
    <xf numFmtId="0" fontId="14" fillId="7" borderId="3" pivotButton="0" quotePrefix="0" xfId="0"/>
    <xf numFmtId="0" fontId="14" fillId="0" borderId="3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15" fillId="8" borderId="0" pivotButton="0" quotePrefix="0" xfId="0"/>
    <xf numFmtId="165" fontId="0" fillId="7" borderId="5" pivotButton="0" quotePrefix="0" xfId="6"/>
    <xf numFmtId="0" fontId="9" fillId="9" borderId="5" pivotButton="0" quotePrefix="0" xfId="0"/>
    <xf numFmtId="165" fontId="10" fillId="9" borderId="5" pivotButton="0" quotePrefix="0" xfId="0"/>
    <xf numFmtId="0" fontId="0" fillId="10" borderId="0" pivotButton="0" quotePrefix="0" xfId="0"/>
    <xf numFmtId="0" fontId="13" fillId="6" borderId="4" pivotButton="0" quotePrefix="0" xfId="0"/>
    <xf numFmtId="0" fontId="14" fillId="7" borderId="5" pivotButton="0" quotePrefix="0" xfId="0"/>
    <xf numFmtId="0" fontId="0" fillId="7" borderId="3" pivotButton="0" quotePrefix="0" xfId="0"/>
    <xf numFmtId="0" fontId="0" fillId="0" borderId="3" pivotButton="0" quotePrefix="0" xfId="0"/>
    <xf numFmtId="0" fontId="17" fillId="6" borderId="4" pivotButton="0" quotePrefix="0" xfId="0"/>
    <xf numFmtId="165" fontId="17" fillId="6" borderId="4" pivotButton="0" quotePrefix="0" xfId="6"/>
    <xf numFmtId="0" fontId="0" fillId="7" borderId="5" pivotButton="0" quotePrefix="0" xfId="0"/>
    <xf numFmtId="0" fontId="0" fillId="9" borderId="5" pivotButton="0" quotePrefix="0" xfId="0"/>
    <xf numFmtId="0" fontId="15" fillId="0" borderId="1" pivotButton="0" quotePrefix="0" xfId="0"/>
    <xf numFmtId="166" fontId="15" fillId="0" borderId="1" pivotButton="0" quotePrefix="0" xfId="6"/>
    <xf numFmtId="0" fontId="11" fillId="11" borderId="6" pivotButton="0" quotePrefix="0" xfId="0"/>
    <xf numFmtId="0" fontId="11" fillId="11" borderId="7" pivotButton="0" quotePrefix="0" xfId="0"/>
    <xf numFmtId="0" fontId="9" fillId="12" borderId="6" pivotButton="0" quotePrefix="0" xfId="0"/>
    <xf numFmtId="0" fontId="9" fillId="12" borderId="7" pivotButton="0" quotePrefix="0" xfId="0"/>
    <xf numFmtId="166" fontId="9" fillId="12" borderId="7" pivotButton="0" quotePrefix="0" xfId="6"/>
    <xf numFmtId="0" fontId="9" fillId="0" borderId="6" pivotButton="0" quotePrefix="0" xfId="0"/>
    <xf numFmtId="0" fontId="9" fillId="0" borderId="7" pivotButton="0" quotePrefix="0" xfId="0"/>
    <xf numFmtId="166" fontId="9" fillId="0" borderId="7" pivotButton="0" quotePrefix="0" xfId="6"/>
    <xf numFmtId="0" fontId="12" fillId="0" borderId="8" pivotButton="0" quotePrefix="0" xfId="0"/>
    <xf numFmtId="0" fontId="12" fillId="0" borderId="9" pivotButton="0" quotePrefix="0" xfId="0"/>
    <xf numFmtId="166" fontId="12" fillId="0" borderId="9" pivotButton="0" quotePrefix="0" xfId="6"/>
    <xf numFmtId="164" fontId="2" fillId="4" borderId="1" pivotButton="0" quotePrefix="0" xfId="1"/>
    <xf numFmtId="164" fontId="3" fillId="2" borderId="2" pivotButton="0" quotePrefix="0" xfId="1"/>
    <xf numFmtId="165" fontId="0" fillId="7" borderId="3" pivotButton="0" quotePrefix="0" xfId="6"/>
    <xf numFmtId="165" fontId="0" fillId="0" borderId="3" pivotButton="0" quotePrefix="0" xfId="6"/>
    <xf numFmtId="165" fontId="0" fillId="7" borderId="5" pivotButton="0" quotePrefix="0" xfId="6"/>
    <xf numFmtId="165" fontId="10" fillId="9" borderId="5" pivotButton="0" quotePrefix="0" xfId="0"/>
    <xf numFmtId="165" fontId="0" fillId="0" borderId="0" pivotButton="0" quotePrefix="0" xfId="0"/>
    <xf numFmtId="165" fontId="17" fillId="6" borderId="4" pivotButton="0" quotePrefix="0" xfId="6"/>
    <xf numFmtId="166" fontId="9" fillId="12" borderId="7" pivotButton="0" quotePrefix="0" xfId="6"/>
    <xf numFmtId="166" fontId="9" fillId="0" borderId="7" pivotButton="0" quotePrefix="0" xfId="6"/>
    <xf numFmtId="166" fontId="12" fillId="0" borderId="9" pivotButton="0" quotePrefix="0" xfId="6"/>
    <xf numFmtId="166" fontId="15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1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21387280V</author>
  </authors>
  <commentList>
    <comment ref="B2" authorId="0" shapeId="0">
      <text>
        <t xml:space="preserve">Último sexenio 2013
</t>
      </text>
    </comment>
  </commentList>
</comments>
</file>

<file path=xl/tables/table1.xml><?xml version="1.0" encoding="utf-8"?>
<table xmlns="http://schemas.openxmlformats.org/spreadsheetml/2006/main" id="1" name="Tabla2" displayName="Tabla2" ref="A1:C8" headerRowCount="1" totalsRowCount="1" headerRowDxfId="20" totalsRowDxfId="17" headerRowBorderDxfId="19" tableBorderDxfId="18" totalsRowBorderDxfId="16">
  <autoFilter ref="A1:C7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1" headerRowCount="1" totalsRowCount="1" totalsRowDxfId="7" headerRowBorderDxfId="9" tableBorderDxfId="8" totalsRowBorderDxfId="6">
  <autoFilter ref="A1:C10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4" sqref="A4:U4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10.6640625" customWidth="1" style="6" min="11" max="11"/>
    <col width="5.109375" customWidth="1" style="6" min="12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U036 </t>
        </is>
      </c>
      <c r="B2" s="18" t="inlineStr">
        <is>
          <t xml:space="preserve">ADM. FACULTAD DE CIENCIAS ECONÓMICAS </t>
        </is>
      </c>
      <c r="C2" s="18" t="inlineStr">
        <is>
          <t xml:space="preserve">DOCTORADO EN EMPRESA, ECONOMÍA Y SOCIEDAD </t>
        </is>
      </c>
      <c r="D2" s="18" t="inlineStr">
        <is>
          <t xml:space="preserve">Cortés Florín, Elena María </t>
        </is>
      </c>
      <c r="E2" s="18" t="inlineStr">
        <is>
          <t xml:space="preserve">LA PARTICIPACIÓN Y/O COPRODUCCIÓN EN LOS SERVICIOS SOCIALES. Significados, alcance, estrategias e implicaciones desde la perspectiva de las personas usuarias y profesionales. </t>
        </is>
      </c>
      <c r="F2" s="23" t="inlineStr">
        <is>
          <t xml:space="preserve">16/09/2022 </t>
        </is>
      </c>
      <c r="G2" s="18" t="inlineStr">
        <is>
          <t xml:space="preserve">21473810K </t>
        </is>
      </c>
      <c r="H2" s="18" t="inlineStr">
        <is>
          <t xml:space="preserve">Director de tesis </t>
        </is>
      </c>
      <c r="I2" s="18" t="inlineStr">
        <is>
          <t xml:space="preserve">B159 </t>
        </is>
      </c>
      <c r="J2" s="18" t="inlineStr">
        <is>
          <t xml:space="preserve">TRABAJO SOCIAL Y SERVICIOS SOCIALES </t>
        </is>
      </c>
      <c r="K2" s="61" t="n">
        <v>1</v>
      </c>
      <c r="L2" s="18" t="inlineStr">
        <is>
          <t>B159</t>
        </is>
      </c>
      <c r="M2" s="18" t="n">
        <v>2021</v>
      </c>
      <c r="N2" s="18" t="inlineStr"/>
      <c r="O2" s="19" t="inlineStr"/>
      <c r="P2" s="18" t="inlineStr"/>
      <c r="Q2" s="19" t="inlineStr"/>
      <c r="R2" s="18" t="n">
        <v>100</v>
      </c>
      <c r="S2" s="18" t="n">
        <v>1</v>
      </c>
      <c r="T2" s="18" t="n">
        <v>0</v>
      </c>
      <c r="U2" s="18" t="n">
        <v>0</v>
      </c>
    </row>
    <row r="3">
      <c r="A3" s="18" t="inlineStr">
        <is>
          <t xml:space="preserve">U036 </t>
        </is>
      </c>
      <c r="B3" s="18" t="inlineStr">
        <is>
          <t xml:space="preserve">ADM. FACULTAD DE CIENCIAS ECONÓMICAS </t>
        </is>
      </c>
      <c r="C3" s="18" t="inlineStr">
        <is>
          <t xml:space="preserve">DOCTORADO EN EMPRESA, ECONOMÍA Y SOCIEDAD </t>
        </is>
      </c>
      <c r="D3" s="18" t="inlineStr">
        <is>
          <t xml:space="preserve">Ramírez García, José Emiliano </t>
        </is>
      </c>
      <c r="E3" s="18" t="inlineStr">
        <is>
          <t xml:space="preserve">De puertas adentro: un análisis sobre las visitas domiciliarias en España desde el Trabajo Social en los contextos de Servicios Sociales, Sanidad y Educación. Constructo y propuesta metodológica. </t>
        </is>
      </c>
      <c r="F3" s="18" t="inlineStr">
        <is>
          <t xml:space="preserve">27/06/2023 </t>
        </is>
      </c>
      <c r="G3" s="18" t="inlineStr">
        <is>
          <t xml:space="preserve">21661002Q </t>
        </is>
      </c>
      <c r="H3" s="18" t="inlineStr">
        <is>
          <t xml:space="preserve">Director de tesis </t>
        </is>
      </c>
      <c r="I3" s="18" t="inlineStr">
        <is>
          <t xml:space="preserve">B159 </t>
        </is>
      </c>
      <c r="J3" s="18" t="inlineStr">
        <is>
          <t xml:space="preserve">TRABAJO SOCIAL Y SERVICIOS SOCIALES </t>
        </is>
      </c>
      <c r="K3" s="24" t="n">
        <v>1</v>
      </c>
      <c r="L3" s="24" t="inlineStr">
        <is>
          <t>B159</t>
        </is>
      </c>
      <c r="M3" s="18" t="n">
        <v>2022</v>
      </c>
      <c r="N3" s="24" t="inlineStr">
        <is>
          <t>10.22</t>
        </is>
      </c>
      <c r="O3" s="24" t="n">
        <v>50</v>
      </c>
      <c r="P3" s="24" t="inlineStr"/>
      <c r="Q3" s="24" t="n">
        <v>0</v>
      </c>
      <c r="R3" s="24" t="n">
        <v>50</v>
      </c>
      <c r="S3" s="24" t="n">
        <v>0.5</v>
      </c>
      <c r="T3" s="24" t="n">
        <v>0.5</v>
      </c>
      <c r="U3" s="24" t="n">
        <v>0</v>
      </c>
    </row>
    <row r="4">
      <c r="A4" s="24" t="inlineStr">
        <is>
          <t>U036</t>
        </is>
      </c>
      <c r="B4" s="24" t="inlineStr">
        <is>
          <t>ADM. FACULTAD DE CIENCIAS ECONÓMICAS</t>
        </is>
      </c>
      <c r="C4" s="24" t="inlineStr">
        <is>
          <t>DOCTORADO EN EMPRESA, ECONOMÍA Y SOCIEDAD</t>
        </is>
      </c>
      <c r="D4" s="24" t="inlineStr">
        <is>
          <t>Cabrera Galisteo, Oscar Manuel</t>
        </is>
      </c>
      <c r="E4" s="24" t="inlineStr">
        <is>
          <t>El rol del Trabajo Social de los Servicios Sociales en los Planes Territoriales Municipales  de Emergencia</t>
        </is>
      </c>
      <c r="F4" s="24" t="inlineStr">
        <is>
          <t>23/07/2024</t>
        </is>
      </c>
      <c r="G4" s="24" t="inlineStr">
        <is>
          <t>51091750X</t>
        </is>
      </c>
      <c r="H4" s="24" t="inlineStr">
        <is>
          <t>Director de tesis</t>
        </is>
      </c>
      <c r="I4" s="24" t="inlineStr">
        <is>
          <t>B159</t>
        </is>
      </c>
      <c r="J4" s="24" t="inlineStr">
        <is>
          <t>TRABAJO SOCIAL Y SERVICIOS SOCIALES</t>
        </is>
      </c>
      <c r="K4" s="24" t="n">
        <v>1</v>
      </c>
      <c r="L4" s="24" t="inlineStr">
        <is>
          <t>B159</t>
        </is>
      </c>
      <c r="M4" s="24" t="n">
        <v>2023</v>
      </c>
      <c r="N4" s="24" t="inlineStr">
        <is>
          <t>10.23</t>
        </is>
      </c>
      <c r="O4" s="24" t="inlineStr">
        <is>
          <t>50</t>
        </is>
      </c>
      <c r="P4" s="24" t="inlineStr"/>
      <c r="Q4" s="24" t="inlineStr"/>
      <c r="R4" s="24" t="n">
        <v>50</v>
      </c>
      <c r="S4" s="24" t="n">
        <v>0.5</v>
      </c>
      <c r="T4" s="24" t="n">
        <v>0.5</v>
      </c>
      <c r="U4" s="24" t="n">
        <v>0</v>
      </c>
      <c r="V4" s="6" t="inlineStr">
        <is>
          <t>S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6" t="n"/>
      <c r="P5" s="25" t="n"/>
      <c r="Q5" s="26" t="n"/>
      <c r="R5" s="25" t="n"/>
      <c r="S5" s="62">
        <f>SUM(S2:S4)</f>
        <v/>
      </c>
      <c r="T5" s="25" t="n"/>
      <c r="U5" s="25" t="n"/>
    </row>
  </sheetData>
  <autoFilter ref="A1:U1">
    <sortState ref="A2:T1905">
      <sortCondition ref="K2:K1905"/>
      <sortCondition ref="L2:L1905"/>
      <sortCondition ref="D2:D190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zoomScaleNormal="100" workbookViewId="0">
      <selection activeCell="C17" sqref="C17"/>
    </sheetView>
  </sheetViews>
  <sheetFormatPr baseColWidth="10" defaultColWidth="11.44140625" defaultRowHeight="13.2"/>
  <cols>
    <col width="10.44140625" bestFit="1" customWidth="1" style="11" min="1" max="1"/>
    <col width="46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31" t="inlineStr">
        <is>
          <t>01112688V</t>
        </is>
      </c>
      <c r="B2" s="31" t="inlineStr">
        <is>
          <t>Villegas Castrillo, Esther</t>
        </is>
      </c>
      <c r="C2" s="32" t="inlineStr">
        <is>
          <t>FUNCIONARIO</t>
        </is>
      </c>
      <c r="D2" s="31" t="n"/>
      <c r="E2" s="31" t="n"/>
      <c r="F2" s="31" t="n"/>
      <c r="G2" s="31" t="n">
        <v>1</v>
      </c>
      <c r="H2" s="31" t="n"/>
      <c r="I2" s="31" t="n"/>
      <c r="J2" s="16" t="n">
        <v>1</v>
      </c>
      <c r="K2" s="16" t="inlineStr">
        <is>
          <t>B159</t>
        </is>
      </c>
      <c r="L2" s="17" t="inlineStr">
        <is>
          <t>10.23</t>
        </is>
      </c>
      <c r="M2" s="17" t="inlineStr">
        <is>
          <t>40</t>
        </is>
      </c>
      <c r="N2" s="17" t="inlineStr"/>
      <c r="O2" s="17" t="inlineStr"/>
      <c r="P2" s="17" t="n">
        <v>60</v>
      </c>
      <c r="Q2" s="17" t="n">
        <v>0.4</v>
      </c>
      <c r="R2" s="17" t="n">
        <v>0</v>
      </c>
      <c r="S2" s="17" t="n">
        <v>0.6</v>
      </c>
    </row>
    <row r="3" ht="14.4" customHeight="1">
      <c r="A3" s="16" t="inlineStr">
        <is>
          <t>07223951L</t>
        </is>
      </c>
      <c r="B3" s="16" t="inlineStr">
        <is>
          <t>De Lucas Murillo De La Cueva, Fernando</t>
        </is>
      </c>
      <c r="C3" s="16" t="inlineStr">
        <is>
          <t>FUNCIONARIO</t>
        </is>
      </c>
      <c r="D3" s="16" t="n">
        <v>1</v>
      </c>
      <c r="E3" s="16" t="n"/>
      <c r="F3" s="16" t="n"/>
      <c r="G3" s="16" t="n"/>
      <c r="H3" s="16" t="n"/>
      <c r="I3" s="16" t="n"/>
      <c r="J3" s="16" t="n">
        <v>1</v>
      </c>
      <c r="K3" s="16" t="inlineStr">
        <is>
          <t>B159</t>
        </is>
      </c>
      <c r="L3" s="17" t="inlineStr">
        <is>
          <t>10.22</t>
        </is>
      </c>
      <c r="M3" s="17" t="inlineStr">
        <is>
          <t>50</t>
        </is>
      </c>
      <c r="N3" s="17" t="inlineStr"/>
      <c r="O3" s="17" t="inlineStr"/>
      <c r="P3" s="17" t="n">
        <v>50</v>
      </c>
      <c r="Q3" s="17" t="n">
        <v>0.5</v>
      </c>
      <c r="R3" s="17" t="n">
        <v>0</v>
      </c>
      <c r="S3" s="17" t="n">
        <v>0.5</v>
      </c>
    </row>
    <row r="4" ht="14.4" customHeight="1">
      <c r="A4" s="16" t="inlineStr">
        <is>
          <t>21473810K</t>
        </is>
      </c>
      <c r="B4" s="16" t="inlineStr">
        <is>
          <t>Giménez Bertomeu, Víctor Manuel</t>
        </is>
      </c>
      <c r="C4" s="16" t="inlineStr">
        <is>
          <t>FUNCIONARIO</t>
        </is>
      </c>
      <c r="D4" s="16" t="n"/>
      <c r="E4" s="16" t="n">
        <v>1</v>
      </c>
      <c r="F4" s="16" t="n"/>
      <c r="G4" s="16" t="n"/>
      <c r="H4" s="16" t="n"/>
      <c r="I4" s="16" t="n"/>
      <c r="J4" s="16" t="n">
        <v>1</v>
      </c>
      <c r="K4" s="16" t="inlineStr">
        <is>
          <t>B159</t>
        </is>
      </c>
      <c r="L4" s="17" t="n">
        <v>0</v>
      </c>
      <c r="M4" s="17" t="n">
        <v>0</v>
      </c>
      <c r="N4" s="17" t="inlineStr"/>
      <c r="O4" s="17" t="inlineStr"/>
      <c r="P4" s="17" t="n">
        <v>100</v>
      </c>
      <c r="Q4" s="17" t="n">
        <v>0</v>
      </c>
      <c r="R4" s="17" t="n">
        <v>0</v>
      </c>
      <c r="S4" s="17" t="n">
        <v>1</v>
      </c>
    </row>
    <row r="5" ht="14.4" customHeight="1">
      <c r="A5" s="16" t="inlineStr">
        <is>
          <t>21515828H</t>
        </is>
      </c>
      <c r="B5" s="16" t="inlineStr">
        <is>
          <t>Mateo Pérez, Miguel Ángel</t>
        </is>
      </c>
      <c r="C5" s="16" t="inlineStr">
        <is>
          <t>FUNCIONARIO</t>
        </is>
      </c>
      <c r="D5" s="16" t="n"/>
      <c r="E5" s="16" t="n">
        <v>1</v>
      </c>
      <c r="F5" s="16" t="n"/>
      <c r="G5" s="16" t="n"/>
      <c r="H5" s="16" t="n"/>
      <c r="I5" s="16" t="n"/>
      <c r="J5" s="16" t="n">
        <v>1</v>
      </c>
      <c r="K5" s="16" t="inlineStr">
        <is>
          <t>B159</t>
        </is>
      </c>
      <c r="L5" s="17" t="inlineStr">
        <is>
          <t>10.22</t>
        </is>
      </c>
      <c r="M5" s="17" t="inlineStr">
        <is>
          <t>90</t>
        </is>
      </c>
      <c r="N5" s="17" t="inlineStr"/>
      <c r="O5" s="17" t="inlineStr"/>
      <c r="P5" s="17" t="n">
        <v>10</v>
      </c>
      <c r="Q5" s="17" t="n">
        <v>0.9</v>
      </c>
      <c r="R5" s="17" t="n">
        <v>0</v>
      </c>
      <c r="S5" s="17" t="n">
        <v>0.1</v>
      </c>
    </row>
    <row r="6" ht="14.4" customHeight="1">
      <c r="A6" s="16" t="inlineStr">
        <is>
          <t>21661002Q</t>
        </is>
      </c>
      <c r="B6" s="16" t="inlineStr">
        <is>
          <t>Domenech López, Yolanda</t>
        </is>
      </c>
      <c r="C6" s="16" t="inlineStr">
        <is>
          <t>FUNCIONARIO</t>
        </is>
      </c>
      <c r="D6" s="16" t="n"/>
      <c r="E6" s="16" t="n"/>
      <c r="F6" s="16" t="n"/>
      <c r="G6" s="16" t="n">
        <v>1</v>
      </c>
      <c r="H6" s="16" t="n"/>
      <c r="I6" s="16" t="n"/>
      <c r="J6" s="16" t="n">
        <v>1</v>
      </c>
      <c r="K6" s="16" t="inlineStr">
        <is>
          <t>B159</t>
        </is>
      </c>
      <c r="L6" s="17" t="inlineStr">
        <is>
          <t>10.22</t>
        </is>
      </c>
      <c r="M6" s="17" t="inlineStr">
        <is>
          <t>50</t>
        </is>
      </c>
      <c r="N6" s="17" t="inlineStr"/>
      <c r="O6" s="17" t="inlineStr"/>
      <c r="P6" s="17" t="n">
        <v>50</v>
      </c>
      <c r="Q6" s="17" t="n">
        <v>0.5</v>
      </c>
      <c r="R6" s="17" t="n">
        <v>0</v>
      </c>
      <c r="S6" s="17" t="n">
        <v>0.5</v>
      </c>
    </row>
    <row r="7" ht="14.4" customHeight="1">
      <c r="A7" s="16" t="inlineStr">
        <is>
          <t>21674595Q</t>
        </is>
      </c>
      <c r="B7" s="16" t="inlineStr">
        <is>
          <t>Pérez Belda, María Carmen</t>
        </is>
      </c>
      <c r="C7" s="16" t="inlineStr">
        <is>
          <t>NO 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B159</t>
        </is>
      </c>
      <c r="L7" s="17" t="inlineStr">
        <is>
          <t>10.22</t>
        </is>
      </c>
      <c r="M7" s="17" t="inlineStr">
        <is>
          <t>60</t>
        </is>
      </c>
      <c r="N7" s="17" t="inlineStr"/>
      <c r="O7" s="17" t="inlineStr"/>
      <c r="P7" s="17" t="n">
        <v>40</v>
      </c>
      <c r="Q7" s="17" t="n">
        <v>0.6</v>
      </c>
      <c r="R7" s="17" t="n">
        <v>0</v>
      </c>
      <c r="S7" s="17" t="n">
        <v>0.4</v>
      </c>
    </row>
    <row r="8" ht="14.4" customHeight="1">
      <c r="A8" s="16" t="inlineStr">
        <is>
          <t>48534766M</t>
        </is>
      </c>
      <c r="B8" s="16" t="inlineStr">
        <is>
          <t>Ferrer Aracil, Javier</t>
        </is>
      </c>
      <c r="C8" s="16" t="inlineStr">
        <is>
          <t>NO FUNCIONARIO</t>
        </is>
      </c>
      <c r="D8" s="16" t="n"/>
      <c r="E8" s="16" t="n"/>
      <c r="F8" s="16" t="n"/>
      <c r="G8" s="16" t="n"/>
      <c r="H8" s="16" t="n"/>
      <c r="I8" s="16" t="n">
        <v>1</v>
      </c>
      <c r="J8" s="16" t="n">
        <v>1</v>
      </c>
      <c r="K8" s="16" t="inlineStr">
        <is>
          <t>B159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 ht="14.4" customHeight="1">
      <c r="A9" s="16" t="inlineStr">
        <is>
          <t>48614592K</t>
        </is>
      </c>
      <c r="B9" s="16" t="inlineStr">
        <is>
          <t>Caravaca Sánchez, Francisco</t>
        </is>
      </c>
      <c r="C9" s="16" t="inlineStr">
        <is>
          <t>FUNCIONARIO</t>
        </is>
      </c>
      <c r="D9" s="16" t="n"/>
      <c r="E9" s="16" t="n"/>
      <c r="F9" s="16" t="n"/>
      <c r="G9" s="16" t="n"/>
      <c r="H9" s="16" t="n">
        <v>1</v>
      </c>
      <c r="I9" s="16" t="n"/>
      <c r="J9" s="16" t="n">
        <v>1</v>
      </c>
      <c r="K9" s="16" t="inlineStr">
        <is>
          <t>B159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1</v>
      </c>
    </row>
    <row r="10" ht="14.4" customHeight="1">
      <c r="A10" s="16" t="inlineStr">
        <is>
          <t>51091750X</t>
        </is>
      </c>
      <c r="B10" s="16" t="inlineStr">
        <is>
          <t>Ramos Feijoo, Clarisa</t>
        </is>
      </c>
      <c r="C10" s="16" t="inlineStr">
        <is>
          <t>FUNCIONARIO</t>
        </is>
      </c>
      <c r="D10" s="16" t="n">
        <v>1</v>
      </c>
      <c r="E10" s="16" t="n"/>
      <c r="F10" s="16" t="n"/>
      <c r="G10" s="16" t="n"/>
      <c r="H10" s="16" t="n"/>
      <c r="I10" s="16" t="n"/>
      <c r="J10" s="16" t="n">
        <v>1</v>
      </c>
      <c r="K10" s="16" t="inlineStr">
        <is>
          <t>B159</t>
        </is>
      </c>
      <c r="L10" s="17" t="inlineStr">
        <is>
          <t>10.23</t>
        </is>
      </c>
      <c r="M10" s="17" t="inlineStr">
        <is>
          <t>50</t>
        </is>
      </c>
      <c r="N10" s="17" t="inlineStr"/>
      <c r="O10" s="17" t="inlineStr"/>
      <c r="P10" s="17" t="n">
        <v>50</v>
      </c>
      <c r="Q10" s="17" t="n">
        <v>0.5</v>
      </c>
      <c r="R10" s="17" t="n">
        <v>0</v>
      </c>
      <c r="S10" s="17" t="n">
        <v>0.5</v>
      </c>
    </row>
    <row r="11" ht="14.4" customHeight="1">
      <c r="A11" s="16" t="inlineStr">
        <is>
          <t>53239637L</t>
        </is>
      </c>
      <c r="B11" s="16" t="inlineStr">
        <is>
          <t>Cortés Florín, Elena María</t>
        </is>
      </c>
      <c r="C11" s="16" t="inlineStr">
        <is>
          <t>NO FUNCIONARIO</t>
        </is>
      </c>
      <c r="D11" s="16" t="n"/>
      <c r="E11" s="16" t="n"/>
      <c r="F11" s="16" t="n"/>
      <c r="G11" s="16" t="n"/>
      <c r="H11" s="16" t="n"/>
      <c r="I11" s="16" t="n">
        <v>1</v>
      </c>
      <c r="J11" s="16" t="n">
        <v>1</v>
      </c>
      <c r="K11" s="16" t="inlineStr">
        <is>
          <t>B159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4.4" customHeight="1">
      <c r="A12" s="33" t="n"/>
      <c r="B12" s="33" t="n"/>
      <c r="C12" s="34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5">
        <f>SUM(S2:S11)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8" sqref="C18"/>
    </sheetView>
  </sheetViews>
  <sheetFormatPr baseColWidth="10" defaultRowHeight="14.4"/>
  <cols>
    <col width="17" customWidth="1" min="1" max="1"/>
    <col width="71.88671875" customWidth="1" min="2" max="2"/>
    <col width="16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29" t="inlineStr">
        <is>
          <t>35.80.6C.00.11</t>
        </is>
      </c>
      <c r="B2" s="29" t="inlineStr">
        <is>
          <t xml:space="preserve">CONVENIO UNIVERSITAT D ' ALACANT FOMENTO IVESTIG.IND.SERV.SOC.- LABORATORIOS SOCIALES UA  2023. </t>
        </is>
      </c>
      <c r="C2" s="63" t="n">
        <v>43325.62</v>
      </c>
    </row>
    <row r="3">
      <c r="A3" s="29" t="inlineStr">
        <is>
          <t>35.80.6C.00.15</t>
        </is>
      </c>
      <c r="B3" s="29" t="inlineStr">
        <is>
          <t>Contrato menor de servicios "Elaboración de un Proyecto Participativo sobre la situación de la Población Gitana en el Ayto. El Campello". Expediente 6884/2022 2ªFase.</t>
        </is>
      </c>
      <c r="C3" s="63" t="n">
        <v>3960</v>
      </c>
    </row>
    <row r="4">
      <c r="A4" s="30" t="inlineStr">
        <is>
          <t>35.80.6Q.00.01</t>
        </is>
      </c>
      <c r="B4" s="30" t="inlineStr">
        <is>
          <t>DEVOLUCIÓN DE INGRESOS_MODELO 047_Nº de liquidación:46/2023/RAS/10213/1_ Número de justificante:047/1/002358152_Nº de referencia:047/1/002358152</t>
        </is>
      </c>
      <c r="C4" s="64" t="n">
        <v>-2263.12</v>
      </c>
    </row>
    <row r="5">
      <c r="A5" s="29" t="inlineStr">
        <is>
          <t>35.80.6Q.00.01</t>
        </is>
      </c>
      <c r="B5" s="29" t="inlineStr">
        <is>
          <t>PRIMER PAGO 65% CONVENIO UNIVERSIDAD ALICANTE CÁTEDRA CULTURA GITANA</t>
        </is>
      </c>
      <c r="C5" s="63" t="n">
        <v>26000</v>
      </c>
    </row>
    <row r="6">
      <c r="A6" s="30" t="inlineStr">
        <is>
          <t>35.80.6Q.00.01</t>
        </is>
      </c>
      <c r="B6" s="30" t="inlineStr">
        <is>
          <t>SEGUNDO PAGO (35%) CONVENIO UNIVERSIDADDE ALICANTE CÁTEDRA CULTURA GITANA</t>
        </is>
      </c>
      <c r="C6" s="64" t="n">
        <v>14000</v>
      </c>
    </row>
    <row r="7">
      <c r="A7" s="41" t="inlineStr">
        <is>
          <t>35.80.6Q.00.02</t>
        </is>
      </c>
      <c r="B7" s="41" t="inlineStr">
        <is>
          <t>S1137 CATEDRA INTERUNIVERSITARIA -UNIVERSIDAD ALICANTE</t>
        </is>
      </c>
      <c r="C7" s="65" t="n">
        <v>40000</v>
      </c>
    </row>
    <row r="8" customFormat="1" s="39">
      <c r="A8" s="37" t="inlineStr">
        <is>
          <t>Total</t>
        </is>
      </c>
      <c r="B8" s="37" t="n"/>
      <c r="C8" s="66">
        <f>SUBTOTAL(109,Tabla2[Imp.cob.aplic.])</f>
        <v/>
      </c>
    </row>
    <row r="9">
      <c r="C9" s="6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B14" sqref="B14:C14"/>
    </sheetView>
  </sheetViews>
  <sheetFormatPr baseColWidth="10" defaultRowHeight="14.4"/>
  <cols>
    <col width="18.44140625" customWidth="1" min="1" max="1"/>
    <col width="68.44140625" customWidth="1" min="2" max="2"/>
    <col width="13.109375" customWidth="1" min="3" max="3"/>
  </cols>
  <sheetData>
    <row r="1">
      <c r="A1" s="44" t="inlineStr">
        <is>
          <t>Org. aplic.</t>
        </is>
      </c>
      <c r="B1" s="44" t="inlineStr">
        <is>
          <t>Descripción justificante</t>
        </is>
      </c>
      <c r="C1" s="68" t="inlineStr">
        <is>
          <t>Imp. aplic.</t>
        </is>
      </c>
    </row>
    <row r="2">
      <c r="A2" s="42" t="inlineStr">
        <is>
          <t>35.80.6C.00.11</t>
        </is>
      </c>
      <c r="B2" s="42" t="inlineStr">
        <is>
          <t>CONSELLERIASERVICIOSSOCIALES1-24T. G0116/S0700/2024/01. FRA.6003622007. PRESUP S070000000</t>
        </is>
      </c>
      <c r="C2" s="63" t="n">
        <v>38352.97</v>
      </c>
    </row>
    <row r="3">
      <c r="A3" s="43" t="inlineStr">
        <is>
          <t>35.80.6C.00.16</t>
        </is>
      </c>
      <c r="B3" s="43" t="inlineStr">
        <is>
          <t>Realización del estudio "Análisis de la experiencia de la soledad percibida en la provincia de Alicante: Un estudio descriptivo"</t>
        </is>
      </c>
      <c r="C3" s="64" t="n">
        <v>4400</v>
      </c>
    </row>
    <row r="4">
      <c r="A4" s="42" t="inlineStr">
        <is>
          <t>35.80.6C.00.17</t>
        </is>
      </c>
      <c r="B4" s="42" t="inlineStr">
        <is>
          <t>Trabajos de elaboración de un diagnóstico y propuesta de medidas y acciones para la puesta en marcha de un Plan Municipal de Salud Mental, durante el mes de septiembre Nº EXP.: 304/24</t>
        </is>
      </c>
      <c r="C4" s="63" t="n">
        <v>1092.3</v>
      </c>
    </row>
    <row r="5">
      <c r="A5" s="43" t="inlineStr">
        <is>
          <t>35.80.6C.00.17</t>
        </is>
      </c>
      <c r="B5" s="43" t="inlineStr">
        <is>
          <t xml:space="preserve">Trabajos de elaboración de un diagnóstico y propuesta de medidas y acciones para la puesta en marcha de un plan municipal de Salud mental , durante el mes de septiembre 2024. </t>
        </is>
      </c>
      <c r="C5" s="64" t="n">
        <v>1092.3</v>
      </c>
    </row>
    <row r="6">
      <c r="A6" s="42" t="inlineStr">
        <is>
          <t>35.80.6C.00.17</t>
        </is>
      </c>
      <c r="B6" s="42" t="inlineStr">
        <is>
          <t>Trabajos de elaboración de un diagnóstico y propuesta de medidas y acciones para la puesta en marcha de un Plan Municipal de Salud Mental, durante el mes de septiembre Nº EXP.: 304/24</t>
        </is>
      </c>
      <c r="C6" s="63" t="n">
        <v>-1092.3</v>
      </c>
    </row>
    <row r="7">
      <c r="A7" s="43" t="inlineStr">
        <is>
          <t>35.80.6C.00.17</t>
        </is>
      </c>
      <c r="B7" s="43" t="inlineStr">
        <is>
          <t>Trabajos de elaboración de un diagnóstico y propuesta de medidas y acciones para la puesta en marcha de un plan municipal de Salud mental , durante el mes de octubre 2024.</t>
        </is>
      </c>
      <c r="C7" s="64" t="n">
        <v>1092.31</v>
      </c>
    </row>
    <row r="8">
      <c r="A8" s="42" t="inlineStr">
        <is>
          <t>35.80.6C.00.17</t>
        </is>
      </c>
      <c r="B8" s="42" t="inlineStr">
        <is>
          <t>Trabajos de elaboración de un diagnóstico y propuesta de medidas y acciones para la puesta en marcha de un plan municipal de Salud mental , durante el mes de noviembre 2024.</t>
        </is>
      </c>
      <c r="C8" s="63" t="n">
        <v>1092.3</v>
      </c>
    </row>
    <row r="9">
      <c r="A9" s="43" t="inlineStr">
        <is>
          <t>35.80.6Q.00.01</t>
        </is>
      </c>
      <c r="B9" s="43" t="inlineStr">
        <is>
          <t>DEVOLUCIÓN DE INGRESOS_ MODELO 047_REFERENCIA: CÁTEDRA DE CULTURA GITANA</t>
        </is>
      </c>
      <c r="C9" s="64" t="n">
        <v>-744.4299999999999</v>
      </c>
    </row>
    <row r="10">
      <c r="A10" s="46" t="inlineStr">
        <is>
          <t>35.80.6Q.00.02</t>
        </is>
      </c>
      <c r="B10" s="46" t="inlineStr">
        <is>
          <t>CÁTEDRA SPVSS. G0116/S0630/2024/01. FRA. 6003627462. PRESUP S063000000</t>
        </is>
      </c>
      <c r="C10" s="65" t="n">
        <v>31921.83</v>
      </c>
    </row>
    <row r="11" customFormat="1" s="39">
      <c r="A11" s="47" t="inlineStr">
        <is>
          <t>Total</t>
        </is>
      </c>
      <c r="B11" s="47" t="n"/>
      <c r="C11" s="66">
        <f>SUBTOTAL(109,Tabla3[Imp.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workbookViewId="0">
      <selection activeCell="C20" sqref="C20"/>
    </sheetView>
  </sheetViews>
  <sheetFormatPr baseColWidth="10" defaultRowHeight="14.4"/>
  <cols>
    <col width="18" customWidth="1" min="1" max="1"/>
    <col width="52.109375" customWidth="1" min="2" max="2"/>
    <col width="16.33203125" customWidth="1" min="3" max="3"/>
  </cols>
  <sheetData>
    <row r="1">
      <c r="A1" s="50" t="inlineStr">
        <is>
          <t>Org. aplic.</t>
        </is>
      </c>
      <c r="B1" s="51" t="inlineStr">
        <is>
          <t>Descripción justificante</t>
        </is>
      </c>
      <c r="C1" s="51" t="inlineStr">
        <is>
          <t>Imp. aplic.</t>
        </is>
      </c>
    </row>
    <row r="2">
      <c r="A2" s="52" t="inlineStr">
        <is>
          <t>35.80.6C.00.17</t>
        </is>
      </c>
      <c r="B2" s="53" t="inlineStr">
        <is>
          <t>Trabajos de elaboración de un diagnóstico y propuesta de medidas y acciones para la puesta en marcha de un plan municipal de salud mental, durante el mes de diciembre 2024</t>
        </is>
      </c>
      <c r="C2" s="69" t="n">
        <v>1092.31</v>
      </c>
    </row>
    <row r="3">
      <c r="A3" s="55" t="inlineStr">
        <is>
          <t>35.80.6C.00.17</t>
        </is>
      </c>
      <c r="B3" s="56" t="inlineStr">
        <is>
          <t>Trabajos de elaboración de un diagnóstico y propuesta de medidas y acciones para la puesta en marcha de un plan municipal de Salud mental , durante el mes de enero 2025.</t>
        </is>
      </c>
      <c r="C3" s="70" t="n">
        <v>1092.3</v>
      </c>
    </row>
    <row r="4">
      <c r="A4" s="52" t="inlineStr">
        <is>
          <t>35.80.6C.00.17</t>
        </is>
      </c>
      <c r="B4" s="53" t="inlineStr">
        <is>
          <t>Trabajos de elaboración de un diagnóstico y propuesta de medidas y acciones para la puesta en marcha de un plan municipal de Salud mental, durante el mes de febrero 2025.</t>
        </is>
      </c>
      <c r="C4" s="69" t="n">
        <v>1092.3</v>
      </c>
    </row>
    <row r="5">
      <c r="A5" s="55" t="inlineStr">
        <is>
          <t>35.80.6C.00.17</t>
        </is>
      </c>
      <c r="B5" s="56" t="inlineStr">
        <is>
          <t>Trabajos de elaboración de un diagnóstico y propuesta de medidas y acciones para la puesta en marcha de un plan municipal de salud mental, durante el mes de marzo de 2025.</t>
        </is>
      </c>
      <c r="C5" s="70" t="n">
        <v>1092.3</v>
      </c>
    </row>
    <row r="6">
      <c r="A6" s="52" t="inlineStr">
        <is>
          <t>35.80.6C.00.17</t>
        </is>
      </c>
      <c r="B6" s="53" t="inlineStr">
        <is>
          <t>Trabajos de elaboración de un diagnóstico y propuesta de medidas y acciones para la puesta en marcha de un plan municipal de salud mental, durante el mes de abril de 2025.</t>
        </is>
      </c>
      <c r="C6" s="69" t="n">
        <v>1092.3</v>
      </c>
    </row>
    <row r="7">
      <c r="A7" s="55" t="inlineStr">
        <is>
          <t>35.80.6C.00.17</t>
        </is>
      </c>
      <c r="B7" s="56" t="inlineStr">
        <is>
          <t>Trabajos de elaboración de un diagnóstico y propuesta de medidas y acciones para la puesta en marcha de un plan municipal de salud mental, durante el mes de mayo de 2025.</t>
        </is>
      </c>
      <c r="C7" s="70" t="n">
        <v>1092.3</v>
      </c>
    </row>
    <row r="8">
      <c r="A8" s="52" t="inlineStr">
        <is>
          <t>35.80.6C.00.17</t>
        </is>
      </c>
      <c r="B8" s="53" t="inlineStr">
        <is>
          <t>Trabajos de elaboración de un diagnóstico y propuesta de medidas y acciones para la puesta en marcha de un plan municipal de salud mental, durante el mes de junio de 2025.</t>
        </is>
      </c>
      <c r="C8" s="69" t="n">
        <v>1092.3</v>
      </c>
    </row>
    <row r="9">
      <c r="A9" s="55" t="inlineStr">
        <is>
          <t>35.80.6C.00.17</t>
        </is>
      </c>
      <c r="B9" s="56" t="inlineStr">
        <is>
          <t>Trabajos de elaboración de un diagnóstico y propuesta de medidas y acciones para la puesta en marcha de un plan municipal de salud mental, durante el mes de julio de 2025.</t>
        </is>
      </c>
      <c r="C9" s="70" t="n">
        <v>1092.29</v>
      </c>
    </row>
    <row r="10">
      <c r="A10" s="52" t="inlineStr">
        <is>
          <t>35.80.6C.00.17</t>
        </is>
      </c>
      <c r="B10" s="53" t="inlineStr">
        <is>
          <t>Trabajos de elaboración de un diagnóstico y propuesta de medidas y acciones para la puesta en marcha de un plan municipal de salud mental, durante el mes de agosto de 2025</t>
        </is>
      </c>
      <c r="C10" s="69" t="n">
        <v>1092.29</v>
      </c>
    </row>
    <row r="11">
      <c r="A11" s="55" t="inlineStr">
        <is>
          <t>35.80.6C.00.18</t>
        </is>
      </c>
      <c r="B11" s="56" t="inlineStr">
        <is>
          <t>COORDINACIÓN TÉCNICA EN LA REALIZACIÓN DEL INFORME DELPHI PARA LOGRAR UNA DEFINICIÓN DE CONSENSO SOBRE LA GESTIÓN DE CASOS (GDC). EXPLOTACIÓN Y EL ANÁLISIS DE DATOS DEL ESTUDIO</t>
        </is>
      </c>
      <c r="C11" s="70" t="n">
        <v>8000</v>
      </c>
    </row>
    <row r="12">
      <c r="A12" s="52" t="inlineStr">
        <is>
          <t>35.80.6C.00.19</t>
        </is>
      </c>
      <c r="B12" s="53" t="inlineStr">
        <is>
          <t>Curso "Metodologías de participación y gobernanza en servicios sociales". Colaboración presencial: 20 horas los días 19, 20, 25 y 26 de junio de 2025 en el Centro Polivalente Carrús de Elche. Monitorización y tutorización no presencial de los trabajos presentados. 10 horas (del 15 al 20 de julio de 2025)  Nº AUTORIZADO: 7349</t>
        </is>
      </c>
      <c r="C12" s="69" t="n">
        <v>4224</v>
      </c>
    </row>
    <row r="13">
      <c r="A13" s="55" t="inlineStr">
        <is>
          <t>35.80.6C.00.21</t>
        </is>
      </c>
      <c r="B13" s="56" t="inlineStr">
        <is>
          <t>PROYECTO: "PLAN ESTRATÉGICO PARA LA PREVENCIÓN Y ABORDAJE DE LA SOLEDAD EN LA PROVINCIA DE ALICANTE". REALIZACIÓN DE LAS LABORES DE PROCESO PARTICIPATIVO Y DESPLAZAMIENTOS ESTABLECIDAS EN LA PRIMERA FASE DEL PLAN ESTRATÉGICO</t>
        </is>
      </c>
      <c r="C13" s="70" t="n">
        <v>3432</v>
      </c>
    </row>
    <row r="14">
      <c r="A14" s="52" t="inlineStr">
        <is>
          <t>35.80.6Q.00.02</t>
        </is>
      </c>
      <c r="B14" s="53" t="inlineStr">
        <is>
          <t>Convenio entre GVA-UV-UPV-UMH-UA-UJI para fomentar la investigación, la innovación, la formación y la divulgación y transferencia del conocimiento relacionados con el modelo de Serv. Sociales de la Comunitat Valenciana - 2025</t>
        </is>
      </c>
      <c r="C14" s="69" t="n">
        <v>5000</v>
      </c>
    </row>
    <row r="15" ht="15" customHeight="1" thickBot="1">
      <c r="A15" s="55" t="inlineStr">
        <is>
          <t>35.80.6Q.00.02</t>
        </is>
      </c>
      <c r="B15" s="56" t="inlineStr">
        <is>
          <t>Convenio entre GVA-UV-UPV-UMH-UA-UJI para fomentar la investigación, la innovación, la formación y la divulgación y transferencia del conocimiento relacionados con el modelo de Serv. Sociales de la Comunitat Valenciana - 2025. LS: S0731. Núm fact: 6003530886</t>
        </is>
      </c>
      <c r="C15" s="70" t="n">
        <v>33224.18</v>
      </c>
    </row>
    <row r="16" ht="15" customHeight="1" thickTop="1">
      <c r="A16" s="58" t="inlineStr">
        <is>
          <t>Total</t>
        </is>
      </c>
      <c r="B16" s="59" t="n"/>
      <c r="C16" s="71" t="n">
        <v>63710.87</v>
      </c>
    </row>
    <row r="19">
      <c r="B19" s="48" t="inlineStr">
        <is>
          <t>Total ingresos investigación 2023-25</t>
        </is>
      </c>
      <c r="C19" s="72">
        <f>C16+Tabla2[[#Totals],[Imp.cob.aplic.]]+Tabla3[[#Totals],[Imp.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iuma@ua.es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2026-05-28T21:59:17Z</dcterms:modified>
  <cp:lastModifiedBy>MARIA TERESA PUJALTE DEVIS</cp:lastModifiedBy>
</cp:coreProperties>
</file>