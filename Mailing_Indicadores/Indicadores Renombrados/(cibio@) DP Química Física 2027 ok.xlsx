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4" autoFilterDateGrouping="1"/>
  </bookViews>
  <sheets>
    <sheet name="Tesis" sheetId="1" state="visible" r:id="rId1"/>
    <sheet name="Sexenios" sheetId="2" state="visible" r:id="rId2"/>
    <sheet name="Ingresos investigación 2023" sheetId="3" state="visible" r:id="rId3"/>
    <sheet name="Ingresos investigación 2024" sheetId="4" state="visible" r:id="rId4"/>
    <sheet name="Ingresos investigación 2025" sheetId="5" state="visible" r:id="rId5"/>
    <sheet name="Correo" sheetId="6" state="veryHidden" r:id="rId6"/>
  </sheets>
  <definedNames>
    <definedName name="_xlnm._FilterDatabase" localSheetId="0" hidden="1">'Tesis'!$A$1:$U$1</definedName>
    <definedName name="_xlnm.Print_Titles" localSheetId="0">'Tesis'!$1:$1,'Tesis'!$D:$D</definedName>
    <definedName name="_xlnm.Print_Titles" localSheetId="1">'Sexenios'!$1:$1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#,##0.0"/>
    <numFmt numFmtId="166" formatCode="_-* #,##0.00_-;\-* #,##0.00_-;_-* &quot;-&quot;??_-;_-@_-"/>
    <numFmt numFmtId="167" formatCode="_-* #,##0.00\ _€_-;\-* #,##0.00\ _€_-;_-* &quot;-&quot;??\ _€_-;_-@_-"/>
  </numFmts>
  <fonts count="17">
    <font>
      <name val="Arial"/>
      <sz val="10"/>
    </font>
    <font>
      <name val="Arial"/>
      <family val="2"/>
      <sz val="8"/>
    </font>
    <font>
      <name val="Arial"/>
      <family val="2"/>
      <b val="1"/>
      <sz val="8"/>
    </font>
    <font>
      <name val="Arial"/>
      <family val="2"/>
      <b val="1"/>
      <color indexed="8"/>
      <sz val="8"/>
    </font>
    <font>
      <name val="Arial"/>
      <family val="2"/>
      <color indexed="8"/>
      <sz val="10"/>
    </font>
    <font>
      <name val="Arial"/>
      <family val="2"/>
      <b val="1"/>
      <color indexed="8"/>
      <sz val="10"/>
    </font>
    <font>
      <name val="Arial"/>
      <family val="2"/>
      <sz val="10"/>
    </font>
    <font>
      <name val="Arial"/>
      <family val="2"/>
      <b val="1"/>
      <sz val="10"/>
    </font>
    <font>
      <name val="Arial"/>
      <family val="2"/>
      <color theme="1"/>
      <sz val="8"/>
    </font>
    <font>
      <name val="Arial"/>
      <family val="2"/>
      <color theme="1"/>
      <sz val="10"/>
    </font>
    <font>
      <name val="Arial"/>
      <family val="2"/>
      <color rgb="FF000000"/>
      <sz val="8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Arial"/>
      <family val="2"/>
      <b val="1"/>
      <color theme="0"/>
      <sz val="10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0"/>
      <sz val="10"/>
    </font>
  </fonts>
  <fills count="14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/>
        <bgColor theme="9"/>
      </patternFill>
    </fill>
    <fill>
      <patternFill patternType="solid">
        <fgColor theme="9" tint="0.7999816888943144"/>
        <bgColor theme="9" tint="0.799981688894314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/>
        <bgColor theme="9" tint="0.799981688894314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 style="medium">
        <color rgb="FF878787"/>
      </right>
      <top style="medium">
        <color rgb="FF878787"/>
      </top>
      <bottom style="medium">
        <color rgb="FF878787"/>
      </bottom>
      <diagonal/>
    </border>
    <border>
      <left style="medium">
        <color rgb="FF878787"/>
      </left>
      <right/>
      <top style="medium">
        <color rgb="FF878787"/>
      </top>
      <bottom style="medium">
        <color rgb="FF878787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9" tint="0.3999755851924192"/>
      </top>
      <bottom style="thin">
        <color theme="9" tint="0.3999755851924192"/>
      </bottom>
      <diagonal/>
    </border>
    <border>
      <left/>
      <right/>
      <top/>
      <bottom style="thin">
        <color theme="9" tint="0.3999755851924192"/>
      </bottom>
      <diagonal/>
    </border>
    <border>
      <left/>
      <right/>
      <top style="thin">
        <color theme="9" tint="0.3999755851924192"/>
      </top>
      <bottom/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755851924192"/>
      </left>
      <right/>
      <top style="double">
        <color theme="4"/>
      </top>
      <bottom style="thin">
        <color theme="4" tint="0.3999755851924192"/>
      </bottom>
      <diagonal/>
    </border>
    <border>
      <left/>
      <right/>
      <top style="double">
        <color theme="4"/>
      </top>
      <bottom style="thin">
        <color theme="4" tint="0.3999755851924192"/>
      </bottom>
      <diagonal/>
    </border>
  </borders>
  <cellStyleXfs count="6">
    <xf numFmtId="0" fontId="0" fillId="0" borderId="0"/>
    <xf numFmtId="0" fontId="1" fillId="0" borderId="0"/>
    <xf numFmtId="0" fontId="4" fillId="0" borderId="0"/>
    <xf numFmtId="0" fontId="4" fillId="0" borderId="0"/>
    <xf numFmtId="0" fontId="8" fillId="0" borderId="0"/>
    <xf numFmtId="167" fontId="12" fillId="0" borderId="0"/>
  </cellStyleXfs>
  <cellXfs count="89">
    <xf numFmtId="0" fontId="0" fillId="0" borderId="0" pivotButton="0" quotePrefix="0" xfId="0"/>
    <xf numFmtId="0" fontId="2" fillId="2" borderId="1" applyAlignment="1" pivotButton="0" quotePrefix="0" xfId="1">
      <alignment horizontal="center"/>
    </xf>
    <xf numFmtId="0" fontId="3" fillId="2" borderId="1" applyAlignment="1" pivotButton="0" quotePrefix="0" xfId="1">
      <alignment horizontal="center"/>
    </xf>
    <xf numFmtId="0" fontId="3" fillId="2" borderId="1" applyAlignment="1" pivotButton="0" quotePrefix="0" xfId="2">
      <alignment horizontal="center"/>
    </xf>
    <xf numFmtId="0" fontId="3" fillId="2" borderId="1" applyAlignment="1" pivotButton="0" quotePrefix="0" xfId="3">
      <alignment horizontal="center" wrapText="1"/>
    </xf>
    <xf numFmtId="0" fontId="3" fillId="2" borderId="1" applyAlignment="1" pivotButton="0" quotePrefix="0" xfId="3">
      <alignment horizontal="right" wrapText="1"/>
    </xf>
    <xf numFmtId="0" fontId="1" fillId="3" borderId="0" pivotButton="0" quotePrefix="0" xfId="1"/>
    <xf numFmtId="0" fontId="1" fillId="3" borderId="0" applyAlignment="1" pivotButton="0" quotePrefix="0" xfId="1">
      <alignment horizontal="right"/>
    </xf>
    <xf numFmtId="0" fontId="7" fillId="5" borderId="1" applyAlignment="1" pivotButton="0" quotePrefix="0" xfId="3">
      <alignment horizontal="center" textRotation="90" wrapText="1"/>
    </xf>
    <xf numFmtId="0" fontId="7" fillId="2" borderId="1" applyAlignment="1" pivotButton="0" quotePrefix="0" xfId="3">
      <alignment horizontal="center" textRotation="90" wrapText="1"/>
    </xf>
    <xf numFmtId="0" fontId="4" fillId="0" borderId="0" pivotButton="0" quotePrefix="0" xfId="4"/>
    <xf numFmtId="0" fontId="9" fillId="0" borderId="0" pivotButton="0" quotePrefix="0" xfId="4"/>
    <xf numFmtId="0" fontId="9" fillId="0" borderId="0" applyAlignment="1" pivotButton="0" quotePrefix="0" xfId="4">
      <alignment horizontal="right"/>
    </xf>
    <xf numFmtId="0" fontId="1" fillId="0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textRotation="90"/>
    </xf>
    <xf numFmtId="0" fontId="7" fillId="2" borderId="1" applyAlignment="1" pivotButton="0" quotePrefix="0" xfId="3">
      <alignment horizont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3" borderId="1" pivotButton="0" quotePrefix="0" xfId="1"/>
    <xf numFmtId="0" fontId="1" fillId="3" borderId="1" applyAlignment="1" pivotButton="0" quotePrefix="0" xfId="1">
      <alignment horizontal="right"/>
    </xf>
    <xf numFmtId="0" fontId="1" fillId="3" borderId="2" pivotButton="0" quotePrefix="0" xfId="1"/>
    <xf numFmtId="0" fontId="1" fillId="3" borderId="2" applyAlignment="1" pivotButton="0" quotePrefix="0" xfId="1">
      <alignment horizontal="right"/>
    </xf>
    <xf numFmtId="1" fontId="1" fillId="3" borderId="2" pivotButton="0" quotePrefix="0" xfId="1"/>
    <xf numFmtId="164" fontId="1" fillId="3" borderId="2" pivotButton="0" quotePrefix="0" xfId="1"/>
    <xf numFmtId="0" fontId="10" fillId="6" borderId="1" applyAlignment="1" pivotButton="0" quotePrefix="0" xfId="0">
      <alignment horizontal="left" vertical="center"/>
    </xf>
    <xf numFmtId="0" fontId="10" fillId="6" borderId="3" applyAlignment="1" pivotButton="0" quotePrefix="0" xfId="0">
      <alignment horizontal="left" vertical="center"/>
    </xf>
    <xf numFmtId="0" fontId="10" fillId="6" borderId="4" applyAlignment="1" pivotButton="0" quotePrefix="0" xfId="0">
      <alignment horizontal="left" vertical="center"/>
    </xf>
    <xf numFmtId="0" fontId="10" fillId="6" borderId="5" applyAlignment="1" pivotButton="0" quotePrefix="0" xfId="0">
      <alignment horizontal="left" vertical="center"/>
    </xf>
    <xf numFmtId="0" fontId="1" fillId="0" borderId="1" pivotButton="0" quotePrefix="0" xfId="1"/>
    <xf numFmtId="165" fontId="1" fillId="3" borderId="2" pivotButton="0" quotePrefix="0" xfId="1"/>
    <xf numFmtId="0" fontId="1" fillId="3" borderId="6" pivotButton="0" quotePrefix="0" xfId="1"/>
    <xf numFmtId="166" fontId="6" fillId="8" borderId="7" pivotButton="0" quotePrefix="0" xfId="5"/>
    <xf numFmtId="166" fontId="6" fillId="0" borderId="7" pivotButton="0" quotePrefix="0" xfId="5"/>
    <xf numFmtId="0" fontId="9" fillId="8" borderId="7" pivotButton="0" quotePrefix="0" xfId="0"/>
    <xf numFmtId="0" fontId="9" fillId="0" borderId="7" pivotButton="0" quotePrefix="0" xfId="0"/>
    <xf numFmtId="166" fontId="0" fillId="0" borderId="0" pivotButton="0" quotePrefix="0" xfId="0"/>
    <xf numFmtId="0" fontId="0" fillId="0" borderId="1" applyAlignment="1" pivotButton="0" quotePrefix="0" xfId="0">
      <alignment horizontal="left"/>
    </xf>
    <xf numFmtId="0" fontId="0" fillId="9" borderId="0" pivotButton="0" quotePrefix="0" xfId="0"/>
    <xf numFmtId="0" fontId="0" fillId="9" borderId="0" applyAlignment="1" pivotButton="0" quotePrefix="0" xfId="0">
      <alignment horizontal="left"/>
    </xf>
    <xf numFmtId="0" fontId="7" fillId="9" borderId="0" pivotButton="0" quotePrefix="0" xfId="0"/>
    <xf numFmtId="0" fontId="1" fillId="4" borderId="0" pivotButton="0" quotePrefix="0" xfId="1"/>
    <xf numFmtId="0" fontId="1" fillId="4" borderId="0" applyAlignment="1" pivotButton="0" quotePrefix="0" xfId="1">
      <alignment horizontal="right"/>
    </xf>
    <xf numFmtId="164" fontId="2" fillId="4" borderId="0" pivotButton="0" quotePrefix="0" xfId="1"/>
    <xf numFmtId="0" fontId="13" fillId="7" borderId="8" pivotButton="0" quotePrefix="0" xfId="0"/>
    <xf numFmtId="166" fontId="6" fillId="8" borderId="9" pivotButton="0" quotePrefix="0" xfId="5"/>
    <xf numFmtId="0" fontId="0" fillId="0" borderId="9" pivotButton="0" quotePrefix="0" xfId="0"/>
    <xf numFmtId="0" fontId="0" fillId="11" borderId="0" pivotButton="0" quotePrefix="0" xfId="0"/>
    <xf numFmtId="0" fontId="9" fillId="8" borderId="9" pivotButton="0" quotePrefix="0" xfId="0"/>
    <xf numFmtId="0" fontId="9" fillId="10" borderId="9" pivotButton="0" quotePrefix="0" xfId="0"/>
    <xf numFmtId="166" fontId="6" fillId="10" borderId="9" pivotButton="0" quotePrefix="0" xfId="0"/>
    <xf numFmtId="0" fontId="0" fillId="8" borderId="7" pivotButton="0" quotePrefix="0" xfId="0"/>
    <xf numFmtId="166" fontId="0" fillId="8" borderId="7" pivotButton="0" quotePrefix="0" xfId="5"/>
    <xf numFmtId="0" fontId="0" fillId="0" borderId="7" pivotButton="0" quotePrefix="0" xfId="0"/>
    <xf numFmtId="166" fontId="0" fillId="0" borderId="7" pivotButton="0" quotePrefix="0" xfId="5"/>
    <xf numFmtId="0" fontId="11" fillId="7" borderId="8" pivotButton="0" quotePrefix="0" xfId="0"/>
    <xf numFmtId="166" fontId="11" fillId="7" borderId="8" pivotButton="0" quotePrefix="0" xfId="5"/>
    <xf numFmtId="166" fontId="0" fillId="0" borderId="9" pivotButton="0" quotePrefix="0" xfId="5"/>
    <xf numFmtId="166" fontId="6" fillId="0" borderId="9" pivotButton="0" quotePrefix="0" xfId="0"/>
    <xf numFmtId="0" fontId="7" fillId="0" borderId="1" pivotButton="0" quotePrefix="0" xfId="0"/>
    <xf numFmtId="166" fontId="7" fillId="0" borderId="1" pivotButton="0" quotePrefix="0" xfId="0"/>
    <xf numFmtId="0" fontId="16" fillId="12" borderId="10" pivotButton="0" quotePrefix="0" xfId="0"/>
    <xf numFmtId="0" fontId="16" fillId="12" borderId="11" pivotButton="0" quotePrefix="0" xfId="0"/>
    <xf numFmtId="0" fontId="14" fillId="13" borderId="10" pivotButton="0" quotePrefix="0" xfId="0"/>
    <xf numFmtId="0" fontId="14" fillId="13" borderId="11" pivotButton="0" quotePrefix="0" xfId="0"/>
    <xf numFmtId="167" fontId="14" fillId="13" borderId="11" pivotButton="0" quotePrefix="0" xfId="5"/>
    <xf numFmtId="0" fontId="14" fillId="0" borderId="10" pivotButton="0" quotePrefix="0" xfId="0"/>
    <xf numFmtId="0" fontId="14" fillId="0" borderId="11" pivotButton="0" quotePrefix="0" xfId="0"/>
    <xf numFmtId="167" fontId="14" fillId="0" borderId="11" pivotButton="0" quotePrefix="0" xfId="5"/>
    <xf numFmtId="0" fontId="15" fillId="0" borderId="12" pivotButton="0" quotePrefix="0" xfId="0"/>
    <xf numFmtId="0" fontId="15" fillId="0" borderId="13" pivotButton="0" quotePrefix="0" xfId="0"/>
    <xf numFmtId="167" fontId="15" fillId="0" borderId="13" pivotButton="0" quotePrefix="0" xfId="5"/>
    <xf numFmtId="165" fontId="1" fillId="3" borderId="2" pivotButton="0" quotePrefix="0" xfId="1"/>
    <xf numFmtId="164" fontId="1" fillId="3" borderId="2" pivotButton="0" quotePrefix="0" xfId="1"/>
    <xf numFmtId="164" fontId="2" fillId="4" borderId="0" pivotButton="0" quotePrefix="0" xfId="1"/>
    <xf numFmtId="166" fontId="6" fillId="8" borderId="7" pivotButton="0" quotePrefix="0" xfId="5"/>
    <xf numFmtId="166" fontId="6" fillId="0" borderId="7" pivotButton="0" quotePrefix="0" xfId="5"/>
    <xf numFmtId="166" fontId="6" fillId="8" borderId="9" pivotButton="0" quotePrefix="0" xfId="5"/>
    <xf numFmtId="166" fontId="6" fillId="10" borderId="9" pivotButton="0" quotePrefix="0" xfId="0"/>
    <xf numFmtId="166" fontId="0" fillId="0" borderId="0" pivotButton="0" quotePrefix="0" xfId="0"/>
    <xf numFmtId="166" fontId="11" fillId="7" borderId="8" pivotButton="0" quotePrefix="0" xfId="5"/>
    <xf numFmtId="166" fontId="0" fillId="8" borderId="7" pivotButton="0" quotePrefix="0" xfId="5"/>
    <xf numFmtId="166" fontId="0" fillId="0" borderId="7" pivotButton="0" quotePrefix="0" xfId="5"/>
    <xf numFmtId="166" fontId="0" fillId="0" borderId="9" pivotButton="0" quotePrefix="0" xfId="5"/>
    <xf numFmtId="166" fontId="6" fillId="0" borderId="9" pivotButton="0" quotePrefix="0" xfId="0"/>
    <xf numFmtId="167" fontId="14" fillId="13" borderId="11" pivotButton="0" quotePrefix="0" xfId="5"/>
    <xf numFmtId="167" fontId="14" fillId="0" borderId="11" pivotButton="0" quotePrefix="0" xfId="5"/>
    <xf numFmtId="167" fontId="15" fillId="0" borderId="13" pivotButton="0" quotePrefix="0" xfId="5"/>
    <xf numFmtId="166" fontId="7" fillId="0" borderId="1" pivotButton="0" quotePrefix="0" xfId="0"/>
  </cellXfs>
  <cellStyles count="6">
    <cellStyle name="Normal" xfId="0" builtinId="0"/>
    <cellStyle name="Normal_Ind.2010" xfId="1"/>
    <cellStyle name="Normal_Becas 14_9_2005" xfId="2"/>
    <cellStyle name="Normal_PDI por Centro" xfId="3"/>
    <cellStyle name="Normal 3" xfId="4"/>
    <cellStyle name="Millares" xfId="5" builtinId="3"/>
  </cellStyles>
  <dxfs count="20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border outline="0">
        <left/>
        <right/>
        <top/>
        <bottom/>
      </border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left/>
        <right/>
        <top/>
        <bottom/>
      </border>
    </dxf>
    <dxf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auto="1"/>
        <extend val="0"/>
        <sz val="10"/>
        <vertAlign val="baseline"/>
      </font>
      <numFmt numFmtId="35" formatCode="_-* #,##0.00_-;\-* #,##0.00_-;_-* &quot;-&quot;??_-;_-@_-"/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0"/>
        </patternFill>
      </fill>
    </dxf>
    <dxf>
      <font>
        <name val="Arial"/>
        <family val="2"/>
        <strike val="0"/>
        <outline val="0"/>
        <shadow val="0"/>
        <condense val="0"/>
        <color theme="1"/>
        <extend val="0"/>
        <sz val="10"/>
        <vertAlign val="baseline"/>
      </font>
      <fill>
        <patternFill patternType="solid">
          <fgColor theme="9" tint="0.7999816888943144"/>
          <bgColor theme="9" tint="0.7999816888943144"/>
        </patternFill>
      </fill>
      <border>
        <left/>
        <right/>
        <top style="thin">
          <color theme="9" tint="0.3999755851924192"/>
        </top>
        <bottom style="thin">
          <color theme="9" tint="0.3999755851924192"/>
        </bottom>
        <vertical/>
        <horizontal/>
      </border>
    </dxf>
    <dxf>
      <border outline="0">
        <top style="thin">
          <color theme="9" tint="0.3999755851924192"/>
        </top>
      </border>
    </dxf>
    <dxf>
      <fill>
        <patternFill>
          <bgColor theme="0"/>
        </patternFill>
      </fill>
    </dxf>
    <dxf>
      <border outline="0">
        <left style="thin">
          <color theme="9" tint="0.3999755851924192"/>
        </left>
        <top style="thin">
          <color theme="9" tint="0.3999755851924192"/>
        </top>
        <bottom style="thin">
          <color theme="9" tint="0.3999755851924192"/>
        </bottom>
      </border>
    </dxf>
    <dxf>
      <border outline="0">
        <bottom style="thin">
          <color theme="9" tint="0.3999755851924192"/>
        </bottom>
      </border>
    </dxf>
    <dxf>
      <font>
        <name val="Arial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theme="9"/>
          <bgColor theme="9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a2" displayName="Tabla2" ref="A1:C11" headerRowCount="1" totalsRowCount="1" headerRowDxfId="19" totalsRowDxfId="16" headerRowBorderDxfId="18" tableBorderDxfId="17" totalsRowBorderDxfId="15">
  <autoFilter ref="A1:C10"/>
  <tableColumns count="3">
    <tableColumn id="1" name="Cód. org. aplic." totalsRowLabel="Total" dataDxfId="14" totalsRowDxfId="13"/>
    <tableColumn id="2" name="Descripción justificante" dataDxfId="12" totalsRowDxfId="11"/>
    <tableColumn id="3" name="Imp.cob.aplic." totalsRowFunction="sum" dataDxfId="10" totalsRowDxfId="9" dataCellStyle="Millares" totalsRowCellStyle="Millar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3" displayName="Tabla3" ref="A1:C12" headerRowCount="1" totalsRowCount="1" headerRowBorderDxfId="8" tableBorderDxfId="7" totalsRowBorderDxfId="6">
  <autoFilter ref="A1:C11"/>
  <tableColumns count="3">
    <tableColumn id="1" name="Org. aplic." totalsRowLabel="Total" dataDxfId="5" totalsRowDxfId="4"/>
    <tableColumn id="2" name="Descripción justificante" dataDxfId="3" totalsRowDxfId="2"/>
    <tableColumn id="3" name="Imp. aplic." totalsRowFunction="sum" dataDxfId="1" totalsRowDxfId="0" dataCellStyle="Millares" totalsRow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37"/>
  <sheetViews>
    <sheetView showGridLines="0" zoomScale="120" zoomScaleNormal="120" workbookViewId="0">
      <pane xSplit="1" ySplit="1" topLeftCell="C2" activePane="bottomRight" state="frozen"/>
      <selection pane="topRight" activeCell="B1" sqref="B1"/>
      <selection pane="bottomLeft" activeCell="A2" sqref="A2"/>
      <selection pane="bottomRight" activeCell="C43" sqref="C43"/>
    </sheetView>
  </sheetViews>
  <sheetFormatPr baseColWidth="10" defaultColWidth="10.33203125" defaultRowHeight="10.2"/>
  <cols>
    <col width="5" customWidth="1" style="6" min="1" max="1"/>
    <col width="29.6640625" customWidth="1" style="6" min="2" max="4"/>
    <col width="40.6640625" customWidth="1" style="6" min="5" max="5"/>
    <col width="9.109375" customWidth="1" style="6" min="6" max="6"/>
    <col width="9.6640625" customWidth="1" style="6" min="7" max="7"/>
    <col width="14.44140625" customWidth="1" style="6" min="8" max="8"/>
    <col width="5.88671875" customWidth="1" style="6" min="9" max="9"/>
    <col width="25.6640625" customWidth="1" style="6" min="10" max="10"/>
    <col width="5.109375" customWidth="1" style="6" min="11" max="12"/>
    <col width="4.44140625" customWidth="1" style="6" min="13" max="13"/>
    <col width="4.88671875" customWidth="1" style="6" min="14" max="14"/>
    <col width="4.88671875" customWidth="1" style="7" min="15" max="15"/>
    <col width="4.88671875" customWidth="1" style="6" min="16" max="16"/>
    <col width="3.5546875" customWidth="1" style="7" min="17" max="17"/>
    <col width="3.5546875" customWidth="1" style="6" min="18" max="18"/>
    <col width="5.109375" customWidth="1" style="6" min="19" max="21"/>
    <col width="10.33203125" customWidth="1" style="6" min="22" max="16384"/>
  </cols>
  <sheetData>
    <row r="1" ht="40.8" customHeight="1">
      <c r="A1" s="1" t="inlineStr">
        <is>
          <t>C.D.</t>
        </is>
      </c>
      <c r="B1" s="2" t="inlineStr">
        <is>
          <t>Departamento</t>
        </is>
      </c>
      <c r="C1" s="2" t="inlineStr">
        <is>
          <t>Plan</t>
        </is>
      </c>
      <c r="D1" s="2" t="inlineStr">
        <is>
          <t>Alumno</t>
        </is>
      </c>
      <c r="E1" s="2" t="inlineStr">
        <is>
          <t>Tesis</t>
        </is>
      </c>
      <c r="F1" s="2" t="inlineStr">
        <is>
          <t>Fecha</t>
        </is>
      </c>
      <c r="G1" s="2" t="inlineStr">
        <is>
          <t>Tutor</t>
        </is>
      </c>
      <c r="H1" s="2" t="inlineStr">
        <is>
          <t>Rol</t>
        </is>
      </c>
      <c r="I1" s="1" t="inlineStr">
        <is>
          <t>C.DEP.</t>
        </is>
      </c>
      <c r="J1" s="2" t="inlineStr">
        <is>
          <t>Departamento Tutor</t>
        </is>
      </c>
      <c r="K1" s="1" t="inlineStr">
        <is>
          <t>ASIGNACIÓN</t>
        </is>
      </c>
      <c r="L1" s="2" t="inlineStr">
        <is>
          <t>DEP.ASIG.</t>
        </is>
      </c>
      <c r="M1" s="3" t="inlineStr">
        <is>
          <t>EJERCICIO</t>
        </is>
      </c>
      <c r="N1" s="4" t="inlineStr">
        <is>
          <t>INS 1</t>
        </is>
      </c>
      <c r="O1" s="5" t="inlineStr">
        <is>
          <t>DED INS 1</t>
        </is>
      </c>
      <c r="P1" s="4" t="inlineStr">
        <is>
          <t>INS 2</t>
        </is>
      </c>
      <c r="Q1" s="5" t="inlineStr">
        <is>
          <t>DED INS 2</t>
        </is>
      </c>
      <c r="R1" s="4" t="inlineStr">
        <is>
          <t>DED DEP</t>
        </is>
      </c>
      <c r="S1" s="4" t="inlineStr">
        <is>
          <t>TDOC DEP</t>
        </is>
      </c>
      <c r="T1" s="4" t="inlineStr">
        <is>
          <t>TDOC INST 1</t>
        </is>
      </c>
      <c r="U1" s="4" t="inlineStr">
        <is>
          <t>TDOC INST 2</t>
        </is>
      </c>
    </row>
    <row r="2">
      <c r="A2" s="21" t="inlineStr">
        <is>
          <t xml:space="preserve">U045 </t>
        </is>
      </c>
      <c r="B2" s="21" t="inlineStr">
        <is>
          <t xml:space="preserve">ADM. I.U. DE ELECTROQUÍMICA </t>
        </is>
      </c>
      <c r="C2" s="21" t="inlineStr">
        <is>
          <t xml:space="preserve">DOCTORADO EN ELECTROQUÍMICA. CIENCIA Y TECNOLOGÍA </t>
        </is>
      </c>
      <c r="D2" s="21" t="inlineStr">
        <is>
          <t xml:space="preserve">Sanjuán Moltó, Ignacio </t>
        </is>
      </c>
      <c r="E2" s="21" t="inlineStr">
        <is>
          <t xml:space="preserve">"Treatment of the reject water from an Electrodialysis Reversal plant by electrochemical methods" </t>
        </is>
      </c>
      <c r="F2" s="21" t="inlineStr">
        <is>
          <t xml:space="preserve">28/07/2020 </t>
        </is>
      </c>
      <c r="G2" s="21" t="inlineStr">
        <is>
          <t xml:space="preserve">21434493B </t>
        </is>
      </c>
      <c r="H2" s="21" t="inlineStr">
        <is>
          <t xml:space="preserve">Codirector de tesis </t>
        </is>
      </c>
      <c r="I2" s="21" t="inlineStr">
        <is>
          <t xml:space="preserve">B128 </t>
        </is>
      </c>
      <c r="J2" s="21" t="inlineStr">
        <is>
          <t xml:space="preserve">QUÍMICA FÍSICA </t>
        </is>
      </c>
      <c r="K2" s="72" t="n">
        <v>0.5</v>
      </c>
      <c r="L2" s="21" t="inlineStr">
        <is>
          <t>B128</t>
        </is>
      </c>
      <c r="M2" s="21" t="n">
        <v>2019</v>
      </c>
      <c r="N2" s="21" t="inlineStr">
        <is>
          <t>10.12</t>
        </is>
      </c>
      <c r="O2" s="22" t="inlineStr">
        <is>
          <t>50</t>
        </is>
      </c>
      <c r="P2" s="21" t="inlineStr"/>
      <c r="Q2" s="22" t="inlineStr"/>
      <c r="R2" s="23" t="n">
        <v>50</v>
      </c>
      <c r="S2" s="73" t="n">
        <v>0.25</v>
      </c>
      <c r="T2" s="73" t="n">
        <v>0.25</v>
      </c>
      <c r="U2" s="73" t="n">
        <v>0</v>
      </c>
    </row>
    <row r="3">
      <c r="A3" s="21" t="inlineStr">
        <is>
          <t xml:space="preserve">U045 </t>
        </is>
      </c>
      <c r="B3" s="21" t="inlineStr">
        <is>
          <t xml:space="preserve">ADM. I.U. DE ELECTROQUÍMICA </t>
        </is>
      </c>
      <c r="C3" s="21" t="inlineStr">
        <is>
          <t xml:space="preserve">DOCTORADO EN ELECTROQUÍMICA. CIENCIA Y TECNOLOGÍA </t>
        </is>
      </c>
      <c r="D3" s="21" t="inlineStr">
        <is>
          <t xml:space="preserve">Boronat González, Ana </t>
        </is>
      </c>
      <c r="E3" s="21" t="inlineStr">
        <is>
          <t xml:space="preserve">EFECTOS DE LA ESTRUCTURA SUPERFICIAL EN REACCIONES ASOCIADAS A PILAS DE COMBUSTIBLE </t>
        </is>
      </c>
      <c r="F3" s="21" t="inlineStr">
        <is>
          <t xml:space="preserve">14/02/2020 </t>
        </is>
      </c>
      <c r="G3" s="21" t="inlineStr">
        <is>
          <t xml:space="preserve">21470777R </t>
        </is>
      </c>
      <c r="H3" s="21" t="inlineStr">
        <is>
          <t xml:space="preserve">Director de tesis </t>
        </is>
      </c>
      <c r="I3" s="21" t="inlineStr">
        <is>
          <t xml:space="preserve">B128 </t>
        </is>
      </c>
      <c r="J3" s="21" t="inlineStr">
        <is>
          <t xml:space="preserve">QUÍMICA FÍSICA </t>
        </is>
      </c>
      <c r="K3" s="72" t="n">
        <v>1</v>
      </c>
      <c r="L3" s="21" t="inlineStr">
        <is>
          <t>B128</t>
        </is>
      </c>
      <c r="M3" s="21" t="n">
        <v>2019</v>
      </c>
      <c r="N3" s="21" t="inlineStr">
        <is>
          <t>10.12</t>
        </is>
      </c>
      <c r="O3" s="22" t="inlineStr">
        <is>
          <t>50</t>
        </is>
      </c>
      <c r="P3" s="21" t="inlineStr"/>
      <c r="Q3" s="22" t="inlineStr"/>
      <c r="R3" s="23" t="n">
        <v>50</v>
      </c>
      <c r="S3" s="73" t="n">
        <v>0.5</v>
      </c>
      <c r="T3" s="73" t="n">
        <v>0.5</v>
      </c>
      <c r="U3" s="73" t="n">
        <v>0</v>
      </c>
    </row>
    <row r="4">
      <c r="A4" s="21" t="inlineStr">
        <is>
          <t xml:space="preserve">U045 </t>
        </is>
      </c>
      <c r="B4" s="21" t="inlineStr">
        <is>
          <t xml:space="preserve">ADM. I.U. DE ELECTROQUÍMICA </t>
        </is>
      </c>
      <c r="C4" s="21" t="inlineStr">
        <is>
          <t xml:space="preserve">DOCTORADO EN ELECTROQUÍMICA. CIENCIA Y TECNOLOGÍA </t>
        </is>
      </c>
      <c r="D4" s="21" t="inlineStr">
        <is>
          <t xml:space="preserve">Briega Martos, Valentín </t>
        </is>
      </c>
      <c r="E4" s="21" t="inlineStr">
        <is>
          <t xml:space="preserve">Unraveling the oxygen reduction reaction mechanism: occurrence of a bifurcation point before hydrogen peroxide formation </t>
        </is>
      </c>
      <c r="F4" s="21" t="inlineStr">
        <is>
          <t xml:space="preserve">25/10/2019 </t>
        </is>
      </c>
      <c r="G4" s="21" t="inlineStr">
        <is>
          <t xml:space="preserve">21372220E </t>
        </is>
      </c>
      <c r="H4" s="21" t="inlineStr">
        <is>
          <t xml:space="preserve">Codirector de tesis </t>
        </is>
      </c>
      <c r="I4" s="21" t="inlineStr">
        <is>
          <t xml:space="preserve">B128 </t>
        </is>
      </c>
      <c r="J4" s="21" t="inlineStr">
        <is>
          <t xml:space="preserve">QUÍMICA FÍSICA </t>
        </is>
      </c>
      <c r="K4" s="72" t="n">
        <v>0.5</v>
      </c>
      <c r="L4" s="21" t="inlineStr">
        <is>
          <t>B128</t>
        </is>
      </c>
      <c r="M4" s="21" t="n">
        <v>2019</v>
      </c>
      <c r="N4" s="21" t="inlineStr">
        <is>
          <t>10.12</t>
        </is>
      </c>
      <c r="O4" s="22" t="inlineStr">
        <is>
          <t>50</t>
        </is>
      </c>
      <c r="P4" s="21" t="inlineStr"/>
      <c r="Q4" s="22" t="inlineStr"/>
      <c r="R4" s="23" t="n">
        <v>50</v>
      </c>
      <c r="S4" s="73" t="n">
        <v>0.25</v>
      </c>
      <c r="T4" s="73" t="n">
        <v>0.25</v>
      </c>
      <c r="U4" s="73" t="n">
        <v>0</v>
      </c>
    </row>
    <row r="5">
      <c r="A5" s="21" t="inlineStr">
        <is>
          <t xml:space="preserve">U045 </t>
        </is>
      </c>
      <c r="B5" s="21" t="inlineStr">
        <is>
          <t xml:space="preserve">ADM. I.U. DE ELECTROQUÍMICA </t>
        </is>
      </c>
      <c r="C5" s="21" t="inlineStr">
        <is>
          <t xml:space="preserve">DOCTORADO EN ELECTROQUÍMICA. CIENCIA Y TECNOLOGÍA </t>
        </is>
      </c>
      <c r="D5" s="21" t="inlineStr">
        <is>
          <t xml:space="preserve">Briega Martos, Valentín </t>
        </is>
      </c>
      <c r="E5" s="21" t="inlineStr">
        <is>
          <t xml:space="preserve">Unraveling the oxygen reduction reaction mechanism: occurrence of a bifurcation point before hydrogen peroxide formation </t>
        </is>
      </c>
      <c r="F5" s="21" t="inlineStr">
        <is>
          <t xml:space="preserve">25/10/2019 </t>
        </is>
      </c>
      <c r="G5" s="21" t="inlineStr">
        <is>
          <t xml:space="preserve">21470777R </t>
        </is>
      </c>
      <c r="H5" s="21" t="inlineStr">
        <is>
          <t xml:space="preserve">Codirector de tesis </t>
        </is>
      </c>
      <c r="I5" s="21" t="inlineStr">
        <is>
          <t xml:space="preserve">B128 </t>
        </is>
      </c>
      <c r="J5" s="21" t="inlineStr">
        <is>
          <t xml:space="preserve">QUÍMICA FÍSICA </t>
        </is>
      </c>
      <c r="K5" s="72" t="n">
        <v>0.5</v>
      </c>
      <c r="L5" s="21" t="inlineStr">
        <is>
          <t>B128</t>
        </is>
      </c>
      <c r="M5" s="21" t="n">
        <v>2019</v>
      </c>
      <c r="N5" s="21" t="inlineStr">
        <is>
          <t>10.12</t>
        </is>
      </c>
      <c r="O5" s="22" t="inlineStr">
        <is>
          <t>50</t>
        </is>
      </c>
      <c r="P5" s="21" t="inlineStr"/>
      <c r="Q5" s="22" t="inlineStr"/>
      <c r="R5" s="23" t="n">
        <v>50</v>
      </c>
      <c r="S5" s="73" t="n">
        <v>0.25</v>
      </c>
      <c r="T5" s="73" t="n">
        <v>0.25</v>
      </c>
      <c r="U5" s="73" t="n">
        <v>0</v>
      </c>
    </row>
    <row r="6">
      <c r="A6" s="21" t="inlineStr">
        <is>
          <t xml:space="preserve">U052 </t>
        </is>
      </c>
      <c r="B6" s="21" t="inlineStr">
        <is>
          <t xml:space="preserve">ADM. I.U. DE MATERIALES </t>
        </is>
      </c>
      <c r="C6" s="21" t="inlineStr">
        <is>
          <t xml:space="preserve">DOCTORADO EN CIENCIA DE MATERIALES </t>
        </is>
      </c>
      <c r="D6" s="21" t="inlineStr">
        <is>
          <t xml:space="preserve">Quintero Jaime, Andrés Felipe </t>
        </is>
      </c>
      <c r="E6" s="21" t="inlineStr">
        <is>
          <t xml:space="preserve">Electrochemical functionalization of nanostructured carbon materials for bioelectrochemical applications </t>
        </is>
      </c>
      <c r="F6" s="21" t="inlineStr">
        <is>
          <t xml:space="preserve">22/07/2020 </t>
        </is>
      </c>
      <c r="G6" s="21" t="inlineStr">
        <is>
          <t xml:space="preserve">21462156M </t>
        </is>
      </c>
      <c r="H6" s="21" t="inlineStr">
        <is>
          <t xml:space="preserve">Codirector de tesis </t>
        </is>
      </c>
      <c r="I6" s="21" t="inlineStr">
        <is>
          <t xml:space="preserve">B128 </t>
        </is>
      </c>
      <c r="J6" s="21" t="inlineStr">
        <is>
          <t xml:space="preserve">QUÍMICA FÍSICA </t>
        </is>
      </c>
      <c r="K6" s="72" t="n">
        <v>0.5</v>
      </c>
      <c r="L6" s="21" t="inlineStr">
        <is>
          <t>B128</t>
        </is>
      </c>
      <c r="M6" s="21" t="n">
        <v>2019</v>
      </c>
      <c r="N6" s="21" t="inlineStr">
        <is>
          <t>10.14</t>
        </is>
      </c>
      <c r="O6" s="22" t="inlineStr">
        <is>
          <t>50</t>
        </is>
      </c>
      <c r="P6" s="21" t="inlineStr"/>
      <c r="Q6" s="22" t="inlineStr"/>
      <c r="R6" s="23" t="n">
        <v>50</v>
      </c>
      <c r="S6" s="73" t="n">
        <v>0.25</v>
      </c>
      <c r="T6" s="73" t="n">
        <v>0.25</v>
      </c>
      <c r="U6" s="73" t="n">
        <v>0</v>
      </c>
    </row>
    <row r="7">
      <c r="A7" s="21" t="inlineStr">
        <is>
          <t xml:space="preserve">U052 </t>
        </is>
      </c>
      <c r="B7" s="21" t="inlineStr">
        <is>
          <t xml:space="preserve">ADM. I.U. DE MATERIALES </t>
        </is>
      </c>
      <c r="C7" s="21" t="inlineStr">
        <is>
          <t xml:space="preserve">DOCTORADO EN CIENCIA DE MATERIALES </t>
        </is>
      </c>
      <c r="D7" s="21" t="inlineStr">
        <is>
          <t xml:space="preserve">Quílez Bermejo, Javier </t>
        </is>
      </c>
      <c r="E7" s="21" t="inlineStr">
        <is>
          <t xml:space="preserve">Design of N-doped carbon materials for ORR electrocatalysts through the combination of computational modelling and chemical synthesis </t>
        </is>
      </c>
      <c r="F7" s="21" t="inlineStr">
        <is>
          <t xml:space="preserve">04/09/2020 </t>
        </is>
      </c>
      <c r="G7" s="21" t="inlineStr">
        <is>
          <t xml:space="preserve">21462156M </t>
        </is>
      </c>
      <c r="H7" s="21" t="inlineStr">
        <is>
          <t xml:space="preserve">Codirector de tesis </t>
        </is>
      </c>
      <c r="I7" s="21" t="inlineStr">
        <is>
          <t xml:space="preserve">B128 </t>
        </is>
      </c>
      <c r="J7" s="21" t="inlineStr">
        <is>
          <t xml:space="preserve">QUÍMICA FÍSICA </t>
        </is>
      </c>
      <c r="K7" s="72" t="n">
        <v>0.5</v>
      </c>
      <c r="L7" s="21" t="inlineStr">
        <is>
          <t>B128</t>
        </is>
      </c>
      <c r="M7" s="21" t="n">
        <v>2019</v>
      </c>
      <c r="N7" s="21" t="inlineStr">
        <is>
          <t>10.14</t>
        </is>
      </c>
      <c r="O7" s="22" t="inlineStr">
        <is>
          <t>50</t>
        </is>
      </c>
      <c r="P7" s="21" t="inlineStr"/>
      <c r="Q7" s="22" t="inlineStr"/>
      <c r="R7" s="23" t="n">
        <v>50</v>
      </c>
      <c r="S7" s="73" t="n">
        <v>0.25</v>
      </c>
      <c r="T7" s="73" t="n">
        <v>0.25</v>
      </c>
      <c r="U7" s="73" t="n">
        <v>0</v>
      </c>
    </row>
    <row r="8" ht="10.8" customHeight="1" thickBot="1">
      <c r="A8" s="19" t="inlineStr">
        <is>
          <t xml:space="preserve">U052 </t>
        </is>
      </c>
      <c r="B8" s="19" t="inlineStr">
        <is>
          <t xml:space="preserve">ADM. I.U. DE MATERIALES </t>
        </is>
      </c>
      <c r="C8" s="19" t="inlineStr">
        <is>
          <t xml:space="preserve">DOCTORADO EN CIENCIA DE MATERIALES </t>
        </is>
      </c>
      <c r="D8" s="19" t="inlineStr">
        <is>
          <t xml:space="preserve">Quiñonero Aliaga, Javier </t>
        </is>
      </c>
      <c r="E8" s="19" t="inlineStr">
        <is>
          <t xml:space="preserve">"Improving the photoelectrochemical activity of photoelectrodes through Surface engineering: systematic electrocatalysis and co-catalysis studies¿. </t>
        </is>
      </c>
      <c r="F8" s="19" t="inlineStr">
        <is>
          <t xml:space="preserve">16/12/2020 </t>
        </is>
      </c>
      <c r="G8" s="19" t="inlineStr">
        <is>
          <t xml:space="preserve">22008840W </t>
        </is>
      </c>
      <c r="H8" s="19" t="inlineStr">
        <is>
          <t xml:space="preserve">Director de tesis </t>
        </is>
      </c>
      <c r="I8" s="19" t="inlineStr">
        <is>
          <t xml:space="preserve">B128 </t>
        </is>
      </c>
      <c r="J8" s="19" t="inlineStr">
        <is>
          <t xml:space="preserve">QUÍMICA FÍSICA </t>
        </is>
      </c>
      <c r="K8" s="29" t="n">
        <v>1</v>
      </c>
      <c r="L8" s="29" t="inlineStr">
        <is>
          <t>B128</t>
        </is>
      </c>
      <c r="M8" s="31" t="n">
        <v>2019</v>
      </c>
      <c r="N8" s="19" t="inlineStr">
        <is>
          <t>10.12</t>
        </is>
      </c>
      <c r="O8" s="20" t="n">
        <v>50</v>
      </c>
      <c r="P8" s="19" t="inlineStr"/>
      <c r="Q8" s="20" t="n">
        <v>0</v>
      </c>
      <c r="R8" s="19" t="n">
        <v>50</v>
      </c>
      <c r="S8" s="19" t="n">
        <v>0.5</v>
      </c>
      <c r="T8" s="19" t="n">
        <v>0.5</v>
      </c>
      <c r="U8" s="19" t="n">
        <v>0</v>
      </c>
    </row>
    <row r="9" ht="10.8" customHeight="1" thickBot="1">
      <c r="A9" s="25" t="inlineStr">
        <is>
          <t xml:space="preserve">U045 </t>
        </is>
      </c>
      <c r="B9" s="25" t="inlineStr">
        <is>
          <t xml:space="preserve">ADM. I.U. DE ELECTROQUÍMICA </t>
        </is>
      </c>
      <c r="C9" s="25" t="inlineStr">
        <is>
          <t xml:space="preserve">DOCTORADO EN ELECTROQUÍMICA. CIENCIA Y TECNOLOGÍA </t>
        </is>
      </c>
      <c r="D9" s="25" t="inlineStr">
        <is>
          <t xml:space="preserve">Sarabia Gambín, Francisco José </t>
        </is>
      </c>
      <c r="E9" s="25" t="inlineStr">
        <is>
          <t xml:space="preserve">Interfacial studies of Pt and Cu single-crystal electrodes modified by transition metal deposition </t>
        </is>
      </c>
      <c r="F9" s="25" t="inlineStr">
        <is>
          <t xml:space="preserve">05/02/2021 </t>
        </is>
      </c>
      <c r="G9" s="26" t="inlineStr">
        <is>
          <t xml:space="preserve">21511645K </t>
        </is>
      </c>
      <c r="H9" s="27" t="inlineStr">
        <is>
          <t xml:space="preserve">Codirector de tesis </t>
        </is>
      </c>
      <c r="I9" s="27" t="inlineStr">
        <is>
          <t xml:space="preserve">B128 </t>
        </is>
      </c>
      <c r="J9" s="28" t="inlineStr">
        <is>
          <t xml:space="preserve">QUÍMICA FÍSICA </t>
        </is>
      </c>
      <c r="K9" s="29" t="n">
        <v>0.5</v>
      </c>
      <c r="L9" s="29" t="inlineStr">
        <is>
          <t>B128</t>
        </is>
      </c>
      <c r="M9" s="19" t="n">
        <v>2020</v>
      </c>
      <c r="N9" s="19" t="inlineStr">
        <is>
          <t>10.12</t>
        </is>
      </c>
      <c r="O9" s="20" t="n">
        <v>50</v>
      </c>
      <c r="P9" s="19" t="inlineStr"/>
      <c r="Q9" s="20" t="n">
        <v>0</v>
      </c>
      <c r="R9" s="19" t="n">
        <v>50</v>
      </c>
      <c r="S9" s="19" t="n">
        <v>0.25</v>
      </c>
      <c r="T9" s="19" t="n">
        <v>0.25</v>
      </c>
      <c r="U9" s="19" t="n">
        <v>0</v>
      </c>
    </row>
    <row r="10" ht="10.8" customHeight="1" thickBot="1">
      <c r="A10" s="25" t="inlineStr">
        <is>
          <t xml:space="preserve">U045 </t>
        </is>
      </c>
      <c r="B10" s="25" t="inlineStr">
        <is>
          <t xml:space="preserve">ADM. I.U. DE ELECTROQUÍMICA </t>
        </is>
      </c>
      <c r="C10" s="25" t="inlineStr">
        <is>
          <t xml:space="preserve">DOCTORADO EN ELECTROQUÍMICA. CIENCIA Y TECNOLOGÍA </t>
        </is>
      </c>
      <c r="D10" s="25" t="inlineStr">
        <is>
          <t xml:space="preserve">Sarabia Gambín, Francisco José </t>
        </is>
      </c>
      <c r="E10" s="25" t="inlineStr">
        <is>
          <t xml:space="preserve">Interfacial studies of Pt and Cu single-crystal electrodes modified by transition metal deposition </t>
        </is>
      </c>
      <c r="F10" s="25" t="inlineStr">
        <is>
          <t xml:space="preserve">05/02/2021 </t>
        </is>
      </c>
      <c r="G10" s="26" t="inlineStr">
        <is>
          <t xml:space="preserve">21372220E </t>
        </is>
      </c>
      <c r="H10" s="27" t="inlineStr">
        <is>
          <t xml:space="preserve">Codirector de tesis </t>
        </is>
      </c>
      <c r="I10" s="27" t="inlineStr">
        <is>
          <t xml:space="preserve">B128 </t>
        </is>
      </c>
      <c r="J10" s="28" t="inlineStr">
        <is>
          <t xml:space="preserve">QUÍMICA FÍSICA </t>
        </is>
      </c>
      <c r="K10" s="29" t="n">
        <v>0.5</v>
      </c>
      <c r="L10" s="29" t="inlineStr">
        <is>
          <t>B128</t>
        </is>
      </c>
      <c r="M10" s="19" t="n">
        <v>2020</v>
      </c>
      <c r="N10" s="19" t="inlineStr"/>
      <c r="O10" s="20" t="inlineStr"/>
      <c r="P10" s="19" t="inlineStr"/>
      <c r="Q10" s="20" t="inlineStr"/>
      <c r="R10" s="19" t="n">
        <v>100</v>
      </c>
      <c r="S10" s="19" t="n">
        <v>0.5</v>
      </c>
      <c r="T10" s="19" t="n">
        <v>0</v>
      </c>
      <c r="U10" s="19" t="n">
        <v>0</v>
      </c>
    </row>
    <row r="11" ht="10.8" customHeight="1" thickBot="1">
      <c r="A11" s="25" t="inlineStr">
        <is>
          <t xml:space="preserve">U052 </t>
        </is>
      </c>
      <c r="B11" s="25" t="inlineStr">
        <is>
          <t xml:space="preserve">ADM. I.U. DE MATERIALES </t>
        </is>
      </c>
      <c r="C11" s="25" t="inlineStr">
        <is>
          <t xml:space="preserve">DOCTORADO EN CIENCIA DE MATERIALES </t>
        </is>
      </c>
      <c r="D11" s="25" t="inlineStr">
        <is>
          <t xml:space="preserve">Merino González, Camilo </t>
        </is>
      </c>
      <c r="E11" s="25" t="inlineStr">
        <is>
          <t xml:space="preserve">Diseño y prototipo de supercondensador asimétrico en electrolito acuoso basado en materiales carbonosos </t>
        </is>
      </c>
      <c r="F11" s="25" t="inlineStr">
        <is>
          <t xml:space="preserve">18/01/2021 </t>
        </is>
      </c>
      <c r="G11" s="26" t="inlineStr">
        <is>
          <t xml:space="preserve">21462156M </t>
        </is>
      </c>
      <c r="H11" s="27" t="inlineStr">
        <is>
          <t xml:space="preserve">Codirector de tesis </t>
        </is>
      </c>
      <c r="I11" s="27" t="inlineStr">
        <is>
          <t xml:space="preserve">B128 </t>
        </is>
      </c>
      <c r="J11" s="28" t="inlineStr">
        <is>
          <t xml:space="preserve">QUÍMICA FÍSICA </t>
        </is>
      </c>
      <c r="K11" s="29" t="n">
        <v>0.5</v>
      </c>
      <c r="L11" s="29" t="inlineStr">
        <is>
          <t>B128</t>
        </is>
      </c>
      <c r="M11" s="19" t="n">
        <v>2020</v>
      </c>
      <c r="N11" s="19" t="inlineStr">
        <is>
          <t>10.14</t>
        </is>
      </c>
      <c r="O11" s="20" t="n">
        <v>50</v>
      </c>
      <c r="P11" s="19" t="inlineStr"/>
      <c r="Q11" s="20" t="n">
        <v>0</v>
      </c>
      <c r="R11" s="19" t="n">
        <v>50</v>
      </c>
      <c r="S11" s="19" t="n">
        <v>0.25</v>
      </c>
      <c r="T11" s="19" t="n">
        <v>0.25</v>
      </c>
      <c r="U11" s="19" t="n">
        <v>0</v>
      </c>
    </row>
    <row r="12" ht="10.8" customHeight="1" thickBot="1">
      <c r="A12" s="25" t="inlineStr">
        <is>
          <t xml:space="preserve">U052 </t>
        </is>
      </c>
      <c r="B12" s="25" t="inlineStr">
        <is>
          <t xml:space="preserve">ADM. I.U. DE MATERIALES </t>
        </is>
      </c>
      <c r="C12" s="25" t="inlineStr">
        <is>
          <t xml:space="preserve">DOCTORADO EN CIENCIA DE MATERIALES </t>
        </is>
      </c>
      <c r="D12" s="25" t="inlineStr">
        <is>
          <t xml:space="preserve">Ortiz Cano, Ricardo </t>
        </is>
      </c>
      <c r="E12" s="25" t="inlineStr">
        <is>
          <t xml:space="preserve">Electronic and spin properties of open-shell nanographenes </t>
        </is>
      </c>
      <c r="F12" s="25" t="inlineStr">
        <is>
          <t xml:space="preserve">29/09/2021 </t>
        </is>
      </c>
      <c r="G12" s="26" t="inlineStr">
        <is>
          <t xml:space="preserve">52770995W </t>
        </is>
      </c>
      <c r="H12" s="27" t="inlineStr">
        <is>
          <t xml:space="preserve">Codirector de tesis </t>
        </is>
      </c>
      <c r="I12" s="27" t="inlineStr">
        <is>
          <t xml:space="preserve">B128 </t>
        </is>
      </c>
      <c r="J12" s="28" t="inlineStr">
        <is>
          <t xml:space="preserve">QUÍMICA FÍSICA </t>
        </is>
      </c>
      <c r="K12" s="29" t="n">
        <v>0.5</v>
      </c>
      <c r="L12" s="29" t="inlineStr">
        <is>
          <t>B128</t>
        </is>
      </c>
      <c r="M12" s="19" t="n">
        <v>2020</v>
      </c>
      <c r="N12" s="19" t="inlineStr">
        <is>
          <t>10.14</t>
        </is>
      </c>
      <c r="O12" s="20" t="n">
        <v>50</v>
      </c>
      <c r="P12" s="19" t="inlineStr"/>
      <c r="Q12" s="20" t="n">
        <v>0</v>
      </c>
      <c r="R12" s="19" t="n">
        <v>50</v>
      </c>
      <c r="S12" s="19" t="n">
        <v>0.25</v>
      </c>
      <c r="T12" s="19" t="n">
        <v>0.25</v>
      </c>
      <c r="U12" s="19" t="n">
        <v>0</v>
      </c>
    </row>
    <row r="13" ht="10.8" customHeight="1" thickBot="1">
      <c r="A13" s="25" t="inlineStr">
        <is>
          <t xml:space="preserve">U052 </t>
        </is>
      </c>
      <c r="B13" s="25" t="inlineStr">
        <is>
          <t xml:space="preserve">ADM. I.U. DE MATERIALES </t>
        </is>
      </c>
      <c r="C13" s="25" t="inlineStr">
        <is>
          <t xml:space="preserve">DOCTORADO EN CIENCIA DE MATERIALES </t>
        </is>
      </c>
      <c r="D13" s="25" t="inlineStr">
        <is>
          <t xml:space="preserve">Ortega Murcia, Alejandro </t>
        </is>
      </c>
      <c r="E13" s="25" t="inlineStr">
        <is>
          <t xml:space="preserve">Preparación y caracterización de (electro)catalizadores basados en nanopartículas de paladio soportadas sobre materiales de carbón </t>
        </is>
      </c>
      <c r="F13" s="25" t="inlineStr">
        <is>
          <t xml:space="preserve">22/03/2021 </t>
        </is>
      </c>
      <c r="G13" s="26" t="inlineStr">
        <is>
          <t xml:space="preserve">21462156M </t>
        </is>
      </c>
      <c r="H13" s="27" t="inlineStr">
        <is>
          <t xml:space="preserve">Codirector de tesis </t>
        </is>
      </c>
      <c r="I13" s="27" t="inlineStr">
        <is>
          <t xml:space="preserve">B128 </t>
        </is>
      </c>
      <c r="J13" s="28" t="inlineStr">
        <is>
          <t xml:space="preserve">QUÍMICA FÍSICA </t>
        </is>
      </c>
      <c r="K13" s="29" t="n">
        <v>0.5</v>
      </c>
      <c r="L13" s="29" t="inlineStr">
        <is>
          <t>B128</t>
        </is>
      </c>
      <c r="M13" s="19" t="n">
        <v>2020</v>
      </c>
      <c r="N13" s="19" t="inlineStr">
        <is>
          <t>10.14</t>
        </is>
      </c>
      <c r="O13" s="20" t="n">
        <v>50</v>
      </c>
      <c r="P13" s="19" t="inlineStr"/>
      <c r="Q13" s="20" t="n">
        <v>0</v>
      </c>
      <c r="R13" s="19" t="n">
        <v>50</v>
      </c>
      <c r="S13" s="19" t="n">
        <v>0.25</v>
      </c>
      <c r="T13" s="19" t="n">
        <v>0.25</v>
      </c>
      <c r="U13" s="19" t="n">
        <v>0</v>
      </c>
    </row>
    <row r="14" ht="10.8" customHeight="1" thickBot="1">
      <c r="A14" s="25" t="inlineStr">
        <is>
          <t xml:space="preserve">U052 </t>
        </is>
      </c>
      <c r="B14" s="25" t="inlineStr">
        <is>
          <t xml:space="preserve">ADM. I.U. DE MATERIALES </t>
        </is>
      </c>
      <c r="C14" s="25" t="inlineStr">
        <is>
          <t xml:space="preserve">DOCTORADO EN CIENCIA DE MATERIALES </t>
        </is>
      </c>
      <c r="D14" s="25" t="inlineStr">
        <is>
          <t xml:space="preserve">Ferrández Gómez, Borja </t>
        </is>
      </c>
      <c r="E14" s="25" t="inlineStr">
        <is>
          <t xml:space="preserve">Regeneración electroquímica de carbón activado usado en plantas potabilizadoras de agua: escalado, optimización y validación de prototipos </t>
        </is>
      </c>
      <c r="F14" s="25" t="inlineStr">
        <is>
          <t xml:space="preserve">17/09/2021 </t>
        </is>
      </c>
      <c r="G14" s="26" t="inlineStr">
        <is>
          <t xml:space="preserve">21462156M </t>
        </is>
      </c>
      <c r="H14" s="27" t="inlineStr">
        <is>
          <t xml:space="preserve">Codirector de tesis </t>
        </is>
      </c>
      <c r="I14" s="27" t="inlineStr">
        <is>
          <t xml:space="preserve">B128 </t>
        </is>
      </c>
      <c r="J14" s="28" t="inlineStr">
        <is>
          <t xml:space="preserve">QUÍMICA FÍSICA </t>
        </is>
      </c>
      <c r="K14" s="29" t="n">
        <v>0.5</v>
      </c>
      <c r="L14" s="29" t="inlineStr">
        <is>
          <t>B128</t>
        </is>
      </c>
      <c r="M14" s="19" t="n">
        <v>2020</v>
      </c>
      <c r="N14" s="19" t="inlineStr">
        <is>
          <t>10.14</t>
        </is>
      </c>
      <c r="O14" s="20" t="n">
        <v>50</v>
      </c>
      <c r="P14" s="19" t="inlineStr"/>
      <c r="Q14" s="20" t="n">
        <v>0</v>
      </c>
      <c r="R14" s="19" t="n">
        <v>50</v>
      </c>
      <c r="S14" s="19" t="n">
        <v>0.25</v>
      </c>
      <c r="T14" s="19" t="n">
        <v>0.25</v>
      </c>
      <c r="U14" s="19" t="n">
        <v>0</v>
      </c>
    </row>
    <row r="15" ht="10.8" customHeight="1" thickBot="1">
      <c r="A15" s="25" t="inlineStr">
        <is>
          <t xml:space="preserve">U052 </t>
        </is>
      </c>
      <c r="B15" s="25" t="inlineStr">
        <is>
          <t xml:space="preserve">ADM. I.U. DE MATERIALES </t>
        </is>
      </c>
      <c r="C15" s="25" t="inlineStr">
        <is>
          <t xml:space="preserve">DOCTORADO EN CIENCIA DE MATERIALES </t>
        </is>
      </c>
      <c r="D15" s="25" t="inlineStr">
        <is>
          <t xml:space="preserve">Flores Lasluisa, Jhony Xavier </t>
        </is>
      </c>
      <c r="E15" s="25" t="inlineStr">
        <is>
          <t xml:space="preserve">Síntesis de electrocatalizadores basados en perovskitas, espinelas y materiales carbonosos para reacciones de almacenamiento y producción de energía </t>
        </is>
      </c>
      <c r="F15" s="25" t="inlineStr">
        <is>
          <t xml:space="preserve">11/06/2021 </t>
        </is>
      </c>
      <c r="G15" s="26" t="inlineStr">
        <is>
          <t xml:space="preserve">21462156M </t>
        </is>
      </c>
      <c r="H15" s="27" t="inlineStr">
        <is>
          <t xml:space="preserve">Codirector de tesis </t>
        </is>
      </c>
      <c r="I15" s="27" t="inlineStr">
        <is>
          <t xml:space="preserve">B128 </t>
        </is>
      </c>
      <c r="J15" s="28" t="inlineStr">
        <is>
          <t xml:space="preserve">QUÍMICA FÍSICA </t>
        </is>
      </c>
      <c r="K15" s="29" t="n">
        <v>0.5</v>
      </c>
      <c r="L15" s="29" t="inlineStr">
        <is>
          <t>B128</t>
        </is>
      </c>
      <c r="M15" s="19" t="n">
        <v>2020</v>
      </c>
      <c r="N15" s="19" t="inlineStr">
        <is>
          <t>10.14</t>
        </is>
      </c>
      <c r="O15" s="20" t="n">
        <v>50</v>
      </c>
      <c r="P15" s="19" t="inlineStr"/>
      <c r="Q15" s="20" t="n">
        <v>0</v>
      </c>
      <c r="R15" s="19" t="n">
        <v>50</v>
      </c>
      <c r="S15" s="19" t="n">
        <v>0.25</v>
      </c>
      <c r="T15" s="19" t="n">
        <v>0.25</v>
      </c>
      <c r="U15" s="19" t="n">
        <v>0</v>
      </c>
    </row>
    <row r="16">
      <c r="A16" s="19" t="inlineStr">
        <is>
          <t xml:space="preserve">U052 </t>
        </is>
      </c>
      <c r="B16" s="19" t="inlineStr">
        <is>
          <t xml:space="preserve">ADM. I.U. DE MATERIALES </t>
        </is>
      </c>
      <c r="C16" s="19" t="inlineStr">
        <is>
          <t xml:space="preserve">DOCTORADO EN CIENCIA DE MATERIALES </t>
        </is>
      </c>
      <c r="D16" s="19" t="inlineStr">
        <is>
          <t xml:space="preserve">Kedir , Chahineze Nawel </t>
        </is>
      </c>
      <c r="E16" s="19" t="inlineStr">
        <is>
          <t xml:space="preserve">Synthesis of polyaniline-based conducting polymer and their hydrogels. Electrochemical applications </t>
        </is>
      </c>
      <c r="F16" s="19" t="inlineStr">
        <is>
          <t xml:space="preserve">17/01/2022 </t>
        </is>
      </c>
      <c r="G16" s="19" t="inlineStr">
        <is>
          <t xml:space="preserve">21462156M </t>
        </is>
      </c>
      <c r="H16" s="19" t="inlineStr">
        <is>
          <t xml:space="preserve">Codirector de tesis </t>
        </is>
      </c>
      <c r="I16" s="19" t="inlineStr">
        <is>
          <t xml:space="preserve">B128 </t>
        </is>
      </c>
      <c r="J16" s="19" t="inlineStr">
        <is>
          <t xml:space="preserve">QUÍMICA FÍSICA </t>
        </is>
      </c>
      <c r="K16" s="29" t="n">
        <v>0.5</v>
      </c>
      <c r="L16" s="29" t="inlineStr">
        <is>
          <t>B128</t>
        </is>
      </c>
      <c r="M16" s="19" t="n">
        <v>2021</v>
      </c>
      <c r="N16" s="19" t="inlineStr">
        <is>
          <t>10.14</t>
        </is>
      </c>
      <c r="O16" s="20" t="n">
        <v>50</v>
      </c>
      <c r="P16" s="19" t="inlineStr"/>
      <c r="Q16" s="20" t="n">
        <v>0</v>
      </c>
      <c r="R16" s="19" t="n">
        <v>50</v>
      </c>
      <c r="S16" s="19" t="n">
        <v>0.25</v>
      </c>
      <c r="T16" s="19" t="n">
        <v>0.25</v>
      </c>
      <c r="U16" s="19" t="n">
        <v>0</v>
      </c>
    </row>
    <row r="17">
      <c r="A17" s="19" t="inlineStr">
        <is>
          <t xml:space="preserve">U052 </t>
        </is>
      </c>
      <c r="B17" s="19" t="inlineStr">
        <is>
          <t xml:space="preserve">ADM. I.U. DE MATERIALES </t>
        </is>
      </c>
      <c r="C17" s="19" t="inlineStr">
        <is>
          <t xml:space="preserve">DOCTORADO EN CIENCIA DE MATERIALES </t>
        </is>
      </c>
      <c r="D17" s="19" t="inlineStr">
        <is>
          <t xml:space="preserve">Miralles Gómez, Carmen </t>
        </is>
      </c>
      <c r="E17" s="19" t="inlineStr">
        <is>
          <t xml:space="preserve">Materiales basados en óxidos de manganeso para baterías multivalentes recargables de magnesio y calcio </t>
        </is>
      </c>
      <c r="F17" s="19" t="inlineStr">
        <is>
          <t xml:space="preserve">28/06/2022 </t>
        </is>
      </c>
      <c r="G17" s="19" t="inlineStr">
        <is>
          <t xml:space="preserve">22008840W </t>
        </is>
      </c>
      <c r="H17" s="19" t="inlineStr">
        <is>
          <t xml:space="preserve">Director de tesis </t>
        </is>
      </c>
      <c r="I17" s="19" t="inlineStr">
        <is>
          <t xml:space="preserve">B128 </t>
        </is>
      </c>
      <c r="J17" s="19" t="inlineStr">
        <is>
          <t xml:space="preserve">QUÍMICA FÍSICA </t>
        </is>
      </c>
      <c r="K17" s="29" t="n">
        <v>1</v>
      </c>
      <c r="L17" s="29" t="inlineStr">
        <is>
          <t>B128</t>
        </is>
      </c>
      <c r="M17" s="19" t="n">
        <v>2021</v>
      </c>
      <c r="N17" s="19" t="inlineStr">
        <is>
          <t>10.12</t>
        </is>
      </c>
      <c r="O17" s="20" t="n">
        <v>50</v>
      </c>
      <c r="P17" s="19" t="inlineStr"/>
      <c r="Q17" s="20" t="n">
        <v>0</v>
      </c>
      <c r="R17" s="19" t="n">
        <v>50</v>
      </c>
      <c r="S17" s="19" t="n">
        <v>0.5</v>
      </c>
      <c r="T17" s="19" t="n">
        <v>0.5</v>
      </c>
      <c r="U17" s="19" t="n">
        <v>0</v>
      </c>
    </row>
    <row r="18">
      <c r="A18" s="19" t="inlineStr">
        <is>
          <t xml:space="preserve">U045 </t>
        </is>
      </c>
      <c r="B18" s="19" t="inlineStr">
        <is>
          <t xml:space="preserve">I.U. DE ELECTROQUÍMICA (10.12) </t>
        </is>
      </c>
      <c r="C18" s="19" t="inlineStr">
        <is>
          <t xml:space="preserve">DOCTORADO EN ELECTROQUÍMICA. CIENCIA Y TECNOLOGÍA </t>
        </is>
      </c>
      <c r="D18" s="19" t="inlineStr">
        <is>
          <t xml:space="preserve">Gisbert González, José María </t>
        </is>
      </c>
      <c r="E18" s="19" t="inlineStr">
        <is>
          <t xml:space="preserve">ADSORPTION STUDIES OF CAPPING AGENTS ON NOBLE METAL SINGLE CRYSTAL ELECTRODES </t>
        </is>
      </c>
      <c r="F18" s="19" t="inlineStr">
        <is>
          <t xml:space="preserve">10/02/2023 </t>
        </is>
      </c>
      <c r="G18" s="19" t="inlineStr">
        <is>
          <t xml:space="preserve">21470777R </t>
        </is>
      </c>
      <c r="H18" s="19" t="inlineStr">
        <is>
          <t xml:space="preserve">Director de tesis </t>
        </is>
      </c>
      <c r="I18" s="19" t="inlineStr">
        <is>
          <t xml:space="preserve">B128 </t>
        </is>
      </c>
      <c r="J18" s="19" t="inlineStr">
        <is>
          <t xml:space="preserve">QUÍMICA FÍSICA </t>
        </is>
      </c>
      <c r="K18" s="13" t="n">
        <v>1</v>
      </c>
      <c r="L18" s="13" t="inlineStr">
        <is>
          <t>B128</t>
        </is>
      </c>
      <c r="M18" s="19" t="n">
        <v>2022</v>
      </c>
      <c r="N18" s="13" t="inlineStr">
        <is>
          <t>10.12</t>
        </is>
      </c>
      <c r="O18" s="13" t="n">
        <v>50</v>
      </c>
      <c r="P18" s="13" t="inlineStr"/>
      <c r="Q18" s="13" t="n">
        <v>0</v>
      </c>
      <c r="R18" s="13" t="n">
        <v>50</v>
      </c>
      <c r="S18" s="13" t="n">
        <v>0.5</v>
      </c>
      <c r="T18" s="13" t="n">
        <v>0.5</v>
      </c>
      <c r="U18" s="13" t="n">
        <v>0</v>
      </c>
    </row>
    <row r="19">
      <c r="A19" s="19" t="inlineStr">
        <is>
          <t xml:space="preserve">U052 </t>
        </is>
      </c>
      <c r="B19" s="19" t="inlineStr">
        <is>
          <t xml:space="preserve">I.U. DE MATERIALES (10.14) </t>
        </is>
      </c>
      <c r="C19" s="19" t="inlineStr">
        <is>
          <t xml:space="preserve">DOCTORADO EN CIENCIA DE MATERIALES </t>
        </is>
      </c>
      <c r="D19" s="19" t="inlineStr">
        <is>
          <t xml:space="preserve">Pastor Rodríguez, Francisco Jose </t>
        </is>
      </c>
      <c r="E19" s="19" t="inlineStr">
        <is>
          <t xml:space="preserve">Fotoelecrolisis del agua con óxidos ternarios: Una aproximación experimental y teórica </t>
        </is>
      </c>
      <c r="F19" s="19" t="inlineStr">
        <is>
          <t xml:space="preserve">27/01/2023 </t>
        </is>
      </c>
      <c r="G19" s="19" t="inlineStr">
        <is>
          <t xml:space="preserve">21444744G </t>
        </is>
      </c>
      <c r="H19" s="19" t="inlineStr">
        <is>
          <t xml:space="preserve">Codirector de tesis </t>
        </is>
      </c>
      <c r="I19" s="19" t="inlineStr">
        <is>
          <t xml:space="preserve">B128 </t>
        </is>
      </c>
      <c r="J19" s="19" t="inlineStr">
        <is>
          <t xml:space="preserve">QUÍMICA FÍSICA </t>
        </is>
      </c>
      <c r="K19" s="13" t="n">
        <v>0.5</v>
      </c>
      <c r="L19" s="13" t="inlineStr">
        <is>
          <t>B128</t>
        </is>
      </c>
      <c r="M19" s="19" t="n">
        <v>2022</v>
      </c>
      <c r="N19" s="13" t="inlineStr">
        <is>
          <t>10.12</t>
        </is>
      </c>
      <c r="O19" s="13" t="n">
        <v>50</v>
      </c>
      <c r="P19" s="13" t="inlineStr"/>
      <c r="Q19" s="13" t="n">
        <v>0</v>
      </c>
      <c r="R19" s="13" t="n">
        <v>50</v>
      </c>
      <c r="S19" s="13" t="n">
        <v>0.25</v>
      </c>
      <c r="T19" s="13" t="n">
        <v>0.25</v>
      </c>
      <c r="U19" s="13" t="n">
        <v>0</v>
      </c>
    </row>
    <row r="20">
      <c r="A20" s="19" t="inlineStr">
        <is>
          <t xml:space="preserve">U052 </t>
        </is>
      </c>
      <c r="B20" s="19" t="inlineStr">
        <is>
          <t xml:space="preserve">I.U. DE MATERIALES (10.14) </t>
        </is>
      </c>
      <c r="C20" s="19" t="inlineStr">
        <is>
          <t xml:space="preserve">DOCTORADO EN CIENCIA DE MATERIALES </t>
        </is>
      </c>
      <c r="D20" s="19" t="inlineStr">
        <is>
          <t xml:space="preserve">Pastor Rodríguez, Francisco Jose </t>
        </is>
      </c>
      <c r="E20" s="19" t="inlineStr">
        <is>
          <t xml:space="preserve">Fotoelecrolisis del agua con óxidos ternarios: Una aproximación experimental y teórica </t>
        </is>
      </c>
      <c r="F20" s="19" t="inlineStr">
        <is>
          <t xml:space="preserve">27/01/2023 </t>
        </is>
      </c>
      <c r="G20" s="19" t="inlineStr">
        <is>
          <t xml:space="preserve">22008840W </t>
        </is>
      </c>
      <c r="H20" s="19" t="inlineStr">
        <is>
          <t xml:space="preserve">Codirector de tesis </t>
        </is>
      </c>
      <c r="I20" s="19" t="inlineStr">
        <is>
          <t xml:space="preserve">B128 </t>
        </is>
      </c>
      <c r="J20" s="19" t="inlineStr">
        <is>
          <t xml:space="preserve">QUÍMICA FÍSICA </t>
        </is>
      </c>
      <c r="K20" s="13" t="n">
        <v>0.5</v>
      </c>
      <c r="L20" s="13" t="inlineStr">
        <is>
          <t>B128</t>
        </is>
      </c>
      <c r="M20" s="19" t="n">
        <v>2022</v>
      </c>
      <c r="N20" s="13" t="inlineStr">
        <is>
          <t>10.12</t>
        </is>
      </c>
      <c r="O20" s="13" t="n">
        <v>50</v>
      </c>
      <c r="P20" s="13" t="inlineStr"/>
      <c r="Q20" s="13" t="n">
        <v>0</v>
      </c>
      <c r="R20" s="13" t="n">
        <v>50</v>
      </c>
      <c r="S20" s="13" t="n">
        <v>0.25</v>
      </c>
      <c r="T20" s="13" t="n">
        <v>0.25</v>
      </c>
      <c r="U20" s="13" t="n">
        <v>0</v>
      </c>
    </row>
    <row r="21">
      <c r="A21" s="19" t="inlineStr">
        <is>
          <t xml:space="preserve">U052 </t>
        </is>
      </c>
      <c r="B21" s="19" t="inlineStr">
        <is>
          <t xml:space="preserve">I.U. DE MATERIALES (10.14) </t>
        </is>
      </c>
      <c r="C21" s="19" t="inlineStr">
        <is>
          <t xml:space="preserve">DOCTORADO EN CIENCIA DE MATERIALES </t>
        </is>
      </c>
      <c r="D21" s="19" t="inlineStr">
        <is>
          <t xml:space="preserve">Martínez Sánchez, Beatriz </t>
        </is>
      </c>
      <c r="E21" s="19" t="inlineStr">
        <is>
          <t xml:space="preserve">FUNCIONALIZACIÓN ELECTROQUÍMICA DE MATERIALES CARBONOSOS PARA APLICACIONES ENERGÉTICAS Y MEDIOAMBIENTALES </t>
        </is>
      </c>
      <c r="F21" s="19" t="inlineStr">
        <is>
          <t xml:space="preserve">22/09/2023 </t>
        </is>
      </c>
      <c r="G21" s="19" t="inlineStr">
        <is>
          <t xml:space="preserve">21462156M </t>
        </is>
      </c>
      <c r="H21" s="19" t="inlineStr">
        <is>
          <t xml:space="preserve">Codirector de tesis </t>
        </is>
      </c>
      <c r="I21" s="19" t="inlineStr">
        <is>
          <t xml:space="preserve">B128 </t>
        </is>
      </c>
      <c r="J21" s="19" t="inlineStr">
        <is>
          <t xml:space="preserve">QUÍMICA FÍSICA </t>
        </is>
      </c>
      <c r="K21" s="13" t="n">
        <v>0.5</v>
      </c>
      <c r="L21" s="13" t="inlineStr">
        <is>
          <t>B128</t>
        </is>
      </c>
      <c r="M21" s="19" t="n">
        <v>2022</v>
      </c>
      <c r="N21" s="13" t="inlineStr">
        <is>
          <t>10.14</t>
        </is>
      </c>
      <c r="O21" s="13" t="n">
        <v>50</v>
      </c>
      <c r="P21" s="13" t="inlineStr"/>
      <c r="Q21" s="13" t="n">
        <v>0</v>
      </c>
      <c r="R21" s="13" t="n">
        <v>50</v>
      </c>
      <c r="S21" s="13" t="n">
        <v>0.25</v>
      </c>
      <c r="T21" s="13" t="n">
        <v>0.25</v>
      </c>
      <c r="U21" s="13" t="n">
        <v>0</v>
      </c>
    </row>
    <row r="22">
      <c r="A22" s="19" t="inlineStr">
        <is>
          <t xml:space="preserve">U052 </t>
        </is>
      </c>
      <c r="B22" s="19" t="inlineStr">
        <is>
          <t xml:space="preserve">I.U. DE MATERIALES (10.14) </t>
        </is>
      </c>
      <c r="C22" s="19" t="inlineStr">
        <is>
          <t xml:space="preserve">DOCTORADO EN CIENCIA DE MATERIALES </t>
        </is>
      </c>
      <c r="D22" s="19" t="inlineStr">
        <is>
          <t xml:space="preserve">Fernández Aguirre, Maribel Gabriela </t>
        </is>
      </c>
      <c r="E22" s="19" t="inlineStr">
        <is>
          <t xml:space="preserve">Eliminación de contaminantes emergentes en aguas sobre electrodos SnO2-Sb dopados </t>
        </is>
      </c>
      <c r="F22" s="19" t="inlineStr">
        <is>
          <t xml:space="preserve">02/02/2023 </t>
        </is>
      </c>
      <c r="G22" s="19" t="inlineStr">
        <is>
          <t xml:space="preserve">21462156M </t>
        </is>
      </c>
      <c r="H22" s="19" t="inlineStr">
        <is>
          <t xml:space="preserve">Codirector de tesis </t>
        </is>
      </c>
      <c r="I22" s="19" t="inlineStr">
        <is>
          <t xml:space="preserve">B128 </t>
        </is>
      </c>
      <c r="J22" s="19" t="inlineStr">
        <is>
          <t xml:space="preserve">QUÍMICA FÍSICA </t>
        </is>
      </c>
      <c r="K22" s="13" t="n">
        <v>0.5</v>
      </c>
      <c r="L22" s="13" t="inlineStr">
        <is>
          <t>B128</t>
        </is>
      </c>
      <c r="M22" s="19" t="n">
        <v>2022</v>
      </c>
      <c r="N22" s="13" t="inlineStr">
        <is>
          <t>10.14</t>
        </is>
      </c>
      <c r="O22" s="13" t="n">
        <v>50</v>
      </c>
      <c r="P22" s="13" t="inlineStr"/>
      <c r="Q22" s="13" t="n">
        <v>0</v>
      </c>
      <c r="R22" s="13" t="n">
        <v>50</v>
      </c>
      <c r="S22" s="13" t="n">
        <v>0.25</v>
      </c>
      <c r="T22" s="13" t="n">
        <v>0.25</v>
      </c>
      <c r="U22" s="13" t="n">
        <v>0</v>
      </c>
    </row>
    <row r="23">
      <c r="A23" s="19" t="inlineStr">
        <is>
          <t xml:space="preserve">U052 </t>
        </is>
      </c>
      <c r="B23" s="19" t="inlineStr">
        <is>
          <t xml:space="preserve">I.U. DE MATERIALES (10.14) </t>
        </is>
      </c>
      <c r="C23" s="19" t="inlineStr">
        <is>
          <t xml:space="preserve">DOCTORADO EN CIENCIA DE MATERIALES </t>
        </is>
      </c>
      <c r="D23" s="19" t="inlineStr">
        <is>
          <t xml:space="preserve">Mohamed , Kiari </t>
        </is>
      </c>
      <c r="E23" s="19" t="inlineStr">
        <is>
          <t xml:space="preserve">Design and development of advanced electro-active clay/polymer hybrid materials for environmental applications </t>
        </is>
      </c>
      <c r="F23" s="19" t="inlineStr">
        <is>
          <t xml:space="preserve">07/03/2023 </t>
        </is>
      </c>
      <c r="G23" s="19" t="inlineStr">
        <is>
          <t xml:space="preserve">21462156M </t>
        </is>
      </c>
      <c r="H23" s="19" t="inlineStr">
        <is>
          <t xml:space="preserve">Codirector de tesis </t>
        </is>
      </c>
      <c r="I23" s="19" t="inlineStr">
        <is>
          <t xml:space="preserve">B128 </t>
        </is>
      </c>
      <c r="J23" s="19" t="inlineStr">
        <is>
          <t xml:space="preserve">QUÍMICA FÍSICA </t>
        </is>
      </c>
      <c r="K23" s="13" t="n">
        <v>0.5</v>
      </c>
      <c r="L23" s="13" t="inlineStr">
        <is>
          <t>B128</t>
        </is>
      </c>
      <c r="M23" s="19" t="n">
        <v>2022</v>
      </c>
      <c r="N23" s="13" t="inlineStr">
        <is>
          <t>10.14</t>
        </is>
      </c>
      <c r="O23" s="13" t="n">
        <v>50</v>
      </c>
      <c r="P23" s="13" t="inlineStr"/>
      <c r="Q23" s="13" t="n">
        <v>0</v>
      </c>
      <c r="R23" s="13" t="n">
        <v>50</v>
      </c>
      <c r="S23" s="13" t="n">
        <v>0.25</v>
      </c>
      <c r="T23" s="13" t="n">
        <v>0.25</v>
      </c>
      <c r="U23" s="13" t="n">
        <v>0</v>
      </c>
    </row>
    <row r="24">
      <c r="A24" s="13" t="inlineStr">
        <is>
          <t>U045</t>
        </is>
      </c>
      <c r="B24" s="13" t="inlineStr">
        <is>
          <t>I.U. DE ELECTROQUÍMICA (10.12)</t>
        </is>
      </c>
      <c r="C24" s="13" t="inlineStr">
        <is>
          <t>DOCTORADO EN ELECTROQUÍMICA. CIENCIA Y TECNOLOGÍA</t>
        </is>
      </c>
      <c r="D24" s="13" t="inlineStr">
        <is>
          <t>Botello Oropeza, Luis Enrique</t>
        </is>
      </c>
      <c r="E24" s="13" t="inlineStr">
        <is>
          <t>Electrochemical acquisition of kinetic and thermodynamic information from hydrogen adsorption on Pt single crystal surfaces</t>
        </is>
      </c>
      <c r="F24" s="13" t="inlineStr">
        <is>
          <t>16/09/2024</t>
        </is>
      </c>
      <c r="G24" s="13" t="inlineStr">
        <is>
          <t>21511645K</t>
        </is>
      </c>
      <c r="H24" s="13" t="inlineStr">
        <is>
          <t>Director de tesis</t>
        </is>
      </c>
      <c r="I24" s="13" t="inlineStr">
        <is>
          <t>B128</t>
        </is>
      </c>
      <c r="J24" s="13" t="inlineStr">
        <is>
          <t>QUÍMICA FÍSICA</t>
        </is>
      </c>
      <c r="K24" s="13" t="n">
        <v>1</v>
      </c>
      <c r="L24" s="13" t="inlineStr">
        <is>
          <t>B128</t>
        </is>
      </c>
      <c r="M24" s="13" t="n">
        <v>2023</v>
      </c>
      <c r="N24" s="13" t="inlineStr">
        <is>
          <t>10.12</t>
        </is>
      </c>
      <c r="O24" s="13" t="inlineStr">
        <is>
          <t>50</t>
        </is>
      </c>
      <c r="P24" s="13" t="inlineStr"/>
      <c r="Q24" s="13" t="inlineStr"/>
      <c r="R24" s="13" t="n">
        <v>50</v>
      </c>
      <c r="S24" s="13" t="n">
        <v>0.5</v>
      </c>
      <c r="T24" s="13" t="n">
        <v>0.5</v>
      </c>
      <c r="U24" s="13" t="n">
        <v>0</v>
      </c>
    </row>
    <row r="25">
      <c r="A25" s="13" t="inlineStr">
        <is>
          <t>U045</t>
        </is>
      </c>
      <c r="B25" s="13" t="inlineStr">
        <is>
          <t>I.U. DE ELECTROQUÍMICA (10.12)</t>
        </is>
      </c>
      <c r="C25" s="13" t="inlineStr">
        <is>
          <t>DOCTORADO EN ELECTROQUÍMICA. CIENCIA Y TECNOLOGÍA</t>
        </is>
      </c>
      <c r="D25" s="13" t="inlineStr">
        <is>
          <t>Paredes Salazar, Enrique Adalberto</t>
        </is>
      </c>
      <c r="E25" s="13" t="inlineStr">
        <is>
          <t>Integração de Abordagens Numéricas e Experimentais na Compreensão da Dinâmica de Reações Eletroquímicas</t>
        </is>
      </c>
      <c r="F25" s="13" t="inlineStr">
        <is>
          <t>27/02/2024</t>
        </is>
      </c>
      <c r="G25" s="13" t="inlineStr">
        <is>
          <t>21470777R</t>
        </is>
      </c>
      <c r="H25" s="13" t="inlineStr">
        <is>
          <t>Codirector de tesis</t>
        </is>
      </c>
      <c r="I25" s="13" t="inlineStr">
        <is>
          <t>B128</t>
        </is>
      </c>
      <c r="J25" s="13" t="inlineStr">
        <is>
          <t>QUÍMICA FÍSICA</t>
        </is>
      </c>
      <c r="K25" s="13" t="n">
        <v>0.5</v>
      </c>
      <c r="L25" s="13" t="inlineStr">
        <is>
          <t>B128</t>
        </is>
      </c>
      <c r="M25" s="13" t="n">
        <v>2023</v>
      </c>
      <c r="N25" s="13" t="inlineStr">
        <is>
          <t>10.12</t>
        </is>
      </c>
      <c r="O25" s="13" t="inlineStr">
        <is>
          <t>50</t>
        </is>
      </c>
      <c r="P25" s="13" t="inlineStr"/>
      <c r="Q25" s="13" t="inlineStr"/>
      <c r="R25" s="13" t="n">
        <v>50</v>
      </c>
      <c r="S25" s="13" t="n">
        <v>0.25</v>
      </c>
      <c r="T25" s="13" t="n">
        <v>0.25</v>
      </c>
      <c r="U25" s="13" t="n">
        <v>0</v>
      </c>
    </row>
    <row r="26">
      <c r="A26" s="13" t="inlineStr">
        <is>
          <t>U052</t>
        </is>
      </c>
      <c r="B26" s="13" t="inlineStr">
        <is>
          <t>I.U. DE MATERIALES (10.14)</t>
        </is>
      </c>
      <c r="C26" s="13" t="inlineStr">
        <is>
          <t>DOCTORADO EN CIENCIA DE MATERIALES</t>
        </is>
      </c>
      <c r="D26" s="13" t="inlineStr">
        <is>
          <t>Jaimes Paez, Cristian Daniel</t>
        </is>
      </c>
      <c r="E26" s="13" t="inlineStr">
        <is>
          <t>Desarrollo de electrocatalizadores basados en grafeno coloidal por métodos electroquímicos y otros materiales carbonosos para la generación de energía</t>
        </is>
      </c>
      <c r="F26" s="13" t="inlineStr">
        <is>
          <t>10/05/2024</t>
        </is>
      </c>
      <c r="G26" s="13" t="inlineStr">
        <is>
          <t>21462156M</t>
        </is>
      </c>
      <c r="H26" s="13" t="inlineStr">
        <is>
          <t>Codirector de tesis</t>
        </is>
      </c>
      <c r="I26" s="13" t="inlineStr">
        <is>
          <t>B128</t>
        </is>
      </c>
      <c r="J26" s="13" t="inlineStr">
        <is>
          <t>QUÍMICA FÍSICA</t>
        </is>
      </c>
      <c r="K26" s="13" t="n">
        <v>0.5</v>
      </c>
      <c r="L26" s="13" t="inlineStr">
        <is>
          <t>B128</t>
        </is>
      </c>
      <c r="M26" s="13" t="n">
        <v>2023</v>
      </c>
      <c r="N26" s="13" t="inlineStr">
        <is>
          <t>10.14</t>
        </is>
      </c>
      <c r="O26" s="13" t="inlineStr">
        <is>
          <t>50</t>
        </is>
      </c>
      <c r="P26" s="13" t="inlineStr"/>
      <c r="Q26" s="13" t="inlineStr"/>
      <c r="R26" s="13" t="n">
        <v>50</v>
      </c>
      <c r="S26" s="13" t="n">
        <v>0.25</v>
      </c>
      <c r="T26" s="13" t="n">
        <v>0.25</v>
      </c>
      <c r="U26" s="13" t="n">
        <v>0</v>
      </c>
    </row>
    <row r="27">
      <c r="A27" s="13" t="inlineStr">
        <is>
          <t>U052</t>
        </is>
      </c>
      <c r="B27" s="13" t="inlineStr">
        <is>
          <t>I.U. DE MATERIALES (10.14)</t>
        </is>
      </c>
      <c r="C27" s="13" t="inlineStr">
        <is>
          <t>DOCTORADO EN CIENCIA DE MATERIALES</t>
        </is>
      </c>
      <c r="D27" s="13" t="inlineStr">
        <is>
          <t>Loughlani , Rayane Ichrak</t>
        </is>
      </c>
      <c r="E27" s="13" t="inlineStr">
        <is>
          <t>Silica-Modified Electrodes by the Sol-Gel Method towards Advanced Sensing Applications</t>
        </is>
      </c>
      <c r="F27" s="13" t="inlineStr">
        <is>
          <t>25/07/2024</t>
        </is>
      </c>
      <c r="G27" s="13" t="inlineStr">
        <is>
          <t>33492585P</t>
        </is>
      </c>
      <c r="H27" s="13" t="inlineStr">
        <is>
          <t>Codirector de tesis</t>
        </is>
      </c>
      <c r="I27" s="13" t="inlineStr">
        <is>
          <t>B128</t>
        </is>
      </c>
      <c r="J27" s="13" t="inlineStr">
        <is>
          <t>QUÍMICA FÍSICA</t>
        </is>
      </c>
      <c r="K27" s="13" t="n">
        <v>0.5</v>
      </c>
      <c r="L27" s="13" t="inlineStr">
        <is>
          <t>B128</t>
        </is>
      </c>
      <c r="M27" s="13" t="n">
        <v>2023</v>
      </c>
      <c r="N27" s="13" t="inlineStr">
        <is>
          <t>10.14</t>
        </is>
      </c>
      <c r="O27" s="13" t="inlineStr">
        <is>
          <t>20</t>
        </is>
      </c>
      <c r="P27" s="13" t="inlineStr"/>
      <c r="Q27" s="13" t="inlineStr"/>
      <c r="R27" s="13" t="n">
        <v>80</v>
      </c>
      <c r="S27" s="13" t="n">
        <v>0.4</v>
      </c>
      <c r="T27" s="13" t="n">
        <v>0.1</v>
      </c>
      <c r="U27" s="13" t="n">
        <v>0</v>
      </c>
    </row>
    <row r="28">
      <c r="A28" s="13" t="inlineStr">
        <is>
          <t>U052</t>
        </is>
      </c>
      <c r="B28" s="13" t="inlineStr">
        <is>
          <t>I.U. DE MATERIALES (10.14)</t>
        </is>
      </c>
      <c r="C28" s="13" t="inlineStr">
        <is>
          <t>DOCTORADO EN CIENCIA DE MATERIALES</t>
        </is>
      </c>
      <c r="D28" s="13" t="inlineStr">
        <is>
          <t>Contreras , Maxime</t>
        </is>
      </c>
      <c r="E28" s="13" t="inlineStr">
        <is>
          <t>Preparation and characterization of transition metal oxides and oxynitrides for solar fuels generation</t>
        </is>
      </c>
      <c r="F28" s="13" t="inlineStr">
        <is>
          <t>26/01/2024</t>
        </is>
      </c>
      <c r="G28" s="13" t="inlineStr">
        <is>
          <t>33443060W</t>
        </is>
      </c>
      <c r="H28" s="13" t="inlineStr">
        <is>
          <t>Codirector de tesis</t>
        </is>
      </c>
      <c r="I28" s="13" t="inlineStr">
        <is>
          <t>B128</t>
        </is>
      </c>
      <c r="J28" s="13" t="inlineStr">
        <is>
          <t>QUÍMICA FÍSICA</t>
        </is>
      </c>
      <c r="K28" s="13" t="n">
        <v>0.5</v>
      </c>
      <c r="L28" s="13" t="inlineStr">
        <is>
          <t>B128</t>
        </is>
      </c>
      <c r="M28" s="13" t="n">
        <v>2023</v>
      </c>
      <c r="N28" s="13" t="inlineStr">
        <is>
          <t>10.12</t>
        </is>
      </c>
      <c r="O28" s="13" t="inlineStr">
        <is>
          <t>50</t>
        </is>
      </c>
      <c r="P28" s="13" t="inlineStr"/>
      <c r="Q28" s="13" t="inlineStr"/>
      <c r="R28" s="13" t="n">
        <v>50</v>
      </c>
      <c r="S28" s="13" t="n">
        <v>0.25</v>
      </c>
      <c r="T28" s="13" t="n">
        <v>0.25</v>
      </c>
      <c r="U28" s="13" t="n">
        <v>0</v>
      </c>
    </row>
    <row r="29">
      <c r="A29" s="13" t="inlineStr">
        <is>
          <t>U052</t>
        </is>
      </c>
      <c r="B29" s="13" t="inlineStr">
        <is>
          <t>I.U. DE MATERIALES (10.14)</t>
        </is>
      </c>
      <c r="C29" s="13" t="inlineStr">
        <is>
          <t>DOCTORADO EN CIENCIA DE MATERIALES</t>
        </is>
      </c>
      <c r="D29" s="13" t="inlineStr">
        <is>
          <t>Contreras , Maxime</t>
        </is>
      </c>
      <c r="E29" s="13" t="inlineStr">
        <is>
          <t>Preparation and characterization of transition metal oxides and oxynitrides for solar fuels generation</t>
        </is>
      </c>
      <c r="F29" s="13" t="inlineStr">
        <is>
          <t>26/01/2024</t>
        </is>
      </c>
      <c r="G29" s="13" t="inlineStr">
        <is>
          <t>22008840W</t>
        </is>
      </c>
      <c r="H29" s="13" t="inlineStr">
        <is>
          <t>Codirector de tesis</t>
        </is>
      </c>
      <c r="I29" s="13" t="inlineStr">
        <is>
          <t>B128</t>
        </is>
      </c>
      <c r="J29" s="13" t="inlineStr">
        <is>
          <t>QUÍMICA FÍSICA</t>
        </is>
      </c>
      <c r="K29" s="13" t="n">
        <v>0.5</v>
      </c>
      <c r="L29" s="13" t="inlineStr">
        <is>
          <t>B128</t>
        </is>
      </c>
      <c r="M29" s="13" t="n">
        <v>2023</v>
      </c>
      <c r="N29" s="13" t="inlineStr">
        <is>
          <t>10.12</t>
        </is>
      </c>
      <c r="O29" s="13" t="inlineStr">
        <is>
          <t>50</t>
        </is>
      </c>
      <c r="P29" s="13" t="inlineStr"/>
      <c r="Q29" s="13" t="inlineStr"/>
      <c r="R29" s="13" t="n">
        <v>50</v>
      </c>
      <c r="S29" s="13" t="n">
        <v>0.25</v>
      </c>
      <c r="T29" s="13" t="n">
        <v>0.25</v>
      </c>
      <c r="U29" s="13" t="n">
        <v>0</v>
      </c>
    </row>
    <row r="30">
      <c r="A30" s="13" t="inlineStr">
        <is>
          <t>ZZ</t>
        </is>
      </c>
      <c r="B30" s="13" t="inlineStr">
        <is>
          <t>SIN ASIGNAR</t>
        </is>
      </c>
      <c r="C30" s="13" t="inlineStr">
        <is>
          <t>DOCTORADO EN ELECTROQUÍMICA. CIENCIA Y TECNOLOGÍA</t>
        </is>
      </c>
      <c r="D30" s="13" t="inlineStr">
        <is>
          <t>Mekazni , Dalila Soumicha</t>
        </is>
      </c>
      <c r="E30" s="13" t="inlineStr">
        <is>
          <t>Study of the electrochemical behavior of C1-C3 molecules on well-defined Pt surfaces</t>
        </is>
      </c>
      <c r="F30" s="13" t="inlineStr">
        <is>
          <t>18/07/2024</t>
        </is>
      </c>
      <c r="G30" s="13" t="inlineStr">
        <is>
          <t>21470777R</t>
        </is>
      </c>
      <c r="H30" s="13" t="inlineStr">
        <is>
          <t>Codirector de tesis</t>
        </is>
      </c>
      <c r="I30" s="13" t="inlineStr">
        <is>
          <t>B128</t>
        </is>
      </c>
      <c r="J30" s="13" t="inlineStr">
        <is>
          <t>QUÍMICA FÍSICA</t>
        </is>
      </c>
      <c r="K30" s="13" t="n">
        <v>0.5</v>
      </c>
      <c r="L30" s="13" t="inlineStr">
        <is>
          <t>B128</t>
        </is>
      </c>
      <c r="M30" s="13" t="n">
        <v>2023</v>
      </c>
      <c r="N30" s="13" t="inlineStr">
        <is>
          <t>10.12</t>
        </is>
      </c>
      <c r="O30" s="13" t="inlineStr">
        <is>
          <t>50</t>
        </is>
      </c>
      <c r="P30" s="13" t="inlineStr"/>
      <c r="Q30" s="13" t="inlineStr"/>
      <c r="R30" s="13" t="n">
        <v>50</v>
      </c>
      <c r="S30" s="13" t="n">
        <v>0.25</v>
      </c>
      <c r="T30" s="13" t="n">
        <v>0.25</v>
      </c>
      <c r="U30" s="13" t="n">
        <v>0</v>
      </c>
    </row>
    <row r="31">
      <c r="A31" s="13" t="inlineStr">
        <is>
          <t>U022</t>
        </is>
      </c>
      <c r="B31" s="13" t="inlineStr">
        <is>
          <t>Administración Facultad de Ciencias</t>
        </is>
      </c>
      <c r="C31" s="13" t="inlineStr">
        <is>
          <t>DOCTORADO EN CIENCIAS EXPERIMENTALES Y BIOSANITARIAS</t>
        </is>
      </c>
      <c r="D31" s="13" t="inlineStr">
        <is>
          <t>Narro Serrano, Jennifer</t>
        </is>
      </c>
      <c r="E31" s="13" t="inlineStr">
        <is>
          <t>Biomarcadores en orina y alteraciones metabólicas en la COVID-19: Integración de análisis clínicos y
metabolómicos</t>
        </is>
      </c>
      <c r="F31" s="13" t="inlineStr">
        <is>
          <t>23/09/2025</t>
        </is>
      </c>
      <c r="G31" s="13" t="inlineStr">
        <is>
          <t>22008840W</t>
        </is>
      </c>
      <c r="H31" s="13" t="inlineStr">
        <is>
          <t>Codirector de tesis</t>
        </is>
      </c>
      <c r="I31" s="13" t="inlineStr">
        <is>
          <t>B128</t>
        </is>
      </c>
      <c r="J31" s="13" t="inlineStr">
        <is>
          <t>Química Física</t>
        </is>
      </c>
      <c r="K31" s="13" t="n">
        <v>0.5</v>
      </c>
      <c r="L31" s="13" t="inlineStr">
        <is>
          <t>B128</t>
        </is>
      </c>
      <c r="M31" s="13" t="n">
        <v>2024</v>
      </c>
      <c r="N31" s="13" t="inlineStr">
        <is>
          <t>10.12</t>
        </is>
      </c>
      <c r="O31" s="13" t="inlineStr">
        <is>
          <t>50</t>
        </is>
      </c>
      <c r="P31" s="13" t="inlineStr"/>
      <c r="Q31" s="13" t="inlineStr"/>
      <c r="R31" s="13" t="n">
        <v>50</v>
      </c>
      <c r="S31" s="13" t="n">
        <v>0.25</v>
      </c>
      <c r="T31" s="13" t="n">
        <v>0.25</v>
      </c>
      <c r="U31" s="13" t="n">
        <v>0</v>
      </c>
    </row>
    <row r="32">
      <c r="A32" s="13" t="inlineStr">
        <is>
          <t>U045</t>
        </is>
      </c>
      <c r="B32" s="13" t="inlineStr">
        <is>
          <t>I.U. de Electroquímica (10.12)</t>
        </is>
      </c>
      <c r="C32" s="13" t="inlineStr">
        <is>
          <t>DOCTORADO EN ELECTROQUÍMICA. CIENCIA Y TECNOLOGÍA</t>
        </is>
      </c>
      <c r="D32" s="13" t="inlineStr">
        <is>
          <t>Mundaray Guilarte, Eleana Carolina</t>
        </is>
      </c>
      <c r="E32" s="13" t="inlineStr">
        <is>
          <t>Acumulador de flujo redox de energía eléctrica con hidrógeno como vector del proceso</t>
        </is>
      </c>
      <c r="F32" s="13" t="inlineStr">
        <is>
          <t>14/03/2025</t>
        </is>
      </c>
      <c r="G32" s="13" t="inlineStr">
        <is>
          <t>21434493B</t>
        </is>
      </c>
      <c r="H32" s="13" t="inlineStr">
        <is>
          <t>Director de tesis</t>
        </is>
      </c>
      <c r="I32" s="13" t="inlineStr">
        <is>
          <t>B128</t>
        </is>
      </c>
      <c r="J32" s="13" t="inlineStr">
        <is>
          <t>Química Física</t>
        </is>
      </c>
      <c r="K32" s="13" t="n">
        <v>1</v>
      </c>
      <c r="L32" s="13" t="inlineStr">
        <is>
          <t>B128</t>
        </is>
      </c>
      <c r="M32" s="13" t="n">
        <v>2024</v>
      </c>
      <c r="N32" s="13" t="inlineStr">
        <is>
          <t>10.12</t>
        </is>
      </c>
      <c r="O32" s="13" t="inlineStr">
        <is>
          <t>50</t>
        </is>
      </c>
      <c r="P32" s="13" t="inlineStr"/>
      <c r="Q32" s="13" t="inlineStr"/>
      <c r="R32" s="13" t="n">
        <v>50</v>
      </c>
      <c r="S32" s="13" t="n">
        <v>0.5</v>
      </c>
      <c r="T32" s="13" t="n">
        <v>0.5</v>
      </c>
      <c r="U32" s="13" t="n">
        <v>0</v>
      </c>
    </row>
    <row r="33">
      <c r="A33" s="13" t="inlineStr">
        <is>
          <t>U045</t>
        </is>
      </c>
      <c r="B33" s="13" t="inlineStr">
        <is>
          <t>I.U. de Electroquímica (10.12)</t>
        </is>
      </c>
      <c r="C33" s="13" t="inlineStr">
        <is>
          <t>DOCTORADO EN ELECTROQUÍMICA. CIENCIA Y TECNOLOGÍA</t>
        </is>
      </c>
      <c r="D33" s="13" t="inlineStr">
        <is>
          <t>Amrine , Roumayssa</t>
        </is>
      </c>
      <c r="E33" s="13" t="inlineStr">
        <is>
          <t>Development of new electrocatalysts for the electrochemical reduction of nitrogen to ammonia</t>
        </is>
      </c>
      <c r="F33" s="13" t="inlineStr">
        <is>
          <t>30/09/2025</t>
        </is>
      </c>
      <c r="G33" s="13" t="inlineStr">
        <is>
          <t>33330450T</t>
        </is>
      </c>
      <c r="H33" s="13" t="inlineStr">
        <is>
          <t>Director de tesis</t>
        </is>
      </c>
      <c r="I33" s="13" t="inlineStr">
        <is>
          <t>B128</t>
        </is>
      </c>
      <c r="J33" s="13" t="inlineStr">
        <is>
          <t>Química Física</t>
        </is>
      </c>
      <c r="K33" s="13" t="n">
        <v>1</v>
      </c>
      <c r="L33" s="13" t="inlineStr">
        <is>
          <t>B128</t>
        </is>
      </c>
      <c r="M33" s="13" t="n">
        <v>2024</v>
      </c>
      <c r="N33" s="13" t="inlineStr">
        <is>
          <t>10.12</t>
        </is>
      </c>
      <c r="O33" s="13" t="inlineStr">
        <is>
          <t>50</t>
        </is>
      </c>
      <c r="P33" s="13" t="inlineStr"/>
      <c r="Q33" s="13" t="inlineStr"/>
      <c r="R33" s="13" t="n">
        <v>50</v>
      </c>
      <c r="S33" s="13" t="n">
        <v>0.5</v>
      </c>
      <c r="T33" s="13" t="n">
        <v>0.5</v>
      </c>
      <c r="U33" s="13" t="n">
        <v>0</v>
      </c>
    </row>
    <row r="34">
      <c r="A34" s="13" t="inlineStr">
        <is>
          <t>U052</t>
        </is>
      </c>
      <c r="B34" s="13" t="inlineStr">
        <is>
          <t>I.U. de Materiales (10.14)</t>
        </is>
      </c>
      <c r="C34" s="13" t="inlineStr">
        <is>
          <t>DOCTORADO EN CIENCIA DE MATERIALES</t>
        </is>
      </c>
      <c r="D34" s="13" t="inlineStr">
        <is>
          <t>Pabón Román, Keila Melissa</t>
        </is>
      </c>
      <c r="E34" s="13" t="inlineStr">
        <is>
          <t>Diseño de electrocatalizadores basados en metales no preciosos y materiales carbonosos dopados con heteroátomos a partir de biomasa</t>
        </is>
      </c>
      <c r="F34" s="13" t="inlineStr">
        <is>
          <t>09/01/2025</t>
        </is>
      </c>
      <c r="G34" s="13" t="inlineStr">
        <is>
          <t>21462156M</t>
        </is>
      </c>
      <c r="H34" s="13" t="inlineStr">
        <is>
          <t>Codirector de tesis</t>
        </is>
      </c>
      <c r="I34" s="13" t="inlineStr">
        <is>
          <t>B128</t>
        </is>
      </c>
      <c r="J34" s="13" t="inlineStr">
        <is>
          <t>Química Física</t>
        </is>
      </c>
      <c r="K34" s="13" t="n">
        <v>0.5</v>
      </c>
      <c r="L34" s="13" t="inlineStr">
        <is>
          <t>B128</t>
        </is>
      </c>
      <c r="M34" s="13" t="n">
        <v>2024</v>
      </c>
      <c r="N34" s="13" t="inlineStr">
        <is>
          <t>10.14</t>
        </is>
      </c>
      <c r="O34" s="13" t="inlineStr">
        <is>
          <t>50</t>
        </is>
      </c>
      <c r="P34" s="13" t="inlineStr"/>
      <c r="Q34" s="13" t="inlineStr"/>
      <c r="R34" s="13" t="n">
        <v>50</v>
      </c>
      <c r="S34" s="13" t="n">
        <v>0.25</v>
      </c>
      <c r="T34" s="13" t="n">
        <v>0.25</v>
      </c>
      <c r="U34" s="13" t="n">
        <v>0</v>
      </c>
    </row>
    <row r="35">
      <c r="A35" s="13" t="inlineStr">
        <is>
          <t>U052</t>
        </is>
      </c>
      <c r="B35" s="13" t="inlineStr">
        <is>
          <t>I.U. de Materiales (10.14)</t>
        </is>
      </c>
      <c r="C35" s="13" t="inlineStr">
        <is>
          <t>DOCTORADO EN CIENCIA DE MATERIALES</t>
        </is>
      </c>
      <c r="D35" s="13" t="inlineStr">
        <is>
          <t>García Rodríguez, Mario</t>
        </is>
      </c>
      <c r="E35" s="13" t="inlineStr">
        <is>
          <t>High-Performance and Environmentally Friendly Electrocatalysts: Perovskite, Metal Hexacyanoferrate, and Carbon Composites for Zn-Batteries and Beyond</t>
        </is>
      </c>
      <c r="F35" s="13" t="inlineStr">
        <is>
          <t>11/11/2024</t>
        </is>
      </c>
      <c r="G35" s="13" t="inlineStr">
        <is>
          <t>21462156M</t>
        </is>
      </c>
      <c r="H35" s="13" t="inlineStr">
        <is>
          <t>Codirector de tesis</t>
        </is>
      </c>
      <c r="I35" s="13" t="inlineStr">
        <is>
          <t>B128</t>
        </is>
      </c>
      <c r="J35" s="13" t="inlineStr">
        <is>
          <t>Química Física</t>
        </is>
      </c>
      <c r="K35" s="13" t="n">
        <v>0.5</v>
      </c>
      <c r="L35" s="13" t="inlineStr">
        <is>
          <t>B128</t>
        </is>
      </c>
      <c r="M35" s="13" t="n">
        <v>2024</v>
      </c>
      <c r="N35" s="13" t="inlineStr">
        <is>
          <t>10.14</t>
        </is>
      </c>
      <c r="O35" s="13" t="inlineStr">
        <is>
          <t>50</t>
        </is>
      </c>
      <c r="P35" s="13" t="inlineStr"/>
      <c r="Q35" s="13" t="inlineStr"/>
      <c r="R35" s="13" t="n">
        <v>50</v>
      </c>
      <c r="S35" s="13" t="n">
        <v>0.25</v>
      </c>
      <c r="T35" s="13" t="n">
        <v>0.25</v>
      </c>
      <c r="U35" s="13" t="n">
        <v>0</v>
      </c>
    </row>
    <row r="36">
      <c r="A36" s="13" t="inlineStr">
        <is>
          <t>U052</t>
        </is>
      </c>
      <c r="B36" s="13" t="inlineStr">
        <is>
          <t>I.U. de Materiales (10.14)</t>
        </is>
      </c>
      <c r="C36" s="13" t="inlineStr">
        <is>
          <t>DOCTORADO EN CIENCIA DE MATERIALES</t>
        </is>
      </c>
      <c r="D36" s="13" t="inlineStr">
        <is>
          <t>Alemany Molina, Gabriel</t>
        </is>
      </c>
      <c r="E36" s="13" t="inlineStr">
        <is>
          <t>Electrocatalizadores basados en materiales carbonosos y metales de transición para su aplicación en la producción y uso del hidrógeno</t>
        </is>
      </c>
      <c r="F36" s="13" t="inlineStr">
        <is>
          <t>08/11/2024</t>
        </is>
      </c>
      <c r="G36" s="13" t="inlineStr">
        <is>
          <t>21462156M</t>
        </is>
      </c>
      <c r="H36" s="13" t="inlineStr">
        <is>
          <t>Codirector de tesis</t>
        </is>
      </c>
      <c r="I36" s="13" t="inlineStr">
        <is>
          <t>B128</t>
        </is>
      </c>
      <c r="J36" s="13" t="inlineStr">
        <is>
          <t>Química Física</t>
        </is>
      </c>
      <c r="K36" s="13" t="n">
        <v>0.5</v>
      </c>
      <c r="L36" s="13" t="inlineStr">
        <is>
          <t>B128</t>
        </is>
      </c>
      <c r="M36" s="13" t="n">
        <v>2024</v>
      </c>
      <c r="N36" s="13" t="inlineStr">
        <is>
          <t>10.14</t>
        </is>
      </c>
      <c r="O36" s="13" t="inlineStr">
        <is>
          <t>50</t>
        </is>
      </c>
      <c r="P36" s="13" t="inlineStr"/>
      <c r="Q36" s="13" t="inlineStr"/>
      <c r="R36" s="13" t="n">
        <v>50</v>
      </c>
      <c r="S36" s="13" t="n">
        <v>0.25</v>
      </c>
      <c r="T36" s="13" t="n">
        <v>0.25</v>
      </c>
      <c r="U36" s="13" t="n">
        <v>0</v>
      </c>
    </row>
    <row r="37">
      <c r="A37" s="41" t="n"/>
      <c r="B37" s="41" t="n"/>
      <c r="C37" s="41" t="n"/>
      <c r="D37" s="41" t="n"/>
      <c r="E37" s="41" t="n"/>
      <c r="F37" s="41" t="n"/>
      <c r="G37" s="41" t="n"/>
      <c r="H37" s="41" t="n"/>
      <c r="I37" s="41" t="n"/>
      <c r="J37" s="41" t="n"/>
      <c r="K37" s="41" t="n"/>
      <c r="L37" s="41" t="n"/>
      <c r="M37" s="41" t="n"/>
      <c r="N37" s="41" t="n"/>
      <c r="O37" s="42" t="n"/>
      <c r="P37" s="41" t="n"/>
      <c r="Q37" s="42" t="n"/>
      <c r="R37" s="41" t="n"/>
      <c r="S37" s="74">
        <f>SUM(S2:S36)</f>
        <v/>
      </c>
      <c r="T37" s="41" t="n"/>
      <c r="U37" s="41" t="n"/>
    </row>
  </sheetData>
  <autoFilter ref="A1:U1">
    <sortState ref="A2:S1852">
      <sortCondition ref="K2:K1852"/>
      <sortCondition ref="D2:D1852"/>
    </sortState>
  </autoFilter>
  <printOptions horizontalCentered="1"/>
  <pageMargins left="0.1968503937007874" right="0.1968503937007874" top="0.3937007874015748" bottom="0.3937007874015748" header="0.7874015748031497" footer="0"/>
  <pageSetup orientation="landscape" paperSize="9" scale="93" fitToHeight="50" fitToWidth="2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zoomScaleNormal="100" workbookViewId="0">
      <selection activeCell="W4" sqref="W4"/>
    </sheetView>
  </sheetViews>
  <sheetFormatPr baseColWidth="10" defaultColWidth="11.44140625" defaultRowHeight="13.2"/>
  <cols>
    <col width="10.88671875" bestFit="1" customWidth="1" style="11" min="1" max="1"/>
    <col width="33.109375" bestFit="1" customWidth="1" style="11" min="2" max="2"/>
    <col width="14.5546875" bestFit="1" customWidth="1" style="11" min="3" max="3"/>
    <col width="3.33203125" bestFit="1" customWidth="1" style="11" min="4" max="9"/>
    <col width="13.109375" bestFit="1" customWidth="1" style="11" min="10" max="10"/>
    <col width="5.33203125" bestFit="1" customWidth="1" style="11" min="11" max="11"/>
    <col width="5.6640625" bestFit="1" customWidth="1" style="11" min="12" max="13"/>
    <col width="5.6640625" bestFit="1" customWidth="1" style="12" min="14" max="14"/>
    <col width="5.6640625" bestFit="1" customWidth="1" style="11" min="15" max="15"/>
    <col width="5.6640625" bestFit="1" customWidth="1" style="12" min="16" max="16"/>
    <col width="5.6640625" bestFit="1" customWidth="1" style="11" min="17" max="19"/>
    <col width="11.44140625" customWidth="1" style="11" min="20" max="16384"/>
  </cols>
  <sheetData>
    <row r="1" ht="60" customFormat="1" customHeight="1" s="10">
      <c r="A1" s="14" t="inlineStr">
        <is>
          <t>NIF</t>
        </is>
      </c>
      <c r="B1" s="14" t="inlineStr">
        <is>
          <t>NOMBRE_COMPLETO</t>
        </is>
      </c>
      <c r="C1" s="14" t="inlineStr">
        <is>
          <t>TIPO_SEXENIO</t>
        </is>
      </c>
      <c r="D1" s="15" t="inlineStr">
        <is>
          <t>2020</t>
        </is>
      </c>
      <c r="E1" s="15" t="inlineStr">
        <is>
          <t>2021</t>
        </is>
      </c>
      <c r="F1" s="15" t="inlineStr">
        <is>
          <t>2022</t>
        </is>
      </c>
      <c r="G1" s="15" t="inlineStr">
        <is>
          <t>2023</t>
        </is>
      </c>
      <c r="H1" s="15" t="inlineStr">
        <is>
          <t>2024</t>
        </is>
      </c>
      <c r="I1" s="15" t="inlineStr">
        <is>
          <t>2025</t>
        </is>
      </c>
      <c r="J1" s="14" t="inlineStr">
        <is>
          <t>Total general</t>
        </is>
      </c>
      <c r="K1" s="16" t="inlineStr">
        <is>
          <t>COD DEP</t>
        </is>
      </c>
      <c r="L1" s="8" t="inlineStr">
        <is>
          <t>INS
1</t>
        </is>
      </c>
      <c r="M1" s="8" t="inlineStr">
        <is>
          <t>DED
INS 1</t>
        </is>
      </c>
      <c r="N1" s="8" t="inlineStr">
        <is>
          <t>INS
2</t>
        </is>
      </c>
      <c r="O1" s="8" t="inlineStr">
        <is>
          <t>DED
INS 2</t>
        </is>
      </c>
      <c r="P1" s="9" t="inlineStr">
        <is>
          <t>DED
DEP</t>
        </is>
      </c>
      <c r="Q1" s="9" t="inlineStr">
        <is>
          <t>SEX
INS 1</t>
        </is>
      </c>
      <c r="R1" s="9" t="inlineStr">
        <is>
          <t>SEX
INS 2</t>
        </is>
      </c>
      <c r="S1" s="9" t="inlineStr">
        <is>
          <t>SEX
DEP</t>
        </is>
      </c>
      <c r="T1" s="11" t="n"/>
    </row>
    <row r="2">
      <c r="A2" s="18" t="inlineStr">
        <is>
          <t>03120158R</t>
        </is>
      </c>
      <c r="B2" s="18" t="inlineStr">
        <is>
          <t>Parra Puerto, Andrés</t>
        </is>
      </c>
      <c r="C2" s="18" t="inlineStr">
        <is>
          <t>NO FUNCIONARIO</t>
        </is>
      </c>
      <c r="D2" s="18" t="n"/>
      <c r="E2" s="18" t="n"/>
      <c r="F2" s="18" t="n"/>
      <c r="G2" s="18" t="n">
        <v>1</v>
      </c>
      <c r="H2" s="18" t="n"/>
      <c r="I2" s="18" t="n"/>
      <c r="J2" s="18" t="n">
        <v>1</v>
      </c>
      <c r="K2" s="18" t="inlineStr">
        <is>
          <t>B128</t>
        </is>
      </c>
      <c r="L2" s="17" t="n">
        <v>0</v>
      </c>
      <c r="M2" s="17" t="n">
        <v>0</v>
      </c>
      <c r="N2" s="17" t="inlineStr"/>
      <c r="O2" s="17" t="inlineStr"/>
      <c r="P2" s="17" t="n">
        <v>100</v>
      </c>
      <c r="Q2" s="17" t="n">
        <v>0</v>
      </c>
      <c r="R2" s="17" t="n">
        <v>0</v>
      </c>
      <c r="S2" s="17" t="n">
        <v>1</v>
      </c>
    </row>
    <row r="3">
      <c r="A3" s="18" t="inlineStr">
        <is>
          <t>21434493B</t>
        </is>
      </c>
      <c r="B3" s="18" t="inlineStr">
        <is>
          <t>Montiel Leguey, Vicente</t>
        </is>
      </c>
      <c r="C3" s="18" t="inlineStr">
        <is>
          <t>FUNCIONARIO</t>
        </is>
      </c>
      <c r="D3" s="18" t="n"/>
      <c r="E3" s="18" t="n">
        <v>1</v>
      </c>
      <c r="F3" s="18" t="n"/>
      <c r="G3" s="18" t="n"/>
      <c r="H3" s="18" t="n"/>
      <c r="I3" s="18" t="n"/>
      <c r="J3" s="18" t="n">
        <v>1</v>
      </c>
      <c r="K3" s="18" t="inlineStr">
        <is>
          <t>B128</t>
        </is>
      </c>
      <c r="L3" s="17" t="inlineStr">
        <is>
          <t>10.12</t>
        </is>
      </c>
      <c r="M3" s="17" t="inlineStr">
        <is>
          <t>50</t>
        </is>
      </c>
      <c r="N3" s="17" t="inlineStr"/>
      <c r="O3" s="17" t="inlineStr"/>
      <c r="P3" s="17" t="n">
        <v>50</v>
      </c>
      <c r="Q3" s="17" t="n">
        <v>0.5</v>
      </c>
      <c r="R3" s="17" t="n">
        <v>0</v>
      </c>
      <c r="S3" s="17" t="n">
        <v>0.5</v>
      </c>
    </row>
    <row r="4">
      <c r="A4" s="18" t="inlineStr">
        <is>
          <t>21444057F</t>
        </is>
      </c>
      <c r="B4" s="18" t="inlineStr">
        <is>
          <t>Rodes García, Antonio Joaquin</t>
        </is>
      </c>
      <c r="C4" s="18" t="inlineStr">
        <is>
          <t>FUNCIONARIO</t>
        </is>
      </c>
      <c r="D4" s="18" t="n"/>
      <c r="E4" s="18" t="n"/>
      <c r="F4" s="18" t="n"/>
      <c r="G4" s="18" t="n"/>
      <c r="H4" s="18" t="n">
        <v>1</v>
      </c>
      <c r="I4" s="18" t="n"/>
      <c r="J4" s="18" t="n">
        <v>1</v>
      </c>
      <c r="K4" s="18" t="inlineStr">
        <is>
          <t>B128</t>
        </is>
      </c>
      <c r="L4" s="17" t="inlineStr">
        <is>
          <t>10.12</t>
        </is>
      </c>
      <c r="M4" s="17" t="inlineStr">
        <is>
          <t>50</t>
        </is>
      </c>
      <c r="N4" s="17" t="inlineStr"/>
      <c r="O4" s="17" t="inlineStr"/>
      <c r="P4" s="17" t="n">
        <v>50</v>
      </c>
      <c r="Q4" s="17" t="n">
        <v>0.5</v>
      </c>
      <c r="R4" s="17" t="n">
        <v>0</v>
      </c>
      <c r="S4" s="17" t="n">
        <v>0.5</v>
      </c>
    </row>
    <row r="5">
      <c r="A5" s="18" t="inlineStr">
        <is>
          <t>21444744G</t>
        </is>
      </c>
      <c r="B5" s="18" t="inlineStr">
        <is>
          <t>Orts Mateo, Jose Manuel</t>
        </is>
      </c>
      <c r="C5" s="18" t="inlineStr">
        <is>
          <t>FUNCIONARIO</t>
        </is>
      </c>
      <c r="D5" s="18" t="n"/>
      <c r="E5" s="18" t="n"/>
      <c r="F5" s="18" t="n"/>
      <c r="G5" s="18" t="n"/>
      <c r="H5" s="18" t="n"/>
      <c r="I5" s="18" t="n">
        <v>1</v>
      </c>
      <c r="J5" s="18" t="n">
        <v>1</v>
      </c>
      <c r="K5" s="18" t="inlineStr">
        <is>
          <t>B128</t>
        </is>
      </c>
      <c r="L5" s="17" t="inlineStr">
        <is>
          <t>10.12</t>
        </is>
      </c>
      <c r="M5" s="17" t="inlineStr">
        <is>
          <t>50</t>
        </is>
      </c>
      <c r="N5" s="17" t="inlineStr"/>
      <c r="O5" s="17" t="inlineStr"/>
      <c r="P5" s="17" t="n">
        <v>50</v>
      </c>
      <c r="Q5" s="17" t="n">
        <v>0.5</v>
      </c>
      <c r="R5" s="17" t="n">
        <v>0</v>
      </c>
      <c r="S5" s="17" t="n">
        <v>0.5</v>
      </c>
    </row>
    <row r="6">
      <c r="A6" s="18" t="inlineStr">
        <is>
          <t>21462156M</t>
        </is>
      </c>
      <c r="B6" s="18" t="inlineStr">
        <is>
          <t>Morallón Núñez, Emilia</t>
        </is>
      </c>
      <c r="C6" s="18" t="inlineStr">
        <is>
          <t>FUNCIONARIO</t>
        </is>
      </c>
      <c r="D6" s="18" t="n">
        <v>1</v>
      </c>
      <c r="E6" s="18" t="n"/>
      <c r="F6" s="18" t="n"/>
      <c r="G6" s="18" t="n"/>
      <c r="H6" s="18" t="n"/>
      <c r="I6" s="18" t="n"/>
      <c r="J6" s="18" t="n">
        <v>1</v>
      </c>
      <c r="K6" s="18" t="inlineStr">
        <is>
          <t>B128</t>
        </is>
      </c>
      <c r="L6" s="17" t="inlineStr">
        <is>
          <t>10.14</t>
        </is>
      </c>
      <c r="M6" s="17" t="inlineStr">
        <is>
          <t>50</t>
        </is>
      </c>
      <c r="N6" s="17" t="inlineStr"/>
      <c r="O6" s="17" t="inlineStr"/>
      <c r="P6" s="17" t="n">
        <v>50</v>
      </c>
      <c r="Q6" s="17" t="n">
        <v>0.5</v>
      </c>
      <c r="R6" s="17" t="n">
        <v>0</v>
      </c>
      <c r="S6" s="17" t="n">
        <v>0.5</v>
      </c>
    </row>
    <row r="7">
      <c r="A7" s="18" t="inlineStr">
        <is>
          <t>21470777R</t>
        </is>
      </c>
      <c r="B7" s="18" t="inlineStr">
        <is>
          <t>Herrero Rodríguez, Enrique</t>
        </is>
      </c>
      <c r="C7" s="18" t="inlineStr">
        <is>
          <t>FUNCIONARIO</t>
        </is>
      </c>
      <c r="D7" s="18" t="n"/>
      <c r="E7" s="18" t="n">
        <v>1</v>
      </c>
      <c r="F7" s="18" t="n"/>
      <c r="G7" s="18" t="n"/>
      <c r="H7" s="18" t="n"/>
      <c r="I7" s="18" t="n"/>
      <c r="J7" s="18" t="n">
        <v>1</v>
      </c>
      <c r="K7" s="18" t="inlineStr">
        <is>
          <t>B128</t>
        </is>
      </c>
      <c r="L7" s="17" t="inlineStr">
        <is>
          <t>10.12</t>
        </is>
      </c>
      <c r="M7" s="17" t="inlineStr">
        <is>
          <t>50</t>
        </is>
      </c>
      <c r="N7" s="17" t="inlineStr"/>
      <c r="O7" s="17" t="inlineStr"/>
      <c r="P7" s="17" t="n">
        <v>50</v>
      </c>
      <c r="Q7" s="17" t="n">
        <v>0.5</v>
      </c>
      <c r="R7" s="17" t="n">
        <v>0</v>
      </c>
      <c r="S7" s="17" t="n">
        <v>0.5</v>
      </c>
    </row>
    <row r="8">
      <c r="A8" s="18" t="inlineStr">
        <is>
          <t>21493783F</t>
        </is>
      </c>
      <c r="B8" s="18" t="inlineStr">
        <is>
          <t>Pérez Jiménez, Ángel José</t>
        </is>
      </c>
      <c r="C8" s="18" t="inlineStr">
        <is>
          <t>FUNCIONARIO</t>
        </is>
      </c>
      <c r="D8" s="18" t="n"/>
      <c r="E8" s="18" t="n"/>
      <c r="F8" s="18" t="n"/>
      <c r="G8" s="18" t="n"/>
      <c r="H8" s="18" t="n">
        <v>1</v>
      </c>
      <c r="I8" s="18" t="n"/>
      <c r="J8" s="18" t="n">
        <v>1</v>
      </c>
      <c r="K8" s="18" t="inlineStr">
        <is>
          <t>B128</t>
        </is>
      </c>
      <c r="L8" s="17" t="n">
        <v>0</v>
      </c>
      <c r="M8" s="17" t="n">
        <v>0</v>
      </c>
      <c r="N8" s="17" t="inlineStr"/>
      <c r="O8" s="17" t="inlineStr"/>
      <c r="P8" s="17" t="n">
        <v>100</v>
      </c>
      <c r="Q8" s="17" t="n">
        <v>0</v>
      </c>
      <c r="R8" s="17" t="n">
        <v>0</v>
      </c>
      <c r="S8" s="17" t="n">
        <v>1</v>
      </c>
    </row>
    <row r="9">
      <c r="A9" s="18" t="inlineStr">
        <is>
          <t>21511645K</t>
        </is>
      </c>
      <c r="B9" s="18" t="inlineStr">
        <is>
          <t>Climent Payá, Víctor José</t>
        </is>
      </c>
      <c r="C9" s="18" t="inlineStr">
        <is>
          <t>FUNCIONARIO</t>
        </is>
      </c>
      <c r="D9" s="18" t="n">
        <v>1</v>
      </c>
      <c r="E9" s="18" t="n"/>
      <c r="F9" s="18" t="n"/>
      <c r="G9" s="18" t="n"/>
      <c r="H9" s="18" t="n"/>
      <c r="I9" s="18" t="n"/>
      <c r="J9" s="18" t="n">
        <v>1</v>
      </c>
      <c r="K9" s="18" t="inlineStr">
        <is>
          <t>B128</t>
        </is>
      </c>
      <c r="L9" s="17" t="inlineStr">
        <is>
          <t>10.12</t>
        </is>
      </c>
      <c r="M9" s="17" t="inlineStr">
        <is>
          <t>50</t>
        </is>
      </c>
      <c r="N9" s="17" t="inlineStr"/>
      <c r="O9" s="17" t="inlineStr"/>
      <c r="P9" s="17" t="n">
        <v>50</v>
      </c>
      <c r="Q9" s="17" t="n">
        <v>0.5</v>
      </c>
      <c r="R9" s="17" t="n">
        <v>0</v>
      </c>
      <c r="S9" s="17" t="n">
        <v>0.5</v>
      </c>
    </row>
    <row r="10">
      <c r="A10" s="18" t="inlineStr">
        <is>
          <t>21638610A</t>
        </is>
      </c>
      <c r="B10" s="18" t="inlineStr">
        <is>
          <t>Pérez Jordá, José María</t>
        </is>
      </c>
      <c r="C10" s="18" t="inlineStr">
        <is>
          <t>FUNCIONARIO</t>
        </is>
      </c>
      <c r="D10" s="18" t="n"/>
      <c r="E10" s="18" t="n">
        <v>1</v>
      </c>
      <c r="F10" s="18" t="n"/>
      <c r="G10" s="18" t="n"/>
      <c r="H10" s="18" t="n"/>
      <c r="I10" s="18" t="n"/>
      <c r="J10" s="18" t="n">
        <v>1</v>
      </c>
      <c r="K10" s="18" t="inlineStr">
        <is>
          <t>B128</t>
        </is>
      </c>
      <c r="L10" s="17" t="n">
        <v>0</v>
      </c>
      <c r="M10" s="17" t="n">
        <v>0</v>
      </c>
      <c r="N10" s="17" t="inlineStr"/>
      <c r="O10" s="17" t="inlineStr"/>
      <c r="P10" s="17" t="n">
        <v>100</v>
      </c>
      <c r="Q10" s="17" t="n">
        <v>0</v>
      </c>
      <c r="R10" s="17" t="n">
        <v>0</v>
      </c>
      <c r="S10" s="17" t="n">
        <v>1</v>
      </c>
    </row>
    <row r="11">
      <c r="A11" s="18" t="inlineStr">
        <is>
          <t>21676499B</t>
        </is>
      </c>
      <c r="B11" s="18" t="inlineStr">
        <is>
          <t>Monllor Satoca, Damián</t>
        </is>
      </c>
      <c r="C11" s="18" t="inlineStr">
        <is>
          <t>FUNCIONARIO</t>
        </is>
      </c>
      <c r="D11" s="18" t="n"/>
      <c r="E11" s="18" t="n"/>
      <c r="F11" s="18" t="n"/>
      <c r="G11" s="18" t="n"/>
      <c r="H11" s="18" t="n"/>
      <c r="I11" s="18" t="n">
        <v>1</v>
      </c>
      <c r="J11" s="18" t="n">
        <v>1</v>
      </c>
      <c r="K11" s="18" t="inlineStr">
        <is>
          <t>B128</t>
        </is>
      </c>
      <c r="L11" s="17" t="inlineStr">
        <is>
          <t>10.12</t>
        </is>
      </c>
      <c r="M11" s="17" t="inlineStr">
        <is>
          <t>50</t>
        </is>
      </c>
      <c r="N11" s="17" t="inlineStr"/>
      <c r="O11" s="17" t="inlineStr"/>
      <c r="P11" s="17" t="n">
        <v>50</v>
      </c>
      <c r="Q11" s="17" t="n">
        <v>0.5</v>
      </c>
      <c r="R11" s="17" t="n">
        <v>0</v>
      </c>
      <c r="S11" s="17" t="n">
        <v>0.5</v>
      </c>
    </row>
    <row r="12">
      <c r="A12" s="18" t="inlineStr">
        <is>
          <t>22003613L</t>
        </is>
      </c>
      <c r="B12" s="18" t="inlineStr">
        <is>
          <t>Bonete Ferrández, Pedro Luis</t>
        </is>
      </c>
      <c r="C12" s="18" t="inlineStr">
        <is>
          <t>FUNCIONARIO</t>
        </is>
      </c>
      <c r="D12" s="18" t="n">
        <v>4</v>
      </c>
      <c r="E12" s="18" t="n"/>
      <c r="F12" s="18" t="n"/>
      <c r="G12" s="18" t="n"/>
      <c r="H12" s="18" t="n"/>
      <c r="I12" s="18" t="n"/>
      <c r="J12" s="18" t="n">
        <v>4</v>
      </c>
      <c r="K12" s="18" t="inlineStr">
        <is>
          <t>B128</t>
        </is>
      </c>
      <c r="L12" s="17" t="inlineStr">
        <is>
          <t>10.12</t>
        </is>
      </c>
      <c r="M12" s="17" t="inlineStr">
        <is>
          <t>50</t>
        </is>
      </c>
      <c r="N12" s="17" t="inlineStr"/>
      <c r="O12" s="17" t="inlineStr"/>
      <c r="P12" s="17" t="n">
        <v>50</v>
      </c>
      <c r="Q12" s="17" t="n">
        <v>2</v>
      </c>
      <c r="R12" s="17" t="n">
        <v>0</v>
      </c>
      <c r="S12" s="17" t="n">
        <v>2</v>
      </c>
    </row>
    <row r="13">
      <c r="A13" s="18" t="inlineStr">
        <is>
          <t>22008840W</t>
        </is>
      </c>
      <c r="B13" s="18" t="inlineStr">
        <is>
          <t>Gómez Torregrosa, Roberto</t>
        </is>
      </c>
      <c r="C13" s="18" t="inlineStr">
        <is>
          <t>FUNCIONARIO</t>
        </is>
      </c>
      <c r="D13" s="18" t="n"/>
      <c r="E13" s="18" t="n">
        <v>1</v>
      </c>
      <c r="F13" s="18" t="n"/>
      <c r="G13" s="18" t="n"/>
      <c r="H13" s="18" t="n"/>
      <c r="I13" s="18" t="n"/>
      <c r="J13" s="18" t="n">
        <v>1</v>
      </c>
      <c r="K13" s="18" t="inlineStr">
        <is>
          <t>B128</t>
        </is>
      </c>
      <c r="L13" s="17" t="inlineStr">
        <is>
          <t>10.12</t>
        </is>
      </c>
      <c r="M13" s="17" t="inlineStr">
        <is>
          <t>50</t>
        </is>
      </c>
      <c r="N13" s="17" t="inlineStr"/>
      <c r="O13" s="17" t="inlineStr"/>
      <c r="P13" s="17" t="n">
        <v>50</v>
      </c>
      <c r="Q13" s="17" t="n">
        <v>0.5</v>
      </c>
      <c r="R13" s="17" t="n">
        <v>0</v>
      </c>
      <c r="S13" s="17" t="n">
        <v>0.5</v>
      </c>
    </row>
    <row r="14">
      <c r="A14" s="18" t="inlineStr">
        <is>
          <t>33330450T</t>
        </is>
      </c>
      <c r="B14" s="18" t="inlineStr">
        <is>
          <t>Solla Gullón, José</t>
        </is>
      </c>
      <c r="C14" s="18" t="inlineStr">
        <is>
          <t>FUNCIONARIO</t>
        </is>
      </c>
      <c r="D14" s="18" t="n"/>
      <c r="E14" s="18" t="n"/>
      <c r="F14" s="18" t="n">
        <v>3</v>
      </c>
      <c r="G14" s="18" t="n">
        <v>1</v>
      </c>
      <c r="H14" s="18" t="n"/>
      <c r="I14" s="18" t="n"/>
      <c r="J14" s="18" t="n">
        <v>4</v>
      </c>
      <c r="K14" s="18" t="inlineStr">
        <is>
          <t>B128</t>
        </is>
      </c>
      <c r="L14" s="17" t="inlineStr">
        <is>
          <t>10.12</t>
        </is>
      </c>
      <c r="M14" s="17" t="inlineStr">
        <is>
          <t>50</t>
        </is>
      </c>
      <c r="N14" s="17" t="inlineStr"/>
      <c r="O14" s="17" t="inlineStr"/>
      <c r="P14" s="17" t="n">
        <v>50</v>
      </c>
      <c r="Q14" s="17" t="n">
        <v>2</v>
      </c>
      <c r="R14" s="17" t="n">
        <v>0</v>
      </c>
      <c r="S14" s="17" t="n">
        <v>2</v>
      </c>
    </row>
    <row r="15">
      <c r="A15" s="18" t="inlineStr">
        <is>
          <t>33443060W</t>
        </is>
      </c>
      <c r="B15" s="18" t="inlineStr">
        <is>
          <t>Lana Villarreal, Teresa</t>
        </is>
      </c>
      <c r="C15" s="18" t="inlineStr">
        <is>
          <t>FUNCIONARIO</t>
        </is>
      </c>
      <c r="D15" s="18" t="n"/>
      <c r="E15" s="18" t="n"/>
      <c r="F15" s="18" t="n"/>
      <c r="G15" s="18" t="n"/>
      <c r="H15" s="18" t="n">
        <v>1</v>
      </c>
      <c r="I15" s="18" t="n"/>
      <c r="J15" s="18" t="n">
        <v>1</v>
      </c>
      <c r="K15" s="18" t="inlineStr">
        <is>
          <t>B128</t>
        </is>
      </c>
      <c r="L15" s="17" t="inlineStr">
        <is>
          <t>10.12</t>
        </is>
      </c>
      <c r="M15" s="17" t="inlineStr">
        <is>
          <t>50</t>
        </is>
      </c>
      <c r="N15" s="17" t="inlineStr"/>
      <c r="O15" s="17" t="inlineStr"/>
      <c r="P15" s="17" t="n">
        <v>50</v>
      </c>
      <c r="Q15" s="17" t="n">
        <v>0.5</v>
      </c>
      <c r="R15" s="17" t="n">
        <v>0</v>
      </c>
      <c r="S15" s="17" t="n">
        <v>0.5</v>
      </c>
    </row>
    <row r="16">
      <c r="A16" s="18" t="inlineStr">
        <is>
          <t>33492585P</t>
        </is>
      </c>
      <c r="B16" s="18" t="inlineStr">
        <is>
          <t>Montilla Jiménez, Francisco Rafael</t>
        </is>
      </c>
      <c r="C16" s="18" t="inlineStr">
        <is>
          <t>FUNCIONARIO</t>
        </is>
      </c>
      <c r="D16" s="18" t="n"/>
      <c r="E16" s="18" t="n"/>
      <c r="F16" s="18" t="n"/>
      <c r="G16" s="18" t="n">
        <v>1</v>
      </c>
      <c r="H16" s="18" t="n"/>
      <c r="I16" s="18" t="n"/>
      <c r="J16" s="18" t="n">
        <v>1</v>
      </c>
      <c r="K16" s="18" t="inlineStr">
        <is>
          <t>B128</t>
        </is>
      </c>
      <c r="L16" s="17" t="inlineStr">
        <is>
          <t>10.14</t>
        </is>
      </c>
      <c r="M16" s="17" t="inlineStr">
        <is>
          <t>20</t>
        </is>
      </c>
      <c r="N16" s="17" t="inlineStr"/>
      <c r="O16" s="17" t="inlineStr"/>
      <c r="P16" s="17" t="n">
        <v>80</v>
      </c>
      <c r="Q16" s="17" t="n">
        <v>0.2</v>
      </c>
      <c r="R16" s="17" t="n">
        <v>0</v>
      </c>
      <c r="S16" s="17" t="n">
        <v>0.8</v>
      </c>
    </row>
    <row r="17">
      <c r="A17" s="18" t="inlineStr">
        <is>
          <t>48570418F</t>
        </is>
      </c>
      <c r="B17" s="18" t="inlineStr">
        <is>
          <t>Guijarro Carratalá, Néstor</t>
        </is>
      </c>
      <c r="C17" s="18" t="inlineStr">
        <is>
          <t>FUNCIONARIO</t>
        </is>
      </c>
      <c r="D17" s="18" t="n"/>
      <c r="E17" s="18" t="n"/>
      <c r="F17" s="18" t="n"/>
      <c r="G17" s="18" t="n"/>
      <c r="H17" s="18" t="n"/>
      <c r="I17" s="18" t="n">
        <v>2</v>
      </c>
      <c r="J17" s="18" t="n">
        <v>2</v>
      </c>
      <c r="K17" s="18" t="inlineStr">
        <is>
          <t>B128</t>
        </is>
      </c>
      <c r="L17" s="17" t="n">
        <v>0</v>
      </c>
      <c r="M17" s="17" t="n">
        <v>0</v>
      </c>
      <c r="N17" s="17" t="inlineStr"/>
      <c r="O17" s="17" t="inlineStr"/>
      <c r="P17" s="17" t="n">
        <v>100</v>
      </c>
      <c r="Q17" s="17" t="n">
        <v>0</v>
      </c>
      <c r="R17" s="17" t="n">
        <v>0</v>
      </c>
      <c r="S17" s="17" t="n">
        <v>2</v>
      </c>
    </row>
    <row r="18">
      <c r="A18" s="18" t="inlineStr">
        <is>
          <t>52762689E</t>
        </is>
      </c>
      <c r="B18" s="18" t="inlineStr">
        <is>
          <t>Berenguer Betrián, Raúl</t>
        </is>
      </c>
      <c r="C18" s="18" t="inlineStr">
        <is>
          <t>FUNCIONARIO</t>
        </is>
      </c>
      <c r="D18" s="18" t="n"/>
      <c r="E18" s="18" t="n"/>
      <c r="F18" s="18" t="n"/>
      <c r="G18" s="18" t="n"/>
      <c r="H18" s="18" t="n">
        <v>3</v>
      </c>
      <c r="I18" s="18" t="n"/>
      <c r="J18" s="18" t="n">
        <v>3</v>
      </c>
      <c r="K18" s="18" t="inlineStr">
        <is>
          <t>B128</t>
        </is>
      </c>
      <c r="L18" s="17" t="inlineStr">
        <is>
          <t>10.14</t>
        </is>
      </c>
      <c r="M18" s="17" t="inlineStr">
        <is>
          <t>50</t>
        </is>
      </c>
      <c r="N18" s="17" t="inlineStr"/>
      <c r="O18" s="17" t="inlineStr"/>
      <c r="P18" s="17" t="n">
        <v>50</v>
      </c>
      <c r="Q18" s="17" t="n">
        <v>1.5</v>
      </c>
      <c r="R18" s="17" t="n">
        <v>0</v>
      </c>
      <c r="S18" s="17" t="n">
        <v>1.5</v>
      </c>
    </row>
    <row r="19">
      <c r="A19" s="18" t="inlineStr">
        <is>
          <t>52770995W</t>
        </is>
      </c>
      <c r="B19" s="18" t="inlineStr">
        <is>
          <t>Sancho García, Juan Carlos</t>
        </is>
      </c>
      <c r="C19" s="18" t="inlineStr">
        <is>
          <t>FUNCIONARIO</t>
        </is>
      </c>
      <c r="D19" s="18" t="n"/>
      <c r="E19" s="18" t="n"/>
      <c r="F19" s="18" t="n"/>
      <c r="G19" s="18" t="n"/>
      <c r="H19" s="18" t="n">
        <v>1</v>
      </c>
      <c r="I19" s="18" t="n"/>
      <c r="J19" s="18" t="n">
        <v>1</v>
      </c>
      <c r="K19" s="18" t="inlineStr">
        <is>
          <t>B128</t>
        </is>
      </c>
      <c r="L19" s="17" t="inlineStr">
        <is>
          <t>10.14</t>
        </is>
      </c>
      <c r="M19" s="17" t="inlineStr">
        <is>
          <t>50</t>
        </is>
      </c>
      <c r="N19" s="17" t="inlineStr"/>
      <c r="O19" s="17" t="inlineStr"/>
      <c r="P19" s="17" t="n">
        <v>50</v>
      </c>
      <c r="Q19" s="17" t="n">
        <v>0.5</v>
      </c>
      <c r="R19" s="17" t="n">
        <v>0</v>
      </c>
      <c r="S19" s="17" t="n">
        <v>0.5</v>
      </c>
    </row>
    <row r="20">
      <c r="A20" s="18" t="inlineStr">
        <is>
          <t>74006976Z</t>
        </is>
      </c>
      <c r="B20" s="18" t="inlineStr">
        <is>
          <t>Díez García, María Isabel</t>
        </is>
      </c>
      <c r="C20" s="37" t="inlineStr">
        <is>
          <t>NO FUNCIONARIO</t>
        </is>
      </c>
      <c r="D20" s="18" t="n"/>
      <c r="E20" s="18" t="n"/>
      <c r="F20" s="18" t="n"/>
      <c r="G20" s="18" t="n"/>
      <c r="H20" s="18" t="n">
        <v>1</v>
      </c>
      <c r="I20" s="18" t="n">
        <v>1</v>
      </c>
      <c r="J20" s="18" t="n">
        <v>2</v>
      </c>
      <c r="K20" s="18" t="inlineStr">
        <is>
          <t>B128</t>
        </is>
      </c>
      <c r="L20" s="17" t="n">
        <v>0</v>
      </c>
      <c r="M20" s="17" t="n">
        <v>0</v>
      </c>
      <c r="N20" s="17" t="inlineStr"/>
      <c r="O20" s="17" t="inlineStr"/>
      <c r="P20" s="17" t="n">
        <v>100</v>
      </c>
      <c r="Q20" s="17" t="n">
        <v>0</v>
      </c>
      <c r="R20" s="17" t="n">
        <v>0</v>
      </c>
      <c r="S20" s="17" t="n">
        <v>2</v>
      </c>
    </row>
    <row r="21">
      <c r="A21" s="38" t="n"/>
      <c r="B21" s="38" t="n"/>
      <c r="C21" s="39" t="n"/>
      <c r="D21" s="38" t="n"/>
      <c r="E21" s="38" t="n"/>
      <c r="F21" s="38" t="n"/>
      <c r="G21" s="38" t="n"/>
      <c r="H21" s="38" t="n"/>
      <c r="I21" s="38" t="n"/>
      <c r="J21" s="38" t="n"/>
      <c r="K21" s="38" t="n"/>
      <c r="L21" s="38" t="n"/>
      <c r="M21" s="38" t="n"/>
      <c r="N21" s="38" t="n"/>
      <c r="O21" s="38" t="n"/>
      <c r="P21" s="38" t="n"/>
      <c r="Q21" s="38" t="n"/>
      <c r="R21" s="38" t="n"/>
      <c r="S21" s="40">
        <f>SUM(S2:S20)</f>
        <v/>
      </c>
    </row>
  </sheetData>
  <pageMargins left="0.3937007874015748" right="0.3937007874015748" top="0.3937007874015748" bottom="0.3937007874015748" header="0.3149606299212598" footer="0.3149606299212598"/>
  <pageSetup orientation="landscape" paperSize="9" scale="1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9" sqref="B19"/>
    </sheetView>
  </sheetViews>
  <sheetFormatPr baseColWidth="10" defaultRowHeight="13.2"/>
  <cols>
    <col width="16.44140625" customWidth="1" min="1" max="1"/>
    <col width="86" customWidth="1" min="2" max="2"/>
    <col width="15.44140625" customWidth="1" min="3" max="3"/>
  </cols>
  <sheetData>
    <row r="1">
      <c r="A1" s="44" t="inlineStr">
        <is>
          <t>Cód. org. aplic.</t>
        </is>
      </c>
      <c r="B1" s="44" t="inlineStr">
        <is>
          <t>Descripción justificante</t>
        </is>
      </c>
      <c r="C1" s="44" t="inlineStr">
        <is>
          <t>Imp.cob.aplic.</t>
        </is>
      </c>
    </row>
    <row r="2">
      <c r="A2" s="34" t="inlineStr">
        <is>
          <t>31.30.6P.00.07</t>
        </is>
      </c>
      <c r="B2" s="34" t="inlineStr">
        <is>
          <t>Reintegro en voluntaria de la referencia RTI2018-102061-B-I00, anualidad: 2021</t>
        </is>
      </c>
      <c r="C2" s="75" t="n">
        <v>-14.02</v>
      </c>
    </row>
    <row r="3">
      <c r="A3" s="35" t="inlineStr">
        <is>
          <t>31.30.6P.00.07</t>
        </is>
      </c>
      <c r="B3" s="35" t="inlineStr">
        <is>
          <t xml:space="preserve">DEVOLUCIÓN DE INGRESO_MODELO 069_P57372-RTI2018-102061-B-I00_EXPEDIENTE O REFERENCIA: 173-P57372-202212210097798 </t>
        </is>
      </c>
      <c r="C3" s="76" t="n">
        <v>-14.02</v>
      </c>
    </row>
    <row r="4">
      <c r="A4" s="34" t="inlineStr">
        <is>
          <t>31.30.6P.00.08</t>
        </is>
      </c>
      <c r="B4" s="34" t="inlineStr">
        <is>
          <t>PROMETEO/2020/063-064-089-092</t>
        </is>
      </c>
      <c r="C4" s="75" t="n">
        <v>50106.35</v>
      </c>
    </row>
    <row r="5">
      <c r="A5" s="35" t="inlineStr">
        <is>
          <t>31.30.6P.00.08</t>
        </is>
      </c>
      <c r="B5" s="35" t="inlineStr">
        <is>
          <t>DEVOLUCIÓN DE INGRESOS_MODELO 047_Nº DE LIQUIDACIÓN:46/2023/RAS/10414/1 Nº DE JUSTIFICANTE:047/1/002412503_Nº DE REFERENCIA:047/1/002412503</t>
        </is>
      </c>
      <c r="C5" s="76" t="n">
        <v>-855.3</v>
      </c>
    </row>
    <row r="6">
      <c r="A6" s="34" t="inlineStr">
        <is>
          <t>31.30.6P.00.11</t>
        </is>
      </c>
      <c r="B6" s="34" t="inlineStr">
        <is>
          <t xml:space="preserve">INNVA1/2022/16 INNVA1/2022/26 INNVA1/2022/34 INNVA1/2022/36 </t>
        </is>
      </c>
      <c r="C6" s="75" t="n">
        <v>146499.06</v>
      </c>
    </row>
    <row r="7">
      <c r="A7" s="35" t="inlineStr">
        <is>
          <t>31.30.6P.00.12</t>
        </is>
      </c>
      <c r="B7" s="35" t="inlineStr">
        <is>
          <t>Resolución Secret Autonom de Universidades e Investigación para proyectos de investigación alineados con líneas de actuación de los programas de I+D+i de Agrolimentación (AGROALNEXT). AÑO 2023</t>
        </is>
      </c>
      <c r="C7" s="76" t="n">
        <v>33915</v>
      </c>
    </row>
    <row r="8">
      <c r="A8" s="34" t="inlineStr">
        <is>
          <t>31.30.6P.00.13</t>
        </is>
      </c>
      <c r="B8" s="34" t="inlineStr">
        <is>
          <t xml:space="preserve">TED2021-130707B-I00, TED2021-129617B-I00, TED2021-129894B-I00, TED2021-129216B-I00, TED2021-130070B-I00, TED2021-130080B-I00, TED2021-130776A-I00, TED2021-132697B-I00, TED2021-131028B-I00, TED2021-132103A-I00, TED2021-130304B-I00 </t>
        </is>
      </c>
      <c r="C8" s="75" t="n">
        <v>83300</v>
      </c>
    </row>
    <row r="9">
      <c r="A9" s="35" t="inlineStr">
        <is>
          <t>31.30.6P.00.16</t>
        </is>
      </c>
      <c r="B9" s="35" t="inlineStr">
        <is>
          <t xml:space="preserve">AYUDAS CNS2022-136093 /136107 /135161 </t>
        </is>
      </c>
      <c r="C9" s="76" t="n">
        <v>124600</v>
      </c>
    </row>
    <row r="10">
      <c r="A10" s="48" t="inlineStr">
        <is>
          <t>31.30.6P.00.17</t>
        </is>
      </c>
      <c r="B10" s="48" t="inlineStr">
        <is>
          <t xml:space="preserve">ayudas PID2022 142159OB--137566OB-I00--139552OB-C22--142960OB-C21--137302NB-C33--139820NB-I00--138111NB-I00--141543OB-I00--138491OB-C32--137364OB-I00--138329NB-I00--142830NB-I00--138453OB-I00 PID2022-138696OB-C22 PID2022-138853NB-I00 PID2022-142712NB-I00 </t>
        </is>
      </c>
      <c r="C10" s="77" t="n">
        <v>109056</v>
      </c>
    </row>
    <row r="11" customFormat="1" s="47">
      <c r="A11" s="49" t="inlineStr">
        <is>
          <t>Total</t>
        </is>
      </c>
      <c r="B11" s="49" t="n"/>
      <c r="C11" s="78">
        <f>SUBTOTAL(109,Tabla2[Imp.cob.aplic.])</f>
        <v/>
      </c>
    </row>
    <row r="12">
      <c r="C12" s="79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B15" sqref="B15:C15"/>
    </sheetView>
  </sheetViews>
  <sheetFormatPr baseColWidth="10" defaultRowHeight="13.2"/>
  <cols>
    <col width="40.33203125" customWidth="1" min="2" max="2"/>
    <col width="13.33203125" customWidth="1" min="3" max="3"/>
  </cols>
  <sheetData>
    <row r="1" ht="14.4" customHeight="1">
      <c r="A1" s="55" t="inlineStr">
        <is>
          <t>Org. aplic.</t>
        </is>
      </c>
      <c r="B1" s="55" t="inlineStr">
        <is>
          <t>Descripción justificante</t>
        </is>
      </c>
      <c r="C1" s="80" t="inlineStr">
        <is>
          <t>Imp. aplic.</t>
        </is>
      </c>
    </row>
    <row r="2">
      <c r="A2" s="51" t="inlineStr">
        <is>
          <t>31.30.6P.00.08</t>
        </is>
      </c>
      <c r="B2" s="51" t="inlineStr">
        <is>
          <t>DEVOLOUCIÓN DE INGRESOS_MODELO 047_Nº DE LIQUIDACIÓN 46/2024/RAS/10180/1_Nº DE JUSTIFICANTE: 047/1/002507580_Nº DE REFERENCIA: 047/1/002507580</t>
        </is>
      </c>
      <c r="C2" s="81" t="n">
        <v>-3421.74</v>
      </c>
    </row>
    <row r="3">
      <c r="A3" s="53" t="inlineStr">
        <is>
          <t>31.30.6P.00.11</t>
        </is>
      </c>
      <c r="B3" s="53" t="inlineStr">
        <is>
          <t xml:space="preserve">ayudas INNVA1/2022/16, INNVA1/2022/26, INNVA1/2022/34, INNVA1/2022/36 </t>
        </is>
      </c>
      <c r="C3" s="82" t="n">
        <v>166967.06</v>
      </c>
    </row>
    <row r="4">
      <c r="A4" s="51" t="inlineStr">
        <is>
          <t>31.30.6P.00.12</t>
        </is>
      </c>
      <c r="B4" s="51" t="inlineStr">
        <is>
          <t xml:space="preserve">ayudas AGROALNEXT/2022/052, AGROALNEXT/2022/057, AGROALNEXT/2022/066 </t>
        </is>
      </c>
      <c r="C4" s="81" t="n">
        <v>33915</v>
      </c>
    </row>
    <row r="5">
      <c r="A5" s="53" t="inlineStr">
        <is>
          <t>31.30.6P.00.17</t>
        </is>
      </c>
      <c r="B5" s="53" t="inlineStr">
        <is>
          <t>PID2022-139105OB-I00-141712NB-C22-142356NB-I00-141694NB-I00-136399NB-C21-142159OB-I00-137566OB-I00-139552OB-C22-137302NB-C33-139820NB-I00-142960OB-C21</t>
        </is>
      </c>
      <c r="C5" s="82" t="n">
        <v>16320</v>
      </c>
    </row>
    <row r="6">
      <c r="A6" s="51" t="inlineStr">
        <is>
          <t>31.30.6P.00.18</t>
        </is>
      </c>
      <c r="B6" s="51" t="inlineStr">
        <is>
          <t xml:space="preserve">AYUDAS CIDEIG/2023/1, CIDEIG/2023/1 (PLU.CDEIGENT 2023 SUBV.CONTRATACION PERSONALINVEST) </t>
        </is>
      </c>
      <c r="C6" s="81" t="n">
        <v>23700</v>
      </c>
    </row>
    <row r="7">
      <c r="A7" s="53" t="inlineStr">
        <is>
          <t>31.30.6P.00.19</t>
        </is>
      </c>
      <c r="B7" s="53" t="inlineStr">
        <is>
      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      </is>
      </c>
      <c r="C7" s="82" t="n">
        <v>30000</v>
      </c>
    </row>
    <row r="8">
      <c r="A8" s="51" t="inlineStr">
        <is>
          <t>31.30.6P.00.20</t>
        </is>
      </c>
      <c r="B8" s="51" t="inlineStr">
        <is>
          <t>ayudas RYC2022-035453-I, RYC2022-035453-I (DOT. ADICIONAL), RYC2022-035966-I, RYC2022-035966-I (DOT. ADICIONAL), RYC2022-037376-I, RYC2022-037376-I (DOT. ADICIONAL), RYC2022-038206-I, RYC2022-038206-I (DOT. ADICIONAL), RYC2022-038400-I, RYC2022-038400-I (DOT. ADICIONAL)</t>
        </is>
      </c>
      <c r="C8" s="81" t="n">
        <v>30000</v>
      </c>
    </row>
    <row r="9">
      <c r="A9" s="53" t="inlineStr">
        <is>
          <t>31.30.6P.00.27</t>
        </is>
      </c>
      <c r="B9" s="53" t="inlineStr">
        <is>
          <t>PCI2024-155046-2PIA212024-1 - 1</t>
        </is>
      </c>
      <c r="C9" s="82" t="n">
        <v>250000</v>
      </c>
    </row>
    <row r="10">
      <c r="A10" s="51" t="inlineStr">
        <is>
          <t>31.30.6X.00.01</t>
        </is>
      </c>
      <c r="B10" s="51" t="inlineStr">
        <is>
          <t>INGRESO PERCIBIDO POR LA UNIVERSIDAD DE ALICANTE EN CONCEPTO DE PAGO FINAL DEL PROYECTO SoftBioArt dirigido por E.M. PERTENECIENTE AL DPTO. DE QUÍMICA FÍSICA.</t>
        </is>
      </c>
      <c r="C10" s="81" t="n">
        <v>47089.36</v>
      </c>
    </row>
    <row r="11">
      <c r="A11" s="46" t="inlineStr">
        <is>
          <t>31.30.6X.00.01</t>
        </is>
      </c>
      <c r="B11" s="46" t="inlineStr">
        <is>
          <t>INGRESO PERCIBIDO POR LA UNIVERSIDAD DE ALICANTE EN CONCEPTO DE PAGO FINAL DEL PROYECTO SoftBioArt dirigido por E.M. PERTENECIENTE AL DPTO. DE QUÍMICA FÍSICA.</t>
        </is>
      </c>
      <c r="C11" s="83" t="n">
        <v>8046.62</v>
      </c>
    </row>
    <row r="12">
      <c r="A12" s="46" t="inlineStr">
        <is>
          <t>Total</t>
        </is>
      </c>
      <c r="B12" s="46" t="n"/>
      <c r="C12" s="84">
        <f>SUBTOTAL(109,Tabla3[Imp. aplic.])</f>
        <v/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tabSelected="1" workbookViewId="0">
      <selection activeCell="C16" sqref="C16"/>
    </sheetView>
  </sheetViews>
  <sheetFormatPr baseColWidth="10" defaultRowHeight="13.2"/>
  <cols>
    <col width="17" customWidth="1" min="1" max="1"/>
    <col width="49.109375" customWidth="1" min="2" max="2"/>
    <col width="18.88671875" customWidth="1" min="3" max="3"/>
  </cols>
  <sheetData>
    <row r="1">
      <c r="A1" s="61" t="inlineStr">
        <is>
          <t>Org. aplic.</t>
        </is>
      </c>
      <c r="B1" s="62" t="inlineStr">
        <is>
          <t>Descripción justificante</t>
        </is>
      </c>
      <c r="C1" s="62" t="inlineStr">
        <is>
          <t>Imp. aplic.</t>
        </is>
      </c>
    </row>
    <row r="2">
      <c r="A2" s="63" t="inlineStr">
        <is>
          <t>31.30.6P.00.11</t>
        </is>
      </c>
      <c r="B2" s="64" t="inlineStr">
        <is>
          <t xml:space="preserve">Minoración Ayuda INNVA1/2022/36 </t>
        </is>
      </c>
      <c r="C2" s="85" t="n">
        <v>-44675.16</v>
      </c>
    </row>
    <row r="3">
      <c r="A3" s="66" t="inlineStr">
        <is>
          <t>31.30.6P.00.11</t>
        </is>
      </c>
      <c r="B3" s="67" t="inlineStr">
        <is>
          <t>Minoración Ayuda INNVA1/2022/36</t>
        </is>
      </c>
      <c r="C3" s="86" t="n">
        <v>-11620</v>
      </c>
    </row>
    <row r="4">
      <c r="A4" s="63" t="inlineStr">
        <is>
          <t>31.30.6P.00.11</t>
        </is>
      </c>
      <c r="B4" s="64" t="inlineStr">
        <is>
          <t xml:space="preserve">MINORACIÓN AYUDA INNVA1/2022/36 </t>
        </is>
      </c>
      <c r="C4" s="85" t="n">
        <v>-3764.88</v>
      </c>
    </row>
    <row r="5">
      <c r="A5" s="66" t="inlineStr">
        <is>
          <t>31.30.6P.00.17</t>
        </is>
      </c>
      <c r="B5" s="67" t="inlineStr">
        <is>
          <t>AYUDAS PID2022-138464NB-I00, PID2022-142516OB-I00, PID2022-139990NB-I00, PID2022-141382OB-, 00, PID2022-139899OB-I00, PID2022-136847NB-I00, PID2022-137385NB-I00, PID2022-139294NB-I00, PID2022-137873NA-I00, PID2022-138786NB-I00,PID2022-136590OB-C43, PID2022-139105OB-I00, PID2022-141712NB-C22, PID2022-142356NB-I00, PID2022-141694NB-I00, PID2022-136399NB-C21, PID2022-142159OB-I00,PID2022-137566OB-I00, PID2022-139552OB-C22, PID2022-137302NB-C33, PID2022-139820NB-I00, PID2022-142960OB-C21, PID2022-138111NB-I00, PID2022-141543OB-I00, PID2022-137350NB-I00, PID2022-138491OB-C32, PID2022-137364OB-I00, PID2022-138329NB-I00, PID2022-142830NB-I00, PID2022-138453OB-I00, PID2022-138696OB-C22, PID2022-138853NB-I00, PID2022-142712NB-I00,</t>
        </is>
      </c>
      <c r="C5" s="86" t="n">
        <v>11264</v>
      </c>
    </row>
    <row r="6">
      <c r="A6" s="63" t="inlineStr">
        <is>
          <t>31.30.6P.00.18</t>
        </is>
      </c>
      <c r="B6" s="64" t="inlineStr">
        <is>
          <t xml:space="preserve">Ayudas CIDEIG/2023/1, CIDEIG/2023/1 </t>
        </is>
      </c>
      <c r="C6" s="85" t="n">
        <v>23700</v>
      </c>
    </row>
    <row r="7">
      <c r="A7" s="66" t="inlineStr">
        <is>
          <t>31.30.6P.00.19</t>
        </is>
      </c>
      <c r="B7" s="67" t="inlineStr">
        <is>
      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      </is>
      </c>
      <c r="C7" s="86" t="n">
        <v>20000</v>
      </c>
    </row>
    <row r="8">
      <c r="A8" s="63" t="inlineStr">
        <is>
          <t>31.30.6P.00.20</t>
        </is>
      </c>
      <c r="B8" s="64" t="inlineStr">
        <is>
          <t xml:space="preserve">AYUDAS RYC2022-035453-I, RYC2022-035453-I (DOT. ADICIONAL), RYC2022-035966-I, RYC2022-035966-I , (DOT. ADICIONAL), RYC2022-037376-I, RYC2022-037376-I (DOT. ADICIONAL), RYC2022-038206-I, RYC2022-038206-I (DOT. ADICIONAL), RYC2022-038400-I,RYC2022-038400-I (DOT. ADICIONAL), </t>
        </is>
      </c>
      <c r="C8" s="85" t="n">
        <v>20000</v>
      </c>
    </row>
    <row r="9">
      <c r="A9" s="66" t="inlineStr">
        <is>
          <t>31.30.6P.00.20</t>
        </is>
      </c>
      <c r="B9" s="67" t="inlineStr">
        <is>
          <t>DEVOLUCIÓN DE INGRESOS_CARTA DE PAGO_ REFERENCIA: RYC2022-038400-I, ANUALIDAD: 2024 FA</t>
        </is>
      </c>
      <c r="C9" s="86" t="n">
        <v>-3765.38</v>
      </c>
    </row>
    <row r="10">
      <c r="A10" s="63" t="inlineStr">
        <is>
          <t>31.30.6P.00.30</t>
        </is>
      </c>
      <c r="B10" s="64" t="inlineStr">
        <is>
          <t>INGRESO MICIU (AR FEDER). PID2024-157422OA-I00. PID2024-161522OA-I00. PID2024-157087OA-I00. PID2024-162784OB-I00. PID2024-160976NB-I00. PID2024-156526OB-I00. PID2024-158829NB-C41. PID2024-162730NB-I00. PID2024-160791OB-I00. PID2024-158157OB-C31. PID2024-160373OB-C22. PID2024-162431OB-I00. PID2024-159329NB-C22. PID2024-157026OB-I00. PID2024-159638OB-I00. PID2024-155511NB-I00. PID2024-157839NB-I00. PID2024-161912OB-I00. PID2024-155779OB-C33. PID2024-157037OB-I00. PID2024-156263OB-C22. PID2024-161188OB-C22. PID2024-161711OB-I00. PID2024-159363NB-I00. PID2024-155338NB-I00. PID2024-158514NB-I00. PID2024-160604NB-I00</t>
        </is>
      </c>
      <c r="C10" s="85" t="n">
        <v>126000</v>
      </c>
    </row>
    <row r="11" ht="13.8" customHeight="1" thickBot="1">
      <c r="A11" s="66" t="inlineStr">
        <is>
          <t>31.30.6P.00.30</t>
        </is>
      </c>
      <c r="B11" s="67" t="inlineStr">
        <is>
          <t xml:space="preserve">AEI (SUBVENCIÓN).PID2024-155372OB-I00. PID2024-157422OA-I00. PID2024-161522OA-I00. PID2024-157087OA-I00. PID2024-162784OB-I00. PID2024-155652NA-I00. PID2024-160976NB-I00. PID2024-161610OB-I00. PID2024-156526OB-I00. PID2024-158829NB-C41. PID2024-162730NB-I00. PID2024-160791OB-I00. PID2024-155363OB-C43. PID2024-158157OB-C31. PID2024-160373OB-C22. PID2024-162431OB-I00. PID2024-159329NB-C22. PID2024-155726OB-I00. PID2024-157026OB-I00. PID2024-159638OB-I00. PID2024-158024NB-I00. PID2024-160371NB-I00. PID2024-157115NB-I00. PID2024-155511NB-I00. PID2024-157839NB-I00. PID2024-161912OB-I00. PID2024-155779OB-C33. PID2024-155232NB-I00. PID2024-157037OB-I00. PID2024-156263OB-C22. PID2024-161188OB-C22. PID2024-161711OB-I00. PID2024-159363NB-I00. PID2024-156796OB-I00. PID2024-158760NB-I00. PID2024-155338NB-I00. PID2024-158514NB-I00. PID2024-160151NB-I00. PID2024-161439NB-I00. PID2024-162487OB-C21. PID2024-160604NB-I00. </t>
        </is>
      </c>
      <c r="C11" s="86" t="n">
        <v>71400</v>
      </c>
    </row>
    <row r="12" ht="13.8" customHeight="1" thickTop="1">
      <c r="A12" s="69" t="inlineStr">
        <is>
          <t>Total</t>
        </is>
      </c>
      <c r="B12" s="70" t="n"/>
      <c r="C12" s="87" t="n">
        <v>208538.58</v>
      </c>
    </row>
    <row r="15">
      <c r="B15" s="59" t="inlineStr">
        <is>
          <t>Total ingresos de investigación 2023-25</t>
        </is>
      </c>
      <c r="C15" s="88">
        <f>C12+Tabla2[[#Totals],[Imp.cob.aplic.]]+Tabla3[[#Totals],[Imp. aplic.]]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cibio@ua.es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21387280V</dc:creator>
  <dcterms:created xsi:type="dcterms:W3CDTF">2019-10-14T13:44:16Z</dcterms:created>
  <dcterms:modified xsi:type="dcterms:W3CDTF">2026-05-28T21:59:17Z</dcterms:modified>
  <cp:lastModifiedBy>MARIA TERESA PUJALTE DEVIS</cp:lastModifiedBy>
</cp:coreProperties>
</file>