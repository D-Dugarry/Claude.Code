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Calibri"/>
      <family val="2"/>
      <b val="1"/>
      <color theme="1"/>
      <sz val="11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9" tint="0.799981688894314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8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2" fillId="0" borderId="0"/>
    <xf numFmtId="167" fontId="12" fillId="0" borderId="0"/>
  </cellStyleXfs>
  <cellXfs count="100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2" fillId="0" borderId="1" pivotButton="0" quotePrefix="0" xfId="1"/>
    <xf numFmtId="165" fontId="2" fillId="4" borderId="2" pivotButton="0" quotePrefix="0" xfId="1"/>
    <xf numFmtId="0" fontId="2" fillId="4" borderId="6" pivotButton="0" quotePrefix="0" xfId="1"/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6" fontId="0" fillId="9" borderId="7" pivotButton="0" quotePrefix="0" xfId="6"/>
    <xf numFmtId="166" fontId="0" fillId="0" borderId="7" pivotButton="0" quotePrefix="0" xfId="6"/>
    <xf numFmtId="0" fontId="2" fillId="0" borderId="1" pivotButton="0" quotePrefix="0" xfId="0"/>
    <xf numFmtId="0" fontId="0" fillId="7" borderId="0" pivotButton="0" quotePrefix="0" xfId="0"/>
    <xf numFmtId="166" fontId="0" fillId="7" borderId="7" pivotButton="0" quotePrefix="0" xfId="6"/>
    <xf numFmtId="0" fontId="9" fillId="9" borderId="7" pivotButton="0" quotePrefix="0" xfId="0"/>
    <xf numFmtId="166" fontId="6" fillId="9" borderId="7" pivotButton="0" quotePrefix="0" xfId="6"/>
    <xf numFmtId="0" fontId="9" fillId="0" borderId="7" pivotButton="0" quotePrefix="0" xfId="0"/>
    <xf numFmtId="166" fontId="6" fillId="0" borderId="7" pivotButton="0" quotePrefix="0" xfId="6"/>
    <xf numFmtId="166" fontId="0" fillId="0" borderId="0" pivotButton="0" quotePrefix="0" xfId="0"/>
    <xf numFmtId="0" fontId="2" fillId="10" borderId="0" pivotButton="0" quotePrefix="0" xfId="1"/>
    <xf numFmtId="0" fontId="2" fillId="10" borderId="0" applyAlignment="1" pivotButton="0" quotePrefix="0" xfId="1">
      <alignment horizontal="right"/>
    </xf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0" fillId="10" borderId="0" pivotButton="0" quotePrefix="0" xfId="0"/>
    <xf numFmtId="0" fontId="0" fillId="10" borderId="0" applyAlignment="1" pivotButton="0" quotePrefix="0" xfId="0">
      <alignment horizontal="left"/>
    </xf>
    <xf numFmtId="0" fontId="14" fillId="10" borderId="0" pivotButton="0" quotePrefix="0" xfId="0"/>
    <xf numFmtId="164" fontId="3" fillId="10" borderId="0" pivotButton="0" quotePrefix="0" xfId="1"/>
    <xf numFmtId="0" fontId="9" fillId="7" borderId="7" pivotButton="0" quotePrefix="0" xfId="0"/>
    <xf numFmtId="0" fontId="13" fillId="8" borderId="8" pivotButton="0" quotePrefix="0" xfId="0"/>
    <xf numFmtId="166" fontId="0" fillId="7" borderId="9" pivotButton="0" quotePrefix="0" xfId="6"/>
    <xf numFmtId="0" fontId="0" fillId="0" borderId="9" pivotButton="0" quotePrefix="0" xfId="0"/>
    <xf numFmtId="166" fontId="0" fillId="0" borderId="9" pivotButton="0" quotePrefix="0" xfId="0"/>
    <xf numFmtId="0" fontId="0" fillId="9" borderId="7" pivotButton="0" quotePrefix="0" xfId="0"/>
    <xf numFmtId="0" fontId="0" fillId="0" borderId="7" pivotButton="0" quotePrefix="0" xfId="0"/>
    <xf numFmtId="0" fontId="11" fillId="8" borderId="8" pivotButton="0" quotePrefix="0" xfId="0"/>
    <xf numFmtId="166" fontId="11" fillId="8" borderId="8" pivotButton="0" quotePrefix="0" xfId="6"/>
    <xf numFmtId="0" fontId="0" fillId="7" borderId="10" applyAlignment="1" pivotButton="0" quotePrefix="0" xfId="0">
      <alignment wrapText="1"/>
    </xf>
    <xf numFmtId="0" fontId="9" fillId="7" borderId="9" pivotButton="0" quotePrefix="0" xfId="0"/>
    <xf numFmtId="166" fontId="6" fillId="7" borderId="9" pivotButton="0" quotePrefix="0" xfId="6"/>
    <xf numFmtId="0" fontId="14" fillId="0" borderId="1" pivotButton="0" quotePrefix="0" xfId="0"/>
    <xf numFmtId="0" fontId="0" fillId="7" borderId="0" applyAlignment="1" pivotButton="0" quotePrefix="0" xfId="0">
      <alignment wrapText="1"/>
    </xf>
    <xf numFmtId="166" fontId="0" fillId="0" borderId="9" pivotButton="0" quotePrefix="0" xfId="6"/>
    <xf numFmtId="0" fontId="0" fillId="12" borderId="9" pivotButton="0" quotePrefix="0" xfId="0"/>
    <xf numFmtId="166" fontId="0" fillId="12" borderId="9" pivotButton="0" quotePrefix="0" xfId="6"/>
    <xf numFmtId="0" fontId="0" fillId="7" borderId="9" pivotButton="0" quotePrefix="0" xfId="0"/>
    <xf numFmtId="166" fontId="14" fillId="11" borderId="1" pivotButton="0" quotePrefix="0" xfId="0"/>
    <xf numFmtId="0" fontId="15" fillId="14" borderId="13" pivotButton="0" quotePrefix="0" xfId="0"/>
    <xf numFmtId="0" fontId="15" fillId="14" borderId="14" pivotButton="0" quotePrefix="0" xfId="0"/>
    <xf numFmtId="0" fontId="16" fillId="13" borderId="13" pivotButton="0" quotePrefix="0" xfId="0"/>
    <xf numFmtId="0" fontId="16" fillId="13" borderId="14" pivotButton="0" quotePrefix="0" xfId="0"/>
    <xf numFmtId="167" fontId="16" fillId="13" borderId="14" pivotButton="0" quotePrefix="0" xfId="6"/>
    <xf numFmtId="0" fontId="16" fillId="0" borderId="13" pivotButton="0" quotePrefix="0" xfId="0"/>
    <xf numFmtId="0" fontId="16" fillId="0" borderId="14" pivotButton="0" quotePrefix="0" xfId="0"/>
    <xf numFmtId="167" fontId="16" fillId="0" borderId="14" pivotButton="0" quotePrefix="0" xfId="6"/>
    <xf numFmtId="0" fontId="17" fillId="0" borderId="11" pivotButton="0" quotePrefix="0" xfId="0"/>
    <xf numFmtId="0" fontId="17" fillId="0" borderId="12" pivotButton="0" quotePrefix="0" xfId="0"/>
    <xf numFmtId="167" fontId="17" fillId="0" borderId="12" pivotButton="0" quotePrefix="0" xfId="6"/>
    <xf numFmtId="165" fontId="2" fillId="4" borderId="2" pivotButton="0" quotePrefix="0" xfId="1"/>
    <xf numFmtId="164" fontId="2" fillId="4" borderId="2" pivotButton="0" quotePrefix="0" xfId="1"/>
    <xf numFmtId="164" fontId="3" fillId="10" borderId="0" pivotButton="0" quotePrefix="0" xfId="1"/>
    <xf numFmtId="166" fontId="6" fillId="9" borderId="7" pivotButton="0" quotePrefix="0" xfId="6"/>
    <xf numFmtId="166" fontId="6" fillId="0" borderId="7" pivotButton="0" quotePrefix="0" xfId="6"/>
    <xf numFmtId="166" fontId="0" fillId="7" borderId="7" pivotButton="0" quotePrefix="0" xfId="6"/>
    <xf numFmtId="166" fontId="6" fillId="7" borderId="9" pivotButton="0" quotePrefix="0" xfId="6"/>
    <xf numFmtId="166" fontId="0" fillId="0" borderId="9" pivotButton="0" quotePrefix="0" xfId="0"/>
    <xf numFmtId="166" fontId="0" fillId="0" borderId="0" pivotButton="0" quotePrefix="0" xfId="0"/>
    <xf numFmtId="166" fontId="11" fillId="8" borderId="8" pivotButton="0" quotePrefix="0" xfId="6"/>
    <xf numFmtId="166" fontId="0" fillId="9" borderId="7" pivotButton="0" quotePrefix="0" xfId="6"/>
    <xf numFmtId="166" fontId="0" fillId="0" borderId="7" pivotButton="0" quotePrefix="0" xfId="6"/>
    <xf numFmtId="166" fontId="0" fillId="0" borderId="9" pivotButton="0" quotePrefix="0" xfId="6"/>
    <xf numFmtId="166" fontId="0" fillId="7" borderId="9" pivotButton="0" quotePrefix="0" xfId="6"/>
    <xf numFmtId="166" fontId="0" fillId="12" borderId="9" pivotButton="0" quotePrefix="0" xfId="6"/>
    <xf numFmtId="167" fontId="16" fillId="13" borderId="14" pivotButton="0" quotePrefix="0" xfId="6"/>
    <xf numFmtId="167" fontId="16" fillId="0" borderId="14" pivotButton="0" quotePrefix="0" xfId="6"/>
    <xf numFmtId="167" fontId="17" fillId="0" borderId="12" pivotButton="0" quotePrefix="0" xfId="6"/>
    <xf numFmtId="166" fontId="14" fillId="11" borderId="1" pivotButton="0" quotePrefix="0" xfId="0"/>
  </cellXfs>
  <cellStyles count="8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  <cellStyle name="Millares 2" xfId="7"/>
  </cellStyles>
  <dxfs count="10">
    <dxf>
      <numFmt numFmtId="35" formatCode="_-* #,##0.00_-;\-* #,##0.00_-;_-* &quot;-&quot;??_-;_-@_-"/>
      <border outline="0">
        <left/>
        <right/>
        <top style="thin">
          <color theme="9" tint="0.3999755851924192"/>
        </top>
        <bottom/>
      </border>
    </dxf>
    <dxf>
      <border outline="0">
        <left/>
        <right/>
        <top style="thin">
          <color theme="9" tint="0.3999755851924192"/>
        </top>
        <bottom/>
      </border>
    </dxf>
    <dxf>
      <border outline="0">
        <left/>
        <right/>
        <top style="thin">
          <color theme="9" tint="0.3999755851924192"/>
        </top>
        <bottom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2" displayName="Tabla2" ref="A1:C13" headerRowCount="1" totalsRowCount="1" headerRowDxfId="9" headerRowBorderDxfId="8" tableBorderDxfId="7" totalsRowBorderDxfId="6">
  <autoFilter ref="A1:C12"/>
  <tableColumns count="3">
    <tableColumn id="1" name="Cód. org. aplic." totalsRowLabel="Total"/>
    <tableColumn id="2" name="Descripción justificante"/>
    <tableColumn id="3" name="Imp.cob.aplic.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1:C7" headerRowCount="1" totalsRowCount="1" headerRowBorderDxfId="5" tableBorderDxfId="4" totalsRowBorderDxfId="3">
  <autoFilter ref="A1:C6"/>
  <tableColumns count="3">
    <tableColumn id="1" name="Org. aplic." totalsRowLabel="Total" totalsRowDxfId="2"/>
    <tableColumn id="2" name="Descripción justificante" totalsRowDxfId="1"/>
    <tableColumn id="3" name="Imp. aplic." totalsRowFunction="sum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1"/>
  <sheetViews>
    <sheetView showGridLines="0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V28" sqref="V28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5" t="inlineStr">
        <is>
          <t xml:space="preserve">U044 </t>
        </is>
      </c>
      <c r="B2" s="15" t="inlineStr">
        <is>
          <t xml:space="preserve">ADM. FACULTAD DE CIENCIAS DE LA SALUD </t>
        </is>
      </c>
      <c r="C2" s="15" t="inlineStr">
        <is>
          <t xml:space="preserve">DOCTORADO EN CIENCIAS DE LA SALUD </t>
        </is>
      </c>
      <c r="D2" s="15" t="inlineStr">
        <is>
          <t xml:space="preserve">Clement Carbonell, Maria Violeta </t>
        </is>
      </c>
      <c r="E2" s="15" t="inlineStr">
        <is>
          <t xml:space="preserve">EVALUACIÓN DE LA CALIDAD DE VIDA RELACIONADA CON LA SALUD EN EL ENVEJECIMIENTO SALUDABLE Y DETERIORO COGNITIVO LEVE </t>
        </is>
      </c>
      <c r="F2" s="15" t="inlineStr">
        <is>
          <t xml:space="preserve">18/09/2020 </t>
        </is>
      </c>
      <c r="G2" s="15" t="inlineStr">
        <is>
          <t xml:space="preserve">74189195G </t>
        </is>
      </c>
      <c r="H2" s="15" t="inlineStr">
        <is>
          <t xml:space="preserve">Codirector de tesis </t>
        </is>
      </c>
      <c r="I2" s="15" t="inlineStr">
        <is>
          <t xml:space="preserve">B132 </t>
        </is>
      </c>
      <c r="J2" s="15" t="inlineStr">
        <is>
          <t xml:space="preserve">PSICOLOGIA DE LA SALUD </t>
        </is>
      </c>
      <c r="K2" s="81" t="n">
        <v>0.5</v>
      </c>
      <c r="L2" s="15" t="inlineStr">
        <is>
          <t>B132</t>
        </is>
      </c>
      <c r="M2" s="15" t="n">
        <v>2019</v>
      </c>
      <c r="N2" s="15" t="inlineStr"/>
      <c r="O2" s="16" t="inlineStr"/>
      <c r="P2" s="15" t="inlineStr"/>
      <c r="Q2" s="16" t="inlineStr"/>
      <c r="R2" s="17" t="n">
        <v>100</v>
      </c>
      <c r="S2" s="82" t="n">
        <v>0.5</v>
      </c>
      <c r="T2" s="82" t="n">
        <v>0</v>
      </c>
      <c r="U2" s="82" t="n">
        <v>0</v>
      </c>
    </row>
    <row r="3">
      <c r="A3" s="13" t="inlineStr">
        <is>
          <t xml:space="preserve">U073 </t>
        </is>
      </c>
      <c r="B3" s="13" t="inlineStr">
        <is>
          <t xml:space="preserve">ADM. I.U. INVESTIGACIÓN DE ESTUDIOS DE GÉNERO </t>
        </is>
      </c>
      <c r="C3" s="13" t="inlineStr">
        <is>
          <t xml:space="preserve">DOCTORADO EN ESTUDIOS INTERDISCIPLINARES DE GÉNERO </t>
        </is>
      </c>
      <c r="D3" s="13" t="inlineStr">
        <is>
          <t xml:space="preserve">Miralles Cardona, Cristina </t>
        </is>
      </c>
      <c r="E3" s="13" t="inlineStr">
        <is>
          <t xml:space="preserve">Estudio exploratorio de las percepciones, competencias y actitudes de docentes en formación hacia la igualdad de género / Student teachers' perceptions, competencies and attitudes towards gender equality: an exploratory study </t>
        </is>
      </c>
      <c r="F3" s="13" t="inlineStr">
        <is>
          <t xml:space="preserve">23/11/2020 </t>
        </is>
      </c>
      <c r="G3" s="13" t="inlineStr">
        <is>
          <t xml:space="preserve">28996290Y </t>
        </is>
      </c>
      <c r="H3" s="13" t="inlineStr">
        <is>
          <t xml:space="preserve">Codirector de tesis </t>
        </is>
      </c>
      <c r="I3" s="13" t="inlineStr">
        <is>
          <t xml:space="preserve">B132 </t>
        </is>
      </c>
      <c r="J3" s="13" t="inlineStr">
        <is>
          <t xml:space="preserve">PSICOLOGIA DE LA SALUD </t>
        </is>
      </c>
      <c r="K3" s="23" t="n">
        <v>0.5</v>
      </c>
      <c r="L3" s="23" t="inlineStr">
        <is>
          <t>B132</t>
        </is>
      </c>
      <c r="M3" s="25" t="n">
        <v>2019</v>
      </c>
      <c r="N3" s="13" t="inlineStr">
        <is>
          <t>10.23</t>
        </is>
      </c>
      <c r="O3" s="14" t="n">
        <v>30</v>
      </c>
      <c r="P3" s="13" t="inlineStr"/>
      <c r="Q3" s="14" t="n">
        <v>0</v>
      </c>
      <c r="R3" s="13" t="n">
        <v>70</v>
      </c>
      <c r="S3" s="13" t="n">
        <v>0.35</v>
      </c>
      <c r="T3" s="13" t="n">
        <v>0.15</v>
      </c>
      <c r="U3" s="13" t="n">
        <v>0</v>
      </c>
    </row>
    <row r="4" ht="10.8" customHeight="1" thickBot="1">
      <c r="A4" s="13" t="inlineStr">
        <is>
          <t xml:space="preserve">U073 </t>
        </is>
      </c>
      <c r="B4" s="13" t="inlineStr">
        <is>
          <t xml:space="preserve">ADM. I.U. INVESTIGACIÓN DE ESTUDIOS DE GÉNERO </t>
        </is>
      </c>
      <c r="C4" s="13" t="inlineStr">
        <is>
          <t xml:space="preserve">DOCTORADO EN ESTUDIOS INTERDISCIPLINARES DE GÉNERO </t>
        </is>
      </c>
      <c r="D4" s="13" t="inlineStr">
        <is>
          <t xml:space="preserve">Miralles Cardona, Cristina </t>
        </is>
      </c>
      <c r="E4" s="13" t="inlineStr">
        <is>
          <t xml:space="preserve">Estudio exploratorio de las percepciones, competencias y actitudes de docentes en formación hacia la igualdad de género / Student teachers' perceptions, competencies and attitudes towards gender equality: an exploratory study </t>
        </is>
      </c>
      <c r="F4" s="13" t="inlineStr">
        <is>
          <t xml:space="preserve">23/11/2020 </t>
        </is>
      </c>
      <c r="G4" s="13" t="inlineStr">
        <is>
          <t xml:space="preserve">21622874E </t>
        </is>
      </c>
      <c r="H4" s="13" t="inlineStr">
        <is>
          <t xml:space="preserve">Codirector de tesis </t>
        </is>
      </c>
      <c r="I4" s="13" t="inlineStr">
        <is>
          <t xml:space="preserve">B132 </t>
        </is>
      </c>
      <c r="J4" s="13" t="inlineStr">
        <is>
          <t xml:space="preserve">PSICOLOGIA DE LA SALUD </t>
        </is>
      </c>
      <c r="K4" s="23" t="n">
        <v>0.5</v>
      </c>
      <c r="L4" s="23" t="inlineStr">
        <is>
          <t>B132</t>
        </is>
      </c>
      <c r="M4" s="25" t="n">
        <v>2019</v>
      </c>
      <c r="N4" s="13" t="inlineStr"/>
      <c r="O4" s="14" t="inlineStr"/>
      <c r="P4" s="13" t="inlineStr"/>
      <c r="Q4" s="14" t="inlineStr"/>
      <c r="R4" s="13" t="n">
        <v>100</v>
      </c>
      <c r="S4" s="13" t="n">
        <v>0.5</v>
      </c>
      <c r="T4" s="13" t="n">
        <v>0</v>
      </c>
      <c r="U4" s="13" t="n">
        <v>0</v>
      </c>
    </row>
    <row r="5" ht="10.8" customHeight="1" thickBot="1">
      <c r="A5" s="19" t="inlineStr">
        <is>
          <t xml:space="preserve">U044 </t>
        </is>
      </c>
      <c r="B5" s="19" t="inlineStr">
        <is>
          <t xml:space="preserve">ADM. FACULTAD DE CIENCIAS DE LA SALUD </t>
        </is>
      </c>
      <c r="C5" s="19" t="inlineStr">
        <is>
          <t xml:space="preserve">DOCTORADO EN CIENCIAS DE LA SALUD </t>
        </is>
      </c>
      <c r="D5" s="19" t="inlineStr">
        <is>
          <t xml:space="preserve">Alcocer Bruno, Cristian Aarón </t>
        </is>
      </c>
      <c r="E5" s="19" t="inlineStr">
        <is>
          <t xml:space="preserve">"Influencia de los estilos de vida y la calidad de vida relacionada con la salud en la prevención y riesgo de transmisión del VIH." </t>
        </is>
      </c>
      <c r="F5" s="19" t="inlineStr">
        <is>
          <t xml:space="preserve">22/07/2021 </t>
        </is>
      </c>
      <c r="G5" s="20" t="inlineStr">
        <is>
          <t xml:space="preserve">74189195G </t>
        </is>
      </c>
      <c r="H5" s="21" t="inlineStr">
        <is>
          <t xml:space="preserve">Codirector de tesis </t>
        </is>
      </c>
      <c r="I5" s="21" t="inlineStr">
        <is>
          <t xml:space="preserve">B132 </t>
        </is>
      </c>
      <c r="J5" s="22" t="inlineStr">
        <is>
          <t xml:space="preserve">PSICOLOGIA DE LA SALUD </t>
        </is>
      </c>
      <c r="K5" s="23" t="n">
        <v>0.5</v>
      </c>
      <c r="L5" s="23" t="inlineStr">
        <is>
          <t>B132</t>
        </is>
      </c>
      <c r="M5" s="13" t="n">
        <v>2020</v>
      </c>
      <c r="N5" s="13" t="inlineStr"/>
      <c r="O5" s="14" t="inlineStr"/>
      <c r="P5" s="13" t="inlineStr"/>
      <c r="Q5" s="14" t="inlineStr"/>
      <c r="R5" s="13" t="n">
        <v>100</v>
      </c>
      <c r="S5" s="13" t="n">
        <v>0.5</v>
      </c>
      <c r="T5" s="13" t="n">
        <v>0</v>
      </c>
      <c r="U5" s="13" t="n">
        <v>0</v>
      </c>
    </row>
    <row r="6" ht="10.8" customHeight="1" thickBot="1">
      <c r="A6" s="19" t="inlineStr">
        <is>
          <t xml:space="preserve">U044 </t>
        </is>
      </c>
      <c r="B6" s="19" t="inlineStr">
        <is>
          <t xml:space="preserve">ADM. FACULTAD DE CIENCIAS DE LA SALUD </t>
        </is>
      </c>
      <c r="C6" s="19" t="inlineStr">
        <is>
          <t xml:space="preserve">DOCTORADO EN CIENCIAS DE LA SALUD </t>
        </is>
      </c>
      <c r="D6" s="19" t="inlineStr">
        <is>
          <t xml:space="preserve">Alcocer Bruno, Cristian Aarón </t>
        </is>
      </c>
      <c r="E6" s="19" t="inlineStr">
        <is>
          <t xml:space="preserve">"Influencia de los estilos de vida y la calidad de vida relacionada con la salud en la prevención y riesgo de transmisión del VIH." </t>
        </is>
      </c>
      <c r="F6" s="19" t="inlineStr">
        <is>
          <t xml:space="preserve">22/07/2021 </t>
        </is>
      </c>
      <c r="G6" s="20" t="inlineStr">
        <is>
          <t xml:space="preserve">74370655V </t>
        </is>
      </c>
      <c r="H6" s="21" t="inlineStr">
        <is>
          <t xml:space="preserve">Codirector de tesis </t>
        </is>
      </c>
      <c r="I6" s="21" t="inlineStr">
        <is>
          <t xml:space="preserve">B132 </t>
        </is>
      </c>
      <c r="J6" s="22" t="inlineStr">
        <is>
          <t xml:space="preserve">PSICOLOGIA DE LA SALUD </t>
        </is>
      </c>
      <c r="K6" s="23" t="n">
        <v>0.5</v>
      </c>
      <c r="L6" s="23" t="inlineStr">
        <is>
          <t>B132</t>
        </is>
      </c>
      <c r="M6" s="13" t="n">
        <v>2020</v>
      </c>
      <c r="N6" s="13" t="inlineStr"/>
      <c r="O6" s="14" t="inlineStr"/>
      <c r="P6" s="13" t="inlineStr"/>
      <c r="Q6" s="14" t="inlineStr"/>
      <c r="R6" s="13" t="n">
        <v>100</v>
      </c>
      <c r="S6" s="13" t="n">
        <v>0.5</v>
      </c>
      <c r="T6" s="13" t="n">
        <v>0</v>
      </c>
      <c r="U6" s="13" t="n">
        <v>0</v>
      </c>
    </row>
    <row r="7">
      <c r="A7" s="13" t="inlineStr">
        <is>
          <t xml:space="preserve">U073 </t>
        </is>
      </c>
      <c r="B7" s="13" t="inlineStr">
        <is>
          <t xml:space="preserve">ADM. I.U. INVESTIGACIÓN DE ESTUDIOS DE GÉNERO </t>
        </is>
      </c>
      <c r="C7" s="13" t="inlineStr">
        <is>
          <t xml:space="preserve">DOCTORADO EN ESTUDIOS INTERDISCIPLINARES DE GÉNERO </t>
        </is>
      </c>
      <c r="D7" s="13" t="inlineStr">
        <is>
          <t xml:space="preserve">Vera Esteban, María del Carmen </t>
        </is>
      </c>
      <c r="E7" s="13" t="inlineStr">
        <is>
          <t xml:space="preserve">Danza contemporánea como medio de liberación de la tensión emocional y expresión en mujeres maltratadas </t>
        </is>
      </c>
      <c r="F7" s="13" t="inlineStr">
        <is>
          <t xml:space="preserve">13/09/2021 </t>
        </is>
      </c>
      <c r="G7" s="13" t="inlineStr">
        <is>
          <t xml:space="preserve">21622874E </t>
        </is>
      </c>
      <c r="H7" s="13" t="inlineStr">
        <is>
          <t xml:space="preserve">Director de tesis </t>
        </is>
      </c>
      <c r="I7" s="13" t="inlineStr">
        <is>
          <t xml:space="preserve">B132 </t>
        </is>
      </c>
      <c r="J7" s="13" t="inlineStr">
        <is>
          <t xml:space="preserve">PSICOLOGIA DE LA SALUD </t>
        </is>
      </c>
      <c r="K7" s="23" t="n">
        <v>1</v>
      </c>
      <c r="L7" s="23" t="inlineStr">
        <is>
          <t>B132</t>
        </is>
      </c>
      <c r="M7" s="13" t="n">
        <v>2020</v>
      </c>
      <c r="N7" s="13" t="inlineStr"/>
      <c r="O7" s="14" t="inlineStr"/>
      <c r="P7" s="13" t="inlineStr"/>
      <c r="Q7" s="14" t="inlineStr"/>
      <c r="R7" s="13" t="n">
        <v>100</v>
      </c>
      <c r="S7" s="13" t="n">
        <v>1</v>
      </c>
      <c r="T7" s="13" t="n">
        <v>0</v>
      </c>
      <c r="U7" s="13" t="n">
        <v>0</v>
      </c>
    </row>
    <row r="8">
      <c r="A8" s="13" t="inlineStr">
        <is>
          <t xml:space="preserve">U044 </t>
        </is>
      </c>
      <c r="B8" s="13" t="inlineStr">
        <is>
          <t xml:space="preserve">ADM. FACULTAD DE CIENCIAS DE LA SALUD </t>
        </is>
      </c>
      <c r="C8" s="13" t="inlineStr">
        <is>
          <t xml:space="preserve">DOCTORADO EN CIENCIAS DE LA SALUD </t>
        </is>
      </c>
      <c r="D8" s="13" t="inlineStr">
        <is>
          <t xml:space="preserve">Alarcó Rosales, Raquel </t>
        </is>
      </c>
      <c r="E8" s="13" t="inlineStr">
        <is>
          <t xml:space="preserve">Efectos adversos al consumo de drogas y otros comportamientos de riesgo en la población adolescente. </t>
        </is>
      </c>
      <c r="F8" s="13" t="inlineStr">
        <is>
          <t xml:space="preserve">25/03/2022 </t>
        </is>
      </c>
      <c r="G8" s="13" t="inlineStr">
        <is>
          <t xml:space="preserve">70820293G </t>
        </is>
      </c>
      <c r="H8" s="13" t="inlineStr">
        <is>
          <t xml:space="preserve">Codirector de tesis </t>
        </is>
      </c>
      <c r="I8" s="13" t="inlineStr">
        <is>
          <t xml:space="preserve">B132 </t>
        </is>
      </c>
      <c r="J8" s="13" t="inlineStr">
        <is>
          <t xml:space="preserve">PSICOLOGIA DE LA SALUD </t>
        </is>
      </c>
      <c r="K8" s="23" t="n">
        <v>0.5</v>
      </c>
      <c r="L8" s="23" t="inlineStr">
        <is>
          <t>B132</t>
        </is>
      </c>
      <c r="M8" s="13" t="n">
        <v>2021</v>
      </c>
      <c r="N8" s="13" t="inlineStr"/>
      <c r="O8" s="14" t="inlineStr"/>
      <c r="P8" s="13" t="inlineStr"/>
      <c r="Q8" s="14" t="inlineStr"/>
      <c r="R8" s="13" t="n">
        <v>100</v>
      </c>
      <c r="S8" s="13" t="n">
        <v>0.5</v>
      </c>
      <c r="T8" s="13" t="n">
        <v>0</v>
      </c>
      <c r="U8" s="13" t="n">
        <v>0</v>
      </c>
    </row>
    <row r="9">
      <c r="A9" s="13" t="inlineStr">
        <is>
          <t xml:space="preserve">U044 </t>
        </is>
      </c>
      <c r="B9" s="13" t="inlineStr">
        <is>
          <t xml:space="preserve">ADM. FACULTAD DE CIENCIAS DE LA SALUD </t>
        </is>
      </c>
      <c r="C9" s="13" t="inlineStr">
        <is>
          <t xml:space="preserve">DOCTORADO EN CIENCIAS DE LA SALUD </t>
        </is>
      </c>
      <c r="D9" s="13" t="inlineStr">
        <is>
          <t xml:space="preserve">Alarcó Rosales, Raquel </t>
        </is>
      </c>
      <c r="E9" s="13" t="inlineStr">
        <is>
          <t xml:space="preserve">Efectos adversos al consumo de drogas y otros comportamientos de riesgo en la población adolescente. </t>
        </is>
      </c>
      <c r="F9" s="13" t="inlineStr">
        <is>
          <t xml:space="preserve">25/03/2022 </t>
        </is>
      </c>
      <c r="G9" s="13" t="inlineStr">
        <is>
          <t xml:space="preserve">74189195G </t>
        </is>
      </c>
      <c r="H9" s="13" t="inlineStr">
        <is>
          <t xml:space="preserve">Codirector de tesis </t>
        </is>
      </c>
      <c r="I9" s="13" t="inlineStr">
        <is>
          <t xml:space="preserve">B132 </t>
        </is>
      </c>
      <c r="J9" s="13" t="inlineStr">
        <is>
          <t xml:space="preserve">PSICOLOGIA DE LA SALUD </t>
        </is>
      </c>
      <c r="K9" s="23" t="n">
        <v>0.5</v>
      </c>
      <c r="L9" s="23" t="inlineStr">
        <is>
          <t>B132</t>
        </is>
      </c>
      <c r="M9" s="13" t="n">
        <v>2021</v>
      </c>
      <c r="N9" s="13" t="inlineStr"/>
      <c r="O9" s="14" t="inlineStr"/>
      <c r="P9" s="13" t="inlineStr"/>
      <c r="Q9" s="14" t="inlineStr"/>
      <c r="R9" s="13" t="n">
        <v>100</v>
      </c>
      <c r="S9" s="13" t="n">
        <v>0.5</v>
      </c>
      <c r="T9" s="13" t="n">
        <v>0</v>
      </c>
      <c r="U9" s="13" t="n">
        <v>0</v>
      </c>
    </row>
    <row r="10">
      <c r="A10" s="13" t="inlineStr">
        <is>
          <t xml:space="preserve">U044 </t>
        </is>
      </c>
      <c r="B10" s="13" t="inlineStr">
        <is>
          <t xml:space="preserve">ADM. FACULTAD DE CIENCIAS DE LA SALUD </t>
        </is>
      </c>
      <c r="C10" s="13" t="inlineStr">
        <is>
          <t xml:space="preserve">DOCTORADO EN CIENCIAS DE LA SALUD </t>
        </is>
      </c>
      <c r="D10" s="13" t="inlineStr">
        <is>
          <t xml:space="preserve">Fernández Ávalos, María Inmaculada </t>
        </is>
      </c>
      <c r="E10" s="13" t="inlineStr">
        <is>
          <t xml:space="preserve">EVALUACIÓN E INTERVENCIÓN EN PROCESOS DE DUELO Y PÉRDIDA EN PERSONAS CON DISCAPACIDAD INTELECTUAL Y SUS CUIDADORES. </t>
        </is>
      </c>
      <c r="F10" s="13" t="inlineStr">
        <is>
          <t xml:space="preserve">21/03/2022 </t>
        </is>
      </c>
      <c r="G10" s="13" t="inlineStr">
        <is>
          <t xml:space="preserve">74189195G </t>
        </is>
      </c>
      <c r="H10" s="13" t="inlineStr">
        <is>
          <t xml:space="preserve">Codirector de tesis </t>
        </is>
      </c>
      <c r="I10" s="13" t="inlineStr">
        <is>
          <t xml:space="preserve">B132 </t>
        </is>
      </c>
      <c r="J10" s="13" t="inlineStr">
        <is>
          <t xml:space="preserve">PSICOLOGIA DE LA SALUD </t>
        </is>
      </c>
      <c r="K10" s="23" t="n">
        <v>0.5</v>
      </c>
      <c r="L10" s="23" t="inlineStr">
        <is>
          <t>B132</t>
        </is>
      </c>
      <c r="M10" s="13" t="n">
        <v>2021</v>
      </c>
      <c r="N10" s="13" t="inlineStr"/>
      <c r="O10" s="14" t="inlineStr"/>
      <c r="P10" s="13" t="inlineStr"/>
      <c r="Q10" s="14" t="inlineStr"/>
      <c r="R10" s="13" t="n">
        <v>100</v>
      </c>
      <c r="S10" s="13" t="n">
        <v>0.5</v>
      </c>
      <c r="T10" s="13" t="n">
        <v>0</v>
      </c>
      <c r="U10" s="13" t="n">
        <v>0</v>
      </c>
    </row>
    <row r="11">
      <c r="A11" s="13" t="inlineStr">
        <is>
          <t xml:space="preserve">U073 </t>
        </is>
      </c>
      <c r="B11" s="13" t="inlineStr">
        <is>
          <t xml:space="preserve">ADM. I.U. INVESTIGACIÓN DE ESTUDIOS DE GÉNERO </t>
        </is>
      </c>
      <c r="C11" s="13" t="inlineStr">
        <is>
          <t xml:space="preserve">DOCTORADO EN ESTUDIOS INTERDISCIPLINARES DE GÉNERO </t>
        </is>
      </c>
      <c r="D11" s="13" t="inlineStr">
        <is>
          <t xml:space="preserve">Kitta , Ioanna </t>
        </is>
      </c>
      <c r="E11" s="13" t="inlineStr">
        <is>
          <t xml:space="preserve">La formación inicial docente en igualdad de género en Grecia: percepciones y competencias del alumnado para una práctica profesional sostenible sensible al género </t>
        </is>
      </c>
      <c r="F11" s="13" t="inlineStr">
        <is>
          <t xml:space="preserve">06/07/2022 </t>
        </is>
      </c>
      <c r="G11" s="13" t="inlineStr">
        <is>
          <t xml:space="preserve">21622874E </t>
        </is>
      </c>
      <c r="H11" s="13" t="inlineStr">
        <is>
          <t xml:space="preserve">Director de tesis </t>
        </is>
      </c>
      <c r="I11" s="13" t="inlineStr">
        <is>
          <t xml:space="preserve">B132 </t>
        </is>
      </c>
      <c r="J11" s="13" t="inlineStr">
        <is>
          <t xml:space="preserve">PSICOLOGIA DE LA SALUD </t>
        </is>
      </c>
      <c r="K11" s="23" t="n">
        <v>1</v>
      </c>
      <c r="L11" s="23" t="inlineStr">
        <is>
          <t>B132</t>
        </is>
      </c>
      <c r="M11" s="13" t="n">
        <v>2021</v>
      </c>
      <c r="N11" s="13" t="inlineStr"/>
      <c r="O11" s="14" t="inlineStr"/>
      <c r="P11" s="13" t="inlineStr"/>
      <c r="Q11" s="14" t="inlineStr"/>
      <c r="R11" s="13" t="n">
        <v>100</v>
      </c>
      <c r="S11" s="13" t="n">
        <v>1</v>
      </c>
      <c r="T11" s="13" t="n">
        <v>0</v>
      </c>
      <c r="U11" s="13" t="n">
        <v>0</v>
      </c>
    </row>
    <row r="12">
      <c r="A12" s="13" t="inlineStr">
        <is>
          <t xml:space="preserve">U044 </t>
        </is>
      </c>
      <c r="B12" s="13" t="inlineStr">
        <is>
          <t xml:space="preserve">ADM. FACULTAD DE CIENCIAS DE LA SALUD </t>
        </is>
      </c>
      <c r="C12" s="13" t="inlineStr">
        <is>
          <t xml:space="preserve">DOCTORADO EN CIENCIAS DE LA SALUD </t>
        </is>
      </c>
      <c r="D12" s="13" t="inlineStr">
        <is>
          <t xml:space="preserve">Rumbo Rodríguez, Lorena </t>
        </is>
      </c>
      <c r="E12" s="13" t="inlineStr">
        <is>
          <t xml:space="preserve">La dieta mediterránea como promotora para la mejora de la adherencia al tratamiento dietético nutricional en personas mayores. </t>
        </is>
      </c>
      <c r="F12" s="13" t="inlineStr">
        <is>
          <t xml:space="preserve">23/09/2022 </t>
        </is>
      </c>
      <c r="G12" s="13" t="inlineStr">
        <is>
          <t xml:space="preserve">74189195G </t>
        </is>
      </c>
      <c r="H12" s="13" t="inlineStr">
        <is>
          <t xml:space="preserve">Codirector de tesis </t>
        </is>
      </c>
      <c r="I12" s="13" t="inlineStr">
        <is>
          <t xml:space="preserve">B132 </t>
        </is>
      </c>
      <c r="J12" s="13" t="inlineStr">
        <is>
          <t xml:space="preserve">PSICOLOGIA DE LA SALUD </t>
        </is>
      </c>
      <c r="K12" s="34" t="n">
        <v>0.5</v>
      </c>
      <c r="L12" s="34" t="inlineStr">
        <is>
          <t>B132</t>
        </is>
      </c>
      <c r="M12" s="13" t="n">
        <v>2021</v>
      </c>
      <c r="N12" s="34" t="inlineStr"/>
      <c r="O12" s="34" t="inlineStr"/>
      <c r="P12" s="34" t="inlineStr"/>
      <c r="Q12" s="34" t="inlineStr"/>
      <c r="R12" s="34" t="n">
        <v>100</v>
      </c>
      <c r="S12" s="34" t="n">
        <v>0.5</v>
      </c>
      <c r="T12" s="34" t="n">
        <v>0</v>
      </c>
      <c r="U12" s="34" t="n">
        <v>0</v>
      </c>
    </row>
    <row r="13">
      <c r="A13" s="13" t="inlineStr">
        <is>
          <t>U044</t>
        </is>
      </c>
      <c r="B13" s="13" t="inlineStr">
        <is>
          <t>ADM. FACULTAD DE CIENCIAS DE LA SALUD</t>
        </is>
      </c>
      <c r="C13" s="13" t="inlineStr">
        <is>
          <t>DOCTORADO EN CIENCIAS DE LA SALUD</t>
        </is>
      </c>
      <c r="D13" s="13" t="inlineStr">
        <is>
          <t>Montero Sandiego, Elisabet</t>
        </is>
      </c>
      <c r="E13" s="13" t="inlineStr">
        <is>
          <t>ESTILO DE VIDA MEDITERRÁNEO: NUEVAS ESTRATEGIAS DE EVALUACIÓN PARA LA PROMOCIÓN DE LA SALUD Y LA CALIDAD DE VIDA</t>
        </is>
      </c>
      <c r="F13" s="13" t="inlineStr">
        <is>
          <t>18/06/2024</t>
        </is>
      </c>
      <c r="G13" s="13" t="inlineStr">
        <is>
          <t>74189195G</t>
        </is>
      </c>
      <c r="H13" s="13" t="inlineStr">
        <is>
          <t>Codirector de tesis</t>
        </is>
      </c>
      <c r="I13" s="13" t="inlineStr">
        <is>
          <t>B132</t>
        </is>
      </c>
      <c r="J13" s="13" t="inlineStr">
        <is>
          <t>PSICOLOGIA DE LA SALUD</t>
        </is>
      </c>
      <c r="K13" s="13" t="n">
        <v>0.5</v>
      </c>
      <c r="L13" s="13" t="inlineStr">
        <is>
          <t>B132</t>
        </is>
      </c>
      <c r="M13" s="13" t="n">
        <v>2023</v>
      </c>
      <c r="N13" s="13" t="inlineStr"/>
      <c r="O13" s="13" t="inlineStr"/>
      <c r="P13" s="13" t="inlineStr"/>
      <c r="Q13" s="13" t="inlineStr"/>
      <c r="R13" s="13" t="n">
        <v>100</v>
      </c>
      <c r="S13" s="13" t="n">
        <v>0.5</v>
      </c>
      <c r="T13" s="13" t="n">
        <v>0</v>
      </c>
      <c r="U13" s="13" t="n">
        <v>0</v>
      </c>
    </row>
    <row r="14">
      <c r="A14" s="13" t="inlineStr">
        <is>
          <t>U044</t>
        </is>
      </c>
      <c r="B14" s="13" t="inlineStr">
        <is>
          <t>ADM. FACULTAD DE CIENCIAS DE LA SALUD</t>
        </is>
      </c>
      <c r="C14" s="13" t="inlineStr">
        <is>
          <t>DOCTORADO EN CIENCIAS DE LA SALUD</t>
        </is>
      </c>
      <c r="D14" s="13" t="inlineStr">
        <is>
          <t>Montero Sandiego, Elisabet</t>
        </is>
      </c>
      <c r="E14" s="13" t="inlineStr">
        <is>
          <t>ESTILO DE VIDA MEDITERRÁNEO: NUEVAS ESTRATEGIAS DE EVALUACIÓN PARA LA PROMOCIÓN DE LA SALUD Y LA CALIDAD DE VIDA</t>
        </is>
      </c>
      <c r="F14" s="13" t="inlineStr">
        <is>
          <t>18/06/2024</t>
        </is>
      </c>
      <c r="G14" s="13" t="inlineStr">
        <is>
          <t>74370655V</t>
        </is>
      </c>
      <c r="H14" s="13" t="inlineStr">
        <is>
          <t>Codirector de tesis</t>
        </is>
      </c>
      <c r="I14" s="13" t="inlineStr">
        <is>
          <t>B132</t>
        </is>
      </c>
      <c r="J14" s="13" t="inlineStr">
        <is>
          <t>PSICOLOGIA DE LA SALUD</t>
        </is>
      </c>
      <c r="K14" s="13" t="n">
        <v>0.5</v>
      </c>
      <c r="L14" s="13" t="inlineStr">
        <is>
          <t>B132</t>
        </is>
      </c>
      <c r="M14" s="13" t="n">
        <v>2023</v>
      </c>
      <c r="N14" s="13" t="inlineStr"/>
      <c r="O14" s="13" t="inlineStr"/>
      <c r="P14" s="13" t="inlineStr"/>
      <c r="Q14" s="13" t="inlineStr"/>
      <c r="R14" s="13" t="n">
        <v>100</v>
      </c>
      <c r="S14" s="13" t="n">
        <v>0.5</v>
      </c>
      <c r="T14" s="13" t="n">
        <v>0</v>
      </c>
      <c r="U14" s="13" t="n">
        <v>0</v>
      </c>
    </row>
    <row r="15">
      <c r="A15" s="13" t="inlineStr">
        <is>
          <t>U044</t>
        </is>
      </c>
      <c r="B15" s="13" t="inlineStr">
        <is>
          <t>ADM. FACULTAD DE CIENCIAS DE LA SALUD</t>
        </is>
      </c>
      <c r="C15" s="13" t="inlineStr">
        <is>
          <t>DOCTORADO EN CIENCIAS DE LA SALUD</t>
        </is>
      </c>
      <c r="D15" s="13" t="inlineStr">
        <is>
          <t>RODRIGUEZ GALAN, IRENE</t>
        </is>
      </c>
      <c r="E15" s="13" t="inlineStr">
        <is>
          <t>Estudio de la evolución del estado de salud y la Calidad de Vida en pacientes con neumonía por COVID-19</t>
        </is>
      </c>
      <c r="F15" s="13" t="inlineStr">
        <is>
          <t>20/09/2024</t>
        </is>
      </c>
      <c r="G15" s="13" t="inlineStr">
        <is>
          <t>48340670Y</t>
        </is>
      </c>
      <c r="H15" s="13" t="inlineStr">
        <is>
          <t>Director de tesis</t>
        </is>
      </c>
      <c r="I15" s="13" t="inlineStr">
        <is>
          <t>B132</t>
        </is>
      </c>
      <c r="J15" s="13" t="inlineStr">
        <is>
          <t>PSICOLOGIA DE LA SALUD</t>
        </is>
      </c>
      <c r="K15" s="13" t="n">
        <v>1</v>
      </c>
      <c r="L15" s="13" t="inlineStr">
        <is>
          <t>B132</t>
        </is>
      </c>
      <c r="M15" s="13" t="n">
        <v>2023</v>
      </c>
      <c r="N15" s="13" t="inlineStr"/>
      <c r="O15" s="13" t="inlineStr"/>
      <c r="P15" s="13" t="inlineStr"/>
      <c r="Q15" s="13" t="inlineStr"/>
      <c r="R15" s="13" t="n">
        <v>100</v>
      </c>
      <c r="S15" s="13" t="n">
        <v>1</v>
      </c>
      <c r="T15" s="13" t="n">
        <v>0</v>
      </c>
      <c r="U15" s="13" t="n">
        <v>0</v>
      </c>
    </row>
    <row r="16">
      <c r="A16" s="13" t="inlineStr">
        <is>
          <t>U044</t>
        </is>
      </c>
      <c r="B16" s="13" t="inlineStr">
        <is>
          <t>ADM. FACULTAD DE CIENCIAS DE LA SALUD</t>
        </is>
      </c>
      <c r="C16" s="13" t="inlineStr">
        <is>
          <t>DOCTORADO EN CIENCIAS DE LA SALUD</t>
        </is>
      </c>
      <c r="D16" s="13" t="inlineStr">
        <is>
          <t>Terrés Barcala, Lara</t>
        </is>
      </c>
      <c r="E16" s="13" t="inlineStr">
        <is>
          <t>Deficiencia Energética Relativa en el Deporte y su relacio¿n con los Trastornos de la Conducta alimentaria y el Bienestar Psicolo¿gico en mujeres deportistas</t>
        </is>
      </c>
      <c r="F16" s="13" t="inlineStr">
        <is>
          <t>01/03/2024</t>
        </is>
      </c>
      <c r="G16" s="13" t="inlineStr">
        <is>
          <t>48340670Y</t>
        </is>
      </c>
      <c r="H16" s="13" t="inlineStr">
        <is>
          <t>Codirector de tesis</t>
        </is>
      </c>
      <c r="I16" s="13" t="inlineStr">
        <is>
          <t>B132</t>
        </is>
      </c>
      <c r="J16" s="13" t="inlineStr">
        <is>
          <t>PSICOLOGIA DE LA SALUD</t>
        </is>
      </c>
      <c r="K16" s="13" t="n">
        <v>0.5</v>
      </c>
      <c r="L16" s="13" t="inlineStr">
        <is>
          <t>B132</t>
        </is>
      </c>
      <c r="M16" s="13" t="n">
        <v>2023</v>
      </c>
      <c r="N16" s="13" t="inlineStr"/>
      <c r="O16" s="13" t="inlineStr"/>
      <c r="P16" s="13" t="inlineStr"/>
      <c r="Q16" s="13" t="inlineStr"/>
      <c r="R16" s="13" t="n">
        <v>100</v>
      </c>
      <c r="S16" s="13" t="n">
        <v>0.5</v>
      </c>
      <c r="T16" s="13" t="n">
        <v>0</v>
      </c>
      <c r="U16" s="13" t="n">
        <v>0</v>
      </c>
    </row>
    <row r="17">
      <c r="A17" s="13" t="inlineStr">
        <is>
          <t>U044</t>
        </is>
      </c>
      <c r="B17" s="13" t="inlineStr">
        <is>
          <t>ADM. FACULTAD DE CIENCIAS DE LA SALUD</t>
        </is>
      </c>
      <c r="C17" s="13" t="inlineStr">
        <is>
          <t>DOCTORADO EN CIENCIAS DE LA SALUD</t>
        </is>
      </c>
      <c r="D17" s="13" t="inlineStr">
        <is>
          <t>Terrés Barcala, Lara</t>
        </is>
      </c>
      <c r="E17" s="13" t="inlineStr">
        <is>
          <t>Deficiencia Energética Relativa en el Deporte y su relacio¿n con los Trastornos de la Conducta alimentaria y el Bienestar Psicolo¿gico en mujeres deportistas</t>
        </is>
      </c>
      <c r="F17" s="13" t="inlineStr">
        <is>
          <t>01/03/2024</t>
        </is>
      </c>
      <c r="G17" s="13" t="inlineStr">
        <is>
          <t>74189195G</t>
        </is>
      </c>
      <c r="H17" s="13" t="inlineStr">
        <is>
          <t>Codirector de tesis</t>
        </is>
      </c>
      <c r="I17" s="13" t="inlineStr">
        <is>
          <t>B132</t>
        </is>
      </c>
      <c r="J17" s="13" t="inlineStr">
        <is>
          <t>PSICOLOGIA DE LA SALUD</t>
        </is>
      </c>
      <c r="K17" s="13" t="n">
        <v>0.5</v>
      </c>
      <c r="L17" s="13" t="inlineStr">
        <is>
          <t>B132</t>
        </is>
      </c>
      <c r="M17" s="13" t="n">
        <v>2023</v>
      </c>
      <c r="N17" s="13" t="inlineStr"/>
      <c r="O17" s="13" t="inlineStr"/>
      <c r="P17" s="13" t="inlineStr"/>
      <c r="Q17" s="13" t="inlineStr"/>
      <c r="R17" s="13" t="n">
        <v>100</v>
      </c>
      <c r="S17" s="13" t="n">
        <v>0.5</v>
      </c>
      <c r="T17" s="13" t="n">
        <v>0</v>
      </c>
      <c r="U17" s="13" t="n">
        <v>0</v>
      </c>
    </row>
    <row r="18">
      <c r="A18" s="13" t="inlineStr">
        <is>
          <t>U044</t>
        </is>
      </c>
      <c r="B18" s="13" t="inlineStr">
        <is>
          <t>ADM. FACULTAD DE CIENCIAS DE LA SALUD</t>
        </is>
      </c>
      <c r="C18" s="13" t="inlineStr">
        <is>
          <t>DOCTORADO EN CIENCIAS DE LA SALUD</t>
        </is>
      </c>
      <c r="D18" s="13" t="inlineStr">
        <is>
          <t>Pérez Martínez, Vanesa</t>
        </is>
      </c>
      <c r="E18" s="13" t="inlineStr">
        <is>
          <t>Violencia de Género y de pareja en adolescentes: El papel del machismo, la aceptación de la violencia y las masculinidades en la salud</t>
        </is>
      </c>
      <c r="F18" s="13" t="inlineStr">
        <is>
          <t>02/02/2024</t>
        </is>
      </c>
      <c r="G18" s="13" t="inlineStr">
        <is>
          <t>74189195G</t>
        </is>
      </c>
      <c r="H18" s="13" t="inlineStr">
        <is>
          <t>Codirector de tesis</t>
        </is>
      </c>
      <c r="I18" s="13" t="inlineStr">
        <is>
          <t>B132</t>
        </is>
      </c>
      <c r="J18" s="13" t="inlineStr">
        <is>
          <t>PSICOLOGIA DE LA SALUD</t>
        </is>
      </c>
      <c r="K18" s="13" t="n">
        <v>0.5</v>
      </c>
      <c r="L18" s="13" t="inlineStr">
        <is>
          <t>B132</t>
        </is>
      </c>
      <c r="M18" s="13" t="n">
        <v>2023</v>
      </c>
      <c r="N18" s="13" t="inlineStr"/>
      <c r="O18" s="13" t="inlineStr"/>
      <c r="P18" s="13" t="inlineStr"/>
      <c r="Q18" s="13" t="inlineStr"/>
      <c r="R18" s="13" t="n">
        <v>100</v>
      </c>
      <c r="S18" s="13" t="n">
        <v>0.5</v>
      </c>
      <c r="T18" s="13" t="n">
        <v>0</v>
      </c>
      <c r="U18" s="13" t="n">
        <v>0</v>
      </c>
    </row>
    <row r="19">
      <c r="A19" s="13" t="inlineStr">
        <is>
          <t>U044</t>
        </is>
      </c>
      <c r="B19" s="13" t="inlineStr">
        <is>
          <t>Administración Facultad de Ciencias de la Salud</t>
        </is>
      </c>
      <c r="C19" s="13" t="inlineStr">
        <is>
          <t>DOCTORADO EN CIENCIAS DE LA SALUD</t>
        </is>
      </c>
      <c r="D19" s="13" t="inlineStr">
        <is>
          <t>Costa López, Borja</t>
        </is>
      </c>
      <c r="E19" s="13" t="inlineStr">
        <is>
          <t>SALUD Y CALIDAD DE VIDA EN PERSONAS ALTAMENTE SENSIBLES</t>
        </is>
      </c>
      <c r="F19" s="13" t="inlineStr">
        <is>
          <t>08/01/2025</t>
        </is>
      </c>
      <c r="G19" s="13" t="inlineStr">
        <is>
          <t>74189195G</t>
        </is>
      </c>
      <c r="H19" s="13" t="inlineStr">
        <is>
          <t>Codirector de tesis</t>
        </is>
      </c>
      <c r="I19" s="13" t="inlineStr">
        <is>
          <t>B132</t>
        </is>
      </c>
      <c r="J19" s="13" t="inlineStr">
        <is>
          <t>Psicología de la Salud</t>
        </is>
      </c>
      <c r="K19" s="13" t="n">
        <v>0.5</v>
      </c>
      <c r="L19" s="13" t="inlineStr">
        <is>
          <t>B132</t>
        </is>
      </c>
      <c r="M19" s="13" t="n">
        <v>2024</v>
      </c>
      <c r="N19" s="13" t="inlineStr"/>
      <c r="O19" s="13" t="inlineStr"/>
      <c r="P19" s="13" t="inlineStr"/>
      <c r="Q19" s="13" t="inlineStr"/>
      <c r="R19" s="13" t="n">
        <v>100</v>
      </c>
      <c r="S19" s="13" t="n">
        <v>0.5</v>
      </c>
      <c r="T19" s="13" t="n">
        <v>0</v>
      </c>
      <c r="U19" s="13" t="n">
        <v>0</v>
      </c>
    </row>
    <row r="20">
      <c r="A20" s="13" t="inlineStr">
        <is>
          <t>U044</t>
        </is>
      </c>
      <c r="B20" s="13" t="inlineStr">
        <is>
          <t>Administración Facultad de Ciencias de la Salud</t>
        </is>
      </c>
      <c r="C20" s="13" t="inlineStr">
        <is>
          <t>DOCTORADO EN CIENCIAS DE LA SALUD</t>
        </is>
      </c>
      <c r="D20" s="13" t="inlineStr">
        <is>
          <t>Costa López, Borja</t>
        </is>
      </c>
      <c r="E20" s="13" t="inlineStr">
        <is>
          <t>SALUD Y CALIDAD DE VIDA EN PERSONAS ALTAMENTE SENSIBLES</t>
        </is>
      </c>
      <c r="F20" s="13" t="inlineStr">
        <is>
          <t>08/01/2025</t>
        </is>
      </c>
      <c r="G20" s="13" t="inlineStr">
        <is>
          <t>74370655V</t>
        </is>
      </c>
      <c r="H20" s="13" t="inlineStr">
        <is>
          <t>Codirector de tesis</t>
        </is>
      </c>
      <c r="I20" s="13" t="inlineStr">
        <is>
          <t>B132</t>
        </is>
      </c>
      <c r="J20" s="13" t="inlineStr">
        <is>
          <t>Psicología de la Salud</t>
        </is>
      </c>
      <c r="K20" s="13" t="n">
        <v>0.5</v>
      </c>
      <c r="L20" s="13" t="inlineStr">
        <is>
          <t>B132</t>
        </is>
      </c>
      <c r="M20" s="13" t="n">
        <v>2024</v>
      </c>
      <c r="N20" s="13" t="inlineStr"/>
      <c r="O20" s="13" t="inlineStr"/>
      <c r="P20" s="13" t="inlineStr"/>
      <c r="Q20" s="13" t="inlineStr"/>
      <c r="R20" s="13" t="n">
        <v>100</v>
      </c>
      <c r="S20" s="13" t="n">
        <v>0.5</v>
      </c>
      <c r="T20" s="13" t="n">
        <v>0</v>
      </c>
      <c r="U20" s="13" t="n">
        <v>0</v>
      </c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3" t="n"/>
      <c r="P21" s="42" t="n"/>
      <c r="Q21" s="43" t="n"/>
      <c r="R21" s="42" t="n"/>
      <c r="S21" s="83">
        <f>SUM(S2:S20)</f>
        <v/>
      </c>
      <c r="T21" s="42" t="n"/>
      <c r="U21" s="42" t="n"/>
    </row>
  </sheetData>
  <autoFilter ref="A1:U1">
    <sortState ref="A2:T1880">
      <sortCondition ref="K14:K1880"/>
      <sortCondition ref="L14:L1880"/>
      <sortCondition ref="D14:D1880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3"/>
  <sheetViews>
    <sheetView zoomScaleNormal="100" workbookViewId="0">
      <selection activeCell="P21" sqref="P21"/>
    </sheetView>
  </sheetViews>
  <sheetFormatPr baseColWidth="10" defaultColWidth="11.44140625" defaultRowHeight="13.2"/>
  <cols>
    <col width="10.44140625" bestFit="1" customWidth="1" style="11" min="1" max="1"/>
    <col width="38.6640625" bestFit="1" customWidth="1" style="11" min="2" max="2"/>
    <col width="17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26" t="inlineStr">
        <is>
          <t>NIF</t>
        </is>
      </c>
      <c r="B1" s="26" t="inlineStr">
        <is>
          <t>NOMBRE_COMPLETO</t>
        </is>
      </c>
      <c r="C1" s="26" t="inlineStr">
        <is>
          <t>TIPO_SEXENIO</t>
        </is>
      </c>
      <c r="D1" s="27" t="inlineStr">
        <is>
          <t>2020</t>
        </is>
      </c>
      <c r="E1" s="27" t="inlineStr">
        <is>
          <t>2021</t>
        </is>
      </c>
      <c r="F1" s="27" t="inlineStr">
        <is>
          <t>2022</t>
        </is>
      </c>
      <c r="G1" s="27" t="inlineStr">
        <is>
          <t>2023</t>
        </is>
      </c>
      <c r="H1" s="27" t="inlineStr">
        <is>
          <t>2024</t>
        </is>
      </c>
      <c r="I1" s="27" t="inlineStr">
        <is>
          <t>2025</t>
        </is>
      </c>
      <c r="J1" s="26" t="inlineStr">
        <is>
          <t>Total general</t>
        </is>
      </c>
      <c r="K1" s="28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29" t="inlineStr">
        <is>
          <t>21515785K</t>
        </is>
      </c>
      <c r="B2" s="29" t="inlineStr">
        <is>
          <t>Clement Carbonell, Maria Violeta</t>
        </is>
      </c>
      <c r="C2" s="29" t="inlineStr">
        <is>
          <t>NO FUNCIONARIO</t>
        </is>
      </c>
      <c r="D2" s="29" t="n"/>
      <c r="E2" s="29" t="n"/>
      <c r="F2" s="29" t="n"/>
      <c r="G2" s="29" t="n">
        <v>1</v>
      </c>
      <c r="H2" s="29" t="n"/>
      <c r="I2" s="29" t="n"/>
      <c r="J2" s="29" t="n">
        <v>1</v>
      </c>
      <c r="K2" s="29" t="inlineStr">
        <is>
          <t>B132</t>
        </is>
      </c>
      <c r="L2" s="30" t="n">
        <v>0</v>
      </c>
      <c r="M2" s="30" t="n">
        <v>0</v>
      </c>
      <c r="N2" s="30" t="inlineStr"/>
      <c r="O2" s="30" t="inlineStr"/>
      <c r="P2" s="30" t="n">
        <v>100</v>
      </c>
      <c r="Q2" s="30" t="n">
        <v>0</v>
      </c>
      <c r="R2" s="30" t="n">
        <v>0</v>
      </c>
      <c r="S2" s="30" t="n">
        <v>1</v>
      </c>
    </row>
    <row r="3" ht="14.4" customHeight="1">
      <c r="A3" s="29" t="inlineStr">
        <is>
          <t>21657417L</t>
        </is>
      </c>
      <c r="B3" s="29" t="inlineStr">
        <is>
          <t>Fernández Pascual, Mª Dolores</t>
        </is>
      </c>
      <c r="C3" s="29" t="inlineStr">
        <is>
          <t>Vivos</t>
        </is>
      </c>
      <c r="D3" s="29" t="n"/>
      <c r="E3" s="29" t="n"/>
      <c r="F3" s="29" t="n"/>
      <c r="G3" s="29" t="n"/>
      <c r="H3" s="29" t="n"/>
      <c r="I3" s="29" t="n">
        <v>1</v>
      </c>
      <c r="J3" s="29" t="n">
        <v>1</v>
      </c>
      <c r="K3" s="29" t="inlineStr">
        <is>
          <t>B132</t>
        </is>
      </c>
      <c r="L3" s="30" t="n">
        <v>0</v>
      </c>
      <c r="M3" s="30" t="n">
        <v>0</v>
      </c>
      <c r="N3" s="30" t="inlineStr"/>
      <c r="O3" s="30" t="inlineStr"/>
      <c r="P3" s="30" t="n">
        <v>100</v>
      </c>
      <c r="Q3" s="30" t="n">
        <v>0</v>
      </c>
      <c r="R3" s="30" t="n">
        <v>0</v>
      </c>
      <c r="S3" s="30" t="n">
        <v>1</v>
      </c>
    </row>
    <row r="4" ht="14.4" customHeight="1">
      <c r="A4" s="29" t="inlineStr">
        <is>
          <t>28996290Y</t>
        </is>
      </c>
      <c r="B4" s="29" t="inlineStr">
        <is>
          <t>Chiner Sanz, Esther</t>
        </is>
      </c>
      <c r="C4" s="29" t="inlineStr">
        <is>
          <t>FUNCIONARIO</t>
        </is>
      </c>
      <c r="D4" s="29" t="n"/>
      <c r="E4" s="29" t="n"/>
      <c r="F4" s="29" t="n">
        <v>1</v>
      </c>
      <c r="G4" s="29" t="n"/>
      <c r="H4" s="29" t="n"/>
      <c r="I4" s="29" t="n"/>
      <c r="J4" s="29" t="n">
        <v>1</v>
      </c>
      <c r="K4" s="29" t="inlineStr">
        <is>
          <t>B132</t>
        </is>
      </c>
      <c r="L4" s="30" t="inlineStr">
        <is>
          <t>10.23</t>
        </is>
      </c>
      <c r="M4" s="30" t="inlineStr">
        <is>
          <t>30</t>
        </is>
      </c>
      <c r="N4" s="30" t="inlineStr"/>
      <c r="O4" s="30" t="inlineStr"/>
      <c r="P4" s="30" t="n">
        <v>70</v>
      </c>
      <c r="Q4" s="30" t="n">
        <v>0.3</v>
      </c>
      <c r="R4" s="30" t="n">
        <v>0</v>
      </c>
      <c r="S4" s="30" t="n">
        <v>0.7</v>
      </c>
    </row>
    <row r="5" ht="14.4" customHeight="1">
      <c r="A5" s="29" t="inlineStr">
        <is>
          <t>30993511E</t>
        </is>
      </c>
      <c r="B5" s="29" t="inlineStr">
        <is>
          <t>Fernández Alcántara, Manuel</t>
        </is>
      </c>
      <c r="C5" s="29" t="inlineStr">
        <is>
          <t>FUNCIONARIO</t>
        </is>
      </c>
      <c r="D5" s="29" t="n"/>
      <c r="E5" s="29" t="n"/>
      <c r="F5" s="29" t="n">
        <v>1</v>
      </c>
      <c r="G5" s="29" t="n"/>
      <c r="H5" s="29" t="n"/>
      <c r="I5" s="29" t="n">
        <v>1</v>
      </c>
      <c r="J5" s="29" t="n">
        <v>2</v>
      </c>
      <c r="K5" s="29" t="inlineStr">
        <is>
          <t>B132</t>
        </is>
      </c>
      <c r="L5" s="30" t="n">
        <v>0</v>
      </c>
      <c r="M5" s="30" t="n">
        <v>0</v>
      </c>
      <c r="N5" s="30" t="inlineStr"/>
      <c r="O5" s="30" t="inlineStr"/>
      <c r="P5" s="30" t="n">
        <v>100</v>
      </c>
      <c r="Q5" s="30" t="n">
        <v>0</v>
      </c>
      <c r="R5" s="30" t="n">
        <v>0</v>
      </c>
      <c r="S5" s="30" t="n">
        <v>2</v>
      </c>
    </row>
    <row r="6" ht="14.4" customHeight="1">
      <c r="A6" s="29" t="inlineStr">
        <is>
          <t>44358070V</t>
        </is>
      </c>
      <c r="B6" s="29" t="inlineStr">
        <is>
          <t>Santos Ruiz, Ana María</t>
        </is>
      </c>
      <c r="C6" s="29" t="inlineStr">
        <is>
          <t>NO FUNCIONARIO</t>
        </is>
      </c>
      <c r="D6" s="29" t="n"/>
      <c r="E6" s="29" t="n">
        <v>1</v>
      </c>
      <c r="F6" s="29" t="n"/>
      <c r="G6" s="29" t="n"/>
      <c r="H6" s="29" t="n"/>
      <c r="I6" s="29" t="n"/>
      <c r="J6" s="29" t="n">
        <v>1</v>
      </c>
      <c r="K6" s="29" t="inlineStr">
        <is>
          <t>B132</t>
        </is>
      </c>
      <c r="L6" s="30" t="n">
        <v>0</v>
      </c>
      <c r="M6" s="30" t="n">
        <v>0</v>
      </c>
      <c r="N6" s="30" t="inlineStr"/>
      <c r="O6" s="30" t="inlineStr"/>
      <c r="P6" s="30" t="n">
        <v>100</v>
      </c>
      <c r="Q6" s="30" t="n">
        <v>0</v>
      </c>
      <c r="R6" s="30" t="n">
        <v>0</v>
      </c>
      <c r="S6" s="30" t="n">
        <v>1</v>
      </c>
    </row>
    <row r="7" ht="14.4" customHeight="1">
      <c r="A7" s="29" t="inlineStr">
        <is>
          <t>48340670Y</t>
        </is>
      </c>
      <c r="B7" s="29" t="inlineStr">
        <is>
          <t>Albaladejo Blázquez, Natalia</t>
        </is>
      </c>
      <c r="C7" s="29" t="inlineStr">
        <is>
          <t>FUNCIONARIO</t>
        </is>
      </c>
      <c r="D7" s="29" t="n"/>
      <c r="E7" s="29" t="n">
        <v>2</v>
      </c>
      <c r="F7" s="29" t="n">
        <v>1</v>
      </c>
      <c r="G7" s="29" t="n"/>
      <c r="H7" s="29" t="n"/>
      <c r="I7" s="29" t="n"/>
      <c r="J7" s="29" t="n">
        <v>3</v>
      </c>
      <c r="K7" s="29" t="inlineStr">
        <is>
          <t>B132</t>
        </is>
      </c>
      <c r="L7" s="30" t="n">
        <v>0</v>
      </c>
      <c r="M7" s="30" t="n">
        <v>0</v>
      </c>
      <c r="N7" s="30" t="inlineStr"/>
      <c r="O7" s="30" t="inlineStr"/>
      <c r="P7" s="30" t="n">
        <v>100</v>
      </c>
      <c r="Q7" s="30" t="n">
        <v>0</v>
      </c>
      <c r="R7" s="30" t="n">
        <v>0</v>
      </c>
      <c r="S7" s="30" t="n">
        <v>3</v>
      </c>
    </row>
    <row r="8" ht="14.4" customHeight="1">
      <c r="A8" s="29" t="inlineStr">
        <is>
          <t>48576334N</t>
        </is>
      </c>
      <c r="B8" s="29" t="inlineStr">
        <is>
          <t>Portilla Tamarit, Irene</t>
        </is>
      </c>
      <c r="C8" s="29" t="inlineStr">
        <is>
          <t>FUNCIONARIO</t>
        </is>
      </c>
      <c r="D8" s="29" t="n"/>
      <c r="E8" s="29" t="n"/>
      <c r="F8" s="29" t="n"/>
      <c r="G8" s="29" t="n"/>
      <c r="H8" s="29" t="n"/>
      <c r="I8" s="29" t="n">
        <v>1</v>
      </c>
      <c r="J8" s="29" t="n">
        <v>1</v>
      </c>
      <c r="K8" s="29" t="inlineStr">
        <is>
          <t>B132</t>
        </is>
      </c>
      <c r="L8" s="30" t="n">
        <v>0</v>
      </c>
      <c r="M8" s="30" t="n">
        <v>0</v>
      </c>
      <c r="N8" s="30" t="inlineStr"/>
      <c r="O8" s="30" t="inlineStr"/>
      <c r="P8" s="30" t="n">
        <v>100</v>
      </c>
      <c r="Q8" s="30" t="n">
        <v>0</v>
      </c>
      <c r="R8" s="30" t="n">
        <v>0</v>
      </c>
      <c r="S8" s="30" t="n">
        <v>1</v>
      </c>
    </row>
    <row r="9" ht="14.4" customHeight="1">
      <c r="A9" s="29" t="inlineStr">
        <is>
          <t>70820293G</t>
        </is>
      </c>
      <c r="B9" s="29" t="inlineStr">
        <is>
          <t>Sánchez San Segundo, Míriam</t>
        </is>
      </c>
      <c r="C9" s="29" t="inlineStr">
        <is>
          <t>FUNCIONARIO</t>
        </is>
      </c>
      <c r="D9" s="29" t="n"/>
      <c r="E9" s="29" t="n"/>
      <c r="F9" s="29" t="n">
        <v>1</v>
      </c>
      <c r="G9" s="29" t="n"/>
      <c r="H9" s="29" t="n"/>
      <c r="I9" s="29" t="n"/>
      <c r="J9" s="29" t="n">
        <v>1</v>
      </c>
      <c r="K9" s="29" t="inlineStr">
        <is>
          <t>B132</t>
        </is>
      </c>
      <c r="L9" s="30" t="n">
        <v>0</v>
      </c>
      <c r="M9" s="30" t="n">
        <v>0</v>
      </c>
      <c r="N9" s="30" t="inlineStr"/>
      <c r="O9" s="30" t="inlineStr"/>
      <c r="P9" s="30" t="n">
        <v>100</v>
      </c>
      <c r="Q9" s="30" t="n">
        <v>0</v>
      </c>
      <c r="R9" s="30" t="n">
        <v>0</v>
      </c>
      <c r="S9" s="30" t="n">
        <v>1</v>
      </c>
    </row>
    <row r="10" ht="14.4" customHeight="1">
      <c r="A10" s="29" t="inlineStr">
        <is>
          <t>74189195G</t>
        </is>
      </c>
      <c r="B10" s="29" t="inlineStr">
        <is>
          <t>Ferrer Cascales, Rosario Isabel</t>
        </is>
      </c>
      <c r="C10" s="31" t="inlineStr">
        <is>
          <t>FUNCIONARIO</t>
        </is>
      </c>
      <c r="D10" s="29" t="n"/>
      <c r="E10" s="29" t="n">
        <v>1</v>
      </c>
      <c r="F10" s="29" t="n"/>
      <c r="G10" s="29" t="n"/>
      <c r="H10" s="29" t="n"/>
      <c r="I10" s="29" t="n"/>
      <c r="J10" s="29" t="n">
        <v>1</v>
      </c>
      <c r="K10" s="29" t="inlineStr">
        <is>
          <t>B132</t>
        </is>
      </c>
      <c r="L10" s="30" t="n">
        <v>0</v>
      </c>
      <c r="M10" s="30" t="n">
        <v>0</v>
      </c>
      <c r="N10" s="30" t="inlineStr"/>
      <c r="O10" s="30" t="inlineStr"/>
      <c r="P10" s="30" t="n">
        <v>100</v>
      </c>
      <c r="Q10" s="30" t="n">
        <v>0</v>
      </c>
      <c r="R10" s="30" t="n">
        <v>0</v>
      </c>
      <c r="S10" s="30" t="n">
        <v>1</v>
      </c>
    </row>
    <row r="11" ht="14.4" customHeight="1">
      <c r="A11" s="29" t="inlineStr">
        <is>
          <t>74370655V</t>
        </is>
      </c>
      <c r="B11" s="29" t="inlineStr">
        <is>
          <t>Ruiz Robledillo, Nicolás</t>
        </is>
      </c>
      <c r="C11" s="31" t="inlineStr">
        <is>
          <t>FUNCIONARIO</t>
        </is>
      </c>
      <c r="D11" s="29" t="n"/>
      <c r="E11" s="29" t="n"/>
      <c r="F11" s="29" t="n">
        <v>1</v>
      </c>
      <c r="G11" s="29" t="n"/>
      <c r="H11" s="29" t="n"/>
      <c r="I11" s="29" t="n"/>
      <c r="J11" s="29" t="n">
        <v>1</v>
      </c>
      <c r="K11" s="29" t="inlineStr">
        <is>
          <t>B132</t>
        </is>
      </c>
      <c r="L11" s="30" t="n">
        <v>0</v>
      </c>
      <c r="M11" s="30" t="n">
        <v>0</v>
      </c>
      <c r="N11" s="30" t="inlineStr"/>
      <c r="O11" s="30" t="inlineStr"/>
      <c r="P11" s="30" t="n">
        <v>100</v>
      </c>
      <c r="Q11" s="30" t="n">
        <v>0</v>
      </c>
      <c r="R11" s="30" t="n">
        <v>0</v>
      </c>
      <c r="S11" s="30" t="n">
        <v>1</v>
      </c>
    </row>
    <row r="12" ht="14.4" customHeight="1">
      <c r="A12" s="44" t="inlineStr">
        <is>
          <t>74665107T</t>
        </is>
      </c>
      <c r="B12" s="44" t="inlineStr">
        <is>
          <t>Marcos Marcos, Jorge</t>
        </is>
      </c>
      <c r="C12" s="45" t="inlineStr">
        <is>
          <t>FUNCIONARIO</t>
        </is>
      </c>
      <c r="D12" s="44" t="n"/>
      <c r="E12" s="44" t="n"/>
      <c r="F12" s="44" t="n"/>
      <c r="G12" s="44" t="n"/>
      <c r="H12" s="44" t="n"/>
      <c r="I12" s="44" t="n">
        <v>1</v>
      </c>
      <c r="J12" s="44" t="n">
        <v>1</v>
      </c>
      <c r="K12" s="29" t="inlineStr">
        <is>
          <t>B132</t>
        </is>
      </c>
      <c r="L12" s="46" t="n">
        <v>0</v>
      </c>
      <c r="M12" s="46" t="n">
        <v>0</v>
      </c>
      <c r="N12" s="46" t="inlineStr"/>
      <c r="O12" s="46" t="inlineStr"/>
      <c r="P12" s="46" t="n">
        <v>100</v>
      </c>
      <c r="Q12" s="46" t="n">
        <v>0</v>
      </c>
      <c r="R12" s="46" t="n">
        <v>0</v>
      </c>
      <c r="S12" s="46" t="n">
        <v>1</v>
      </c>
    </row>
    <row r="13" ht="14.4" customHeight="1">
      <c r="A13" s="47" t="n"/>
      <c r="B13" s="47" t="n"/>
      <c r="C13" s="48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9">
        <f>SUM(S2:S12)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1" sqref="A11:D11"/>
    </sheetView>
  </sheetViews>
  <sheetFormatPr baseColWidth="10" defaultRowHeight="14.4"/>
  <cols>
    <col width="16.44140625" customWidth="1" min="1" max="1"/>
    <col width="76" customWidth="1" min="2" max="2"/>
    <col width="20.33203125" bestFit="1" customWidth="1" min="3" max="3"/>
    <col width="42" customWidth="1" min="5" max="5"/>
  </cols>
  <sheetData>
    <row r="1">
      <c r="A1" s="52" t="inlineStr">
        <is>
          <t>Cód. org. aplic.</t>
        </is>
      </c>
      <c r="B1" s="52" t="inlineStr">
        <is>
          <t>Descripción justificante</t>
        </is>
      </c>
      <c r="C1" s="52" t="inlineStr">
        <is>
          <t>Imp.cob.aplic.</t>
        </is>
      </c>
    </row>
    <row r="2">
      <c r="A2" s="37" t="inlineStr">
        <is>
          <t>33.20.6C.00.16</t>
        </is>
      </c>
      <c r="B2" s="37" t="inlineStr">
        <is>
          <t>Análisis y memoria final de proyecto de investigación "Evaluación y seguimiento del patrón de consumo de drogas y otras conductas adictivas en estudiantes de educación secundaria"</t>
        </is>
      </c>
      <c r="C2" s="84" t="n">
        <v>1760</v>
      </c>
    </row>
    <row r="3">
      <c r="A3" s="39" t="inlineStr">
        <is>
          <t>33.20.6C.00.17</t>
        </is>
      </c>
      <c r="B3" s="39" t="inlineStr">
        <is>
          <t>INTERVENCIÓN PSICOLÓGICA PARA EL MANEJO DE CONFLICTOS EN ADOLESCENTES</t>
        </is>
      </c>
      <c r="C3" s="85" t="n">
        <v>1980</v>
      </c>
    </row>
    <row r="4">
      <c r="A4" s="37" t="inlineStr">
        <is>
          <t>33.20.6P.00.11</t>
        </is>
      </c>
      <c r="B4" s="37" t="inlineStr">
        <is>
          <t>DEVOLUCIÓN DE INGRESOS_MIODELO 047_Nº LIQUIDACIÓN:46/2023/RAS/10418/1_ Nº DE JUSTIFICANTE:047/1/002413746_ Nº DE REFERENCIA:047/1/002413746</t>
        </is>
      </c>
      <c r="C4" s="84" t="n">
        <v>-5525.7</v>
      </c>
    </row>
    <row r="5">
      <c r="A5" s="39" t="inlineStr">
        <is>
          <t>33.20.6P.00.11</t>
        </is>
      </c>
      <c r="B5" s="39" t="inlineStr">
        <is>
          <t>CIGE/2021/021/041/046/103/136/162/178/153</t>
        </is>
      </c>
      <c r="C5" s="85" t="n">
        <v>7200</v>
      </c>
    </row>
    <row r="6">
      <c r="A6" s="37" t="inlineStr">
        <is>
          <t>33.20.6P.00.11</t>
        </is>
      </c>
      <c r="B6" s="37" t="inlineStr">
        <is>
          <t>DEVOLUCIÓN DE INGRESOS_ MODELO 047_Nº de liquidación:46/2023/RAS/10321/1_ Número de justificante:047/1/002385120_Nº de referencia:047/1/002385120</t>
        </is>
      </c>
      <c r="C6" s="84" t="n">
        <v>-1263.86</v>
      </c>
    </row>
    <row r="7">
      <c r="A7" s="39" t="inlineStr">
        <is>
          <t>33.20.6P.00.12</t>
        </is>
      </c>
      <c r="B7" s="39" t="inlineStr">
        <is>
          <t xml:space="preserve">PID2021-122320NA-I00/123699NB-I00/124741NB-I00/124860NB-I00/125387NB-I00/126485OB-I00/127332NB-I00/127566NB-I00/127967NB-I00 </t>
        </is>
      </c>
      <c r="C7" s="85" t="n">
        <v>5444.2</v>
      </c>
    </row>
    <row r="8">
      <c r="A8" s="39" t="inlineStr">
        <is>
          <t>33.20.6X.00.02</t>
        </is>
      </c>
      <c r="B8" s="39" t="inlineStr">
        <is>
          <t xml:space="preserve">SEGUNDO COBRO DEL PROYECTO HSP </t>
        </is>
      </c>
      <c r="C8" s="85" t="n">
        <v>19452</v>
      </c>
    </row>
    <row r="9">
      <c r="A9" s="37" t="inlineStr">
        <is>
          <t>33.20.6X.00.02</t>
        </is>
      </c>
      <c r="B9" s="37" t="inlineStr">
        <is>
          <t xml:space="preserve">TERCER COBRO DEL PROYECTO HSP </t>
        </is>
      </c>
      <c r="C9" s="84" t="n">
        <v>19089.62</v>
      </c>
    </row>
    <row r="10">
      <c r="A10" s="39" t="inlineStr">
        <is>
          <t>33.20.6X.00.03</t>
        </is>
      </c>
      <c r="B10" s="39" t="inlineStr">
        <is>
          <t xml:space="preserve">SEGUNDO COBRO DEL PROYECTO PRO-MOT </t>
        </is>
      </c>
      <c r="C10" s="85" t="n">
        <v>9574.799999999999</v>
      </c>
    </row>
    <row r="11" ht="57.6" customHeight="1">
      <c r="A11" s="51" t="inlineStr">
        <is>
          <t>41.50.6P.00.47</t>
        </is>
      </c>
      <c r="B11" s="51" t="inlineStr">
        <is>
          <t xml:space="preserve">PROMETEO/2020/093/006/017/024/030/055/057/073/079/088 </t>
        </is>
      </c>
      <c r="C11" s="86">
        <f>142494.49/2</f>
        <v/>
      </c>
      <c r="E11" s="64" t="inlineStr">
        <is>
          <t>50 % de los 142.494,49 € al Insituto de Investigación en Ingeniería Informática y 50 % Psicología de la salud. Según email del Dpto de Psicología de la Salud 17/10/2024</t>
        </is>
      </c>
    </row>
    <row r="12" ht="57.6" customHeight="1">
      <c r="A12" s="61" t="inlineStr">
        <is>
          <t>34.70.6P.00.34</t>
        </is>
      </c>
      <c r="B12" s="61" t="inlineStr">
        <is>
          <t xml:space="preserve">PID2020-118574GB-I00/118816GB-I00/119124RB-I00/119144RB-I00/119320GB-I00/119383GB-I00/119734RB-I00/119878GB-I00/119959GB-I00/120213RB-I00 </t>
        </is>
      </c>
      <c r="C12" s="87" t="n">
        <v>3879.57</v>
      </c>
      <c r="E12" s="60" t="inlineStr">
        <is>
          <t>De los 11410,51€, el 66%(7.530,94€) para Tecnología Informática y Computación y 34%(3.879,57€) para Psicología de la Salud (según email de Jorge Azorín 30/10/2024)</t>
        </is>
      </c>
    </row>
    <row r="13">
      <c r="A13" s="54" t="inlineStr">
        <is>
          <t>Total</t>
        </is>
      </c>
      <c r="B13" s="54" t="n"/>
      <c r="C13" s="88">
        <f>SUBTOTAL(109,Tabla2[Imp.cob.aplic.])</f>
        <v/>
      </c>
    </row>
    <row r="14">
      <c r="C14" s="8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10" sqref="B10:C10"/>
    </sheetView>
  </sheetViews>
  <sheetFormatPr baseColWidth="10" defaultRowHeight="14.4"/>
  <cols>
    <col width="13.33203125" bestFit="1" customWidth="1" min="1" max="1"/>
    <col width="46.33203125" customWidth="1" min="2" max="2"/>
    <col width="13.33203125" customWidth="1" min="3" max="3"/>
    <col width="62.88671875" customWidth="1" min="5" max="5"/>
  </cols>
  <sheetData>
    <row r="1">
      <c r="A1" s="58" t="inlineStr">
        <is>
          <t>Org. aplic.</t>
        </is>
      </c>
      <c r="B1" s="58" t="inlineStr">
        <is>
          <t>Descripción justificante</t>
        </is>
      </c>
      <c r="C1" s="90" t="inlineStr">
        <is>
          <t>Imp. aplic.</t>
        </is>
      </c>
    </row>
    <row r="2">
      <c r="A2" s="56" t="inlineStr">
        <is>
          <t>33.20.6C.00.18</t>
        </is>
      </c>
      <c r="B2" s="56" t="inlineStr">
        <is>
          <t>Evaluación de la eficacia de un programa de intervención psicoemocional en jóvenes en situación de riesgo.</t>
        </is>
      </c>
      <c r="C2" s="91" t="n">
        <v>1980</v>
      </c>
    </row>
    <row r="3">
      <c r="A3" s="57" t="inlineStr">
        <is>
          <t>33.20.6P.00.12</t>
        </is>
      </c>
      <c r="B3" s="57" t="inlineStr">
        <is>
          <t xml:space="preserve">PID2021-122263OB-C22 -122320NA-I00 -122397NB-C22 --122500OB-I00 -122685OB-I00 -122988NB-I00 -123079OB-I00 -123091NB-C22 -123118NA-I00 -123124OB-I00 -123699NB-I00-123135OB-C21 -123453NB-I00 -123956OB-I00 </t>
        </is>
      </c>
      <c r="C3" s="92" t="n">
        <v>1956</v>
      </c>
    </row>
    <row r="4">
      <c r="A4" s="54" t="inlineStr">
        <is>
          <t>33.20.6X.00.03</t>
        </is>
      </c>
      <c r="B4" s="54" t="inlineStr">
        <is>
          <t>Tercer cobro del Proyecto PRO-MOTION</t>
        </is>
      </c>
      <c r="C4" s="93" t="n">
        <v>26043.46</v>
      </c>
    </row>
    <row r="5" ht="43.2" customHeight="1">
      <c r="A5" s="68" t="inlineStr">
        <is>
          <t>41.50.6P.00.47</t>
        </is>
      </c>
      <c r="B5" s="68" t="inlineStr">
        <is>
          <t xml:space="preserve">ayudas PROMETEO/2021/006, PROMETEO/2021/017, PROMETEO/2021/030, PROMETEO/2021/055, PROMETEO/2021/057, PROMETEO/2021/073, PROMETEO/2021/079, PROMETEO/2021/088 </t>
        </is>
      </c>
      <c r="C5" s="94" t="n">
        <v>71232.23</v>
      </c>
      <c r="D5" s="35" t="n"/>
      <c r="E5" s="64" t="inlineStr">
        <is>
          <t>50 % de los 142.464,47 € al Insituto de Investigación en Ingeniería Informática y 50 % Psicología de la salud. Según email del Dpto de Psicología de la Salud 17/10/2024</t>
        </is>
      </c>
    </row>
    <row r="6" ht="43.2" customHeight="1">
      <c r="A6" s="66" t="inlineStr">
        <is>
          <t>32.60.6X.00.03</t>
        </is>
      </c>
      <c r="B6" s="66" t="inlineStr">
        <is>
          <t>Último cobro del proyecto ISEDA</t>
        </is>
      </c>
      <c r="C6" s="95" t="n">
        <v>6751.8</v>
      </c>
      <c r="D6" s="35" t="n"/>
      <c r="E6" s="64" t="inlineStr">
        <is>
          <t>De los 20.460€, el 67%(13.708,2) al Dpto de Enfermería Comunitaria y el 33%(6.751,8) a Psicología de la Salud (según email 27/10/2023 de Carmen Vives Cases)</t>
        </is>
      </c>
    </row>
    <row r="7">
      <c r="A7" s="54" t="inlineStr">
        <is>
          <t>Total</t>
        </is>
      </c>
      <c r="B7" s="54" t="n"/>
      <c r="C7" s="88">
        <f>SUBTOTAL(109,Tabla4[Imp. aplic.])</f>
        <v/>
      </c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C12" sqref="C12"/>
    </sheetView>
  </sheetViews>
  <sheetFormatPr baseColWidth="10" defaultRowHeight="14.4"/>
  <cols>
    <col width="19.44140625" customWidth="1" min="1" max="1"/>
    <col width="37.21875" customWidth="1" min="2" max="2"/>
    <col width="19.33203125" customWidth="1" min="3" max="3"/>
  </cols>
  <sheetData>
    <row r="1">
      <c r="A1" s="70" t="inlineStr">
        <is>
          <t>Org. aplic.</t>
        </is>
      </c>
      <c r="B1" s="71" t="inlineStr">
        <is>
          <t>Descripción justificante</t>
        </is>
      </c>
      <c r="C1" s="71" t="inlineStr">
        <is>
          <t>Imp. aplic.</t>
        </is>
      </c>
    </row>
    <row r="2">
      <c r="A2" s="72" t="inlineStr">
        <is>
          <t>33.20.6C.00.19</t>
        </is>
      </c>
      <c r="B2" s="73" t="inlineStr">
        <is>
          <t>EFECTIVIDAD DE UN PROGRAMA DE PREVENCIÓN DE CONDUCTAS ADICTIVAS PARA LA PROMOCIÓN DE LA SALUD MENTAL EN ADOLESCENTES.</t>
        </is>
      </c>
      <c r="C2" s="96" t="n">
        <v>1980</v>
      </c>
    </row>
    <row r="3">
      <c r="A3" s="75" t="inlineStr">
        <is>
          <t>33.20.6P.00.12</t>
        </is>
      </c>
      <c r="B3" s="76" t="inlineStr">
        <is>
          <t xml:space="preserve">ayudas PID2021-122320NA-I00, PID2021-123699NB-I00, PID2021-124741NB-I00, PID2021-124860NB-I00,PID2021-125387NB-I00, PID2021-126485OB-I00, PID2021-127332NB-I00, PID2021-127566NB-I00, PID2021-127967NB-I00, </t>
        </is>
      </c>
      <c r="C3" s="97" t="n">
        <v>13040</v>
      </c>
    </row>
    <row r="4">
      <c r="A4" s="72" t="inlineStr">
        <is>
          <t>33.20.6P.00.15</t>
        </is>
      </c>
      <c r="B4" s="73" t="inlineStr">
        <is>
          <t>Ingreso ayudas CIGE/2024/56/95/108/145/178/184/194/199/200/201/202/203/204/205/208/209/212/213</t>
        </is>
      </c>
      <c r="C4" s="96" t="n">
        <v>4000</v>
      </c>
    </row>
    <row r="5">
      <c r="A5" s="75" t="inlineStr">
        <is>
          <t>33.20.6P.00.16</t>
        </is>
      </c>
      <c r="B5" s="76" t="inlineStr">
        <is>
          <t>Ingreso ayudas CIGE/2024/56/95/108/145/178/184/194/199/200/201/202/203/204/205/208/209/212/213</t>
        </is>
      </c>
      <c r="C5" s="97" t="n">
        <v>2000</v>
      </c>
    </row>
    <row r="6" ht="15" customHeight="1" thickBot="1">
      <c r="A6" s="72" t="inlineStr">
        <is>
          <t>33.20.6P.00.17</t>
        </is>
      </c>
      <c r="B6" s="73" t="inlineStr">
        <is>
          <t>Ayudas CIAICO 2024/6/31/81/130/150/168/186/204/238/296/319</t>
        </is>
      </c>
      <c r="C6" s="96" t="n">
        <v>2000</v>
      </c>
    </row>
    <row r="7" ht="15" customHeight="1" thickTop="1">
      <c r="A7" s="78" t="inlineStr">
        <is>
          <t>Total</t>
        </is>
      </c>
      <c r="B7" s="79" t="n"/>
      <c r="C7" s="98" t="n">
        <v>23020</v>
      </c>
    </row>
    <row r="11">
      <c r="B11" s="63" t="inlineStr">
        <is>
          <t>Total ingresos investigación 2023-25</t>
        </is>
      </c>
      <c r="C11" s="99">
        <f>C7+Tabla2[[#Totals],[Imp.cob.aplic.]]+Tabla4[[#Totals],[Imp.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iufacyt@ua.es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2026-05-28T21:59:16Z</dcterms:modified>
  <cp:lastModifiedBy>MARIA TERESA PUJALTE DEVIS</cp:lastModifiedBy>
</cp:coreProperties>
</file>