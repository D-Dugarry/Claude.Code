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0.0"/>
    <numFmt numFmtId="166" formatCode="#,##0.0"/>
    <numFmt numFmtId="167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</cellStyleXfs>
  <cellXfs count="83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2" fillId="0" borderId="1" pivotButton="0" quotePrefix="0" xfId="0"/>
    <xf numFmtId="0" fontId="13" fillId="7" borderId="8" pivotButton="0" quotePrefix="0" xfId="0"/>
    <xf numFmtId="164" fontId="0" fillId="0" borderId="0" pivotButton="0" quotePrefix="0" xfId="0"/>
    <xf numFmtId="0" fontId="9" fillId="8" borderId="7" pivotButton="0" quotePrefix="0" xfId="0"/>
    <xf numFmtId="164" fontId="6" fillId="8" borderId="7" pivotButton="0" quotePrefix="0" xfId="6"/>
    <xf numFmtId="0" fontId="9" fillId="0" borderId="7" pivotButton="0" quotePrefix="0" xfId="0"/>
    <xf numFmtId="164" fontId="6" fillId="0" borderId="7" pivotButton="0" quotePrefix="0" xfId="6"/>
    <xf numFmtId="0" fontId="0" fillId="0" borderId="1" applyAlignment="1" pivotButton="0" quotePrefix="0" xfId="0">
      <alignment horizontal="left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165" fontId="4" fillId="3" borderId="1" applyAlignment="1" pivotButton="0" quotePrefix="0" xfId="1">
      <alignment horizontal="center"/>
    </xf>
    <xf numFmtId="0" fontId="0" fillId="0" borderId="9" pivotButton="0" quotePrefix="0" xfId="0"/>
    <xf numFmtId="0" fontId="9" fillId="8" borderId="9" pivotButton="0" quotePrefix="0" xfId="0"/>
    <xf numFmtId="164" fontId="6" fillId="8" borderId="9" pivotButton="0" quotePrefix="0" xfId="6"/>
    <xf numFmtId="164" fontId="0" fillId="0" borderId="9" pivotButton="0" quotePrefix="0" xfId="0"/>
    <xf numFmtId="0" fontId="11" fillId="7" borderId="8" pivotButton="0" quotePrefix="0" xfId="0"/>
    <xf numFmtId="164" fontId="11" fillId="7" borderId="8" pivotButton="0" quotePrefix="0" xfId="6"/>
    <xf numFmtId="0" fontId="0" fillId="8" borderId="9" pivotButton="0" quotePrefix="0" xfId="0"/>
    <xf numFmtId="164" fontId="0" fillId="8" borderId="9" pivotButton="0" quotePrefix="0" xfId="6"/>
    <xf numFmtId="0" fontId="0" fillId="10" borderId="9" pivotButton="0" quotePrefix="0" xfId="0"/>
    <xf numFmtId="0" fontId="0" fillId="11" borderId="0" pivotButton="0" quotePrefix="0" xfId="0"/>
    <xf numFmtId="164" fontId="0" fillId="10" borderId="9" pivotButton="0" quotePrefix="0" xfId="0"/>
    <xf numFmtId="164" fontId="0" fillId="10" borderId="9" pivotButton="0" quotePrefix="0" xfId="6"/>
    <xf numFmtId="0" fontId="14" fillId="0" borderId="1" pivotButton="0" quotePrefix="0" xfId="0"/>
    <xf numFmtId="164" fontId="14" fillId="0" borderId="1" pivotButton="0" quotePrefix="0" xfId="0"/>
    <xf numFmtId="0" fontId="2" fillId="4" borderId="0" pivotButton="0" quotePrefix="0" xfId="1"/>
    <xf numFmtId="0" fontId="2" fillId="4" borderId="2" pivotButton="0" quotePrefix="0" xfId="1"/>
    <xf numFmtId="166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5" fontId="2" fillId="4" borderId="2" pivotButton="0" quotePrefix="0" xfId="1"/>
    <xf numFmtId="0" fontId="2" fillId="4" borderId="1" pivotButton="0" quotePrefix="0" xfId="1"/>
    <xf numFmtId="0" fontId="2" fillId="0" borderId="1" pivotButton="0" quotePrefix="0" xfId="1"/>
    <xf numFmtId="0" fontId="2" fillId="4" borderId="3" pivotButton="0" quotePrefix="0" xfId="1"/>
    <xf numFmtId="0" fontId="2" fillId="4" borderId="1" applyAlignment="1" pivotButton="0" quotePrefix="0" xfId="1">
      <alignment horizontal="right"/>
    </xf>
    <xf numFmtId="0" fontId="2" fillId="0" borderId="0" pivotButton="0" quotePrefix="0" xfId="0"/>
    <xf numFmtId="0" fontId="2" fillId="4" borderId="0" applyAlignment="1" pivotButton="0" quotePrefix="0" xfId="1">
      <alignment horizontal="right"/>
    </xf>
    <xf numFmtId="0" fontId="1" fillId="0" borderId="0" pivotButton="0" quotePrefix="0" xfId="0"/>
    <xf numFmtId="0" fontId="15" fillId="12" borderId="12" pivotButton="0" quotePrefix="0" xfId="0"/>
    <xf numFmtId="0" fontId="15" fillId="12" borderId="13" pivotButton="0" quotePrefix="0" xfId="0"/>
    <xf numFmtId="0" fontId="16" fillId="13" borderId="12" pivotButton="0" quotePrefix="0" xfId="0"/>
    <xf numFmtId="0" fontId="16" fillId="13" borderId="13" pivotButton="0" quotePrefix="0" xfId="0"/>
    <xf numFmtId="167" fontId="16" fillId="13" borderId="13" pivotButton="0" quotePrefix="0" xfId="6"/>
    <xf numFmtId="0" fontId="16" fillId="0" borderId="12" pivotButton="0" quotePrefix="0" xfId="0"/>
    <xf numFmtId="0" fontId="16" fillId="0" borderId="13" pivotButton="0" quotePrefix="0" xfId="0"/>
    <xf numFmtId="167" fontId="16" fillId="0" borderId="13" pivotButton="0" quotePrefix="0" xfId="6"/>
    <xf numFmtId="0" fontId="17" fillId="0" borderId="10" pivotButton="0" quotePrefix="0" xfId="0"/>
    <xf numFmtId="0" fontId="17" fillId="0" borderId="11" pivotButton="0" quotePrefix="0" xfId="0"/>
    <xf numFmtId="167" fontId="17" fillId="0" borderId="11" pivotButton="0" quotePrefix="0" xfId="6"/>
    <xf numFmtId="165" fontId="14" fillId="9" borderId="0" pivotButton="0" quotePrefix="0" xfId="0"/>
    <xf numFmtId="164" fontId="6" fillId="8" borderId="7" pivotButton="0" quotePrefix="0" xfId="6"/>
    <xf numFmtId="164" fontId="6" fillId="0" borderId="7" pivotButton="0" quotePrefix="0" xfId="6"/>
    <xf numFmtId="164" fontId="6" fillId="8" borderId="9" pivotButton="0" quotePrefix="0" xfId="6"/>
    <xf numFmtId="164" fontId="0" fillId="0" borderId="9" pivotButton="0" quotePrefix="0" xfId="0"/>
    <xf numFmtId="164" fontId="0" fillId="0" borderId="0" pivotButton="0" quotePrefix="0" xfId="0"/>
    <xf numFmtId="164" fontId="11" fillId="7" borderId="8" pivotButton="0" quotePrefix="0" xfId="6"/>
    <xf numFmtId="164" fontId="0" fillId="8" borderId="9" pivotButton="0" quotePrefix="0" xfId="6"/>
    <xf numFmtId="164" fontId="0" fillId="10" borderId="9" pivotButton="0" quotePrefix="0" xfId="0"/>
    <xf numFmtId="167" fontId="16" fillId="13" borderId="13" pivotButton="0" quotePrefix="0" xfId="6"/>
    <xf numFmtId="167" fontId="16" fillId="0" borderId="13" pivotButton="0" quotePrefix="0" xfId="6"/>
    <xf numFmtId="167" fontId="17" fillId="0" borderId="11" pivotButton="0" quotePrefix="0" xfId="6"/>
    <xf numFmtId="164" fontId="14" fillId="0" borderId="1" pivotButton="0" quotePrefix="0" xfId="0"/>
    <xf numFmtId="164" fontId="0" fillId="10" borderId="9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5" headerRowCount="1" totalsRowCount="1" headerRowDxfId="23" headerRowBorderDxfId="22" tableBorderDxfId="21" totalsRowBorderDxfId="20">
  <autoFilter ref="A1:C4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3" headerRowCount="1" totalsRowCount="1" totalsRowDxfId="17" headerRowBorderDxfId="19" tableBorderDxfId="18" totalsRowBorderDxfId="16">
  <autoFilter ref="A1:C2"/>
  <tableColumns count="3">
    <tableColumn id="1" name="Org. aplic." totalsRowLabel="Total" dataDxfId="15" totalsRowDxfId="14"/>
    <tableColumn id="2" name="Descripción justificante" dataDxfId="13" totalsRowDxfId="12"/>
    <tableColumn id="3" name="Imp. aplic." totalsRowFunction="sum" dataDxfId="11" totalsRowDxfId="10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5" displayName="Tabla35" ref="A1:C4" headerRowCount="1" totalsRowCount="1" totalsRowDxfId="7" headerRowBorderDxfId="9" tableBorderDxfId="8" totalsRowBorderDxfId="6">
  <autoFilter ref="A1:C3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8"/>
  <sheetViews>
    <sheetView showGridLines="0" tabSelected="1" zoomScale="120" zoomScaleNormal="120" workbookViewId="0">
      <pane xSplit="1" ySplit="1" topLeftCell="F29" activePane="bottomRight" state="frozen"/>
      <selection pane="topRight" activeCell="B1" sqref="B1"/>
      <selection pane="bottomLeft" activeCell="A2" sqref="A2"/>
      <selection pane="bottomRight" activeCell="E54" sqref="E54"/>
    </sheetView>
  </sheetViews>
  <sheetFormatPr baseColWidth="10" defaultColWidth="10.28515625" defaultRowHeight="11.25"/>
  <cols>
    <col width="5" customWidth="1" style="45" min="1" max="1"/>
    <col width="29.7109375" customWidth="1" style="45" min="2" max="4"/>
    <col width="40.7109375" customWidth="1" style="45" min="5" max="5"/>
    <col width="9.140625" customWidth="1" style="45" min="6" max="6"/>
    <col width="9.7109375" customWidth="1" style="45" min="7" max="7"/>
    <col width="14.42578125" customWidth="1" style="45" min="8" max="8"/>
    <col width="5.85546875" customWidth="1" style="45" min="9" max="9"/>
    <col width="25.7109375" customWidth="1" style="45" min="10" max="10"/>
    <col width="5.140625" customWidth="1" style="45" min="11" max="12"/>
    <col width="4.42578125" customWidth="1" style="45" min="13" max="13"/>
    <col width="4.85546875" customWidth="1" style="45" min="14" max="14"/>
    <col width="4.85546875" customWidth="1" style="56" min="15" max="15"/>
    <col width="4.85546875" customWidth="1" style="45" min="16" max="16"/>
    <col width="3.5703125" customWidth="1" style="56" min="17" max="17"/>
    <col width="3.5703125" customWidth="1" style="45" min="18" max="18"/>
    <col width="5.140625" customWidth="1" style="45" min="19" max="21"/>
    <col width="10.28515625" customWidth="1" style="45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46" t="inlineStr">
        <is>
          <t xml:space="preserve">U020 </t>
        </is>
      </c>
      <c r="B2" s="46" t="inlineStr">
        <is>
          <t xml:space="preserve">ADM. I.U. DEL AGUA Y DE LAS CIENCIAS AMBIENTALES </t>
        </is>
      </c>
      <c r="C2" s="46" t="inlineStr">
        <is>
          <t xml:space="preserve">DOCTORADO EN AGUA Y DESARROLLO SOSTENIBLE </t>
        </is>
      </c>
      <c r="D2" s="46" t="inlineStr">
        <is>
          <t xml:space="preserve">Bernal Romero del Hombre Bueno, María de los Ángeles </t>
        </is>
      </c>
      <c r="E2" s="46" t="inlineStr">
        <is>
          <t xml:space="preserve">Reducción de microcontaminantes mediante procesos biológicos, tratamiento con membranas y carbón activado </t>
        </is>
      </c>
      <c r="F2" s="46" t="inlineStr">
        <is>
          <t xml:space="preserve">27/05/2020 </t>
        </is>
      </c>
      <c r="G2" s="46" t="inlineStr">
        <is>
          <t xml:space="preserve">21455103J </t>
        </is>
      </c>
      <c r="H2" s="46" t="inlineStr">
        <is>
          <t xml:space="preserve">Codirector de tesis </t>
        </is>
      </c>
      <c r="I2" s="46" t="inlineStr">
        <is>
          <t xml:space="preserve">B151 </t>
        </is>
      </c>
      <c r="J2" s="46" t="inlineStr">
        <is>
          <t xml:space="preserve">INGENIERÍA QUÍMICA </t>
        </is>
      </c>
      <c r="K2" s="47" t="n">
        <v>0.5</v>
      </c>
      <c r="L2" s="46" t="inlineStr">
        <is>
          <t>B151</t>
        </is>
      </c>
      <c r="M2" s="46" t="n">
        <v>2019</v>
      </c>
      <c r="N2" s="46" t="inlineStr">
        <is>
          <t>10.09</t>
        </is>
      </c>
      <c r="O2" s="48" t="inlineStr">
        <is>
          <t>40</t>
        </is>
      </c>
      <c r="P2" s="46" t="inlineStr">
        <is>
          <t>10.05</t>
        </is>
      </c>
      <c r="Q2" s="48" t="inlineStr">
        <is>
          <t>20</t>
        </is>
      </c>
      <c r="R2" s="49" t="n">
        <v>40</v>
      </c>
      <c r="S2" s="50" t="n">
        <v>0.2</v>
      </c>
      <c r="T2" s="50" t="n">
        <v>0.2</v>
      </c>
      <c r="U2" s="50" t="n">
        <v>0.1</v>
      </c>
    </row>
    <row r="3">
      <c r="A3" s="46" t="inlineStr">
        <is>
          <t xml:space="preserve">U020 </t>
        </is>
      </c>
      <c r="B3" s="46" t="inlineStr">
        <is>
          <t xml:space="preserve">ADM. I.U. DEL AGUA Y DE LAS CIENCIAS AMBIENTALES </t>
        </is>
      </c>
      <c r="C3" s="46" t="inlineStr">
        <is>
          <t xml:space="preserve">DOCTORADO EN AGUA Y DESARROLLO SOSTENIBLE </t>
        </is>
      </c>
      <c r="D3" s="46" t="inlineStr">
        <is>
          <t xml:space="preserve">Bernal Romero del Hombre Bueno, María de los Ángeles </t>
        </is>
      </c>
      <c r="E3" s="46" t="inlineStr">
        <is>
          <t xml:space="preserve">Reducción de microcontaminantes mediante procesos biológicos, tratamiento con membranas y carbón activado </t>
        </is>
      </c>
      <c r="F3" s="46" t="inlineStr">
        <is>
          <t xml:space="preserve">27/05/2020 </t>
        </is>
      </c>
      <c r="G3" s="46" t="inlineStr">
        <is>
          <t xml:space="preserve">21943946Z </t>
        </is>
      </c>
      <c r="H3" s="46" t="inlineStr">
        <is>
          <t xml:space="preserve">Codirector de tesis </t>
        </is>
      </c>
      <c r="I3" s="46" t="inlineStr">
        <is>
          <t xml:space="preserve">B151 </t>
        </is>
      </c>
      <c r="J3" s="46" t="inlineStr">
        <is>
          <t xml:space="preserve">INGENIERÍA QUÍMICA </t>
        </is>
      </c>
      <c r="K3" s="47" t="n">
        <v>0.5</v>
      </c>
      <c r="L3" s="46" t="inlineStr">
        <is>
          <t>B151</t>
        </is>
      </c>
      <c r="M3" s="46" t="n">
        <v>2019</v>
      </c>
      <c r="N3" s="46" t="inlineStr">
        <is>
          <t>10.09</t>
        </is>
      </c>
      <c r="O3" s="48" t="inlineStr">
        <is>
          <t>10</t>
        </is>
      </c>
      <c r="P3" s="46" t="inlineStr">
        <is>
          <t>10.05</t>
        </is>
      </c>
      <c r="Q3" s="48" t="inlineStr">
        <is>
          <t>80</t>
        </is>
      </c>
      <c r="R3" s="49" t="n">
        <v>10</v>
      </c>
      <c r="S3" s="50" t="n">
        <v>0.05</v>
      </c>
      <c r="T3" s="50" t="n">
        <v>0.05</v>
      </c>
      <c r="U3" s="50" t="n">
        <v>0.4</v>
      </c>
    </row>
    <row r="4">
      <c r="A4" s="46" t="inlineStr">
        <is>
          <t xml:space="preserve">U040 </t>
        </is>
      </c>
      <c r="B4" s="46" t="inlineStr">
        <is>
          <t xml:space="preserve">ADM. I.U. DE INGENIERÍA DE LOS PROCESOS QUÍMICOS </t>
        </is>
      </c>
      <c r="C4" s="46" t="inlineStr">
        <is>
          <t xml:space="preserve">DOCTORADO EN INGENIERÍA QUÍMICA </t>
        </is>
      </c>
      <c r="D4" s="46" t="inlineStr">
        <is>
          <t xml:space="preserve">Horodytska , Oksana </t>
        </is>
      </c>
      <c r="E4" s="46" t="inlineStr">
        <is>
          <t xml:space="preserve">PLASTICS RECYCLING: NEW CHALLENGES IN THE AGE OF THE CIRCULAR ECONOMY </t>
        </is>
      </c>
      <c r="F4" s="46" t="inlineStr">
        <is>
          <t xml:space="preserve">15/09/2020 </t>
        </is>
      </c>
      <c r="G4" s="46" t="inlineStr">
        <is>
          <t xml:space="preserve">73768475T </t>
        </is>
      </c>
      <c r="H4" s="46" t="inlineStr">
        <is>
          <t xml:space="preserve">Director de tesis </t>
        </is>
      </c>
      <c r="I4" s="46" t="inlineStr">
        <is>
          <t xml:space="preserve">B151 </t>
        </is>
      </c>
      <c r="J4" s="46" t="inlineStr">
        <is>
          <t xml:space="preserve">INGENIERÍA QUÍMICA </t>
        </is>
      </c>
      <c r="K4" s="47" t="n">
        <v>1</v>
      </c>
      <c r="L4" s="46" t="inlineStr">
        <is>
          <t>B151</t>
        </is>
      </c>
      <c r="M4" s="46" t="n">
        <v>2019</v>
      </c>
      <c r="N4" s="46" t="inlineStr">
        <is>
          <t>10.05</t>
        </is>
      </c>
      <c r="O4" s="48" t="inlineStr">
        <is>
          <t>10</t>
        </is>
      </c>
      <c r="P4" s="46" t="inlineStr">
        <is>
          <t>10.09</t>
        </is>
      </c>
      <c r="Q4" s="48" t="inlineStr">
        <is>
          <t>55</t>
        </is>
      </c>
      <c r="R4" s="49" t="n">
        <v>35</v>
      </c>
      <c r="S4" s="50" t="n">
        <v>0.35</v>
      </c>
      <c r="T4" s="50" t="n">
        <v>0.1</v>
      </c>
      <c r="U4" s="50" t="n">
        <v>0.55</v>
      </c>
    </row>
    <row r="5">
      <c r="A5" s="51" t="inlineStr">
        <is>
          <t xml:space="preserve">U040 </t>
        </is>
      </c>
      <c r="B5" s="51" t="inlineStr">
        <is>
          <t xml:space="preserve">ADM. I.U. DE INGENIERÍA DE LOS PROCESOS QUÍMICOS </t>
        </is>
      </c>
      <c r="C5" s="51" t="inlineStr">
        <is>
          <t xml:space="preserve">DOCTORADO EN INGENIERÍA QUÍMICA </t>
        </is>
      </c>
      <c r="D5" s="51" t="inlineStr">
        <is>
          <t xml:space="preserve">Asensio Morant, Javier </t>
        </is>
      </c>
      <c r="E5" s="51" t="inlineStr">
        <is>
          <t xml:space="preserve">PIRÓLISIS TÉRMICA Y CATALÍTICA DE LA NICOTINA Y NNK Y NNN, DOS NITROSAMINAS ESPECÍFICAS DEL TABACO </t>
        </is>
      </c>
      <c r="F5" s="51" t="inlineStr">
        <is>
          <t xml:space="preserve">04/12/2020 </t>
        </is>
      </c>
      <c r="G5" s="51" t="inlineStr">
        <is>
          <t xml:space="preserve">21401194Q </t>
        </is>
      </c>
      <c r="H5" s="51" t="inlineStr">
        <is>
          <t xml:space="preserve">Codirector de tesis </t>
        </is>
      </c>
      <c r="I5" s="51" t="inlineStr">
        <is>
          <t xml:space="preserve">B151 </t>
        </is>
      </c>
      <c r="J5" s="51" t="inlineStr">
        <is>
          <t xml:space="preserve">INGENIERÍA QUÍMICA </t>
        </is>
      </c>
      <c r="K5" s="52" t="n">
        <v>0.5</v>
      </c>
      <c r="L5" s="52" t="inlineStr">
        <is>
          <t>B151</t>
        </is>
      </c>
      <c r="M5" s="53" t="n">
        <v>2019</v>
      </c>
      <c r="N5" s="51" t="inlineStr">
        <is>
          <t>10.09</t>
        </is>
      </c>
      <c r="O5" s="54" t="n">
        <v>65</v>
      </c>
      <c r="P5" s="51" t="inlineStr"/>
      <c r="Q5" s="54" t="n">
        <v>0</v>
      </c>
      <c r="R5" s="51" t="n">
        <v>35</v>
      </c>
      <c r="S5" s="51" t="n">
        <v>0.175</v>
      </c>
      <c r="T5" s="51" t="n">
        <v>0.325</v>
      </c>
      <c r="U5" s="51" t="n">
        <v>0</v>
      </c>
    </row>
    <row r="6">
      <c r="A6" s="51" t="inlineStr">
        <is>
          <t xml:space="preserve">U040 </t>
        </is>
      </c>
      <c r="B6" s="51" t="inlineStr">
        <is>
          <t xml:space="preserve">ADM. I.U. DE INGENIERÍA DE LOS PROCESOS QUÍMICOS </t>
        </is>
      </c>
      <c r="C6" s="51" t="inlineStr">
        <is>
          <t xml:space="preserve">DOCTORADO EN INGENIERÍA QUÍMICA </t>
        </is>
      </c>
      <c r="D6" s="51" t="inlineStr">
        <is>
          <t xml:space="preserve">Asensio Morant, Javier </t>
        </is>
      </c>
      <c r="E6" s="51" t="inlineStr">
        <is>
          <t xml:space="preserve">PIRÓLISIS TÉRMICA Y CATALÍTICA DE LA NICOTINA Y NNK Y NNN, DOS NITROSAMINAS ESPECÍFICAS DEL TABACO </t>
        </is>
      </c>
      <c r="F6" s="51" t="inlineStr">
        <is>
          <t xml:space="preserve">04/12/2020 </t>
        </is>
      </c>
      <c r="G6" s="51" t="inlineStr">
        <is>
          <t xml:space="preserve">22003811X </t>
        </is>
      </c>
      <c r="H6" s="51" t="inlineStr">
        <is>
          <t xml:space="preserve">Codirector de tesis </t>
        </is>
      </c>
      <c r="I6" s="51" t="inlineStr">
        <is>
          <t xml:space="preserve">B151 </t>
        </is>
      </c>
      <c r="J6" s="51" t="inlineStr">
        <is>
          <t xml:space="preserve">INGENIERÍA QUÍMICA </t>
        </is>
      </c>
      <c r="K6" s="52" t="n">
        <v>0.5</v>
      </c>
      <c r="L6" s="52" t="inlineStr">
        <is>
          <t>B151</t>
        </is>
      </c>
      <c r="M6" s="53" t="n">
        <v>2019</v>
      </c>
      <c r="N6" s="51" t="inlineStr">
        <is>
          <t>10.09</t>
        </is>
      </c>
      <c r="O6" s="54" t="n">
        <v>65</v>
      </c>
      <c r="P6" s="51" t="inlineStr"/>
      <c r="Q6" s="54" t="n">
        <v>0</v>
      </c>
      <c r="R6" s="51" t="n">
        <v>35</v>
      </c>
      <c r="S6" s="51" t="n">
        <v>0.175</v>
      </c>
      <c r="T6" s="51" t="n">
        <v>0.325</v>
      </c>
      <c r="U6" s="51" t="n">
        <v>0</v>
      </c>
    </row>
    <row r="7">
      <c r="A7" s="51" t="inlineStr">
        <is>
          <t xml:space="preserve">U040 </t>
        </is>
      </c>
      <c r="B7" s="51" t="inlineStr">
        <is>
          <t xml:space="preserve">ADM. I.U. DE INGENIERÍA DE LOS PROCESOS QUÍMICOS </t>
        </is>
      </c>
      <c r="C7" s="51" t="inlineStr">
        <is>
          <t xml:space="preserve">DOCTORADO EN INGENIERÍA QUÍMICA </t>
        </is>
      </c>
      <c r="D7" s="51" t="inlineStr">
        <is>
          <t xml:space="preserve">Vázquez Vázquez, Daniel </t>
        </is>
      </c>
      <c r="E7" s="51" t="inlineStr">
        <is>
          <t xml:space="preserve">Integrating and modeling multiple objectives in the design of chemical and industrial processes. </t>
        </is>
      </c>
      <c r="F7" s="51" t="inlineStr">
        <is>
          <t xml:space="preserve">23/10/2020 </t>
        </is>
      </c>
      <c r="G7" s="51" t="inlineStr">
        <is>
          <t xml:space="preserve">21511293Z </t>
        </is>
      </c>
      <c r="H7" s="51" t="inlineStr">
        <is>
          <t xml:space="preserve">Codirector de tesis </t>
        </is>
      </c>
      <c r="I7" s="51" t="inlineStr">
        <is>
          <t xml:space="preserve">B151 </t>
        </is>
      </c>
      <c r="J7" s="51" t="inlineStr">
        <is>
          <t xml:space="preserve">INGENIERÍA QUÍMICA </t>
        </is>
      </c>
      <c r="K7" s="52" t="n">
        <v>0.5</v>
      </c>
      <c r="L7" s="52" t="inlineStr">
        <is>
          <t>B151</t>
        </is>
      </c>
      <c r="M7" s="53" t="n">
        <v>2019</v>
      </c>
      <c r="N7" s="51" t="inlineStr">
        <is>
          <t>10.09</t>
        </is>
      </c>
      <c r="O7" s="54" t="n">
        <v>65</v>
      </c>
      <c r="P7" s="51" t="inlineStr"/>
      <c r="Q7" s="54" t="n">
        <v>0</v>
      </c>
      <c r="R7" s="51" t="n">
        <v>35</v>
      </c>
      <c r="S7" s="51" t="n">
        <v>0.175</v>
      </c>
      <c r="T7" s="51" t="n">
        <v>0.325</v>
      </c>
      <c r="U7" s="51" t="n">
        <v>0</v>
      </c>
    </row>
    <row r="8" ht="12" customHeight="1" thickBot="1">
      <c r="A8" s="51" t="inlineStr">
        <is>
          <t xml:space="preserve">U040 </t>
        </is>
      </c>
      <c r="B8" s="51" t="inlineStr">
        <is>
          <t xml:space="preserve">ADM. I.U. DE INGENIERÍA DE LOS PROCESOS QUÍMICOS </t>
        </is>
      </c>
      <c r="C8" s="51" t="inlineStr">
        <is>
          <t xml:space="preserve">DOCTORADO EN INGENIERÍA QUÍMICA </t>
        </is>
      </c>
      <c r="D8" s="51" t="inlineStr">
        <is>
          <t xml:space="preserve">Vázquez Vázquez, Daniel </t>
        </is>
      </c>
      <c r="E8" s="51" t="inlineStr">
        <is>
          <t xml:space="preserve">Integrating and modeling multiple objectives in the design of chemical and industrial processes. </t>
        </is>
      </c>
      <c r="F8" s="51" t="inlineStr">
        <is>
          <t xml:space="preserve">23/10/2020 </t>
        </is>
      </c>
      <c r="G8" s="51" t="inlineStr">
        <is>
          <t xml:space="preserve">21477495A </t>
        </is>
      </c>
      <c r="H8" s="51" t="inlineStr">
        <is>
          <t xml:space="preserve">Codirector de tesis </t>
        </is>
      </c>
      <c r="I8" s="51" t="inlineStr">
        <is>
          <t xml:space="preserve">B151 </t>
        </is>
      </c>
      <c r="J8" s="51" t="inlineStr">
        <is>
          <t xml:space="preserve">INGENIERÍA QUÍMICA </t>
        </is>
      </c>
      <c r="K8" s="52" t="n">
        <v>0.5</v>
      </c>
      <c r="L8" s="52" t="inlineStr">
        <is>
          <t>B151</t>
        </is>
      </c>
      <c r="M8" s="53" t="n">
        <v>2019</v>
      </c>
      <c r="N8" s="51" t="inlineStr">
        <is>
          <t>10.09</t>
        </is>
      </c>
      <c r="O8" s="54" t="n">
        <v>65</v>
      </c>
      <c r="P8" s="51" t="inlineStr"/>
      <c r="Q8" s="54" t="n">
        <v>0</v>
      </c>
      <c r="R8" s="51" t="n">
        <v>35</v>
      </c>
      <c r="S8" s="51" t="n">
        <v>0.175</v>
      </c>
      <c r="T8" s="51" t="n">
        <v>0.325</v>
      </c>
      <c r="U8" s="51" t="n">
        <v>0</v>
      </c>
    </row>
    <row r="9" ht="12" customHeight="1" thickBot="1">
      <c r="A9" s="16" t="inlineStr">
        <is>
          <t xml:space="preserve">U020 </t>
        </is>
      </c>
      <c r="B9" s="16" t="inlineStr">
        <is>
          <t xml:space="preserve">ADM. I.U. DEL AGUA Y DE LAS CIENCIAS AMBIENTALES </t>
        </is>
      </c>
      <c r="C9" s="16" t="inlineStr">
        <is>
          <t xml:space="preserve">DOCTORADO EN AGUA Y DESARROLLO SOSTENIBLE </t>
        </is>
      </c>
      <c r="D9" s="16" t="inlineStr">
        <is>
          <t xml:space="preserve">MORA CABRERA, KAREN VIVIANA </t>
        </is>
      </c>
      <c r="E9" s="16" t="inlineStr">
        <is>
          <t xml:space="preserve">Tratamiento de aguas residuales mediante UASB + eMBR para eliminación de productos farmacéuticos en aguas residuales urbanas </t>
        </is>
      </c>
      <c r="F9" s="16" t="inlineStr">
        <is>
          <t xml:space="preserve">15/09/2021 </t>
        </is>
      </c>
      <c r="G9" s="17" t="inlineStr">
        <is>
          <t xml:space="preserve">21943946Z </t>
        </is>
      </c>
      <c r="H9" s="18" t="inlineStr">
        <is>
          <t xml:space="preserve">Codirector de tesis </t>
        </is>
      </c>
      <c r="I9" s="18" t="inlineStr">
        <is>
          <t xml:space="preserve">B151 </t>
        </is>
      </c>
      <c r="J9" s="19" t="inlineStr">
        <is>
          <t xml:space="preserve">INGENIERÍA QUÍMICA </t>
        </is>
      </c>
      <c r="K9" s="52" t="n">
        <v>0.5</v>
      </c>
      <c r="L9" s="52" t="inlineStr">
        <is>
          <t>B151</t>
        </is>
      </c>
      <c r="M9" s="51" t="n">
        <v>2020</v>
      </c>
      <c r="N9" s="51" t="inlineStr">
        <is>
          <t>10.09</t>
        </is>
      </c>
      <c r="O9" s="54" t="n">
        <v>10</v>
      </c>
      <c r="P9" s="51" t="inlineStr">
        <is>
          <t>10.05</t>
        </is>
      </c>
      <c r="Q9" s="54" t="n">
        <v>80</v>
      </c>
      <c r="R9" s="51" t="n">
        <v>10</v>
      </c>
      <c r="S9" s="51" t="n">
        <v>0.05</v>
      </c>
      <c r="T9" s="51" t="n">
        <v>0.05</v>
      </c>
      <c r="U9" s="51" t="n">
        <v>0.4</v>
      </c>
    </row>
    <row r="10" ht="12" customHeight="1" thickBot="1">
      <c r="A10" s="16" t="inlineStr">
        <is>
          <t xml:space="preserve">U020 </t>
        </is>
      </c>
      <c r="B10" s="16" t="inlineStr">
        <is>
          <t xml:space="preserve">ADM. I.U. DEL AGUA Y DE LAS CIENCIAS AMBIENTALES </t>
        </is>
      </c>
      <c r="C10" s="16" t="inlineStr">
        <is>
          <t xml:space="preserve">DOCTORADO EN AGUA Y DESARROLLO SOSTENIBLE </t>
        </is>
      </c>
      <c r="D10" s="16" t="inlineStr">
        <is>
          <t xml:space="preserve">Jódar Abellán, Antonio </t>
        </is>
      </c>
      <c r="E10" s="16" t="inlineStr">
        <is>
          <t xml:space="preserve">Hydrological impacts of global change. Adaptation alternatives in complex water systems with water resources scarcity and severe natural risks (southeast of Spain) </t>
        </is>
      </c>
      <c r="F10" s="16" t="inlineStr">
        <is>
          <t xml:space="preserve">09/07/2021 </t>
        </is>
      </c>
      <c r="G10" s="17" t="inlineStr">
        <is>
          <t xml:space="preserve">21943946Z </t>
        </is>
      </c>
      <c r="H10" s="18" t="inlineStr">
        <is>
          <t xml:space="preserve">Codirector de tesis </t>
        </is>
      </c>
      <c r="I10" s="18" t="inlineStr">
        <is>
          <t xml:space="preserve">B151 </t>
        </is>
      </c>
      <c r="J10" s="19" t="inlineStr">
        <is>
          <t xml:space="preserve">INGENIERÍA QUÍMICA </t>
        </is>
      </c>
      <c r="K10" s="52" t="n">
        <v>0.3333333333333333</v>
      </c>
      <c r="L10" s="52" t="inlineStr">
        <is>
          <t>B151</t>
        </is>
      </c>
      <c r="M10" s="51" t="n">
        <v>2020</v>
      </c>
      <c r="N10" s="51" t="inlineStr">
        <is>
          <t>10.09</t>
        </is>
      </c>
      <c r="O10" s="54" t="n">
        <v>10</v>
      </c>
      <c r="P10" s="51" t="inlineStr">
        <is>
          <t>10.05</t>
        </is>
      </c>
      <c r="Q10" s="54" t="n">
        <v>80</v>
      </c>
      <c r="R10" s="51" t="n">
        <v>10</v>
      </c>
      <c r="S10" s="51" t="n">
        <v>0.03333333333333333</v>
      </c>
      <c r="T10" s="51" t="n">
        <v>0.03333333333333333</v>
      </c>
      <c r="U10" s="51" t="n">
        <v>0.2666666666666667</v>
      </c>
    </row>
    <row r="11" ht="12" customHeight="1" thickBot="1">
      <c r="A11" s="16" t="inlineStr">
        <is>
          <t xml:space="preserve">U040 </t>
        </is>
      </c>
      <c r="B11" s="16" t="inlineStr">
        <is>
          <t xml:space="preserve">ADM. I.U. DE INGENIERÍA DE LOS PROCESOS QUÍMICOS </t>
        </is>
      </c>
      <c r="C11" s="16" t="inlineStr">
        <is>
          <t xml:space="preserve">DOCTORADO EN INGENIERÍA QUÍMICA </t>
        </is>
      </c>
      <c r="D11" s="16" t="inlineStr">
        <is>
          <t xml:space="preserve">Domene López, Daniel </t>
        </is>
      </c>
      <c r="E11" s="16" t="inlineStr">
        <is>
          <t xml:space="preserve">ALMIDÓN TERMOPLÁSTICO PARA EL DISEÑO DE APLICACIONES MEDIOAMBIENTALES SOSTENIBLES </t>
        </is>
      </c>
      <c r="F11" s="16" t="inlineStr">
        <is>
          <t xml:space="preserve">21/12/2020 </t>
        </is>
      </c>
      <c r="G11" s="17" t="inlineStr">
        <is>
          <t xml:space="preserve">21462400L </t>
        </is>
      </c>
      <c r="H11" s="18" t="inlineStr">
        <is>
          <t xml:space="preserve">Codirector de tesis </t>
        </is>
      </c>
      <c r="I11" s="18" t="inlineStr">
        <is>
          <t xml:space="preserve">B151 </t>
        </is>
      </c>
      <c r="J11" s="19" t="inlineStr">
        <is>
          <t xml:space="preserve">INGENIERÍA QUÍMICA </t>
        </is>
      </c>
      <c r="K11" s="52" t="n">
        <v>0.5</v>
      </c>
      <c r="L11" s="52" t="inlineStr">
        <is>
          <t>B151</t>
        </is>
      </c>
      <c r="M11" s="51" t="n">
        <v>2020</v>
      </c>
      <c r="N11" s="51" t="inlineStr">
        <is>
          <t>10.09</t>
        </is>
      </c>
      <c r="O11" s="54" t="n">
        <v>65</v>
      </c>
      <c r="P11" s="51" t="inlineStr"/>
      <c r="Q11" s="54" t="n">
        <v>0</v>
      </c>
      <c r="R11" s="51" t="n">
        <v>35</v>
      </c>
      <c r="S11" s="51" t="n">
        <v>0.175</v>
      </c>
      <c r="T11" s="51" t="n">
        <v>0.325</v>
      </c>
      <c r="U11" s="51" t="n">
        <v>0</v>
      </c>
    </row>
    <row r="12" ht="12" customHeight="1" thickBot="1">
      <c r="A12" s="16" t="inlineStr">
        <is>
          <t xml:space="preserve">U040 </t>
        </is>
      </c>
      <c r="B12" s="16" t="inlineStr">
        <is>
          <t xml:space="preserve">ADM. I.U. DE INGENIERÍA DE LOS PROCESOS QUÍMICOS </t>
        </is>
      </c>
      <c r="C12" s="16" t="inlineStr">
        <is>
          <t xml:space="preserve">DOCTORADO EN INGENIERÍA QUÍMICA </t>
        </is>
      </c>
      <c r="D12" s="16" t="inlineStr">
        <is>
          <t xml:space="preserve">Domene López, Daniel </t>
        </is>
      </c>
      <c r="E12" s="16" t="inlineStr">
        <is>
          <t xml:space="preserve">ALMIDÓN TERMOPLÁSTICO PARA EL DISEÑO DE APLICACIONES MEDIOAMBIENTALES SOSTENIBLES </t>
        </is>
      </c>
      <c r="F12" s="16" t="inlineStr">
        <is>
          <t xml:space="preserve">21/12/2020 </t>
        </is>
      </c>
      <c r="G12" s="17" t="inlineStr">
        <is>
          <t xml:space="preserve">21494722A </t>
        </is>
      </c>
      <c r="H12" s="18" t="inlineStr">
        <is>
          <t xml:space="preserve">Codirector de tesis </t>
        </is>
      </c>
      <c r="I12" s="18" t="inlineStr">
        <is>
          <t xml:space="preserve">B151 </t>
        </is>
      </c>
      <c r="J12" s="19" t="inlineStr">
        <is>
          <t xml:space="preserve">INGENIERÍA QUÍMICA </t>
        </is>
      </c>
      <c r="K12" s="52" t="n">
        <v>0.5</v>
      </c>
      <c r="L12" s="52" t="inlineStr">
        <is>
          <t>B151</t>
        </is>
      </c>
      <c r="M12" s="51" t="n">
        <v>2020</v>
      </c>
      <c r="N12" s="51" t="inlineStr">
        <is>
          <t>10.09</t>
        </is>
      </c>
      <c r="O12" s="54" t="n">
        <v>65</v>
      </c>
      <c r="P12" s="51" t="inlineStr"/>
      <c r="Q12" s="54" t="n">
        <v>0</v>
      </c>
      <c r="R12" s="51" t="n">
        <v>35</v>
      </c>
      <c r="S12" s="51" t="n">
        <v>0.175</v>
      </c>
      <c r="T12" s="51" t="n">
        <v>0.325</v>
      </c>
      <c r="U12" s="51" t="n">
        <v>0</v>
      </c>
    </row>
    <row r="13">
      <c r="A13" s="51" t="inlineStr">
        <is>
          <t xml:space="preserve">B151 </t>
        </is>
      </c>
      <c r="B13" s="51" t="inlineStr">
        <is>
          <t xml:space="preserve">INGENIERÍA QUÍMICA </t>
        </is>
      </c>
      <c r="C13" s="51" t="inlineStr">
        <is>
          <t xml:space="preserve">DOCTORADO EN INGENIERÍA QUÍMICA </t>
        </is>
      </c>
      <c r="D13" s="51" t="inlineStr">
        <is>
          <t xml:space="preserve">Londoño Larrea, Pablo Andrés </t>
        </is>
      </c>
      <c r="E13" s="51" t="inlineStr">
        <is>
          <t xml:space="preserve">Obtención y caracterización del biocarbón de cáscara de cacao y su aplicación como enmienda al suelo </t>
        </is>
      </c>
      <c r="F13" s="51" t="inlineStr">
        <is>
          <t xml:space="preserve">25/05/2022 </t>
        </is>
      </c>
      <c r="G13" s="51" t="inlineStr">
        <is>
          <t xml:space="preserve">21401194Q </t>
        </is>
      </c>
      <c r="H13" s="51" t="inlineStr">
        <is>
          <t xml:space="preserve">Codirector de tesis </t>
        </is>
      </c>
      <c r="I13" s="51" t="inlineStr">
        <is>
          <t xml:space="preserve">B151 </t>
        </is>
      </c>
      <c r="J13" s="51" t="inlineStr">
        <is>
          <t xml:space="preserve">INGENIERÍA QUÍMICA </t>
        </is>
      </c>
      <c r="K13" s="52" t="n">
        <v>0.5</v>
      </c>
      <c r="L13" s="52" t="inlineStr">
        <is>
          <t>B151</t>
        </is>
      </c>
      <c r="M13" s="51" t="n">
        <v>2021</v>
      </c>
      <c r="N13" s="51" t="inlineStr">
        <is>
          <t>10.09</t>
        </is>
      </c>
      <c r="O13" s="54" t="n">
        <v>65</v>
      </c>
      <c r="P13" s="51" t="inlineStr"/>
      <c r="Q13" s="54" t="n">
        <v>0</v>
      </c>
      <c r="R13" s="51" t="n">
        <v>35</v>
      </c>
      <c r="S13" s="51" t="n">
        <v>0.175</v>
      </c>
      <c r="T13" s="51" t="n">
        <v>0.325</v>
      </c>
      <c r="U13" s="51" t="n">
        <v>0</v>
      </c>
    </row>
    <row r="14">
      <c r="A14" s="51" t="inlineStr">
        <is>
          <t xml:space="preserve">B151 </t>
        </is>
      </c>
      <c r="B14" s="51" t="inlineStr">
        <is>
          <t xml:space="preserve">INGENIERÍA QUÍMICA </t>
        </is>
      </c>
      <c r="C14" s="51" t="inlineStr">
        <is>
          <t xml:space="preserve">DOCTORADO EN INGENIERÍA QUÍMICA </t>
        </is>
      </c>
      <c r="D14" s="51" t="inlineStr">
        <is>
          <t xml:space="preserve">Londoño Larrea, Pablo Andrés </t>
        </is>
      </c>
      <c r="E14" s="51" t="inlineStr">
        <is>
          <t xml:space="preserve">Obtención y caracterización del biocarbón de cáscara de cacao y su aplicación como enmienda al suelo </t>
        </is>
      </c>
      <c r="F14" s="51" t="inlineStr">
        <is>
          <t xml:space="preserve">25/05/2022 </t>
        </is>
      </c>
      <c r="G14" s="51" t="inlineStr">
        <is>
          <t xml:space="preserve">21470517V </t>
        </is>
      </c>
      <c r="H14" s="51" t="inlineStr">
        <is>
          <t xml:space="preserve">Codirector de tesis </t>
        </is>
      </c>
      <c r="I14" s="51" t="inlineStr">
        <is>
          <t xml:space="preserve">B151 </t>
        </is>
      </c>
      <c r="J14" s="51" t="inlineStr">
        <is>
          <t xml:space="preserve">INGENIERÍA QUÍMICA </t>
        </is>
      </c>
      <c r="K14" s="52" t="n">
        <v>0.5</v>
      </c>
      <c r="L14" s="52" t="inlineStr">
        <is>
          <t>B151</t>
        </is>
      </c>
      <c r="M14" s="51" t="n">
        <v>2021</v>
      </c>
      <c r="N14" s="51" t="inlineStr">
        <is>
          <t>10.09</t>
        </is>
      </c>
      <c r="O14" s="54" t="n">
        <v>65</v>
      </c>
      <c r="P14" s="51" t="inlineStr"/>
      <c r="Q14" s="54" t="n">
        <v>0</v>
      </c>
      <c r="R14" s="51" t="n">
        <v>35</v>
      </c>
      <c r="S14" s="51" t="n">
        <v>0.175</v>
      </c>
      <c r="T14" s="51" t="n">
        <v>0.325</v>
      </c>
      <c r="U14" s="51" t="n">
        <v>0</v>
      </c>
    </row>
    <row r="15">
      <c r="A15" s="51" t="inlineStr">
        <is>
          <t xml:space="preserve">U020 </t>
        </is>
      </c>
      <c r="B15" s="51" t="inlineStr">
        <is>
          <t xml:space="preserve">ADM. I.U. DEL AGUA Y DE LAS CIENCIAS AMBIENTALES </t>
        </is>
      </c>
      <c r="C15" s="51" t="inlineStr">
        <is>
          <t xml:space="preserve">DOCTORADO EN AGUA Y DESARROLLO SOSTENIBLE </t>
        </is>
      </c>
      <c r="D15" s="51" t="inlineStr">
        <is>
          <t xml:space="preserve">Aldeguer Esquerdo, Alejandro </t>
        </is>
      </c>
      <c r="E15" s="51" t="inlineStr">
        <is>
          <t xml:space="preserve">Tratamientos combinados mediante carbón activado y ozono para reducir la presencia de atrazina, simazina, carbamazepina y diclofenaco en medio acuoso. </t>
        </is>
      </c>
      <c r="F15" s="51" t="inlineStr">
        <is>
          <t xml:space="preserve">27/05/2022 </t>
        </is>
      </c>
      <c r="G15" s="51" t="inlineStr">
        <is>
          <t xml:space="preserve">21407034Z </t>
        </is>
      </c>
      <c r="H15" s="51" t="inlineStr">
        <is>
          <t xml:space="preserve">Codirector de tesis </t>
        </is>
      </c>
      <c r="I15" s="51" t="inlineStr">
        <is>
          <t xml:space="preserve">B151 </t>
        </is>
      </c>
      <c r="J15" s="51" t="inlineStr">
        <is>
          <t xml:space="preserve">INGENIERÍA QUÍMICA </t>
        </is>
      </c>
      <c r="K15" s="52" t="n">
        <v>0.5</v>
      </c>
      <c r="L15" s="52" t="inlineStr">
        <is>
          <t>B151</t>
        </is>
      </c>
      <c r="M15" s="51" t="n">
        <v>2021</v>
      </c>
      <c r="N15" s="51" t="inlineStr">
        <is>
          <t>10.05</t>
        </is>
      </c>
      <c r="O15" s="54" t="n">
        <v>45</v>
      </c>
      <c r="P15" s="51" t="inlineStr">
        <is>
          <t>10.09</t>
        </is>
      </c>
      <c r="Q15" s="54" t="n">
        <v>45</v>
      </c>
      <c r="R15" s="51" t="n">
        <v>10</v>
      </c>
      <c r="S15" s="51" t="n">
        <v>0.05</v>
      </c>
      <c r="T15" s="51" t="n">
        <v>0.225</v>
      </c>
      <c r="U15" s="51" t="n">
        <v>0.225</v>
      </c>
    </row>
    <row r="16">
      <c r="A16" s="51" t="inlineStr">
        <is>
          <t xml:space="preserve">U040 </t>
        </is>
      </c>
      <c r="B16" s="51" t="inlineStr">
        <is>
          <t xml:space="preserve">ADM. I.U. DE INGENIERÍA DE LOS PROCESOS QUÍMICOS </t>
        </is>
      </c>
      <c r="C16" s="51" t="inlineStr">
        <is>
          <t xml:space="preserve">DOCTORADO EN INGENIERÍA QUÍMICA </t>
        </is>
      </c>
      <c r="D16" s="51" t="inlineStr">
        <is>
          <t xml:space="preserve">Calabuig Belda, Emilio </t>
        </is>
      </c>
      <c r="E16" s="51" t="inlineStr">
        <is>
          <t xml:space="preserve">"Pirólisis y descomposición del tabaco, efectos del uso catalizadores mesoporosos SBA-15" </t>
        </is>
      </c>
      <c r="F16" s="51" t="inlineStr">
        <is>
          <t xml:space="preserve">17/12/2021 </t>
        </is>
      </c>
      <c r="G16" s="51" t="inlineStr">
        <is>
          <t xml:space="preserve">21401194Q </t>
        </is>
      </c>
      <c r="H16" s="51" t="inlineStr">
        <is>
          <t xml:space="preserve">Codirector de tesis </t>
        </is>
      </c>
      <c r="I16" s="51" t="inlineStr">
        <is>
          <t xml:space="preserve">B151 </t>
        </is>
      </c>
      <c r="J16" s="51" t="inlineStr">
        <is>
          <t xml:space="preserve">INGENIERÍA QUÍMICA </t>
        </is>
      </c>
      <c r="K16" s="52" t="n">
        <v>0.5</v>
      </c>
      <c r="L16" s="52" t="inlineStr">
        <is>
          <t>B151</t>
        </is>
      </c>
      <c r="M16" s="51" t="n">
        <v>2021</v>
      </c>
      <c r="N16" s="51" t="inlineStr">
        <is>
          <t>10.09</t>
        </is>
      </c>
      <c r="O16" s="54" t="n">
        <v>65</v>
      </c>
      <c r="P16" s="51" t="inlineStr"/>
      <c r="Q16" s="54" t="n">
        <v>0</v>
      </c>
      <c r="R16" s="51" t="n">
        <v>35</v>
      </c>
      <c r="S16" s="51" t="n">
        <v>0.175</v>
      </c>
      <c r="T16" s="51" t="n">
        <v>0.325</v>
      </c>
      <c r="U16" s="51" t="n">
        <v>0</v>
      </c>
    </row>
    <row r="17">
      <c r="A17" s="51" t="inlineStr">
        <is>
          <t xml:space="preserve">U040 </t>
        </is>
      </c>
      <c r="B17" s="51" t="inlineStr">
        <is>
          <t xml:space="preserve">ADM. I.U. DE INGENIERÍA DE LOS PROCESOS QUÍMICOS </t>
        </is>
      </c>
      <c r="C17" s="51" t="inlineStr">
        <is>
          <t xml:space="preserve">DOCTORADO EN INGENIERÍA QUÍMICA </t>
        </is>
      </c>
      <c r="D17" s="51" t="inlineStr">
        <is>
          <t xml:space="preserve">Calabuig Belda, Emilio </t>
        </is>
      </c>
      <c r="E17" s="51" t="inlineStr">
        <is>
          <t xml:space="preserve">"Pirólisis y descomposición del tabaco, efectos del uso catalizadores mesoporosos SBA-15" </t>
        </is>
      </c>
      <c r="F17" s="51" t="inlineStr">
        <is>
          <t xml:space="preserve">17/12/2021 </t>
        </is>
      </c>
      <c r="G17" s="51" t="inlineStr">
        <is>
          <t xml:space="preserve">22003811X </t>
        </is>
      </c>
      <c r="H17" s="51" t="inlineStr">
        <is>
          <t xml:space="preserve">Codirector de tesis </t>
        </is>
      </c>
      <c r="I17" s="51" t="inlineStr">
        <is>
          <t xml:space="preserve">B151 </t>
        </is>
      </c>
      <c r="J17" s="51" t="inlineStr">
        <is>
          <t xml:space="preserve">INGENIERÍA QUÍMICA </t>
        </is>
      </c>
      <c r="K17" s="52" t="n">
        <v>0.5</v>
      </c>
      <c r="L17" s="52" t="inlineStr">
        <is>
          <t>B151</t>
        </is>
      </c>
      <c r="M17" s="51" t="n">
        <v>2021</v>
      </c>
      <c r="N17" s="51" t="inlineStr">
        <is>
          <t>10.09</t>
        </is>
      </c>
      <c r="O17" s="54" t="n">
        <v>65</v>
      </c>
      <c r="P17" s="51" t="inlineStr"/>
      <c r="Q17" s="54" t="n">
        <v>0</v>
      </c>
      <c r="R17" s="51" t="n">
        <v>35</v>
      </c>
      <c r="S17" s="51" t="n">
        <v>0.175</v>
      </c>
      <c r="T17" s="51" t="n">
        <v>0.325</v>
      </c>
      <c r="U17" s="51" t="n">
        <v>0</v>
      </c>
    </row>
    <row r="18">
      <c r="A18" s="51" t="inlineStr">
        <is>
          <t xml:space="preserve">U040 </t>
        </is>
      </c>
      <c r="B18" s="51" t="inlineStr">
        <is>
          <t xml:space="preserve">I.U. DE INGENIERÍA DE LOS PROCESOS QUÍMICOS (10.09) </t>
        </is>
      </c>
      <c r="C18" s="51" t="inlineStr">
        <is>
          <t xml:space="preserve">DOCTORADO EN INGENIERÍA QUÍMICA </t>
        </is>
      </c>
      <c r="D18" s="51" t="inlineStr">
        <is>
          <t xml:space="preserve">Cabanes Gil, Andrea </t>
        </is>
      </c>
      <c r="E18" s="51" t="inlineStr">
        <is>
          <t xml:space="preserve">Upcycling of post-consumer plastic waste: identification and mitigation of vocs in post-consumer polyolefins </t>
        </is>
      </c>
      <c r="F18" s="51" t="inlineStr">
        <is>
          <t xml:space="preserve">19/09/2022 </t>
        </is>
      </c>
      <c r="G18" s="51" t="inlineStr">
        <is>
          <t xml:space="preserve">73768475T </t>
        </is>
      </c>
      <c r="H18" s="51" t="inlineStr">
        <is>
          <t xml:space="preserve">Director de tesis </t>
        </is>
      </c>
      <c r="I18" s="51" t="inlineStr">
        <is>
          <t xml:space="preserve">B151 </t>
        </is>
      </c>
      <c r="J18" s="51" t="inlineStr">
        <is>
          <t xml:space="preserve">INGENIERÍA QUÍMICA </t>
        </is>
      </c>
      <c r="K18" s="20" t="n">
        <v>1</v>
      </c>
      <c r="L18" s="20" t="inlineStr">
        <is>
          <t>B151</t>
        </is>
      </c>
      <c r="M18" s="51" t="n">
        <v>2021</v>
      </c>
      <c r="N18" s="20" t="inlineStr">
        <is>
          <t>10.05</t>
        </is>
      </c>
      <c r="O18" s="20" t="n">
        <v>10</v>
      </c>
      <c r="P18" s="20" t="inlineStr">
        <is>
          <t>10.09</t>
        </is>
      </c>
      <c r="Q18" s="20" t="n">
        <v>55</v>
      </c>
      <c r="R18" s="20" t="n">
        <v>35</v>
      </c>
      <c r="S18" s="20" t="n">
        <v>0.35</v>
      </c>
      <c r="T18" s="20" t="n">
        <v>0.1</v>
      </c>
      <c r="U18" s="20" t="n">
        <v>0.55</v>
      </c>
    </row>
    <row r="19">
      <c r="A19" s="51" t="inlineStr">
        <is>
          <t xml:space="preserve">B151 </t>
        </is>
      </c>
      <c r="B19" s="51" t="inlineStr">
        <is>
          <t xml:space="preserve">INGENIERÍA QUÍMICA </t>
        </is>
      </c>
      <c r="C19" s="51" t="inlineStr">
        <is>
          <t xml:space="preserve">DOCTORADO EN INGENIERÍA QUÍMICA </t>
        </is>
      </c>
      <c r="D19" s="51" t="inlineStr">
        <is>
          <t xml:space="preserve">Gandon Ros, Gerard </t>
        </is>
      </c>
      <c r="E19" s="51" t="inlineStr">
        <is>
          <t xml:space="preserve">Mejora de la viabilidad industrial de procesos que mitigan la contaminación originada al valorizar residuos de aparatos eléctricos y electrónicos: simbiosis con los pilares del desarrollo sostenible </t>
        </is>
      </c>
      <c r="F19" s="51" t="inlineStr">
        <is>
          <t xml:space="preserve">23/09/2022 </t>
        </is>
      </c>
      <c r="G19" s="51" t="inlineStr">
        <is>
          <t xml:space="preserve">48317347M </t>
        </is>
      </c>
      <c r="H19" s="51" t="inlineStr">
        <is>
          <t xml:space="preserve">Codirector de tesis </t>
        </is>
      </c>
      <c r="I19" s="51" t="inlineStr">
        <is>
          <t xml:space="preserve">B151 </t>
        </is>
      </c>
      <c r="J19" s="51" t="inlineStr">
        <is>
          <t xml:space="preserve">INGENIERÍA QUÍMICA </t>
        </is>
      </c>
      <c r="K19" s="20" t="n">
        <v>0.5</v>
      </c>
      <c r="L19" s="20" t="inlineStr">
        <is>
          <t>B151</t>
        </is>
      </c>
      <c r="M19" s="51" t="n">
        <v>2021</v>
      </c>
      <c r="N19" s="20" t="inlineStr">
        <is>
          <t>10.05</t>
        </is>
      </c>
      <c r="O19" s="20" t="n">
        <v>10</v>
      </c>
      <c r="P19" s="20" t="inlineStr">
        <is>
          <t>10.09</t>
        </is>
      </c>
      <c r="Q19" s="20" t="n">
        <v>65</v>
      </c>
      <c r="R19" s="20" t="n">
        <v>25</v>
      </c>
      <c r="S19" s="20" t="n">
        <v>0.125</v>
      </c>
      <c r="T19" s="20" t="n">
        <v>0.05</v>
      </c>
      <c r="U19" s="20" t="n">
        <v>0.325</v>
      </c>
    </row>
    <row r="20">
      <c r="A20" s="51" t="inlineStr">
        <is>
          <t xml:space="preserve">B151 </t>
        </is>
      </c>
      <c r="B20" s="51" t="inlineStr">
        <is>
          <t xml:space="preserve">INGENIERÍA QUÍMICA </t>
        </is>
      </c>
      <c r="C20" s="51" t="inlineStr">
        <is>
          <t xml:space="preserve">DOCTORADO EN INGENIERÍA QUÍMICA </t>
        </is>
      </c>
      <c r="D20" s="51" t="inlineStr">
        <is>
          <t xml:space="preserve">Gandon Ros, Gerard </t>
        </is>
      </c>
      <c r="E20" s="51" t="inlineStr">
        <is>
          <t xml:space="preserve">Mejora de la viabilidad industrial de procesos que mitigan la contaminación originada al valorizar residuos de aparatos eléctricos y electrónicos: simbiosis con los pilares del desarrollo sostenible </t>
        </is>
      </c>
      <c r="F20" s="51" t="inlineStr">
        <is>
          <t xml:space="preserve">23/09/2022 </t>
        </is>
      </c>
      <c r="G20" s="51" t="inlineStr">
        <is>
          <t xml:space="preserve">48352073R </t>
        </is>
      </c>
      <c r="H20" s="51" t="inlineStr">
        <is>
          <t xml:space="preserve">Codirector de tesis </t>
        </is>
      </c>
      <c r="I20" s="51" t="inlineStr">
        <is>
          <t xml:space="preserve">B151 </t>
        </is>
      </c>
      <c r="J20" s="51" t="inlineStr">
        <is>
          <t xml:space="preserve">INGENIERÍA QUÍMICA </t>
        </is>
      </c>
      <c r="K20" s="20" t="n">
        <v>0.5</v>
      </c>
      <c r="L20" s="20" t="inlineStr">
        <is>
          <t>B151</t>
        </is>
      </c>
      <c r="M20" s="51" t="n">
        <v>2021</v>
      </c>
      <c r="N20" s="20" t="inlineStr">
        <is>
          <t>10.09</t>
        </is>
      </c>
      <c r="O20" s="20" t="n">
        <v>65</v>
      </c>
      <c r="P20" s="20" t="inlineStr"/>
      <c r="Q20" s="20" t="n">
        <v>0</v>
      </c>
      <c r="R20" s="20" t="n">
        <v>35</v>
      </c>
      <c r="S20" s="20" t="n">
        <v>0.175</v>
      </c>
      <c r="T20" s="20" t="n">
        <v>0.325</v>
      </c>
      <c r="U20" s="20" t="n">
        <v>0</v>
      </c>
    </row>
    <row r="21">
      <c r="A21" s="51" t="inlineStr">
        <is>
          <t xml:space="preserve">B151 </t>
        </is>
      </c>
      <c r="B21" s="51" t="inlineStr">
        <is>
          <t xml:space="preserve">INGENIERÍA QUÍMICA </t>
        </is>
      </c>
      <c r="C21" s="51" t="inlineStr">
        <is>
          <t xml:space="preserve">DOCTORADO EN INGENIERÍA QUÍMICA </t>
        </is>
      </c>
      <c r="D21" s="51" t="inlineStr">
        <is>
          <t xml:space="preserve">Medina Romo, Sergio </t>
        </is>
      </c>
      <c r="E21" s="51" t="inlineStr">
        <is>
          <t xml:space="preserve">PRODUCCIÓN DE BIOCARBÓN POR PIRÓLISIS LENTA A PARTIR DE BIOMASA RESIDUAL DE PRODUCTIVIDAD DE LOS MISMOS INVERNADEROS URBANOS Y SU APLICACIÓN EN LA MEJORA DE LA </t>
        </is>
      </c>
      <c r="F21" s="51" t="inlineStr">
        <is>
          <t xml:space="preserve">27/06/2023 </t>
        </is>
      </c>
      <c r="G21" s="51" t="inlineStr">
        <is>
          <t xml:space="preserve">21401194Q </t>
        </is>
      </c>
      <c r="H21" s="51" t="inlineStr">
        <is>
          <t xml:space="preserve">Codirector de tesis </t>
        </is>
      </c>
      <c r="I21" s="51" t="inlineStr">
        <is>
          <t xml:space="preserve">B151 </t>
        </is>
      </c>
      <c r="J21" s="51" t="inlineStr">
        <is>
          <t xml:space="preserve">INGENIERÍA QUÍMICA </t>
        </is>
      </c>
      <c r="K21" s="20" t="n">
        <v>0.33</v>
      </c>
      <c r="L21" s="20" t="inlineStr">
        <is>
          <t>B151</t>
        </is>
      </c>
      <c r="M21" s="51" t="n">
        <v>2022</v>
      </c>
      <c r="N21" s="20" t="inlineStr">
        <is>
          <t>10.09</t>
        </is>
      </c>
      <c r="O21" s="20" t="n">
        <v>65</v>
      </c>
      <c r="P21" s="20" t="inlineStr"/>
      <c r="Q21" s="20" t="n">
        <v>0</v>
      </c>
      <c r="R21" s="20" t="n">
        <v>35</v>
      </c>
      <c r="S21" s="20" t="n">
        <v>0.1155</v>
      </c>
      <c r="T21" s="20" t="n">
        <v>0.2145</v>
      </c>
      <c r="U21" s="20" t="n">
        <v>0</v>
      </c>
    </row>
    <row r="22">
      <c r="A22" s="51" t="inlineStr">
        <is>
          <t xml:space="preserve">B151 </t>
        </is>
      </c>
      <c r="B22" s="51" t="inlineStr">
        <is>
          <t xml:space="preserve">INGENIERÍA QUÍMICA </t>
        </is>
      </c>
      <c r="C22" s="51" t="inlineStr">
        <is>
          <t xml:space="preserve">DOCTORADO EN INGENIERÍA QUÍMICA </t>
        </is>
      </c>
      <c r="D22" s="51" t="inlineStr">
        <is>
          <t xml:space="preserve">Medina Romo, Sergio </t>
        </is>
      </c>
      <c r="E22" s="51" t="inlineStr">
        <is>
          <t xml:space="preserve">PRODUCCIÓN DE BIOCARBÓN POR PIRÓLISIS LENTA A PARTIR DE BIOMASA RESIDUAL DE PRODUCTIVIDAD DE LOS MISMOS INVERNADEROS URBANOS Y SU APLICACIÓN EN LA MEJORA DE LA </t>
        </is>
      </c>
      <c r="F22" s="51" t="inlineStr">
        <is>
          <t xml:space="preserve">27/06/2023 </t>
        </is>
      </c>
      <c r="G22" s="51" t="inlineStr">
        <is>
          <t xml:space="preserve">21470517V </t>
        </is>
      </c>
      <c r="H22" s="51" t="inlineStr">
        <is>
          <t xml:space="preserve">Codirector de tesis </t>
        </is>
      </c>
      <c r="I22" s="51" t="inlineStr">
        <is>
          <t xml:space="preserve">B151 </t>
        </is>
      </c>
      <c r="J22" s="51" t="inlineStr">
        <is>
          <t xml:space="preserve">INGENIERÍA QUÍMICA </t>
        </is>
      </c>
      <c r="K22" s="20" t="n">
        <v>0.33</v>
      </c>
      <c r="L22" s="20" t="inlineStr">
        <is>
          <t>B151</t>
        </is>
      </c>
      <c r="M22" s="51" t="n">
        <v>2022</v>
      </c>
      <c r="N22" s="20" t="inlineStr">
        <is>
          <t>10.09</t>
        </is>
      </c>
      <c r="O22" s="20" t="n">
        <v>65</v>
      </c>
      <c r="P22" s="20" t="inlineStr"/>
      <c r="Q22" s="20" t="n">
        <v>0</v>
      </c>
      <c r="R22" s="20" t="n">
        <v>35</v>
      </c>
      <c r="S22" s="20" t="n">
        <v>0.1155</v>
      </c>
      <c r="T22" s="20" t="n">
        <v>0.2145</v>
      </c>
      <c r="U22" s="20" t="n">
        <v>0</v>
      </c>
    </row>
    <row r="23">
      <c r="A23" s="51" t="inlineStr">
        <is>
          <t xml:space="preserve">B151 </t>
        </is>
      </c>
      <c r="B23" s="51" t="inlineStr">
        <is>
          <t xml:space="preserve">INGENIERÍA QUÍMICA </t>
        </is>
      </c>
      <c r="C23" s="51" t="inlineStr">
        <is>
          <t xml:space="preserve">DOCTORADO EN INGENIERÍA QUÍMICA </t>
        </is>
      </c>
      <c r="D23" s="51" t="inlineStr">
        <is>
          <t xml:space="preserve">Medina Romo, Sergio </t>
        </is>
      </c>
      <c r="E23" s="51" t="inlineStr">
        <is>
          <t xml:space="preserve">PRODUCCIÓN DE BIOCARBÓN POR PIRÓLISIS LENTA A PARTIR DE BIOMASA RESIDUAL DE PRODUCTIVIDAD DE LOS MISMOS INVERNADEROS URBANOS Y SU APLICACIÓN EN LA MEJORA DE LA </t>
        </is>
      </c>
      <c r="F23" s="51" t="inlineStr">
        <is>
          <t xml:space="preserve">27/06/2023 </t>
        </is>
      </c>
      <c r="G23" s="51" t="inlineStr">
        <is>
          <t xml:space="preserve">- </t>
        </is>
      </c>
      <c r="H23" s="51" t="inlineStr">
        <is>
          <t xml:space="preserve">Codirector de tesis </t>
        </is>
      </c>
      <c r="I23" s="51" t="inlineStr">
        <is>
          <t xml:space="preserve">B151 </t>
        </is>
      </c>
      <c r="J23" s="51" t="inlineStr">
        <is>
          <t xml:space="preserve">INGENIERÍA QUÍMICA </t>
        </is>
      </c>
      <c r="K23" s="20" t="n">
        <v>0.33</v>
      </c>
      <c r="L23" s="20" t="inlineStr">
        <is>
          <t>B151</t>
        </is>
      </c>
      <c r="M23" s="51" t="n">
        <v>2022</v>
      </c>
      <c r="N23" s="20" t="inlineStr"/>
      <c r="O23" s="20" t="inlineStr"/>
      <c r="P23" s="20" t="inlineStr"/>
      <c r="Q23" s="20" t="inlineStr"/>
      <c r="R23" s="20" t="n">
        <v>100</v>
      </c>
      <c r="S23" s="20" t="n">
        <v>0.33</v>
      </c>
      <c r="T23" s="20" t="n">
        <v>0</v>
      </c>
      <c r="U23" s="20" t="n">
        <v>0</v>
      </c>
    </row>
    <row r="24">
      <c r="A24" s="51" t="inlineStr">
        <is>
          <t xml:space="preserve">B151 </t>
        </is>
      </c>
      <c r="B24" s="51" t="inlineStr">
        <is>
          <t xml:space="preserve">INGENIERÍA QUÍMICA </t>
        </is>
      </c>
      <c r="C24" s="51" t="inlineStr">
        <is>
          <t xml:space="preserve">DOCTORADO EN INGENIERÍA QUÍMICA </t>
        </is>
      </c>
      <c r="D24" s="51" t="inlineStr">
        <is>
          <t xml:space="preserve">Díaz Basantes, Milene Fernanda </t>
        </is>
      </c>
      <c r="E24" s="51" t="inlineStr">
        <is>
          <t xml:space="preserve">MICROPLÁSTICOS EN ALIMENTOS </t>
        </is>
      </c>
      <c r="F24" s="51" t="inlineStr">
        <is>
          <t xml:space="preserve">18/11/2022 </t>
        </is>
      </c>
      <c r="G24" s="51" t="inlineStr">
        <is>
          <t xml:space="preserve">22006135B </t>
        </is>
      </c>
      <c r="H24" s="51" t="inlineStr">
        <is>
          <t xml:space="preserve">Codirector de tesis </t>
        </is>
      </c>
      <c r="I24" s="51" t="inlineStr">
        <is>
          <t xml:space="preserve">B151 </t>
        </is>
      </c>
      <c r="J24" s="51" t="inlineStr">
        <is>
          <t xml:space="preserve">INGENIERÍA QUÍMICA </t>
        </is>
      </c>
      <c r="K24" s="20" t="n">
        <v>0.5</v>
      </c>
      <c r="L24" s="20" t="inlineStr">
        <is>
          <t>B151</t>
        </is>
      </c>
      <c r="M24" s="51" t="n">
        <v>2022</v>
      </c>
      <c r="N24" s="20" t="inlineStr">
        <is>
          <t>10.09</t>
        </is>
      </c>
      <c r="O24" s="20" t="n">
        <v>65</v>
      </c>
      <c r="P24" s="20" t="inlineStr"/>
      <c r="Q24" s="20" t="n">
        <v>0</v>
      </c>
      <c r="R24" s="20" t="n">
        <v>35</v>
      </c>
      <c r="S24" s="20" t="n">
        <v>0.175</v>
      </c>
      <c r="T24" s="20" t="n">
        <v>0.325</v>
      </c>
      <c r="U24" s="20" t="n">
        <v>0</v>
      </c>
    </row>
    <row r="25">
      <c r="A25" s="51" t="inlineStr">
        <is>
          <t xml:space="preserve">B151 </t>
        </is>
      </c>
      <c r="B25" s="51" t="inlineStr">
        <is>
          <t xml:space="preserve">INGENIERÍA QUÍMICA </t>
        </is>
      </c>
      <c r="C25" s="51" t="inlineStr">
        <is>
          <t xml:space="preserve">DOCTORADO EN INGENIERÍA QUÍMICA </t>
        </is>
      </c>
      <c r="D25" s="51" t="inlineStr">
        <is>
          <t xml:space="preserve">Díaz Basantes, Milene Fernanda </t>
        </is>
      </c>
      <c r="E25" s="51" t="inlineStr">
        <is>
          <t xml:space="preserve">MICROPLÁSTICOS EN ALIMENTOS </t>
        </is>
      </c>
      <c r="F25" s="51" t="inlineStr">
        <is>
          <t xml:space="preserve">18/11/2022 </t>
        </is>
      </c>
      <c r="G25" s="51" t="inlineStr">
        <is>
          <t xml:space="preserve">73768475T </t>
        </is>
      </c>
      <c r="H25" s="51" t="inlineStr">
        <is>
          <t xml:space="preserve">Codirector de tesis </t>
        </is>
      </c>
      <c r="I25" s="51" t="inlineStr">
        <is>
          <t xml:space="preserve">B151 </t>
        </is>
      </c>
      <c r="J25" s="51" t="inlineStr">
        <is>
          <t xml:space="preserve">INGENIERÍA QUÍMICA </t>
        </is>
      </c>
      <c r="K25" s="20" t="n">
        <v>0.5</v>
      </c>
      <c r="L25" s="20" t="inlineStr">
        <is>
          <t>B151</t>
        </is>
      </c>
      <c r="M25" s="51" t="n">
        <v>2022</v>
      </c>
      <c r="N25" s="20" t="inlineStr">
        <is>
          <t>10.05</t>
        </is>
      </c>
      <c r="O25" s="20" t="n">
        <v>10</v>
      </c>
      <c r="P25" s="20" t="inlineStr">
        <is>
          <t>10.09</t>
        </is>
      </c>
      <c r="Q25" s="20" t="n">
        <v>55</v>
      </c>
      <c r="R25" s="20" t="n">
        <v>35</v>
      </c>
      <c r="S25" s="20" t="n">
        <v>0.175</v>
      </c>
      <c r="T25" s="20" t="n">
        <v>0.05</v>
      </c>
      <c r="U25" s="20" t="n">
        <v>0.275</v>
      </c>
    </row>
    <row r="26">
      <c r="A26" s="51" t="inlineStr">
        <is>
          <t xml:space="preserve">B151 </t>
        </is>
      </c>
      <c r="B26" s="51" t="inlineStr">
        <is>
          <t xml:space="preserve">INGENIERÍA QUÍMICA </t>
        </is>
      </c>
      <c r="C26" s="51" t="inlineStr">
        <is>
          <t xml:space="preserve">DOCTORADO EN INGENIERÍA QUÍMICA </t>
        </is>
      </c>
      <c r="D26" s="51" t="inlineStr">
        <is>
          <t xml:space="preserve">López Terán, Jorge Luis </t>
        </is>
      </c>
      <c r="E26" s="51" t="inlineStr">
        <is>
          <t xml:space="preserve">Obtención y caracterización de nuevos biomateriales a base de almidón termoplástico y productos naturales </t>
        </is>
      </c>
      <c r="F26" s="51" t="inlineStr">
        <is>
          <t xml:space="preserve">02/03/2023 </t>
        </is>
      </c>
      <c r="G26" s="51" t="inlineStr">
        <is>
          <t xml:space="preserve">22003811X </t>
        </is>
      </c>
      <c r="H26" s="51" t="inlineStr">
        <is>
          <t xml:space="preserve">Codirector de tesis </t>
        </is>
      </c>
      <c r="I26" s="51" t="inlineStr">
        <is>
          <t xml:space="preserve">B151 </t>
        </is>
      </c>
      <c r="J26" s="51" t="inlineStr">
        <is>
          <t xml:space="preserve">INGENIERÍA QUÍMICA </t>
        </is>
      </c>
      <c r="K26" s="20" t="n">
        <v>0.5</v>
      </c>
      <c r="L26" s="20" t="inlineStr">
        <is>
          <t>B151</t>
        </is>
      </c>
      <c r="M26" s="51" t="n">
        <v>2022</v>
      </c>
      <c r="N26" s="20" t="inlineStr">
        <is>
          <t>10.09</t>
        </is>
      </c>
      <c r="O26" s="20" t="n">
        <v>65</v>
      </c>
      <c r="P26" s="20" t="inlineStr"/>
      <c r="Q26" s="20" t="n">
        <v>0</v>
      </c>
      <c r="R26" s="20" t="n">
        <v>35</v>
      </c>
      <c r="S26" s="20" t="n">
        <v>0.175</v>
      </c>
      <c r="T26" s="20" t="n">
        <v>0.325</v>
      </c>
      <c r="U26" s="20" t="n">
        <v>0</v>
      </c>
    </row>
    <row r="27">
      <c r="A27" s="51" t="inlineStr">
        <is>
          <t xml:space="preserve">B151 </t>
        </is>
      </c>
      <c r="B27" s="51" t="inlineStr">
        <is>
          <t xml:space="preserve">INGENIERÍA QUÍMICA </t>
        </is>
      </c>
      <c r="C27" s="51" t="inlineStr">
        <is>
          <t xml:space="preserve">DOCTORADO EN INGENIERÍA QUÍMICA </t>
        </is>
      </c>
      <c r="D27" s="51" t="inlineStr">
        <is>
          <t xml:space="preserve">López Terán, Jorge Luis </t>
        </is>
      </c>
      <c r="E27" s="51" t="inlineStr">
        <is>
          <t xml:space="preserve">Obtención y caracterización de nuevos biomateriales a base de almidón termoplástico y productos naturales </t>
        </is>
      </c>
      <c r="F27" s="51" t="inlineStr">
        <is>
          <t xml:space="preserve">02/03/2023 </t>
        </is>
      </c>
      <c r="G27" s="51" t="inlineStr">
        <is>
          <t xml:space="preserve">- </t>
        </is>
      </c>
      <c r="H27" s="51" t="inlineStr">
        <is>
          <t xml:space="preserve">Codirector de tesis </t>
        </is>
      </c>
      <c r="I27" s="51" t="inlineStr">
        <is>
          <t xml:space="preserve">B151 </t>
        </is>
      </c>
      <c r="J27" s="51" t="inlineStr">
        <is>
          <t xml:space="preserve">INGENIERÍA QUÍMICA </t>
        </is>
      </c>
      <c r="K27" s="20" t="n">
        <v>0.5</v>
      </c>
      <c r="L27" s="20" t="inlineStr">
        <is>
          <t>B151</t>
        </is>
      </c>
      <c r="M27" s="51" t="n">
        <v>2022</v>
      </c>
      <c r="N27" s="20" t="inlineStr"/>
      <c r="O27" s="20" t="inlineStr"/>
      <c r="P27" s="20" t="inlineStr"/>
      <c r="Q27" s="20" t="inlineStr"/>
      <c r="R27" s="20" t="n">
        <v>100</v>
      </c>
      <c r="S27" s="20" t="n">
        <v>0.5</v>
      </c>
      <c r="T27" s="20" t="n">
        <v>0</v>
      </c>
      <c r="U27" s="20" t="n">
        <v>0</v>
      </c>
    </row>
    <row r="28">
      <c r="A28" s="51" t="inlineStr">
        <is>
          <t xml:space="preserve">B151 </t>
        </is>
      </c>
      <c r="B28" s="51" t="inlineStr">
        <is>
          <t xml:space="preserve">INGENIERÍA QUÍMICA </t>
        </is>
      </c>
      <c r="C28" s="51" t="inlineStr">
        <is>
          <t xml:space="preserve">DOCTORADO EN INGENIERÍA QUÍMICA </t>
        </is>
      </c>
      <c r="D28" s="51" t="inlineStr">
        <is>
          <t xml:space="preserve">Garcia Castro, Florencia Lujan </t>
        </is>
      </c>
      <c r="E28" s="51" t="inlineStr">
        <is>
          <t xml:space="preserve">Optimization of sustainable supply chain design under uncertainty </t>
        </is>
      </c>
      <c r="F28" s="51" t="inlineStr">
        <is>
          <t xml:space="preserve">22/09/2023 </t>
        </is>
      </c>
      <c r="G28" s="51" t="inlineStr">
        <is>
          <t xml:space="preserve">21511293Z </t>
        </is>
      </c>
      <c r="H28" s="51" t="inlineStr">
        <is>
          <t xml:space="preserve">Codirector de tesis </t>
        </is>
      </c>
      <c r="I28" s="51" t="inlineStr">
        <is>
          <t xml:space="preserve">B151 </t>
        </is>
      </c>
      <c r="J28" s="51" t="inlineStr">
        <is>
          <t xml:space="preserve">INGENIERÍA QUÍMICA </t>
        </is>
      </c>
      <c r="K28" s="20" t="n">
        <v>0.5</v>
      </c>
      <c r="L28" s="20" t="inlineStr">
        <is>
          <t>B151</t>
        </is>
      </c>
      <c r="M28" s="51" t="n">
        <v>2022</v>
      </c>
      <c r="N28" s="20" t="inlineStr">
        <is>
          <t>10.09</t>
        </is>
      </c>
      <c r="O28" s="20" t="n">
        <v>65</v>
      </c>
      <c r="P28" s="20" t="inlineStr"/>
      <c r="Q28" s="20" t="n">
        <v>0</v>
      </c>
      <c r="R28" s="20" t="n">
        <v>35</v>
      </c>
      <c r="S28" s="20" t="n">
        <v>0.175</v>
      </c>
      <c r="T28" s="20" t="n">
        <v>0.325</v>
      </c>
      <c r="U28" s="20" t="n">
        <v>0</v>
      </c>
    </row>
    <row r="29">
      <c r="A29" s="51" t="inlineStr">
        <is>
          <t xml:space="preserve">B151 </t>
        </is>
      </c>
      <c r="B29" s="51" t="inlineStr">
        <is>
          <t xml:space="preserve">INGENIERÍA QUÍMICA </t>
        </is>
      </c>
      <c r="C29" s="51" t="inlineStr">
        <is>
          <t xml:space="preserve">DOCTORADO EN INGENIERÍA QUÍMICA </t>
        </is>
      </c>
      <c r="D29" s="51" t="inlineStr">
        <is>
          <t xml:space="preserve">Garcia Castro, Florencia Lujan </t>
        </is>
      </c>
      <c r="E29" s="51" t="inlineStr">
        <is>
          <t xml:space="preserve">Optimization of sustainable supply chain design under uncertainty </t>
        </is>
      </c>
      <c r="F29" s="51" t="inlineStr">
        <is>
          <t xml:space="preserve">22/09/2023 </t>
        </is>
      </c>
      <c r="G29" s="51" t="inlineStr">
        <is>
          <t xml:space="preserve">21477495A </t>
        </is>
      </c>
      <c r="H29" s="51" t="inlineStr">
        <is>
          <t xml:space="preserve">Codirector de tesis </t>
        </is>
      </c>
      <c r="I29" s="51" t="inlineStr">
        <is>
          <t xml:space="preserve">B151 </t>
        </is>
      </c>
      <c r="J29" s="51" t="inlineStr">
        <is>
          <t xml:space="preserve">INGENIERÍA QUÍMICA </t>
        </is>
      </c>
      <c r="K29" s="20" t="n">
        <v>0.5</v>
      </c>
      <c r="L29" s="20" t="inlineStr">
        <is>
          <t>B151</t>
        </is>
      </c>
      <c r="M29" s="51" t="n">
        <v>2022</v>
      </c>
      <c r="N29" s="20" t="inlineStr">
        <is>
          <t>10.09</t>
        </is>
      </c>
      <c r="O29" s="20" t="n">
        <v>65</v>
      </c>
      <c r="P29" s="20" t="inlineStr"/>
      <c r="Q29" s="20" t="n">
        <v>0</v>
      </c>
      <c r="R29" s="20" t="n">
        <v>35</v>
      </c>
      <c r="S29" s="20" t="n">
        <v>0.175</v>
      </c>
      <c r="T29" s="20" t="n">
        <v>0.325</v>
      </c>
      <c r="U29" s="20" t="n">
        <v>0</v>
      </c>
    </row>
    <row r="30">
      <c r="A30" s="51" t="inlineStr">
        <is>
          <t xml:space="preserve">B151 </t>
        </is>
      </c>
      <c r="B30" s="51" t="inlineStr">
        <is>
          <t xml:space="preserve">INGENIERÍA QUÍMICA </t>
        </is>
      </c>
      <c r="C30" s="51" t="inlineStr">
        <is>
          <t xml:space="preserve">DOCTORADO EN INGENIERÍA QUÍMICA </t>
        </is>
      </c>
      <c r="D30" s="51" t="inlineStr">
        <is>
          <t xml:space="preserve">Martínez Castro, Jennifer </t>
        </is>
      </c>
      <c r="E30" s="51" t="inlineStr">
        <is>
          <t xml:space="preserve">FORMULACIONES DE ALMIDÓN TERMOPLÁSTICO CON PLASTIFICANTES DE NUEVA GENERACIÓN </t>
        </is>
      </c>
      <c r="F30" s="51" t="inlineStr">
        <is>
          <t xml:space="preserve">25/05/2023 </t>
        </is>
      </c>
      <c r="G30" s="51" t="inlineStr">
        <is>
          <t xml:space="preserve">21462400L </t>
        </is>
      </c>
      <c r="H30" s="51" t="inlineStr">
        <is>
          <t xml:space="preserve">Codirector de tesis </t>
        </is>
      </c>
      <c r="I30" s="51" t="inlineStr">
        <is>
          <t xml:space="preserve">B151 </t>
        </is>
      </c>
      <c r="J30" s="51" t="inlineStr">
        <is>
          <t xml:space="preserve">INGENIERÍA QUÍMICA </t>
        </is>
      </c>
      <c r="K30" s="20" t="n">
        <v>0.5</v>
      </c>
      <c r="L30" s="20" t="inlineStr">
        <is>
          <t>B151</t>
        </is>
      </c>
      <c r="M30" s="51" t="n">
        <v>2022</v>
      </c>
      <c r="N30" s="20" t="inlineStr">
        <is>
          <t>10.09</t>
        </is>
      </c>
      <c r="O30" s="20" t="n">
        <v>65</v>
      </c>
      <c r="P30" s="20" t="inlineStr"/>
      <c r="Q30" s="20" t="n">
        <v>0</v>
      </c>
      <c r="R30" s="20" t="n">
        <v>35</v>
      </c>
      <c r="S30" s="20" t="n">
        <v>0.175</v>
      </c>
      <c r="T30" s="20" t="n">
        <v>0.325</v>
      </c>
      <c r="U30" s="20" t="n">
        <v>0</v>
      </c>
    </row>
    <row r="31">
      <c r="A31" s="51" t="inlineStr">
        <is>
          <t xml:space="preserve">B151 </t>
        </is>
      </c>
      <c r="B31" s="51" t="inlineStr">
        <is>
          <t xml:space="preserve">INGENIERÍA QUÍMICA </t>
        </is>
      </c>
      <c r="C31" s="51" t="inlineStr">
        <is>
          <t xml:space="preserve">DOCTORADO EN INGENIERÍA QUÍMICA </t>
        </is>
      </c>
      <c r="D31" s="51" t="inlineStr">
        <is>
          <t xml:space="preserve">Martínez Castro, Jennifer </t>
        </is>
      </c>
      <c r="E31" s="51" t="inlineStr">
        <is>
          <t xml:space="preserve">FORMULACIONES DE ALMIDÓN TERMOPLÁSTICO CON PLASTIFICANTES DE NUEVA GENERACIÓN </t>
        </is>
      </c>
      <c r="F31" s="51" t="inlineStr">
        <is>
          <t xml:space="preserve">25/05/2023 </t>
        </is>
      </c>
      <c r="G31" s="51" t="inlineStr">
        <is>
          <t xml:space="preserve">21494722A </t>
        </is>
      </c>
      <c r="H31" s="51" t="inlineStr">
        <is>
          <t xml:space="preserve">Codirector de tesis </t>
        </is>
      </c>
      <c r="I31" s="51" t="inlineStr">
        <is>
          <t xml:space="preserve">B151 </t>
        </is>
      </c>
      <c r="J31" s="51" t="inlineStr">
        <is>
          <t xml:space="preserve">INGENIERÍA QUÍMICA </t>
        </is>
      </c>
      <c r="K31" s="20" t="n">
        <v>0.5</v>
      </c>
      <c r="L31" s="20" t="inlineStr">
        <is>
          <t>B151</t>
        </is>
      </c>
      <c r="M31" s="51" t="n">
        <v>2022</v>
      </c>
      <c r="N31" s="20" t="inlineStr">
        <is>
          <t>10.09</t>
        </is>
      </c>
      <c r="O31" s="20" t="n">
        <v>65</v>
      </c>
      <c r="P31" s="20" t="inlineStr"/>
      <c r="Q31" s="20" t="n">
        <v>0</v>
      </c>
      <c r="R31" s="20" t="n">
        <v>35</v>
      </c>
      <c r="S31" s="20" t="n">
        <v>0.175</v>
      </c>
      <c r="T31" s="20" t="n">
        <v>0.325</v>
      </c>
      <c r="U31" s="20" t="n">
        <v>0</v>
      </c>
    </row>
    <row r="32">
      <c r="A32" s="51" t="inlineStr">
        <is>
          <t xml:space="preserve">B151 </t>
        </is>
      </c>
      <c r="B32" s="51" t="inlineStr">
        <is>
          <t xml:space="preserve">INGENIERÍA QUÍMICA </t>
        </is>
      </c>
      <c r="C32" s="51" t="inlineStr">
        <is>
          <t xml:space="preserve">DOCTORADO EN INGENIERÍA QUÍMICA </t>
        </is>
      </c>
      <c r="D32" s="51" t="inlineStr">
        <is>
          <t xml:space="preserve">Carbonell Hermida, Paloma </t>
        </is>
      </c>
      <c r="E32" s="51" t="inlineStr">
        <is>
          <t xml:space="preserve">Correlación del equilibrio entre fases: ELV, ELL, ELS, ELLL y ELLS. Limitaciones y estrategias para superarlas. </t>
        </is>
      </c>
      <c r="F32" s="51" t="inlineStr">
        <is>
          <t xml:space="preserve">12/12/2022 </t>
        </is>
      </c>
      <c r="G32" s="51" t="inlineStr">
        <is>
          <t xml:space="preserve">21401194Q </t>
        </is>
      </c>
      <c r="H32" s="51" t="inlineStr">
        <is>
          <t xml:space="preserve">Codirector de tesis </t>
        </is>
      </c>
      <c r="I32" s="51" t="inlineStr">
        <is>
          <t xml:space="preserve">B151 </t>
        </is>
      </c>
      <c r="J32" s="51" t="inlineStr">
        <is>
          <t xml:space="preserve">INGENIERÍA QUÍMICA </t>
        </is>
      </c>
      <c r="K32" s="20" t="n">
        <v>0.5</v>
      </c>
      <c r="L32" s="20" t="inlineStr">
        <is>
          <t>B151</t>
        </is>
      </c>
      <c r="M32" s="51" t="n">
        <v>2022</v>
      </c>
      <c r="N32" s="20" t="inlineStr">
        <is>
          <t>10.09</t>
        </is>
      </c>
      <c r="O32" s="20" t="n">
        <v>65</v>
      </c>
      <c r="P32" s="20" t="inlineStr"/>
      <c r="Q32" s="20" t="n">
        <v>0</v>
      </c>
      <c r="R32" s="20" t="n">
        <v>35</v>
      </c>
      <c r="S32" s="20" t="n">
        <v>0.175</v>
      </c>
      <c r="T32" s="20" t="n">
        <v>0.325</v>
      </c>
      <c r="U32" s="20" t="n">
        <v>0</v>
      </c>
    </row>
    <row r="33">
      <c r="A33" s="51" t="inlineStr">
        <is>
          <t xml:space="preserve">B151 </t>
        </is>
      </c>
      <c r="B33" s="51" t="inlineStr">
        <is>
          <t xml:space="preserve">INGENIERÍA QUÍMICA </t>
        </is>
      </c>
      <c r="C33" s="51" t="inlineStr">
        <is>
          <t xml:space="preserve">DOCTORADO EN INGENIERÍA QUÍMICA </t>
        </is>
      </c>
      <c r="D33" s="51" t="inlineStr">
        <is>
          <t xml:space="preserve">Carbonell Hermida, Paloma </t>
        </is>
      </c>
      <c r="E33" s="51" t="inlineStr">
        <is>
          <t xml:space="preserve">Correlación del equilibrio entre fases: ELV, ELL, ELS, ELLL y ELLS. Limitaciones y estrategias para superarlas. </t>
        </is>
      </c>
      <c r="F33" s="51" t="inlineStr">
        <is>
          <t xml:space="preserve">12/12/2022 </t>
        </is>
      </c>
      <c r="G33" s="51" t="inlineStr">
        <is>
          <t xml:space="preserve">21489023P </t>
        </is>
      </c>
      <c r="H33" s="51" t="inlineStr">
        <is>
          <t xml:space="preserve">Codirector de tesis </t>
        </is>
      </c>
      <c r="I33" s="51" t="inlineStr">
        <is>
          <t xml:space="preserve">B151 </t>
        </is>
      </c>
      <c r="J33" s="51" t="inlineStr">
        <is>
          <t xml:space="preserve">INGENIERÍA QUÍMICA </t>
        </is>
      </c>
      <c r="K33" s="20" t="n">
        <v>0.5</v>
      </c>
      <c r="L33" s="20" t="inlineStr">
        <is>
          <t>B151</t>
        </is>
      </c>
      <c r="M33" s="51" t="n">
        <v>2022</v>
      </c>
      <c r="N33" s="20" t="inlineStr">
        <is>
          <t>10.09</t>
        </is>
      </c>
      <c r="O33" s="20" t="n">
        <v>65</v>
      </c>
      <c r="P33" s="20" t="inlineStr"/>
      <c r="Q33" s="20" t="n">
        <v>0</v>
      </c>
      <c r="R33" s="20" t="n">
        <v>35</v>
      </c>
      <c r="S33" s="20" t="n">
        <v>0.175</v>
      </c>
      <c r="T33" s="20" t="n">
        <v>0.325</v>
      </c>
      <c r="U33" s="20" t="n">
        <v>0</v>
      </c>
    </row>
    <row r="34">
      <c r="A34" s="51" t="inlineStr">
        <is>
          <t xml:space="preserve">B151 </t>
        </is>
      </c>
      <c r="B34" s="51" t="inlineStr">
        <is>
          <t xml:space="preserve">INGENIERÍA QUÍMICA </t>
        </is>
      </c>
      <c r="C34" s="51" t="inlineStr">
        <is>
          <t xml:space="preserve">DOCTORADO EN INGENIERÍA QUÍMICA </t>
        </is>
      </c>
      <c r="D34" s="51" t="inlineStr">
        <is>
          <t xml:space="preserve">Francisco dos Santos, Lucas </t>
        </is>
      </c>
      <c r="E34" s="51" t="inlineStr">
        <is>
          <t xml:space="preserve">Optimization of chemical process simulation: Application to the optimal rigorous design </t>
        </is>
      </c>
      <c r="F34" s="51" t="inlineStr">
        <is>
          <t xml:space="preserve">30/06/2023 </t>
        </is>
      </c>
      <c r="G34" s="51" t="inlineStr">
        <is>
          <t xml:space="preserve">21477495A </t>
        </is>
      </c>
      <c r="H34" s="51" t="inlineStr">
        <is>
          <t xml:space="preserve">Codirector de tesis </t>
        </is>
      </c>
      <c r="I34" s="51" t="inlineStr">
        <is>
          <t xml:space="preserve">B151 </t>
        </is>
      </c>
      <c r="J34" s="51" t="inlineStr">
        <is>
          <t xml:space="preserve">INGENIERÍA QUÍMICA </t>
        </is>
      </c>
      <c r="K34" s="20" t="n">
        <v>0.5</v>
      </c>
      <c r="L34" s="20" t="inlineStr">
        <is>
          <t>B151</t>
        </is>
      </c>
      <c r="M34" s="51" t="n">
        <v>2022</v>
      </c>
      <c r="N34" s="20" t="inlineStr">
        <is>
          <t>10.09</t>
        </is>
      </c>
      <c r="O34" s="20" t="n">
        <v>65</v>
      </c>
      <c r="P34" s="20" t="inlineStr"/>
      <c r="Q34" s="20" t="n">
        <v>0</v>
      </c>
      <c r="R34" s="20" t="n">
        <v>35</v>
      </c>
      <c r="S34" s="20" t="n">
        <v>0.175</v>
      </c>
      <c r="T34" s="20" t="n">
        <v>0.325</v>
      </c>
      <c r="U34" s="20" t="n">
        <v>0</v>
      </c>
    </row>
    <row r="35">
      <c r="A35" s="51" t="inlineStr">
        <is>
          <t xml:space="preserve">B151 </t>
        </is>
      </c>
      <c r="B35" s="51" t="inlineStr">
        <is>
          <t xml:space="preserve">INGENIERÍA QUÍMICA </t>
        </is>
      </c>
      <c r="C35" s="51" t="inlineStr">
        <is>
          <t xml:space="preserve">DOCTORADO EN INGENIERÍA QUÍMICA </t>
        </is>
      </c>
      <c r="D35" s="51" t="inlineStr">
        <is>
          <t xml:space="preserve">Francisco dos Santos, Lucas </t>
        </is>
      </c>
      <c r="E35" s="51" t="inlineStr">
        <is>
          <t xml:space="preserve">Optimization of chemical process simulation: Application to the optimal rigorous design </t>
        </is>
      </c>
      <c r="F35" s="51" t="inlineStr">
        <is>
          <t xml:space="preserve">30/06/2023 </t>
        </is>
      </c>
      <c r="G35" s="51" t="inlineStr">
        <is>
          <t xml:space="preserve">- </t>
        </is>
      </c>
      <c r="H35" s="51" t="inlineStr">
        <is>
          <t xml:space="preserve">Codirector de tesis </t>
        </is>
      </c>
      <c r="I35" s="51" t="inlineStr">
        <is>
          <t xml:space="preserve">B151 </t>
        </is>
      </c>
      <c r="J35" s="51" t="inlineStr">
        <is>
          <t xml:space="preserve">INGENIERÍA QUÍMICA </t>
        </is>
      </c>
      <c r="K35" s="20" t="n">
        <v>0.5</v>
      </c>
      <c r="L35" s="20" t="inlineStr">
        <is>
          <t>B151</t>
        </is>
      </c>
      <c r="M35" s="51" t="n">
        <v>2022</v>
      </c>
      <c r="N35" s="20" t="inlineStr"/>
      <c r="O35" s="20" t="inlineStr"/>
      <c r="P35" s="20" t="inlineStr"/>
      <c r="Q35" s="20" t="inlineStr"/>
      <c r="R35" s="20" t="n">
        <v>100</v>
      </c>
      <c r="S35" s="20" t="n">
        <v>0.5</v>
      </c>
      <c r="T35" s="20" t="n">
        <v>0</v>
      </c>
      <c r="U35" s="20" t="n">
        <v>0</v>
      </c>
    </row>
    <row r="36">
      <c r="A36" s="51" t="inlineStr">
        <is>
          <t xml:space="preserve">U020 </t>
        </is>
      </c>
      <c r="B36" s="51" t="inlineStr">
        <is>
          <t xml:space="preserve">I.U. DEL AGUA Y DE LAS CIENCIAS AMBIENTALES (10.05) </t>
        </is>
      </c>
      <c r="C36" s="51" t="inlineStr">
        <is>
          <t xml:space="preserve">DOCTORADO EN AGUA Y DESARROLLO SOSTENIBLE </t>
        </is>
      </c>
      <c r="D36" s="51" t="inlineStr">
        <is>
          <t xml:space="preserve">Martínez Moya, Sergio </t>
        </is>
      </c>
      <c r="E36" s="51" t="inlineStr">
        <is>
          <t xml:space="preserve">TRATAMIENTO DE AGUA POR ELECTROMAGNETISMO: INFLUENCIA EN LA PRECIPITACIÓN DE CARBONATO CÁLCICO Y EFECTOS EN OTRAS APLICACIONES </t>
        </is>
      </c>
      <c r="F36" s="51" t="inlineStr">
        <is>
          <t xml:space="preserve">03/04/2023 </t>
        </is>
      </c>
      <c r="G36" s="51" t="inlineStr">
        <is>
          <t xml:space="preserve">21455103J </t>
        </is>
      </c>
      <c r="H36" s="51" t="inlineStr">
        <is>
          <t xml:space="preserve">Codirector de tesis </t>
        </is>
      </c>
      <c r="I36" s="51" t="inlineStr">
        <is>
          <t xml:space="preserve">B151 </t>
        </is>
      </c>
      <c r="J36" s="51" t="inlineStr">
        <is>
          <t xml:space="preserve">INGENIERÍA QUÍMICA </t>
        </is>
      </c>
      <c r="K36" s="20" t="n">
        <v>0.5</v>
      </c>
      <c r="L36" s="20" t="inlineStr">
        <is>
          <t>B151</t>
        </is>
      </c>
      <c r="M36" s="51" t="n">
        <v>2022</v>
      </c>
      <c r="N36" s="20" t="inlineStr">
        <is>
          <t>10.09</t>
        </is>
      </c>
      <c r="O36" s="20" t="n">
        <v>40</v>
      </c>
      <c r="P36" s="20" t="inlineStr">
        <is>
          <t>10.05</t>
        </is>
      </c>
      <c r="Q36" s="20" t="n">
        <v>20</v>
      </c>
      <c r="R36" s="20" t="n">
        <v>40</v>
      </c>
      <c r="S36" s="20" t="n">
        <v>0.2</v>
      </c>
      <c r="T36" s="20" t="n">
        <v>0.2</v>
      </c>
      <c r="U36" s="20" t="n">
        <v>0.1</v>
      </c>
    </row>
    <row r="37">
      <c r="A37" s="51" t="inlineStr">
        <is>
          <t xml:space="preserve">U020 </t>
        </is>
      </c>
      <c r="B37" s="51" t="inlineStr">
        <is>
          <t xml:space="preserve">I.U. DEL AGUA Y DE LAS CIENCIAS AMBIENTALES (10.05) </t>
        </is>
      </c>
      <c r="C37" s="51" t="inlineStr">
        <is>
          <t xml:space="preserve">DOCTORADO EN AGUA Y DESARROLLO SOSTENIBLE </t>
        </is>
      </c>
      <c r="D37" s="51" t="inlineStr">
        <is>
          <t xml:space="preserve">Martínez Moya, Sergio </t>
        </is>
      </c>
      <c r="E37" s="51" t="inlineStr">
        <is>
          <t xml:space="preserve">TRATAMIENTO DE AGUA POR ELECTROMAGNETISMO: INFLUENCIA EN LA PRECIPITACIÓN DE CARBONATO CÁLCICO Y EFECTOS EN OTRAS APLICACIONES </t>
        </is>
      </c>
      <c r="F37" s="51" t="inlineStr">
        <is>
          <t xml:space="preserve">03/04/2023 </t>
        </is>
      </c>
      <c r="G37" s="51" t="inlineStr">
        <is>
          <t xml:space="preserve">21496269D </t>
        </is>
      </c>
      <c r="H37" s="51" t="inlineStr">
        <is>
          <t xml:space="preserve">Codirector de tesis </t>
        </is>
      </c>
      <c r="I37" s="51" t="inlineStr">
        <is>
          <t xml:space="preserve">B151 </t>
        </is>
      </c>
      <c r="J37" s="51" t="inlineStr">
        <is>
          <t xml:space="preserve">INGENIERÍA QUÍMICA </t>
        </is>
      </c>
      <c r="K37" s="20" t="n">
        <v>0.5</v>
      </c>
      <c r="L37" s="20" t="inlineStr">
        <is>
          <t>B151</t>
        </is>
      </c>
      <c r="M37" s="51" t="n">
        <v>2022</v>
      </c>
      <c r="N37" s="20" t="inlineStr">
        <is>
          <t>10.05</t>
        </is>
      </c>
      <c r="O37" s="20" t="n">
        <v>10</v>
      </c>
      <c r="P37" s="20" t="inlineStr">
        <is>
          <t>10.09</t>
        </is>
      </c>
      <c r="Q37" s="20" t="n">
        <v>65</v>
      </c>
      <c r="R37" s="20" t="n">
        <v>25</v>
      </c>
      <c r="S37" s="20" t="n">
        <v>0.125</v>
      </c>
      <c r="T37" s="20" t="n">
        <v>0.05</v>
      </c>
      <c r="U37" s="20" t="n">
        <v>0.325</v>
      </c>
    </row>
    <row r="38">
      <c r="A38" s="51" t="inlineStr">
        <is>
          <t xml:space="preserve">B151 </t>
        </is>
      </c>
      <c r="B38" s="51" t="inlineStr">
        <is>
          <t xml:space="preserve">INGENIERÍA QUÍMICA </t>
        </is>
      </c>
      <c r="C38" s="51" t="inlineStr">
        <is>
          <t xml:space="preserve">DOCTORADO EN INGENIERÍA QUÍMICA </t>
        </is>
      </c>
      <c r="D38" s="51" t="inlineStr">
        <is>
          <t xml:space="preserve">Gomis Blasco, Alejandro </t>
        </is>
      </c>
      <c r="E38" s="51" t="inlineStr">
        <is>
          <t xml:space="preserve">Equilibrio de fases en sistemas agua+alcohol de cadena.corta+electrolito. Determinación experimental, consistencia termodinámica y modelización </t>
        </is>
      </c>
      <c r="F38" s="51" t="inlineStr">
        <is>
          <t xml:space="preserve">14/09/2022 </t>
        </is>
      </c>
      <c r="G38" s="51" t="inlineStr">
        <is>
          <t xml:space="preserve">48344784A </t>
        </is>
      </c>
      <c r="H38" s="51" t="inlineStr">
        <is>
          <t xml:space="preserve">Codirector de tesis </t>
        </is>
      </c>
      <c r="I38" s="51" t="inlineStr">
        <is>
          <t xml:space="preserve">B151 </t>
        </is>
      </c>
      <c r="J38" s="51" t="inlineStr">
        <is>
          <t xml:space="preserve">INGENIERÍA QUÍMICA </t>
        </is>
      </c>
      <c r="K38" s="20" t="n">
        <v>0.5</v>
      </c>
      <c r="L38" s="51" t="inlineStr">
        <is>
          <t>B151</t>
        </is>
      </c>
      <c r="M38" s="20" t="n">
        <v>2022</v>
      </c>
      <c r="N38" s="20" t="inlineStr">
        <is>
          <t>10.09</t>
        </is>
      </c>
      <c r="O38" s="20" t="n">
        <v>65</v>
      </c>
      <c r="P38" s="20" t="inlineStr"/>
      <c r="Q38" s="20" t="n">
        <v>0</v>
      </c>
      <c r="R38" s="20" t="n">
        <v>35</v>
      </c>
      <c r="S38" s="20" t="n">
        <v>0.175</v>
      </c>
      <c r="T38" s="20" t="n">
        <v>0.325</v>
      </c>
      <c r="U38" s="51" t="n">
        <v>0</v>
      </c>
    </row>
    <row r="39">
      <c r="A39" s="51" t="inlineStr">
        <is>
          <t xml:space="preserve">B151 </t>
        </is>
      </c>
      <c r="B39" s="51" t="inlineStr">
        <is>
          <t xml:space="preserve">INGENIERÍA QUÍMICA </t>
        </is>
      </c>
      <c r="C39" s="51" t="inlineStr">
        <is>
          <t xml:space="preserve">DOCTORADO EN INGENIERÍA QUÍMICA </t>
        </is>
      </c>
      <c r="D39" s="51" t="inlineStr">
        <is>
          <t xml:space="preserve">Gomis Blasco, Alejandro </t>
        </is>
      </c>
      <c r="E39" s="51" t="inlineStr">
        <is>
          <t xml:space="preserve">Equilibrio de fases en sistemas agua+alcohol de cadena.corta+electrolito. Determinación experimental, consistencia termodinámica y modelización </t>
        </is>
      </c>
      <c r="F39" s="51" t="inlineStr">
        <is>
          <t xml:space="preserve">14/09/2022 </t>
        </is>
      </c>
      <c r="G39" s="51" t="inlineStr">
        <is>
          <t xml:space="preserve">21399719J </t>
        </is>
      </c>
      <c r="H39" s="51" t="inlineStr">
        <is>
          <t xml:space="preserve">Codirector de tesis </t>
        </is>
      </c>
      <c r="I39" s="51" t="inlineStr">
        <is>
          <t xml:space="preserve">B151 </t>
        </is>
      </c>
      <c r="J39" s="51" t="inlineStr">
        <is>
          <t xml:space="preserve">INGENIERÍA QUÍMICA </t>
        </is>
      </c>
      <c r="K39" s="20" t="n">
        <v>0.5</v>
      </c>
      <c r="L39" s="51" t="inlineStr">
        <is>
          <t>B151</t>
        </is>
      </c>
      <c r="M39" s="20" t="n">
        <v>2022</v>
      </c>
      <c r="N39" s="20" t="inlineStr">
        <is>
          <t>10.05</t>
        </is>
      </c>
      <c r="O39" s="20" t="n">
        <v>10</v>
      </c>
      <c r="P39" s="20" t="inlineStr">
        <is>
          <t>10.09</t>
        </is>
      </c>
      <c r="Q39" s="20" t="n">
        <v>65</v>
      </c>
      <c r="R39" s="20" t="n">
        <v>25</v>
      </c>
      <c r="S39" s="20" t="n">
        <v>0.125</v>
      </c>
      <c r="T39" s="20" t="n">
        <v>0.05</v>
      </c>
      <c r="U39" s="51" t="n">
        <v>0.325</v>
      </c>
    </row>
    <row r="40" customFormat="1" s="57">
      <c r="A40" s="51" t="inlineStr">
        <is>
          <t>B151</t>
        </is>
      </c>
      <c r="B40" s="51" t="inlineStr">
        <is>
          <t>INGENIERÍA QUÍMICA</t>
        </is>
      </c>
      <c r="C40" s="51" t="inlineStr">
        <is>
          <t>DOCTORADO EN INGENIERÍA QUÍMICA</t>
        </is>
      </c>
      <c r="D40" s="51" t="inlineStr">
        <is>
          <t>Flores Oña, Diego Roberto</t>
        </is>
      </c>
      <c r="E40" s="51" t="inlineStr">
        <is>
          <t>Síntesis y Aplicación de Nanopartículas de Carbono obtenidas mediante Carbonización</t>
        </is>
      </c>
      <c r="F40" s="51" t="inlineStr">
        <is>
          <t>20/03/2024</t>
        </is>
      </c>
      <c r="G40" s="51" t="inlineStr">
        <is>
          <t>73768475T</t>
        </is>
      </c>
      <c r="H40" s="51" t="inlineStr">
        <is>
          <t>Director de tesis</t>
        </is>
      </c>
      <c r="I40" s="52" t="inlineStr">
        <is>
          <t>B151</t>
        </is>
      </c>
      <c r="J40" s="51" t="inlineStr">
        <is>
          <t>INGENIERÍA QUÍMICA</t>
        </is>
      </c>
      <c r="K40" s="20" t="n">
        <v>1</v>
      </c>
      <c r="L40" s="20" t="inlineStr">
        <is>
          <t>B151</t>
        </is>
      </c>
      <c r="M40" s="20" t="n">
        <v>2023</v>
      </c>
      <c r="N40" s="20" t="inlineStr">
        <is>
          <t>10.05</t>
        </is>
      </c>
      <c r="O40" s="20" t="inlineStr">
        <is>
          <t>10</t>
        </is>
      </c>
      <c r="P40" s="20" t="inlineStr">
        <is>
          <t>10.09</t>
        </is>
      </c>
      <c r="Q40" s="20" t="inlineStr">
        <is>
          <t>55</t>
        </is>
      </c>
      <c r="R40" s="20" t="n">
        <v>35</v>
      </c>
      <c r="S40" s="20" t="n">
        <v>0.35</v>
      </c>
      <c r="T40" s="20" t="n">
        <v>0.1</v>
      </c>
      <c r="U40" s="20" t="n">
        <v>0.55</v>
      </c>
      <c r="V40" s="55" t="inlineStr">
        <is>
          <t>S</t>
        </is>
      </c>
      <c r="Y40" s="45" t="n"/>
    </row>
    <row r="41" customFormat="1" s="57">
      <c r="A41" s="51" t="inlineStr">
        <is>
          <t>B151</t>
        </is>
      </c>
      <c r="B41" s="51" t="inlineStr">
        <is>
          <t>INGENIERÍA QUÍMICA</t>
        </is>
      </c>
      <c r="C41" s="51" t="inlineStr">
        <is>
          <t>DOCTORADO EN INGENIERÍA QUÍMICA</t>
        </is>
      </c>
      <c r="D41" s="51" t="inlineStr">
        <is>
          <t>Núñez Ramos, Samuel Santiago</t>
        </is>
      </c>
      <c r="E41" s="51" t="inlineStr">
        <is>
          <t>CONTAMINANTES PELIGROSOS EN PLÁSTICOS RECICLADOS Y TRATAMIENTOS PARA SU MITIGACIÓN</t>
        </is>
      </c>
      <c r="F41" s="51" t="inlineStr">
        <is>
          <t>21/03/2024</t>
        </is>
      </c>
      <c r="G41" s="51" t="inlineStr">
        <is>
          <t>21513988H</t>
        </is>
      </c>
      <c r="H41" s="51" t="inlineStr">
        <is>
          <t>Codirector de tesis</t>
        </is>
      </c>
      <c r="I41" s="52" t="inlineStr">
        <is>
          <t>B151</t>
        </is>
      </c>
      <c r="J41" s="51" t="inlineStr">
        <is>
          <t>INGENIERÍA QUÍMICA</t>
        </is>
      </c>
      <c r="K41" s="20" t="n">
        <v>0.5</v>
      </c>
      <c r="L41" s="20" t="inlineStr">
        <is>
          <t>B151</t>
        </is>
      </c>
      <c r="M41" s="20" t="n">
        <v>2023</v>
      </c>
      <c r="N41" s="20" t="inlineStr">
        <is>
          <t>10.05</t>
        </is>
      </c>
      <c r="O41" s="20" t="inlineStr">
        <is>
          <t>10</t>
        </is>
      </c>
      <c r="P41" s="20" t="inlineStr">
        <is>
          <t>10.09</t>
        </is>
      </c>
      <c r="Q41" s="20" t="inlineStr">
        <is>
          <t>65</t>
        </is>
      </c>
      <c r="R41" s="20" t="n">
        <v>25</v>
      </c>
      <c r="S41" s="20" t="n">
        <v>0.125</v>
      </c>
      <c r="T41" s="20" t="n">
        <v>0.05</v>
      </c>
      <c r="U41" s="20" t="n">
        <v>0.325</v>
      </c>
      <c r="V41" s="55" t="inlineStr">
        <is>
          <t>S</t>
        </is>
      </c>
      <c r="Y41" s="45" t="n"/>
    </row>
    <row r="42" customFormat="1" s="57">
      <c r="A42" s="51" t="inlineStr">
        <is>
          <t>B151</t>
        </is>
      </c>
      <c r="B42" s="51" t="inlineStr">
        <is>
          <t>INGENIERÍA QUÍMICA</t>
        </is>
      </c>
      <c r="C42" s="51" t="inlineStr">
        <is>
          <t>DOCTORADO EN INGENIERÍA QUÍMICA</t>
        </is>
      </c>
      <c r="D42" s="51" t="inlineStr">
        <is>
          <t>Núñez Ramos, Samuel Santiago</t>
        </is>
      </c>
      <c r="E42" s="51" t="inlineStr">
        <is>
          <t>CONTAMINANTES PELIGROSOS EN PLÁSTICOS RECICLADOS Y TRATAMIENTOS PARA SU MITIGACIÓN</t>
        </is>
      </c>
      <c r="F42" s="51" t="inlineStr">
        <is>
          <t>21/03/2024</t>
        </is>
      </c>
      <c r="G42" s="51" t="inlineStr">
        <is>
          <t>22006135B</t>
        </is>
      </c>
      <c r="H42" s="51" t="inlineStr">
        <is>
          <t>Codirector de tesis</t>
        </is>
      </c>
      <c r="I42" s="52" t="inlineStr">
        <is>
          <t>B151</t>
        </is>
      </c>
      <c r="J42" s="51" t="inlineStr">
        <is>
          <t>INGENIERÍA QUÍMICA</t>
        </is>
      </c>
      <c r="K42" s="20" t="n">
        <v>0.5</v>
      </c>
      <c r="L42" s="20" t="inlineStr">
        <is>
          <t>B151</t>
        </is>
      </c>
      <c r="M42" s="20" t="n">
        <v>2023</v>
      </c>
      <c r="N42" s="20" t="inlineStr">
        <is>
          <t>10.09</t>
        </is>
      </c>
      <c r="O42" s="20" t="inlineStr">
        <is>
          <t>65</t>
        </is>
      </c>
      <c r="P42" s="20" t="inlineStr"/>
      <c r="Q42" s="20" t="inlineStr"/>
      <c r="R42" s="20" t="n">
        <v>35</v>
      </c>
      <c r="S42" s="20" t="n">
        <v>0.175</v>
      </c>
      <c r="T42" s="20" t="n">
        <v>0.325</v>
      </c>
      <c r="U42" s="20" t="n">
        <v>0</v>
      </c>
      <c r="V42" s="55" t="inlineStr">
        <is>
          <t>S</t>
        </is>
      </c>
      <c r="Y42" s="45" t="n"/>
    </row>
    <row r="43" customFormat="1" s="57">
      <c r="A43" s="51" t="inlineStr">
        <is>
          <t>B151</t>
        </is>
      </c>
      <c r="B43" s="51" t="inlineStr">
        <is>
          <t>INGENIERÍA QUÍMICA</t>
        </is>
      </c>
      <c r="C43" s="51" t="inlineStr">
        <is>
          <t>DOCTORADO EN INGENIERÍA QUÍMICA</t>
        </is>
      </c>
      <c r="D43" s="51" t="inlineStr">
        <is>
          <t>Quiroga Colmenares, Eliana Marcela</t>
        </is>
      </c>
      <c r="E43" s="51" t="inlineStr">
        <is>
          <t>Catalytic production of high-value chemicals from biomass-derived products</t>
        </is>
      </c>
      <c r="F43" s="51" t="inlineStr">
        <is>
          <t>11/03/2024</t>
        </is>
      </c>
      <c r="G43" s="51" t="inlineStr">
        <is>
          <t>21513988H</t>
        </is>
      </c>
      <c r="H43" s="51" t="inlineStr">
        <is>
          <t>Codirector de tesis</t>
        </is>
      </c>
      <c r="I43" s="52" t="inlineStr">
        <is>
          <t>B151</t>
        </is>
      </c>
      <c r="J43" s="51" t="inlineStr">
        <is>
          <t>INGENIERÍA QUÍMICA</t>
        </is>
      </c>
      <c r="K43" s="20" t="n">
        <v>0.5</v>
      </c>
      <c r="L43" s="20" t="inlineStr">
        <is>
          <t>B151</t>
        </is>
      </c>
      <c r="M43" s="20" t="n">
        <v>2023</v>
      </c>
      <c r="N43" s="20" t="inlineStr">
        <is>
          <t>10.05</t>
        </is>
      </c>
      <c r="O43" s="20" t="inlineStr">
        <is>
          <t>10</t>
        </is>
      </c>
      <c r="P43" s="20" t="inlineStr">
        <is>
          <t>10.09</t>
        </is>
      </c>
      <c r="Q43" s="20" t="inlineStr">
        <is>
          <t>65</t>
        </is>
      </c>
      <c r="R43" s="20" t="n">
        <v>25</v>
      </c>
      <c r="S43" s="20" t="n">
        <v>0.125</v>
      </c>
      <c r="T43" s="20" t="n">
        <v>0.05</v>
      </c>
      <c r="U43" s="20" t="n">
        <v>0.325</v>
      </c>
      <c r="V43" s="55" t="inlineStr">
        <is>
          <t>S</t>
        </is>
      </c>
      <c r="Y43" s="45" t="n"/>
    </row>
    <row r="44" customFormat="1" s="57">
      <c r="A44" s="51" t="inlineStr">
        <is>
          <t>B151</t>
        </is>
      </c>
      <c r="B44" s="51" t="inlineStr">
        <is>
          <t>INGENIERÍA QUÍMICA</t>
        </is>
      </c>
      <c r="C44" s="51" t="inlineStr">
        <is>
          <t>DOCTORADO EN INGENIERÍA QUÍMICA</t>
        </is>
      </c>
      <c r="D44" s="51" t="inlineStr">
        <is>
          <t>Quiroga Colmenares, Eliana Marcela</t>
        </is>
      </c>
      <c r="E44" s="51" t="inlineStr">
        <is>
          <t>Catalytic production of high-value chemicals from biomass-derived products</t>
        </is>
      </c>
      <c r="F44" s="51" t="inlineStr">
        <is>
          <t>11/03/2024</t>
        </is>
      </c>
      <c r="G44" s="51" t="inlineStr">
        <is>
          <t>'-</t>
        </is>
      </c>
      <c r="H44" s="51" t="inlineStr">
        <is>
          <t>Codirector de tesis</t>
        </is>
      </c>
      <c r="I44" s="52" t="inlineStr">
        <is>
          <t>B151</t>
        </is>
      </c>
      <c r="J44" s="51" t="inlineStr">
        <is>
          <t>INGENIERÍA QUÍMICA</t>
        </is>
      </c>
      <c r="K44" s="20" t="n">
        <v>0.5</v>
      </c>
      <c r="L44" s="20" t="inlineStr">
        <is>
          <t>B151</t>
        </is>
      </c>
      <c r="M44" s="20" t="n">
        <v>2023</v>
      </c>
      <c r="N44" s="20" t="inlineStr"/>
      <c r="O44" s="20" t="inlineStr"/>
      <c r="P44" s="20" t="inlineStr"/>
      <c r="Q44" s="20" t="inlineStr"/>
      <c r="R44" s="20" t="n">
        <v>100</v>
      </c>
      <c r="S44" s="20" t="n">
        <v>0.5</v>
      </c>
      <c r="T44" s="20" t="n">
        <v>0</v>
      </c>
      <c r="U44" s="20" t="n">
        <v>0</v>
      </c>
      <c r="V44" s="55" t="inlineStr">
        <is>
          <t>S</t>
        </is>
      </c>
      <c r="Y44" s="45" t="n"/>
    </row>
    <row r="45" customFormat="1" s="57">
      <c r="A45" s="51" t="inlineStr">
        <is>
          <t>U020</t>
        </is>
      </c>
      <c r="B45" s="51" t="inlineStr">
        <is>
          <t>I.U. DEL AGUA Y DE LAS CIENCIAS AMBIENTALES (10.05)</t>
        </is>
      </c>
      <c r="C45" s="51" t="inlineStr">
        <is>
          <t>DOCTORADO EN AGUA Y DESARROLLO SOSTENIBLE</t>
        </is>
      </c>
      <c r="D45" s="51" t="inlineStr">
        <is>
          <t>Navarro Barrio, Rubén</t>
        </is>
      </c>
      <c r="E45" s="51" t="inlineStr">
        <is>
          <t>Evaluación de los consumos energéticos y costes asociados de las medidas de protección ambiental de las desaladoras de la Mancomunidad de los Canales del Taibilla</t>
        </is>
      </c>
      <c r="F45" s="51" t="inlineStr">
        <is>
          <t>28/11/2023</t>
        </is>
      </c>
      <c r="G45" s="51" t="inlineStr">
        <is>
          <t>21444613B</t>
        </is>
      </c>
      <c r="H45" s="51" t="inlineStr">
        <is>
          <t>Director de tesis</t>
        </is>
      </c>
      <c r="I45" s="52" t="inlineStr">
        <is>
          <t>B151</t>
        </is>
      </c>
      <c r="J45" s="51" t="inlineStr">
        <is>
          <t>INGENIERÍA QUÍMICA</t>
        </is>
      </c>
      <c r="K45" s="20" t="n">
        <v>1</v>
      </c>
      <c r="L45" s="20" t="inlineStr">
        <is>
          <t>B151</t>
        </is>
      </c>
      <c r="M45" s="20" t="n">
        <v>2023</v>
      </c>
      <c r="N45" s="20" t="inlineStr">
        <is>
          <t>10.09</t>
        </is>
      </c>
      <c r="O45" s="20" t="inlineStr">
        <is>
          <t>40</t>
        </is>
      </c>
      <c r="P45" s="20" t="inlineStr">
        <is>
          <t>10.05</t>
        </is>
      </c>
      <c r="Q45" s="20" t="inlineStr">
        <is>
          <t>20</t>
        </is>
      </c>
      <c r="R45" s="20" t="n">
        <v>40</v>
      </c>
      <c r="S45" s="20" t="n">
        <v>0.4</v>
      </c>
      <c r="T45" s="20" t="n">
        <v>0.4</v>
      </c>
      <c r="U45" s="20" t="n">
        <v>0.2</v>
      </c>
      <c r="V45" s="55" t="inlineStr">
        <is>
          <t>S</t>
        </is>
      </c>
      <c r="Y45" s="45" t="n"/>
    </row>
    <row r="46" customFormat="1" s="57">
      <c r="A46" s="51" t="inlineStr">
        <is>
          <t>U020</t>
        </is>
      </c>
      <c r="B46" s="51" t="inlineStr">
        <is>
          <t>I.U. DEL AGUA Y DE LAS CIENCIAS AMBIENTALES (10.05)</t>
        </is>
      </c>
      <c r="C46" s="51" t="inlineStr">
        <is>
          <t>DOCTORADO EN AGUA Y DESARROLLO SOSTENIBLE</t>
        </is>
      </c>
      <c r="D46" s="51" t="inlineStr">
        <is>
          <t>Peña Paz, Tania María</t>
        </is>
      </c>
      <c r="E46" s="51" t="inlineStr">
        <is>
          <t>Modelo conceptual hidrogeológico y análisis hidroquímico para la gestión de recursos</t>
        </is>
      </c>
      <c r="F46" s="51" t="inlineStr">
        <is>
          <t>13/02/2024</t>
        </is>
      </c>
      <c r="G46" s="51" t="inlineStr">
        <is>
          <t>21455103J</t>
        </is>
      </c>
      <c r="H46" s="51" t="inlineStr">
        <is>
          <t>Codirector de tesis</t>
        </is>
      </c>
      <c r="I46" s="52" t="inlineStr">
        <is>
          <t>B151</t>
        </is>
      </c>
      <c r="J46" s="51" t="inlineStr">
        <is>
          <t>INGENIERÍA QUÍMICA</t>
        </is>
      </c>
      <c r="K46" s="20" t="n">
        <v>0.5</v>
      </c>
      <c r="L46" s="20" t="inlineStr">
        <is>
          <t>B151</t>
        </is>
      </c>
      <c r="M46" s="20" t="n">
        <v>2023</v>
      </c>
      <c r="N46" s="20" t="inlineStr">
        <is>
          <t>10.09</t>
        </is>
      </c>
      <c r="O46" s="20" t="inlineStr">
        <is>
          <t>40</t>
        </is>
      </c>
      <c r="P46" s="20" t="inlineStr">
        <is>
          <t>10.05</t>
        </is>
      </c>
      <c r="Q46" s="20" t="inlineStr">
        <is>
          <t>20</t>
        </is>
      </c>
      <c r="R46" s="20" t="n">
        <v>40</v>
      </c>
      <c r="S46" s="20" t="n">
        <v>0.2</v>
      </c>
      <c r="T46" s="20" t="n">
        <v>0.2</v>
      </c>
      <c r="U46" s="20" t="n">
        <v>0.1</v>
      </c>
      <c r="V46" s="55" t="inlineStr">
        <is>
          <t>S</t>
        </is>
      </c>
      <c r="Y46" s="45" t="n"/>
    </row>
    <row r="47">
      <c r="A47" s="51" t="inlineStr">
        <is>
          <t>U052</t>
        </is>
      </c>
      <c r="B47" s="51" t="inlineStr">
        <is>
          <t>I.U. DE MATERIALES (10.14)</t>
        </is>
      </c>
      <c r="C47" s="51" t="inlineStr">
        <is>
          <t>DOCTORADO EN CIENCIA DE MATERIALES</t>
        </is>
      </c>
      <c r="D47" s="51" t="inlineStr">
        <is>
          <t>Mekki , Imene</t>
        </is>
      </c>
      <c r="E47" s="51" t="inlineStr">
        <is>
          <t>Study of the uncatalyzed and catalyzed soot combustion in the exhaust of last generation   combustion engines. Kinetic analysis and optimization of the catalytic formulations</t>
        </is>
      </c>
      <c r="F47" s="51" t="inlineStr">
        <is>
          <t>25/07/2024</t>
        </is>
      </c>
      <c r="G47" s="51" t="inlineStr">
        <is>
          <t>21477495A</t>
        </is>
      </c>
      <c r="H47" s="51" t="inlineStr">
        <is>
          <t>Codirector de tesis</t>
        </is>
      </c>
      <c r="I47" s="52" t="inlineStr">
        <is>
          <t>B151</t>
        </is>
      </c>
      <c r="J47" s="51" t="inlineStr">
        <is>
          <t>INGENIERÍA QUÍMICA</t>
        </is>
      </c>
      <c r="K47" s="20" t="n">
        <v>0.5</v>
      </c>
      <c r="L47" s="20" t="inlineStr">
        <is>
          <t>B151</t>
        </is>
      </c>
      <c r="M47" s="20" t="n">
        <v>2023</v>
      </c>
      <c r="N47" s="20" t="inlineStr">
        <is>
          <t>10.09</t>
        </is>
      </c>
      <c r="O47" s="20" t="inlineStr">
        <is>
          <t>65</t>
        </is>
      </c>
      <c r="P47" s="20" t="inlineStr"/>
      <c r="Q47" s="20" t="inlineStr"/>
      <c r="R47" s="20" t="n">
        <v>35</v>
      </c>
      <c r="S47" s="20" t="n">
        <v>0.175</v>
      </c>
      <c r="T47" s="20" t="n">
        <v>0.325</v>
      </c>
      <c r="U47" s="20" t="n">
        <v>0</v>
      </c>
      <c r="V47" s="45" t="inlineStr">
        <is>
          <t>S</t>
        </is>
      </c>
    </row>
    <row r="48">
      <c r="A48" s="51" t="inlineStr">
        <is>
          <t>B151</t>
        </is>
      </c>
      <c r="B48" s="51" t="inlineStr">
        <is>
          <t>Ingeniería Química</t>
        </is>
      </c>
      <c r="C48" s="51" t="inlineStr">
        <is>
          <t>DOCTORADO EN INGENIERÍA QUÍMICA</t>
        </is>
      </c>
      <c r="D48" s="51" t="inlineStr">
        <is>
          <t>Rosero Espín, Marco Vinicio</t>
        </is>
      </c>
      <c r="E48" s="51" t="inlineStr">
        <is>
          <t>ESTUDIO DE CARBONIZACIÓN DE MATERIALES LIGNOCELULÓSICOS NATIVOS DEL ECUADOR MEDIANTE PIRÓLISIS PARA LA OBTENCIÓN DE CARBÓN ACTIVADO PARA USO EN ELECTRODOS DE CAPACITORES</t>
        </is>
      </c>
      <c r="F48" s="51" t="inlineStr">
        <is>
          <t>03/04/2025</t>
        </is>
      </c>
      <c r="G48" s="51" t="inlineStr">
        <is>
          <t>21401194Q</t>
        </is>
      </c>
      <c r="H48" s="51" t="inlineStr">
        <is>
          <t>Codirector de tesis</t>
        </is>
      </c>
      <c r="I48" s="52" t="inlineStr">
        <is>
          <t>B151</t>
        </is>
      </c>
      <c r="J48" s="51" t="inlineStr">
        <is>
          <t>Ingeniería Química</t>
        </is>
      </c>
      <c r="K48" s="20" t="n">
        <v>0.3333333333333333</v>
      </c>
      <c r="L48" s="20" t="inlineStr">
        <is>
          <t>B151</t>
        </is>
      </c>
      <c r="M48" s="20" t="n">
        <v>2024</v>
      </c>
      <c r="N48" s="20" t="inlineStr">
        <is>
          <t>10.09</t>
        </is>
      </c>
      <c r="O48" s="20" t="inlineStr">
        <is>
          <t>65</t>
        </is>
      </c>
      <c r="P48" s="20" t="inlineStr"/>
      <c r="Q48" s="20" t="inlineStr"/>
      <c r="R48" s="20" t="n">
        <v>35</v>
      </c>
      <c r="S48" s="20" t="n">
        <v>0.1166666666666667</v>
      </c>
      <c r="T48" s="20" t="n">
        <v>0.2166666666666666</v>
      </c>
      <c r="U48" s="20" t="n">
        <v>0</v>
      </c>
    </row>
    <row r="49">
      <c r="A49" s="51" t="inlineStr">
        <is>
          <t>B151</t>
        </is>
      </c>
      <c r="B49" s="51" t="inlineStr">
        <is>
          <t>Ingeniería Química</t>
        </is>
      </c>
      <c r="C49" s="51" t="inlineStr">
        <is>
          <t>DOCTORADO EN INGENIERÍA QUÍMICA</t>
        </is>
      </c>
      <c r="D49" s="51" t="inlineStr">
        <is>
          <t>Rosero Espín, Marco Vinicio</t>
        </is>
      </c>
      <c r="E49" s="51" t="inlineStr">
        <is>
          <t>ESTUDIO DE CARBONIZACIÓN DE MATERIALES LIGNOCELULÓSICOS NATIVOS DEL ECUADOR MEDIANTE PIRÓLISIS PARA LA OBTENCIÓN DE CARBÓN ACTIVADO PARA USO EN ELECTRODOS DE CAPACITORES</t>
        </is>
      </c>
      <c r="F49" s="51" t="inlineStr">
        <is>
          <t>03/04/2025</t>
        </is>
      </c>
      <c r="G49" s="51" t="inlineStr">
        <is>
          <t>21470517V</t>
        </is>
      </c>
      <c r="H49" s="51" t="inlineStr">
        <is>
          <t>Codirector de tesis</t>
        </is>
      </c>
      <c r="I49" s="52" t="inlineStr">
        <is>
          <t>B151</t>
        </is>
      </c>
      <c r="J49" s="51" t="inlineStr">
        <is>
          <t>Ingeniería Química</t>
        </is>
      </c>
      <c r="K49" s="20" t="n">
        <v>0.3333333333333333</v>
      </c>
      <c r="L49" s="20" t="inlineStr">
        <is>
          <t>B151</t>
        </is>
      </c>
      <c r="M49" s="20" t="n">
        <v>2024</v>
      </c>
      <c r="N49" s="20" t="inlineStr">
        <is>
          <t>10.09</t>
        </is>
      </c>
      <c r="O49" s="20" t="inlineStr">
        <is>
          <t>65</t>
        </is>
      </c>
      <c r="P49" s="20" t="inlineStr"/>
      <c r="Q49" s="20" t="inlineStr"/>
      <c r="R49" s="20" t="n">
        <v>35</v>
      </c>
      <c r="S49" s="20" t="n">
        <v>0.1166666666666667</v>
      </c>
      <c r="T49" s="20" t="n">
        <v>0.2166666666666666</v>
      </c>
      <c r="U49" s="20" t="n">
        <v>0</v>
      </c>
    </row>
    <row r="50">
      <c r="A50" s="51" t="inlineStr">
        <is>
          <t>B151</t>
        </is>
      </c>
      <c r="B50" s="51" t="inlineStr">
        <is>
          <t>Ingeniería Química</t>
        </is>
      </c>
      <c r="C50" s="51" t="inlineStr">
        <is>
          <t>DOCTORADO EN INGENIERÍA QUÍMICA</t>
        </is>
      </c>
      <c r="D50" s="51" t="inlineStr">
        <is>
          <t>Rosero Espín, Marco Vinicio</t>
        </is>
      </c>
      <c r="E50" s="51" t="inlineStr">
        <is>
          <t>ESTUDIO DE CARBONIZACIÓN DE MATERIALES LIGNOCELULÓSICOS NATIVOS DEL ECUADOR MEDIANTE PIRÓLISIS PARA LA OBTENCIÓN DE CARBÓN ACTIVADO PARA USO EN ELECTRODOS DE CAPACITORES</t>
        </is>
      </c>
      <c r="F50" s="51" t="inlineStr">
        <is>
          <t>03/04/2025</t>
        </is>
      </c>
      <c r="G50" s="51" t="inlineStr">
        <is>
          <t>'-</t>
        </is>
      </c>
      <c r="H50" s="51" t="inlineStr">
        <is>
          <t>Codirector de tesis</t>
        </is>
      </c>
      <c r="I50" s="52" t="inlineStr">
        <is>
          <t>B151</t>
        </is>
      </c>
      <c r="J50" s="51" t="inlineStr">
        <is>
          <t>Ingeniería Química</t>
        </is>
      </c>
      <c r="K50" s="20" t="n">
        <v>0.3333333333333333</v>
      </c>
      <c r="L50" s="20" t="inlineStr">
        <is>
          <t>B151</t>
        </is>
      </c>
      <c r="M50" s="20" t="n">
        <v>2024</v>
      </c>
      <c r="N50" s="20" t="inlineStr"/>
      <c r="O50" s="20" t="inlineStr"/>
      <c r="P50" s="20" t="inlineStr"/>
      <c r="Q50" s="20" t="inlineStr"/>
      <c r="R50" s="20" t="n">
        <v>100</v>
      </c>
      <c r="S50" s="20" t="n">
        <v>0.3333333333333333</v>
      </c>
      <c r="T50" s="20" t="n">
        <v>0</v>
      </c>
      <c r="U50" s="20" t="n">
        <v>0</v>
      </c>
    </row>
    <row r="51">
      <c r="A51" s="51" t="inlineStr">
        <is>
          <t>B151</t>
        </is>
      </c>
      <c r="B51" s="51" t="inlineStr">
        <is>
          <t>Ingeniería Química</t>
        </is>
      </c>
      <c r="C51" s="51" t="inlineStr">
        <is>
          <t>DOCTORADO EN INGENIERÍA QUÍMICA</t>
        </is>
      </c>
      <c r="D51" s="51" t="inlineStr">
        <is>
          <t>Tobarra Moroño, Daniel</t>
        </is>
      </c>
      <c r="E51" s="51" t="inlineStr">
        <is>
          <t>CONTRIBUCION Y EVOLUCION DE LAS FUENTES DE MATERIAL PARTICULADO (PM10) EN EL PUERTO DE ALICANTE DURANTE EL PERIDO 2017-2023</t>
        </is>
      </c>
      <c r="F51" s="51" t="inlineStr">
        <is>
          <t>15/07/2025</t>
        </is>
      </c>
      <c r="G51" s="51" t="inlineStr">
        <is>
          <t>21444613B</t>
        </is>
      </c>
      <c r="H51" s="51" t="inlineStr">
        <is>
          <t>Codirector de tesis</t>
        </is>
      </c>
      <c r="I51" s="52" t="inlineStr">
        <is>
          <t>B151</t>
        </is>
      </c>
      <c r="J51" s="51" t="inlineStr">
        <is>
          <t>Ingeniería Química</t>
        </is>
      </c>
      <c r="K51" s="20" t="n">
        <v>0.5</v>
      </c>
      <c r="L51" s="20" t="inlineStr">
        <is>
          <t>B151</t>
        </is>
      </c>
      <c r="M51" s="20" t="n">
        <v>2024</v>
      </c>
      <c r="N51" s="20" t="inlineStr">
        <is>
          <t>10.05</t>
        </is>
      </c>
      <c r="O51" s="20" t="inlineStr">
        <is>
          <t>20</t>
        </is>
      </c>
      <c r="P51" s="20" t="inlineStr">
        <is>
          <t>10.09</t>
        </is>
      </c>
      <c r="Q51" s="20" t="inlineStr">
        <is>
          <t>40</t>
        </is>
      </c>
      <c r="R51" s="20" t="n">
        <v>40</v>
      </c>
      <c r="S51" s="20" t="n">
        <v>0.2</v>
      </c>
      <c r="T51" s="20" t="n">
        <v>0.1</v>
      </c>
      <c r="U51" s="20" t="n">
        <v>0.2</v>
      </c>
    </row>
    <row r="52">
      <c r="A52" s="51" t="inlineStr">
        <is>
          <t>B151</t>
        </is>
      </c>
      <c r="B52" s="51" t="inlineStr">
        <is>
          <t>Ingeniería Química</t>
        </is>
      </c>
      <c r="C52" s="51" t="inlineStr">
        <is>
          <t>DOCTORADO EN INGENIERÍA QUÍMICA</t>
        </is>
      </c>
      <c r="D52" s="51" t="inlineStr">
        <is>
          <t>Tobarra Moroño, Daniel</t>
        </is>
      </c>
      <c r="E52" s="51" t="inlineStr">
        <is>
          <t>CONTRIBUCION Y EVOLUCION DE LAS FUENTES DE MATERIAL PARTICULADO (PM10) EN EL PUERTO DE ALICANTE DURANTE EL PERIDO 2017-2023</t>
        </is>
      </c>
      <c r="F52" s="51" t="inlineStr">
        <is>
          <t>15/07/2025</t>
        </is>
      </c>
      <c r="G52" s="51" t="inlineStr">
        <is>
          <t>'-</t>
        </is>
      </c>
      <c r="H52" s="51" t="inlineStr">
        <is>
          <t>Codirector de tesis</t>
        </is>
      </c>
      <c r="I52" s="52" t="inlineStr">
        <is>
          <t>B151</t>
        </is>
      </c>
      <c r="J52" s="51" t="inlineStr">
        <is>
          <t>Ingeniería Química</t>
        </is>
      </c>
      <c r="K52" s="20" t="n">
        <v>0.5</v>
      </c>
      <c r="L52" s="20" t="inlineStr">
        <is>
          <t>B151</t>
        </is>
      </c>
      <c r="M52" s="20" t="n">
        <v>2024</v>
      </c>
      <c r="N52" s="20" t="inlineStr"/>
      <c r="O52" s="20" t="inlineStr"/>
      <c r="P52" s="20" t="inlineStr"/>
      <c r="Q52" s="20" t="inlineStr"/>
      <c r="R52" s="20" t="n">
        <v>100</v>
      </c>
      <c r="S52" s="20" t="n">
        <v>0.5</v>
      </c>
      <c r="T52" s="20" t="n">
        <v>0</v>
      </c>
      <c r="U52" s="20" t="n">
        <v>0</v>
      </c>
    </row>
    <row r="53">
      <c r="A53" s="51" t="inlineStr">
        <is>
          <t>B151</t>
        </is>
      </c>
      <c r="B53" s="51" t="inlineStr">
        <is>
          <t>Ingeniería Química</t>
        </is>
      </c>
      <c r="C53" s="51" t="inlineStr">
        <is>
          <t>DOCTORADO EN INGENIERÍA QUÍMICA</t>
        </is>
      </c>
      <c r="D53" s="51" t="inlineStr">
        <is>
          <t>Berkane , Imene</t>
        </is>
      </c>
      <c r="E53" s="51" t="inlineStr">
        <is>
          <t>Technologies for plastic recycling</t>
        </is>
      </c>
      <c r="F53" s="51" t="inlineStr">
        <is>
          <t>23/01/2025</t>
        </is>
      </c>
      <c r="G53" s="51" t="inlineStr">
        <is>
          <t>48352073R</t>
        </is>
      </c>
      <c r="H53" s="51" t="inlineStr">
        <is>
          <t>Codirector de tesis</t>
        </is>
      </c>
      <c r="I53" s="52" t="inlineStr">
        <is>
          <t>B151</t>
        </is>
      </c>
      <c r="J53" s="51" t="inlineStr">
        <is>
          <t>Ingeniería Química</t>
        </is>
      </c>
      <c r="K53" s="20" t="n">
        <v>0.5</v>
      </c>
      <c r="L53" s="20" t="inlineStr">
        <is>
          <t>B151</t>
        </is>
      </c>
      <c r="M53" s="20" t="n">
        <v>2024</v>
      </c>
      <c r="N53" s="20" t="inlineStr">
        <is>
          <t>10.09</t>
        </is>
      </c>
      <c r="O53" s="20" t="inlineStr">
        <is>
          <t>65</t>
        </is>
      </c>
      <c r="P53" s="20" t="inlineStr"/>
      <c r="Q53" s="20" t="inlineStr"/>
      <c r="R53" s="20" t="n">
        <v>35</v>
      </c>
      <c r="S53" s="20" t="n">
        <v>0.175</v>
      </c>
      <c r="T53" s="20" t="n">
        <v>0.325</v>
      </c>
      <c r="U53" s="20" t="n">
        <v>0</v>
      </c>
    </row>
    <row r="54">
      <c r="A54" s="51" t="inlineStr">
        <is>
          <t>B151</t>
        </is>
      </c>
      <c r="B54" s="51" t="inlineStr">
        <is>
          <t>Ingeniería Química</t>
        </is>
      </c>
      <c r="C54" s="51" t="inlineStr">
        <is>
          <t>DOCTORADO EN INGENIERÍA QUÍMICA</t>
        </is>
      </c>
      <c r="D54" s="51" t="inlineStr">
        <is>
          <t>Berkane , Imene</t>
        </is>
      </c>
      <c r="E54" s="51" t="inlineStr">
        <is>
          <t>Technologies for plastic recycling</t>
        </is>
      </c>
      <c r="F54" s="51" t="inlineStr">
        <is>
          <t>23/01/2025</t>
        </is>
      </c>
      <c r="G54" s="51" t="inlineStr">
        <is>
          <t>73768475T</t>
        </is>
      </c>
      <c r="H54" s="51" t="inlineStr">
        <is>
          <t>Codirector de tesis</t>
        </is>
      </c>
      <c r="I54" s="52" t="inlineStr">
        <is>
          <t>B151</t>
        </is>
      </c>
      <c r="J54" s="51" t="inlineStr">
        <is>
          <t>Ingeniería Química</t>
        </is>
      </c>
      <c r="K54" s="20" t="n">
        <v>0.5</v>
      </c>
      <c r="L54" s="20" t="inlineStr">
        <is>
          <t>B151</t>
        </is>
      </c>
      <c r="M54" s="20" t="n">
        <v>2024</v>
      </c>
      <c r="N54" s="20" t="inlineStr">
        <is>
          <t>10.09</t>
        </is>
      </c>
      <c r="O54" s="20" t="inlineStr">
        <is>
          <t>55</t>
        </is>
      </c>
      <c r="P54" s="20" t="inlineStr">
        <is>
          <t>10.05</t>
        </is>
      </c>
      <c r="Q54" s="20" t="inlineStr">
        <is>
          <t>10</t>
        </is>
      </c>
      <c r="R54" s="20" t="n">
        <v>35</v>
      </c>
      <c r="S54" s="20" t="n">
        <v>0.175</v>
      </c>
      <c r="T54" s="20" t="n">
        <v>0.275</v>
      </c>
      <c r="U54" s="20" t="n">
        <v>0.05</v>
      </c>
    </row>
    <row r="55">
      <c r="A55" s="51" t="inlineStr">
        <is>
          <t>U020</t>
        </is>
      </c>
      <c r="B55" s="51" t="inlineStr">
        <is>
          <t>Instituto Universitario Agua y Ciencias Ambientales (10.05)</t>
        </is>
      </c>
      <c r="C55" s="51" t="inlineStr">
        <is>
          <t>DOCTORADO EN AGUA Y DESARROLLO SOSTENIBLE</t>
        </is>
      </c>
      <c r="D55" s="51" t="inlineStr">
        <is>
          <t>Córdova de Horta, Daniela</t>
        </is>
      </c>
      <c r="E55" s="51" t="inlineStr">
        <is>
          <t>Simulación dinámica de inundaciones compuestas. Caso de estudio: Malecón de la Habana, Cuba.</t>
        </is>
      </c>
      <c r="F55" s="51" t="inlineStr">
        <is>
          <t>26/09/2025</t>
        </is>
      </c>
      <c r="G55" s="51" t="inlineStr">
        <is>
          <t>73768475T</t>
        </is>
      </c>
      <c r="H55" s="51" t="inlineStr">
        <is>
          <t>Codirector de tesis</t>
        </is>
      </c>
      <c r="I55" s="52" t="inlineStr">
        <is>
          <t>B151</t>
        </is>
      </c>
      <c r="J55" s="51" t="inlineStr">
        <is>
          <t>Ingeniería Química</t>
        </is>
      </c>
      <c r="K55" s="20" t="n">
        <v>0.3333333333333333</v>
      </c>
      <c r="L55" s="20" t="inlineStr">
        <is>
          <t>B151</t>
        </is>
      </c>
      <c r="M55" s="20" t="n">
        <v>2024</v>
      </c>
      <c r="N55" s="20" t="inlineStr">
        <is>
          <t>10.09</t>
        </is>
      </c>
      <c r="O55" s="20" t="inlineStr">
        <is>
          <t>55</t>
        </is>
      </c>
      <c r="P55" s="20" t="inlineStr">
        <is>
          <t>10.05</t>
        </is>
      </c>
      <c r="Q55" s="20" t="inlineStr">
        <is>
          <t>10</t>
        </is>
      </c>
      <c r="R55" s="20" t="n">
        <v>35</v>
      </c>
      <c r="S55" s="20" t="n">
        <v>0.1166666666666667</v>
      </c>
      <c r="T55" s="20" t="n">
        <v>0.1833333333333333</v>
      </c>
      <c r="U55" s="20" t="n">
        <v>0.03333333333333333</v>
      </c>
    </row>
    <row r="56" customFormat="1" s="57">
      <c r="A56" s="51" t="inlineStr">
        <is>
          <t>U040</t>
        </is>
      </c>
      <c r="B56" s="51" t="inlineStr">
        <is>
          <t>I.U de Ingeniería de los Procesos Químicos(10.09)</t>
        </is>
      </c>
      <c r="C56" s="51" t="inlineStr">
        <is>
          <t>DOCTORADO EN INGENIERÍA QUÍMICA</t>
        </is>
      </c>
      <c r="D56" s="51" t="inlineStr">
        <is>
          <t>GARCIA CORRECHER, RUBEN</t>
        </is>
      </c>
      <c r="E56" s="51" t="inlineStr">
        <is>
          <t>Carbon-Encapsulated Iron Nanoparticles from Biomass: Synthesis and Applications</t>
        </is>
      </c>
      <c r="F56" s="51" t="inlineStr">
        <is>
          <t>28/02/2025</t>
        </is>
      </c>
      <c r="G56" s="51" t="inlineStr">
        <is>
          <t>48352073R</t>
        </is>
      </c>
      <c r="H56" s="51" t="inlineStr">
        <is>
          <t>Codirector de tesis</t>
        </is>
      </c>
      <c r="I56" s="52" t="inlineStr">
        <is>
          <t>B151</t>
        </is>
      </c>
      <c r="J56" s="51" t="inlineStr">
        <is>
          <t>Ingeniería Química</t>
        </is>
      </c>
      <c r="K56" s="20" t="n">
        <v>0.5</v>
      </c>
      <c r="L56" s="20" t="inlineStr">
        <is>
          <t>B151</t>
        </is>
      </c>
      <c r="M56" s="20" t="n">
        <v>2024</v>
      </c>
      <c r="N56" s="20" t="inlineStr">
        <is>
          <t>10.09</t>
        </is>
      </c>
      <c r="O56" s="20" t="inlineStr">
        <is>
          <t>65</t>
        </is>
      </c>
      <c r="P56" s="20" t="inlineStr"/>
      <c r="Q56" s="20" t="inlineStr"/>
      <c r="R56" s="20" t="n">
        <v>35</v>
      </c>
      <c r="S56" s="20" t="n">
        <v>0.175</v>
      </c>
      <c r="T56" s="20" t="n">
        <v>0.325</v>
      </c>
      <c r="U56" s="20" t="n">
        <v>0</v>
      </c>
      <c r="V56" s="55" t="n"/>
      <c r="Y56" s="45" t="n"/>
    </row>
    <row r="57">
      <c r="A57" s="51" t="inlineStr">
        <is>
          <t>U040</t>
        </is>
      </c>
      <c r="B57" s="51" t="inlineStr">
        <is>
          <t>I.U de Ingeniería de los Procesos Químicos(10.09)</t>
        </is>
      </c>
      <c r="C57" s="51" t="inlineStr">
        <is>
          <t>DOCTORADO EN INGENIERÍA QUÍMICA</t>
        </is>
      </c>
      <c r="D57" s="51" t="inlineStr">
        <is>
          <t>GARCIA CORRECHER, RUBEN</t>
        </is>
      </c>
      <c r="E57" s="51" t="inlineStr">
        <is>
          <t>Carbon-Encapsulated Iron Nanoparticles from Biomass: Synthesis and Applications</t>
        </is>
      </c>
      <c r="F57" s="51" t="inlineStr">
        <is>
          <t>28/02/2025</t>
        </is>
      </c>
      <c r="G57" s="51" t="inlineStr">
        <is>
          <t>73768475T</t>
        </is>
      </c>
      <c r="H57" s="51" t="inlineStr">
        <is>
          <t>Codirector de tesis</t>
        </is>
      </c>
      <c r="I57" s="52" t="inlineStr">
        <is>
          <t>B151</t>
        </is>
      </c>
      <c r="J57" s="51" t="inlineStr">
        <is>
          <t>Ingeniería Química</t>
        </is>
      </c>
      <c r="K57" s="20" t="n">
        <v>0.5</v>
      </c>
      <c r="L57" s="20" t="inlineStr">
        <is>
          <t>B151</t>
        </is>
      </c>
      <c r="M57" s="20" t="n">
        <v>2024</v>
      </c>
      <c r="N57" s="20" t="inlineStr">
        <is>
          <t>10.09</t>
        </is>
      </c>
      <c r="O57" s="20" t="inlineStr">
        <is>
          <t>55</t>
        </is>
      </c>
      <c r="P57" s="20" t="inlineStr">
        <is>
          <t>10.05</t>
        </is>
      </c>
      <c r="Q57" s="20" t="inlineStr">
        <is>
          <t>10</t>
        </is>
      </c>
      <c r="R57" s="20" t="n">
        <v>35</v>
      </c>
      <c r="S57" s="20" t="n">
        <v>0.175</v>
      </c>
      <c r="T57" s="20" t="n">
        <v>0.275</v>
      </c>
      <c r="U57" s="20" t="n">
        <v>0.05</v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30">
        <f>SUM(S2:S57)</f>
        <v/>
      </c>
      <c r="T58" s="2" t="n"/>
      <c r="U58" s="2" t="n"/>
    </row>
  </sheetData>
  <autoFilter ref="A1:U1">
    <sortState ref="A2:T1862">
      <sortCondition ref="K2:K1862"/>
      <sortCondition ref="L2:L1862"/>
      <sortCondition ref="D2:D1862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6"/>
  <sheetViews>
    <sheetView zoomScaleNormal="100" workbookViewId="0">
      <selection activeCell="S26" sqref="S26"/>
    </sheetView>
  </sheetViews>
  <sheetFormatPr baseColWidth="10" defaultColWidth="11.42578125" defaultRowHeight="12.75"/>
  <cols>
    <col width="10.5703125" bestFit="1" customWidth="1" style="9" min="1" max="1"/>
    <col width="48.28515625" bestFit="1" customWidth="1" style="9" min="2" max="2"/>
    <col width="14.5703125" bestFit="1" customWidth="1" style="9" min="3" max="3"/>
    <col width="3.28515625" bestFit="1" customWidth="1" style="9" min="4" max="9"/>
    <col width="13.140625" bestFit="1" customWidth="1" style="9" min="10" max="10"/>
    <col width="5.28515625" bestFit="1" customWidth="1" style="9" min="11" max="11"/>
    <col width="5.7109375" bestFit="1" customWidth="1" style="9" min="12" max="13"/>
    <col width="5.7109375" bestFit="1" customWidth="1" style="10" min="14" max="14"/>
    <col width="5.7109375" bestFit="1" customWidth="1" style="9" min="15" max="15"/>
    <col width="5.7109375" bestFit="1" customWidth="1" style="10" min="16" max="16"/>
    <col width="5.7109375" bestFit="1" customWidth="1" style="9" min="17" max="19"/>
    <col width="11.42578125" customWidth="1" style="9" min="20" max="16384"/>
  </cols>
  <sheetData>
    <row r="1" ht="60" customFormat="1" customHeight="1" s="8">
      <c r="A1" s="11" t="inlineStr">
        <is>
          <t>NIF</t>
        </is>
      </c>
      <c r="B1" s="11" t="inlineStr">
        <is>
          <t>NOMBRE_COMPLETO</t>
        </is>
      </c>
      <c r="C1" s="11" t="inlineStr">
        <is>
          <t>TIPO_SEXENIO</t>
        </is>
      </c>
      <c r="D1" s="12" t="inlineStr">
        <is>
          <t>2020</t>
        </is>
      </c>
      <c r="E1" s="12" t="inlineStr">
        <is>
          <t>2021</t>
        </is>
      </c>
      <c r="F1" s="12" t="inlineStr">
        <is>
          <t>2022</t>
        </is>
      </c>
      <c r="G1" s="12" t="inlineStr">
        <is>
          <t>2023</t>
        </is>
      </c>
      <c r="H1" s="12" t="inlineStr">
        <is>
          <t>2024</t>
        </is>
      </c>
      <c r="I1" s="12" t="inlineStr">
        <is>
          <t>2025</t>
        </is>
      </c>
      <c r="J1" s="11" t="inlineStr">
        <is>
          <t>Total general</t>
        </is>
      </c>
      <c r="K1" s="13" t="inlineStr">
        <is>
          <t>COD DEP</t>
        </is>
      </c>
      <c r="L1" s="6" t="inlineStr">
        <is>
          <t>INS
1</t>
        </is>
      </c>
      <c r="M1" s="6" t="inlineStr">
        <is>
          <t>DED
INS 1</t>
        </is>
      </c>
      <c r="N1" s="6" t="inlineStr">
        <is>
          <t>INS
2</t>
        </is>
      </c>
      <c r="O1" s="6" t="inlineStr">
        <is>
          <t>DED
INS 2</t>
        </is>
      </c>
      <c r="P1" s="7" t="inlineStr">
        <is>
          <t>DED
DEP</t>
        </is>
      </c>
      <c r="Q1" s="7" t="inlineStr">
        <is>
          <t>SEX
INS 1</t>
        </is>
      </c>
      <c r="R1" s="7" t="inlineStr">
        <is>
          <t>SEX
INS 2</t>
        </is>
      </c>
      <c r="S1" s="7" t="inlineStr">
        <is>
          <t>SEX
DEP</t>
        </is>
      </c>
      <c r="T1" s="9" t="n"/>
    </row>
    <row r="2" ht="15" customHeight="1">
      <c r="A2" s="14" t="inlineStr">
        <is>
          <t>21399719J</t>
        </is>
      </c>
      <c r="B2" s="14" t="inlineStr">
        <is>
          <t>Gomis Yagües, Vicente R.</t>
        </is>
      </c>
      <c r="C2" s="14" t="inlineStr">
        <is>
          <t>FUNCIONARIO</t>
        </is>
      </c>
      <c r="D2" s="14" t="n"/>
      <c r="E2" s="14" t="n"/>
      <c r="F2" s="14" t="n">
        <v>1</v>
      </c>
      <c r="G2" s="14" t="n"/>
      <c r="H2" s="14" t="n"/>
      <c r="I2" s="14" t="n"/>
      <c r="J2" s="14" t="n">
        <v>1</v>
      </c>
      <c r="K2" s="14" t="inlineStr">
        <is>
          <t>B151</t>
        </is>
      </c>
      <c r="L2" s="15" t="inlineStr">
        <is>
          <t>10.09</t>
        </is>
      </c>
      <c r="M2" s="15" t="inlineStr">
        <is>
          <t>65</t>
        </is>
      </c>
      <c r="N2" s="15" t="inlineStr">
        <is>
          <t>10.05</t>
        </is>
      </c>
      <c r="O2" s="15" t="inlineStr">
        <is>
          <t>10</t>
        </is>
      </c>
      <c r="P2" s="15" t="n">
        <v>25</v>
      </c>
      <c r="Q2" s="15" t="n">
        <v>0.65</v>
      </c>
      <c r="R2" s="15" t="n">
        <v>0.1</v>
      </c>
      <c r="S2" s="15" t="n">
        <v>0.25</v>
      </c>
    </row>
    <row r="3" ht="15" customHeight="1">
      <c r="A3" s="14" t="inlineStr">
        <is>
          <t>21420512Z</t>
        </is>
      </c>
      <c r="B3" s="14" t="inlineStr">
        <is>
          <t>Gómez Siurana, María de los Desamparados</t>
        </is>
      </c>
      <c r="C3" s="14" t="inlineStr">
        <is>
          <t>FUNCIONARIO</t>
        </is>
      </c>
      <c r="D3" s="14" t="n"/>
      <c r="E3" s="14" t="n"/>
      <c r="F3" s="14" t="n"/>
      <c r="G3" s="14" t="n"/>
      <c r="H3" s="14" t="n">
        <v>1</v>
      </c>
      <c r="I3" s="14" t="n"/>
      <c r="J3" s="14" t="n">
        <v>1</v>
      </c>
      <c r="K3" s="14" t="inlineStr">
        <is>
          <t>B151</t>
        </is>
      </c>
      <c r="L3" s="15" t="inlineStr">
        <is>
          <t>10.09</t>
        </is>
      </c>
      <c r="M3" s="15" t="inlineStr">
        <is>
          <t>65</t>
        </is>
      </c>
      <c r="N3" s="15" t="inlineStr"/>
      <c r="O3" s="15" t="inlineStr"/>
      <c r="P3" s="15" t="n">
        <v>35</v>
      </c>
      <c r="Q3" s="15" t="n">
        <v>0.65</v>
      </c>
      <c r="R3" s="15" t="n">
        <v>0</v>
      </c>
      <c r="S3" s="15" t="n">
        <v>0.35</v>
      </c>
    </row>
    <row r="4" ht="15" customHeight="1">
      <c r="A4" s="14" t="inlineStr">
        <is>
          <t>21444613B</t>
        </is>
      </c>
      <c r="B4" s="14" t="inlineStr">
        <is>
          <t>Carratalá Giménez, Adoración Asunción</t>
        </is>
      </c>
      <c r="C4" s="14" t="inlineStr">
        <is>
          <t>FUNCIONARIO</t>
        </is>
      </c>
      <c r="D4" s="14" t="n">
        <v>1</v>
      </c>
      <c r="E4" s="14" t="n"/>
      <c r="F4" s="14" t="n"/>
      <c r="G4" s="14" t="n"/>
      <c r="H4" s="14" t="n"/>
      <c r="I4" s="14" t="n"/>
      <c r="J4" s="14" t="n">
        <v>1</v>
      </c>
      <c r="K4" s="14" t="inlineStr">
        <is>
          <t>B151</t>
        </is>
      </c>
      <c r="L4" s="15" t="inlineStr">
        <is>
          <t>10.05</t>
        </is>
      </c>
      <c r="M4" s="15" t="inlineStr">
        <is>
          <t>20</t>
        </is>
      </c>
      <c r="N4" s="15" t="inlineStr">
        <is>
          <t>10.09</t>
        </is>
      </c>
      <c r="O4" s="15" t="inlineStr">
        <is>
          <t>40</t>
        </is>
      </c>
      <c r="P4" s="15" t="n">
        <v>40</v>
      </c>
      <c r="Q4" s="15" t="n">
        <v>0.2</v>
      </c>
      <c r="R4" s="15" t="n">
        <v>0.4</v>
      </c>
      <c r="S4" s="15" t="n">
        <v>0.4</v>
      </c>
    </row>
    <row r="5" ht="15" customHeight="1">
      <c r="A5" s="14" t="inlineStr">
        <is>
          <t>21455103J</t>
        </is>
      </c>
      <c r="B5" s="14" t="inlineStr">
        <is>
          <t>Boluda Botella, Nuria</t>
        </is>
      </c>
      <c r="C5" s="14" t="inlineStr">
        <is>
          <t>FUNCIONARIO</t>
        </is>
      </c>
      <c r="D5" s="14" t="n"/>
      <c r="E5" s="14" t="n"/>
      <c r="F5" s="14" t="n">
        <v>1</v>
      </c>
      <c r="G5" s="14" t="n"/>
      <c r="H5" s="14" t="n"/>
      <c r="I5" s="14" t="n"/>
      <c r="J5" s="14" t="n">
        <v>1</v>
      </c>
      <c r="K5" s="14" t="inlineStr">
        <is>
          <t>B151</t>
        </is>
      </c>
      <c r="L5" s="15" t="inlineStr">
        <is>
          <t>10.05</t>
        </is>
      </c>
      <c r="M5" s="15" t="inlineStr">
        <is>
          <t>20</t>
        </is>
      </c>
      <c r="N5" s="15" t="inlineStr">
        <is>
          <t>10.09</t>
        </is>
      </c>
      <c r="O5" s="15" t="inlineStr">
        <is>
          <t>40</t>
        </is>
      </c>
      <c r="P5" s="15" t="n">
        <v>40</v>
      </c>
      <c r="Q5" s="15" t="n">
        <v>0.2</v>
      </c>
      <c r="R5" s="15" t="n">
        <v>0.4</v>
      </c>
      <c r="S5" s="15" t="n">
        <v>0.4</v>
      </c>
    </row>
    <row r="6" ht="15" customHeight="1">
      <c r="A6" s="14" t="inlineStr">
        <is>
          <t>21462400L</t>
        </is>
      </c>
      <c r="B6" s="14" t="inlineStr">
        <is>
          <t>Martín Gullón, Ignacio</t>
        </is>
      </c>
      <c r="C6" s="14" t="inlineStr">
        <is>
          <t>FUNCIONARIO</t>
        </is>
      </c>
      <c r="D6" s="14" t="n"/>
      <c r="E6" s="14" t="n"/>
      <c r="F6" s="14" t="n">
        <v>1</v>
      </c>
      <c r="G6" s="14" t="n"/>
      <c r="H6" s="14" t="n"/>
      <c r="I6" s="14" t="n"/>
      <c r="J6" s="14" t="n">
        <v>1</v>
      </c>
      <c r="K6" s="14" t="inlineStr">
        <is>
          <t>B151</t>
        </is>
      </c>
      <c r="L6" s="15" t="inlineStr">
        <is>
          <t>10.09</t>
        </is>
      </c>
      <c r="M6" s="15" t="inlineStr">
        <is>
          <t>65</t>
        </is>
      </c>
      <c r="N6" s="15" t="inlineStr"/>
      <c r="O6" s="15" t="inlineStr"/>
      <c r="P6" s="15" t="n">
        <v>35</v>
      </c>
      <c r="Q6" s="15" t="n">
        <v>0.65</v>
      </c>
      <c r="R6" s="15" t="n">
        <v>0</v>
      </c>
      <c r="S6" s="15" t="n">
        <v>0.35</v>
      </c>
    </row>
    <row r="7" ht="15" customHeight="1">
      <c r="A7" s="14" t="inlineStr">
        <is>
          <t>21470517V</t>
        </is>
      </c>
      <c r="B7" s="14" t="inlineStr">
        <is>
          <t>García Cortés, Ángela Nuria</t>
        </is>
      </c>
      <c r="C7" s="14" t="n">
        <v>6</v>
      </c>
      <c r="D7" s="14" t="n"/>
      <c r="E7" s="14" t="n"/>
      <c r="F7" s="14" t="n"/>
      <c r="G7" s="14" t="n"/>
      <c r="H7" s="14" t="n"/>
      <c r="I7" s="14" t="n">
        <v>1</v>
      </c>
      <c r="J7" s="14" t="n">
        <v>1</v>
      </c>
      <c r="K7" s="14" t="inlineStr">
        <is>
          <t>B151</t>
        </is>
      </c>
      <c r="L7" s="15" t="inlineStr">
        <is>
          <t>10.09</t>
        </is>
      </c>
      <c r="M7" s="15" t="inlineStr">
        <is>
          <t>65</t>
        </is>
      </c>
      <c r="N7" s="15" t="inlineStr"/>
      <c r="O7" s="15" t="inlineStr"/>
      <c r="P7" s="15" t="n">
        <v>35</v>
      </c>
      <c r="Q7" s="15" t="n">
        <v>0.65</v>
      </c>
      <c r="R7" s="15" t="n">
        <v>0</v>
      </c>
      <c r="S7" s="15" t="n">
        <v>0.35</v>
      </c>
    </row>
    <row r="8" ht="15" customHeight="1">
      <c r="A8" s="14" t="inlineStr">
        <is>
          <t>21474957H</t>
        </is>
      </c>
      <c r="B8" s="14" t="inlineStr">
        <is>
          <t>Asensi Steegmann, Juan Carlos</t>
        </is>
      </c>
      <c r="C8" s="14" t="inlineStr">
        <is>
          <t>FUNCIONARIO</t>
        </is>
      </c>
      <c r="D8" s="14" t="n"/>
      <c r="E8" s="14" t="n"/>
      <c r="F8" s="14" t="n"/>
      <c r="G8" s="14" t="n">
        <v>1</v>
      </c>
      <c r="H8" s="14" t="n"/>
      <c r="I8" s="14" t="n"/>
      <c r="J8" s="14" t="n">
        <v>1</v>
      </c>
      <c r="K8" s="14" t="inlineStr">
        <is>
          <t>B151</t>
        </is>
      </c>
      <c r="L8" s="15" t="inlineStr">
        <is>
          <t>10.05</t>
        </is>
      </c>
      <c r="M8" s="15" t="inlineStr">
        <is>
          <t>10</t>
        </is>
      </c>
      <c r="N8" s="15" t="inlineStr">
        <is>
          <t>10.09</t>
        </is>
      </c>
      <c r="O8" s="15" t="inlineStr">
        <is>
          <t>40</t>
        </is>
      </c>
      <c r="P8" s="15" t="n">
        <v>50</v>
      </c>
      <c r="Q8" s="15" t="n">
        <v>0.1</v>
      </c>
      <c r="R8" s="15" t="n">
        <v>0.4</v>
      </c>
      <c r="S8" s="15" t="n">
        <v>0.5</v>
      </c>
    </row>
    <row r="9" ht="15" customHeight="1">
      <c r="A9" s="14" t="inlineStr">
        <is>
          <t>21477495A</t>
        </is>
      </c>
      <c r="B9" s="14" t="inlineStr">
        <is>
          <t>Caballero Suárez, José Antonio</t>
        </is>
      </c>
      <c r="C9" s="14" t="inlineStr">
        <is>
          <t>FUNCIONARIO</t>
        </is>
      </c>
      <c r="D9" s="14" t="n"/>
      <c r="E9" s="14" t="n"/>
      <c r="F9" s="14" t="n"/>
      <c r="G9" s="14" t="n">
        <v>1</v>
      </c>
      <c r="H9" s="14" t="n"/>
      <c r="I9" s="14" t="n"/>
      <c r="J9" s="14" t="n">
        <v>1</v>
      </c>
      <c r="K9" s="14" t="inlineStr">
        <is>
          <t>B151</t>
        </is>
      </c>
      <c r="L9" s="15" t="inlineStr">
        <is>
          <t>10.09</t>
        </is>
      </c>
      <c r="M9" s="15" t="inlineStr">
        <is>
          <t>65</t>
        </is>
      </c>
      <c r="N9" s="15" t="inlineStr"/>
      <c r="O9" s="15" t="inlineStr"/>
      <c r="P9" s="15" t="n">
        <v>35</v>
      </c>
      <c r="Q9" s="15" t="n">
        <v>0.65</v>
      </c>
      <c r="R9" s="15" t="n">
        <v>0</v>
      </c>
      <c r="S9" s="15" t="n">
        <v>0.35</v>
      </c>
    </row>
    <row r="10" ht="15" customHeight="1">
      <c r="A10" s="14" t="inlineStr">
        <is>
          <t>21482281M</t>
        </is>
      </c>
      <c r="B10" s="14" t="inlineStr">
        <is>
          <t>Fernández Torres, María José</t>
        </is>
      </c>
      <c r="C10" s="14" t="inlineStr">
        <is>
          <t>FUNCIONARIO</t>
        </is>
      </c>
      <c r="D10" s="14" t="n"/>
      <c r="E10" s="14" t="n"/>
      <c r="F10" s="14" t="n"/>
      <c r="G10" s="14" t="n"/>
      <c r="H10" s="14" t="n">
        <v>1</v>
      </c>
      <c r="I10" s="14" t="n"/>
      <c r="J10" s="14" t="n">
        <v>1</v>
      </c>
      <c r="K10" s="14" t="inlineStr">
        <is>
          <t>B151</t>
        </is>
      </c>
      <c r="L10" s="15" t="inlineStr">
        <is>
          <t>10.09</t>
        </is>
      </c>
      <c r="M10" s="15" t="inlineStr">
        <is>
          <t>65</t>
        </is>
      </c>
      <c r="N10" s="15" t="inlineStr"/>
      <c r="O10" s="15" t="inlineStr"/>
      <c r="P10" s="15" t="n">
        <v>35</v>
      </c>
      <c r="Q10" s="15" t="n">
        <v>0.65</v>
      </c>
      <c r="R10" s="15" t="n">
        <v>0</v>
      </c>
      <c r="S10" s="15" t="n">
        <v>0.35</v>
      </c>
    </row>
    <row r="11" ht="15" customHeight="1">
      <c r="A11" s="14" t="inlineStr">
        <is>
          <t>21488087S</t>
        </is>
      </c>
      <c r="B11" s="14" t="inlineStr">
        <is>
          <t>Labarta Reyes, Juan Antonio</t>
        </is>
      </c>
      <c r="C11" s="14" t="inlineStr">
        <is>
          <t>FUNCIONARIO</t>
        </is>
      </c>
      <c r="D11" s="14" t="n">
        <v>1</v>
      </c>
      <c r="E11" s="14" t="n"/>
      <c r="F11" s="14" t="n"/>
      <c r="G11" s="14" t="n"/>
      <c r="H11" s="14" t="n"/>
      <c r="I11" s="14" t="n"/>
      <c r="J11" s="14" t="n">
        <v>1</v>
      </c>
      <c r="K11" s="14" t="inlineStr">
        <is>
          <t>B151</t>
        </is>
      </c>
      <c r="L11" s="15" t="inlineStr">
        <is>
          <t>10.09</t>
        </is>
      </c>
      <c r="M11" s="15" t="inlineStr">
        <is>
          <t>65</t>
        </is>
      </c>
      <c r="N11" s="15" t="inlineStr"/>
      <c r="O11" s="15" t="inlineStr"/>
      <c r="P11" s="15" t="n">
        <v>35</v>
      </c>
      <c r="Q11" s="15" t="n">
        <v>0.65</v>
      </c>
      <c r="R11" s="15" t="n">
        <v>0</v>
      </c>
      <c r="S11" s="15" t="n">
        <v>0.35</v>
      </c>
    </row>
    <row r="12" ht="15" customHeight="1">
      <c r="A12" s="14" t="inlineStr">
        <is>
          <t>21489023P</t>
        </is>
      </c>
      <c r="B12" s="14" t="inlineStr">
        <is>
          <t>Olaya López, María del Mar</t>
        </is>
      </c>
      <c r="C12" s="14" t="inlineStr">
        <is>
          <t>FUNCIONARIO</t>
        </is>
      </c>
      <c r="D12" s="14" t="n"/>
      <c r="E12" s="14" t="n"/>
      <c r="F12" s="14" t="n"/>
      <c r="G12" s="14" t="n">
        <v>1</v>
      </c>
      <c r="H12" s="14" t="n"/>
      <c r="I12" s="14" t="n"/>
      <c r="J12" s="14" t="n">
        <v>1</v>
      </c>
      <c r="K12" s="14" t="inlineStr">
        <is>
          <t>B151</t>
        </is>
      </c>
      <c r="L12" s="15" t="inlineStr">
        <is>
          <t>10.09</t>
        </is>
      </c>
      <c r="M12" s="15" t="inlineStr">
        <is>
          <t>65</t>
        </is>
      </c>
      <c r="N12" s="15" t="inlineStr"/>
      <c r="O12" s="15" t="inlineStr"/>
      <c r="P12" s="15" t="n">
        <v>35</v>
      </c>
      <c r="Q12" s="15" t="n">
        <v>0.65</v>
      </c>
      <c r="R12" s="15" t="n">
        <v>0</v>
      </c>
      <c r="S12" s="15" t="n">
        <v>0.35</v>
      </c>
    </row>
    <row r="13" ht="15" customHeight="1">
      <c r="A13" s="14" t="inlineStr">
        <is>
          <t>21494722A</t>
        </is>
      </c>
      <c r="B13" s="14" t="inlineStr">
        <is>
          <t>García Quesada, Juan Carlos</t>
        </is>
      </c>
      <c r="C13" s="14" t="inlineStr">
        <is>
          <t>FUNCIONARIO</t>
        </is>
      </c>
      <c r="D13" s="14" t="n"/>
      <c r="E13" s="14" t="n"/>
      <c r="F13" s="14" t="n"/>
      <c r="G13" s="14" t="n"/>
      <c r="H13" s="14" t="n">
        <v>1</v>
      </c>
      <c r="I13" s="14" t="n"/>
      <c r="J13" s="14" t="n">
        <v>1</v>
      </c>
      <c r="K13" s="14" t="inlineStr">
        <is>
          <t>B151</t>
        </is>
      </c>
      <c r="L13" s="15" t="inlineStr">
        <is>
          <t>10.09</t>
        </is>
      </c>
      <c r="M13" s="15" t="inlineStr">
        <is>
          <t>65</t>
        </is>
      </c>
      <c r="N13" s="15" t="inlineStr"/>
      <c r="O13" s="15" t="inlineStr"/>
      <c r="P13" s="15" t="n">
        <v>35</v>
      </c>
      <c r="Q13" s="15" t="n">
        <v>0.65</v>
      </c>
      <c r="R13" s="15" t="n">
        <v>0</v>
      </c>
      <c r="S13" s="15" t="n">
        <v>0.35</v>
      </c>
    </row>
    <row r="14" ht="15" customHeight="1">
      <c r="A14" s="14" t="inlineStr">
        <is>
          <t>21496269D</t>
        </is>
      </c>
      <c r="B14" s="14" t="inlineStr">
        <is>
          <t>Saquete Ferrándiz, María Dolores</t>
        </is>
      </c>
      <c r="C14" s="27" t="inlineStr">
        <is>
          <t>FUNCIONARIO</t>
        </is>
      </c>
      <c r="D14" s="14" t="n"/>
      <c r="E14" s="14" t="n">
        <v>1</v>
      </c>
      <c r="F14" s="14" t="n"/>
      <c r="G14" s="14" t="n"/>
      <c r="H14" s="14" t="n"/>
      <c r="I14" s="14" t="n"/>
      <c r="J14" s="14" t="n">
        <v>1</v>
      </c>
      <c r="K14" s="14" t="inlineStr">
        <is>
          <t>B151</t>
        </is>
      </c>
      <c r="L14" s="15" t="inlineStr">
        <is>
          <t>10.09</t>
        </is>
      </c>
      <c r="M14" s="15" t="inlineStr">
        <is>
          <t>65</t>
        </is>
      </c>
      <c r="N14" s="15" t="inlineStr">
        <is>
          <t>10.05</t>
        </is>
      </c>
      <c r="O14" s="15" t="inlineStr">
        <is>
          <t>10</t>
        </is>
      </c>
      <c r="P14" s="15" t="n">
        <v>25</v>
      </c>
      <c r="Q14" s="15" t="n">
        <v>0.65</v>
      </c>
      <c r="R14" s="15" t="n">
        <v>0.1</v>
      </c>
      <c r="S14" s="15" t="n">
        <v>0.25</v>
      </c>
    </row>
    <row r="15" ht="15" customHeight="1">
      <c r="A15" s="14" t="inlineStr">
        <is>
          <t>21510779Y</t>
        </is>
      </c>
      <c r="B15" s="14" t="inlineStr">
        <is>
          <t>Salcedo Díaz, Raquel</t>
        </is>
      </c>
      <c r="C15" s="14" t="inlineStr">
        <is>
          <t>FUNCIONARIO</t>
        </is>
      </c>
      <c r="D15" s="14" t="n"/>
      <c r="E15" s="14" t="n">
        <v>1</v>
      </c>
      <c r="F15" s="14" t="n"/>
      <c r="G15" s="14" t="n"/>
      <c r="H15" s="14" t="n"/>
      <c r="I15" s="14" t="n"/>
      <c r="J15" s="14" t="n">
        <v>1</v>
      </c>
      <c r="K15" s="14" t="inlineStr">
        <is>
          <t>B151</t>
        </is>
      </c>
      <c r="L15" s="15" t="inlineStr">
        <is>
          <t>10.09</t>
        </is>
      </c>
      <c r="M15" s="15" t="inlineStr">
        <is>
          <t>65</t>
        </is>
      </c>
      <c r="N15" s="15" t="inlineStr"/>
      <c r="O15" s="15" t="inlineStr"/>
      <c r="P15" s="15" t="n">
        <v>35</v>
      </c>
      <c r="Q15" s="15" t="n">
        <v>0.65</v>
      </c>
      <c r="R15" s="15" t="n">
        <v>0</v>
      </c>
      <c r="S15" s="15" t="n">
        <v>0.35</v>
      </c>
    </row>
    <row r="16" ht="15" customHeight="1">
      <c r="A16" s="14" t="inlineStr">
        <is>
          <t>21511293Z</t>
        </is>
      </c>
      <c r="B16" s="14" t="inlineStr">
        <is>
          <t>Ruiz Femenia, José Rubén</t>
        </is>
      </c>
      <c r="C16" s="14" t="inlineStr">
        <is>
          <t>FUNCIONARIO</t>
        </is>
      </c>
      <c r="D16" s="14" t="n">
        <v>1</v>
      </c>
      <c r="E16" s="14" t="n"/>
      <c r="F16" s="14" t="n"/>
      <c r="G16" s="14" t="n"/>
      <c r="H16" s="14" t="n"/>
      <c r="I16" s="14" t="n"/>
      <c r="J16" s="14" t="n">
        <v>1</v>
      </c>
      <c r="K16" s="14" t="inlineStr">
        <is>
          <t>B151</t>
        </is>
      </c>
      <c r="L16" s="15" t="inlineStr">
        <is>
          <t>10.09</t>
        </is>
      </c>
      <c r="M16" s="15" t="inlineStr">
        <is>
          <t>65</t>
        </is>
      </c>
      <c r="N16" s="15" t="inlineStr"/>
      <c r="O16" s="15" t="inlineStr"/>
      <c r="P16" s="15" t="n">
        <v>35</v>
      </c>
      <c r="Q16" s="15" t="n">
        <v>0.65</v>
      </c>
      <c r="R16" s="15" t="n">
        <v>0</v>
      </c>
      <c r="S16" s="15" t="n">
        <v>0.35</v>
      </c>
    </row>
    <row r="17" ht="15" customHeight="1">
      <c r="A17" s="14" t="inlineStr">
        <is>
          <t>21513988H</t>
        </is>
      </c>
      <c r="B17" s="14" t="inlineStr">
        <is>
          <t>Molto Berenguer, Julia</t>
        </is>
      </c>
      <c r="C17" s="14" t="inlineStr">
        <is>
          <t>FUNCIONARIO</t>
        </is>
      </c>
      <c r="D17" s="14" t="n"/>
      <c r="E17" s="14" t="n"/>
      <c r="F17" s="14" t="n"/>
      <c r="G17" s="14" t="n">
        <v>1</v>
      </c>
      <c r="H17" s="14" t="n"/>
      <c r="I17" s="14" t="n"/>
      <c r="J17" s="14" t="n">
        <v>1</v>
      </c>
      <c r="K17" s="14" t="inlineStr">
        <is>
          <t>B151</t>
        </is>
      </c>
      <c r="L17" s="15" t="inlineStr">
        <is>
          <t>10.09</t>
        </is>
      </c>
      <c r="M17" s="15" t="inlineStr">
        <is>
          <t>65</t>
        </is>
      </c>
      <c r="N17" s="15" t="inlineStr">
        <is>
          <t>10.05</t>
        </is>
      </c>
      <c r="O17" s="15" t="inlineStr">
        <is>
          <t>10</t>
        </is>
      </c>
      <c r="P17" s="15" t="n">
        <v>25</v>
      </c>
      <c r="Q17" s="15" t="n">
        <v>0.65</v>
      </c>
      <c r="R17" s="15" t="n">
        <v>0.1</v>
      </c>
      <c r="S17" s="15" t="n">
        <v>0.25</v>
      </c>
    </row>
    <row r="18" ht="15" customHeight="1">
      <c r="A18" s="14" t="inlineStr">
        <is>
          <t>22003811X</t>
        </is>
      </c>
      <c r="B18" s="14" t="inlineStr">
        <is>
          <t>Beltrán Rico, María Isabel</t>
        </is>
      </c>
      <c r="C18" s="14" t="inlineStr">
        <is>
          <t>FUNCIONARIO</t>
        </is>
      </c>
      <c r="D18" s="14" t="n"/>
      <c r="E18" s="14" t="n"/>
      <c r="F18" s="14" t="n"/>
      <c r="G18" s="14" t="n"/>
      <c r="H18" s="14" t="n">
        <v>1</v>
      </c>
      <c r="I18" s="14" t="n"/>
      <c r="J18" s="14" t="n">
        <v>1</v>
      </c>
      <c r="K18" s="14" t="inlineStr">
        <is>
          <t>B151</t>
        </is>
      </c>
      <c r="L18" s="15" t="inlineStr">
        <is>
          <t>10.09</t>
        </is>
      </c>
      <c r="M18" s="15" t="inlineStr">
        <is>
          <t>65</t>
        </is>
      </c>
      <c r="N18" s="15" t="inlineStr"/>
      <c r="O18" s="15" t="inlineStr"/>
      <c r="P18" s="15" t="n">
        <v>35</v>
      </c>
      <c r="Q18" s="15" t="n">
        <v>0.65</v>
      </c>
      <c r="R18" s="15" t="n">
        <v>0</v>
      </c>
      <c r="S18" s="15" t="n">
        <v>0.35</v>
      </c>
    </row>
    <row r="19" ht="15" customHeight="1">
      <c r="A19" s="14" t="inlineStr">
        <is>
          <t>22006135B</t>
        </is>
      </c>
      <c r="B19" s="14" t="inlineStr">
        <is>
          <t>Conesa Ferrer, Juan Antonio</t>
        </is>
      </c>
      <c r="C19" s="14" t="inlineStr">
        <is>
          <t>FUNCIONARIO</t>
        </is>
      </c>
      <c r="D19" s="14" t="n"/>
      <c r="E19" s="14" t="n"/>
      <c r="F19" s="14" t="n"/>
      <c r="G19" s="14" t="n">
        <v>1</v>
      </c>
      <c r="H19" s="14" t="n"/>
      <c r="I19" s="14" t="n"/>
      <c r="J19" s="14" t="n">
        <v>1</v>
      </c>
      <c r="K19" s="14" t="inlineStr">
        <is>
          <t>B151</t>
        </is>
      </c>
      <c r="L19" s="15" t="inlineStr">
        <is>
          <t>10.09</t>
        </is>
      </c>
      <c r="M19" s="15" t="inlineStr">
        <is>
          <t>65</t>
        </is>
      </c>
      <c r="N19" s="15" t="inlineStr"/>
      <c r="O19" s="15" t="inlineStr"/>
      <c r="P19" s="15" t="n">
        <v>35</v>
      </c>
      <c r="Q19" s="15" t="n">
        <v>0.65</v>
      </c>
      <c r="R19" s="15" t="n">
        <v>0</v>
      </c>
      <c r="S19" s="15" t="n">
        <v>0.35</v>
      </c>
    </row>
    <row r="20" ht="15" customHeight="1">
      <c r="A20" s="14" t="inlineStr">
        <is>
          <t>48317347M</t>
        </is>
      </c>
      <c r="B20" s="14" t="inlineStr">
        <is>
          <t>Gómez-Rico Núñez de Arenas, María Francisca</t>
        </is>
      </c>
      <c r="C20" s="14" t="inlineStr">
        <is>
          <t>FUNCIONARIO</t>
        </is>
      </c>
      <c r="D20" s="14" t="n">
        <v>1</v>
      </c>
      <c r="E20" s="14" t="n"/>
      <c r="F20" s="14" t="n"/>
      <c r="G20" s="14" t="n"/>
      <c r="H20" s="14" t="n"/>
      <c r="I20" s="14" t="n"/>
      <c r="J20" s="14" t="n">
        <v>1</v>
      </c>
      <c r="K20" s="14" t="inlineStr">
        <is>
          <t>B151</t>
        </is>
      </c>
      <c r="L20" s="15" t="inlineStr">
        <is>
          <t>10.09</t>
        </is>
      </c>
      <c r="M20" s="15" t="inlineStr">
        <is>
          <t>65</t>
        </is>
      </c>
      <c r="N20" s="15" t="inlineStr">
        <is>
          <t>10.05</t>
        </is>
      </c>
      <c r="O20" s="15" t="inlineStr">
        <is>
          <t>10</t>
        </is>
      </c>
      <c r="P20" s="15" t="n">
        <v>25</v>
      </c>
      <c r="Q20" s="15" t="n">
        <v>0.65</v>
      </c>
      <c r="R20" s="15" t="n">
        <v>0.1</v>
      </c>
      <c r="S20" s="15" t="n">
        <v>0.25</v>
      </c>
    </row>
    <row r="21" ht="15" customHeight="1">
      <c r="A21" s="14" t="inlineStr">
        <is>
          <t>48344784A</t>
        </is>
      </c>
      <c r="B21" s="14" t="inlineStr">
        <is>
          <t>Font Escamilla, Alicia</t>
        </is>
      </c>
      <c r="C21" s="14" t="inlineStr">
        <is>
          <t>FUNCIONARIO</t>
        </is>
      </c>
      <c r="D21" s="14" t="n"/>
      <c r="E21" s="14" t="n"/>
      <c r="F21" s="14" t="n">
        <v>1</v>
      </c>
      <c r="G21" s="14" t="n"/>
      <c r="H21" s="14" t="n"/>
      <c r="I21" s="14" t="n"/>
      <c r="J21" s="14" t="n">
        <v>1</v>
      </c>
      <c r="K21" s="14" t="inlineStr">
        <is>
          <t>B151</t>
        </is>
      </c>
      <c r="L21" s="15" t="inlineStr">
        <is>
          <t>10.09</t>
        </is>
      </c>
      <c r="M21" s="15" t="inlineStr">
        <is>
          <t>65</t>
        </is>
      </c>
      <c r="N21" s="15" t="inlineStr"/>
      <c r="O21" s="15" t="inlineStr"/>
      <c r="P21" s="15" t="n">
        <v>35</v>
      </c>
      <c r="Q21" s="15" t="n">
        <v>0.65</v>
      </c>
      <c r="R21" s="15" t="n">
        <v>0</v>
      </c>
      <c r="S21" s="15" t="n">
        <v>0.35</v>
      </c>
    </row>
    <row r="22" ht="15" customHeight="1">
      <c r="A22" s="14" t="inlineStr">
        <is>
          <t>48352073R</t>
        </is>
      </c>
      <c r="B22" s="14" t="inlineStr">
        <is>
          <t>Aracil Sáez, Ignacio</t>
        </is>
      </c>
      <c r="C22" s="14" t="inlineStr">
        <is>
          <t>FUNCIONARIO</t>
        </is>
      </c>
      <c r="D22" s="14" t="n"/>
      <c r="E22" s="14" t="n">
        <v>1</v>
      </c>
      <c r="F22" s="14" t="n"/>
      <c r="G22" s="14" t="n"/>
      <c r="H22" s="14" t="n"/>
      <c r="I22" s="14" t="n"/>
      <c r="J22" s="14" t="n">
        <v>1</v>
      </c>
      <c r="K22" s="14" t="inlineStr">
        <is>
          <t>B151</t>
        </is>
      </c>
      <c r="L22" s="15" t="inlineStr">
        <is>
          <t>10.09</t>
        </is>
      </c>
      <c r="M22" s="15" t="inlineStr">
        <is>
          <t>65</t>
        </is>
      </c>
      <c r="N22" s="15" t="inlineStr"/>
      <c r="O22" s="15" t="inlineStr"/>
      <c r="P22" s="15" t="n">
        <v>35</v>
      </c>
      <c r="Q22" s="15" t="n">
        <v>0.65</v>
      </c>
      <c r="R22" s="15" t="n">
        <v>0</v>
      </c>
      <c r="S22" s="15" t="n">
        <v>0.35</v>
      </c>
    </row>
    <row r="23" ht="15" customHeight="1">
      <c r="A23" s="14" t="inlineStr">
        <is>
          <t>48356166T</t>
        </is>
      </c>
      <c r="B23" s="14" t="inlineStr">
        <is>
          <t>Ortuño García, Nuria</t>
        </is>
      </c>
      <c r="C23" s="14" t="inlineStr">
        <is>
          <t>FUNCIONARIO</t>
        </is>
      </c>
      <c r="D23" s="14" t="n"/>
      <c r="E23" s="14" t="n"/>
      <c r="F23" s="14" t="n"/>
      <c r="G23" s="14" t="n"/>
      <c r="H23" s="14" t="n">
        <v>2</v>
      </c>
      <c r="I23" s="14" t="n"/>
      <c r="J23" s="14" t="n">
        <v>2</v>
      </c>
      <c r="K23" s="14" t="inlineStr">
        <is>
          <t>B151</t>
        </is>
      </c>
      <c r="L23" s="15" t="inlineStr">
        <is>
          <t>10.05</t>
        </is>
      </c>
      <c r="M23" s="15" t="inlineStr">
        <is>
          <t>10</t>
        </is>
      </c>
      <c r="N23" s="15" t="inlineStr">
        <is>
          <t>10.09</t>
        </is>
      </c>
      <c r="O23" s="15" t="inlineStr">
        <is>
          <t>65</t>
        </is>
      </c>
      <c r="P23" s="15" t="n">
        <v>25</v>
      </c>
      <c r="Q23" s="15" t="n">
        <v>0.2</v>
      </c>
      <c r="R23" s="15" t="n">
        <v>1.3</v>
      </c>
      <c r="S23" s="15" t="n">
        <v>0.5</v>
      </c>
    </row>
    <row r="24" ht="15" customHeight="1">
      <c r="A24" s="14" t="inlineStr">
        <is>
          <t>48563727D</t>
        </is>
      </c>
      <c r="B24" s="14" t="inlineStr">
        <is>
          <t>García Cano, Jorge</t>
        </is>
      </c>
      <c r="C24" s="14" t="inlineStr">
        <is>
          <t>NO FUNCIONARIO</t>
        </is>
      </c>
      <c r="D24" s="14" t="n"/>
      <c r="E24" s="14" t="n"/>
      <c r="F24" s="14" t="n"/>
      <c r="G24" s="14" t="n"/>
      <c r="H24" s="14" t="n"/>
      <c r="I24" s="14" t="n">
        <v>1</v>
      </c>
      <c r="J24" s="14" t="n">
        <v>1</v>
      </c>
      <c r="K24" s="14" t="inlineStr">
        <is>
          <t>B151</t>
        </is>
      </c>
      <c r="L24" s="15" t="n">
        <v>0</v>
      </c>
      <c r="M24" s="15" t="n">
        <v>0</v>
      </c>
      <c r="N24" s="15" t="inlineStr"/>
      <c r="O24" s="15" t="inlineStr"/>
      <c r="P24" s="15" t="n">
        <v>100</v>
      </c>
      <c r="Q24" s="15" t="n">
        <v>0</v>
      </c>
      <c r="R24" s="15" t="n">
        <v>0</v>
      </c>
      <c r="S24" s="15" t="n">
        <v>1</v>
      </c>
    </row>
    <row r="25" ht="15" customHeight="1">
      <c r="A25" s="14" t="inlineStr">
        <is>
          <t>73768475T</t>
        </is>
      </c>
      <c r="B25" s="14" t="inlineStr">
        <is>
          <t>Fullana Font, Andrés</t>
        </is>
      </c>
      <c r="C25" s="14" t="inlineStr">
        <is>
          <t>FUNCIONARIO</t>
        </is>
      </c>
      <c r="D25" s="14" t="n"/>
      <c r="E25" s="14" t="n"/>
      <c r="F25" s="14" t="n">
        <v>1</v>
      </c>
      <c r="G25" s="14" t="n"/>
      <c r="H25" s="14" t="n"/>
      <c r="I25" s="14" t="n"/>
      <c r="J25" s="14" t="n">
        <v>1</v>
      </c>
      <c r="K25" s="14" t="inlineStr">
        <is>
          <t>B151</t>
        </is>
      </c>
      <c r="L25" s="15" t="inlineStr">
        <is>
          <t>10.09</t>
        </is>
      </c>
      <c r="M25" s="15" t="inlineStr">
        <is>
          <t>55</t>
        </is>
      </c>
      <c r="N25" s="15" t="inlineStr">
        <is>
          <t>10.05</t>
        </is>
      </c>
      <c r="O25" s="15" t="inlineStr">
        <is>
          <t>10</t>
        </is>
      </c>
      <c r="P25" s="15" t="n">
        <v>35</v>
      </c>
      <c r="Q25" s="15" t="n">
        <v>0.55</v>
      </c>
      <c r="R25" s="15" t="n">
        <v>0.1</v>
      </c>
      <c r="S25" s="15" t="n">
        <v>0.35</v>
      </c>
    </row>
    <row r="26" ht="15" customHeight="1">
      <c r="A26" s="28" t="n"/>
      <c r="B26" s="28" t="n"/>
      <c r="C26" s="29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69">
        <f>SUM(S2:S25)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F12" sqref="F12"/>
    </sheetView>
  </sheetViews>
  <sheetFormatPr baseColWidth="10" defaultRowHeight="15"/>
  <cols>
    <col width="16.42578125" customWidth="1" min="1" max="1"/>
    <col width="78.5703125" customWidth="1" min="2" max="2"/>
    <col width="15.42578125" customWidth="1" min="3" max="3"/>
  </cols>
  <sheetData>
    <row r="1">
      <c r="A1" s="21" t="inlineStr">
        <is>
          <t>Cód. org. aplic.</t>
        </is>
      </c>
      <c r="B1" s="21" t="inlineStr">
        <is>
          <t>Descripción justificante</t>
        </is>
      </c>
      <c r="C1" s="21" t="inlineStr">
        <is>
          <t>Imp.cob.aplic.</t>
        </is>
      </c>
    </row>
    <row r="2">
      <c r="A2" s="23" t="inlineStr">
        <is>
          <t>35.00.6C.00.14</t>
        </is>
      </c>
      <c r="B2" s="23" t="inlineStr">
        <is>
          <t>Análisis de muestras: FRX, Perlado de muestras, Perdida al fuego, DRX, Horas SEM HR y Preparación de muestras y análisis de resultados</t>
        </is>
      </c>
      <c r="C2" s="70" t="n">
        <v>4439.6</v>
      </c>
    </row>
    <row r="3">
      <c r="A3" s="25" t="inlineStr">
        <is>
          <t>35.00.6C.00.17</t>
        </is>
      </c>
      <c r="B3" s="25" t="inlineStr">
        <is>
          <t>Análisis de 5 muestras: FRX, perlado de muestras, pérdidas al fuego y preparación de muestras y análisis de resultados.</t>
        </is>
      </c>
      <c r="C3" s="71" t="n">
        <v>528</v>
      </c>
    </row>
    <row r="4">
      <c r="A4" s="32" t="inlineStr">
        <is>
          <t>35.00.6C.00.17</t>
        </is>
      </c>
      <c r="B4" s="32" t="inlineStr">
        <is>
          <t>Análisis 5 muestras: FRX, Perlado de muestras, Pérdidas al fuego y Preparación de muestras y análisis de resultados</t>
        </is>
      </c>
      <c r="C4" s="72" t="n">
        <v>528</v>
      </c>
    </row>
    <row r="5">
      <c r="A5" s="31" t="inlineStr">
        <is>
          <t>Total</t>
        </is>
      </c>
      <c r="B5" s="31" t="n"/>
      <c r="C5" s="73">
        <f>SUBTOTAL(109,Tabla2[Imp.cob.aplic.])</f>
        <v/>
      </c>
    </row>
    <row r="6">
      <c r="C6" s="7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6" sqref="B6:C6"/>
    </sheetView>
  </sheetViews>
  <sheetFormatPr baseColWidth="10" defaultRowHeight="15"/>
  <cols>
    <col width="17.85546875" customWidth="1" min="1" max="1"/>
    <col width="51" customWidth="1" min="2" max="2"/>
    <col width="13.28515625" customWidth="1" min="3" max="3"/>
  </cols>
  <sheetData>
    <row r="1">
      <c r="A1" s="35" t="inlineStr">
        <is>
          <t>Org. aplic.</t>
        </is>
      </c>
      <c r="B1" s="35" t="inlineStr">
        <is>
          <t>Descripción justificante</t>
        </is>
      </c>
      <c r="C1" s="75" t="inlineStr">
        <is>
          <t>Imp. aplic.</t>
        </is>
      </c>
    </row>
    <row r="2">
      <c r="A2" s="37" t="inlineStr">
        <is>
          <t>35.00.6C.00.14</t>
        </is>
      </c>
      <c r="B2" s="37" t="inlineStr">
        <is>
          <t>Análisis de muestras de yeso</t>
        </is>
      </c>
      <c r="C2" s="76" t="n">
        <v>4667.52</v>
      </c>
    </row>
    <row r="3">
      <c r="A3" s="39" t="inlineStr">
        <is>
          <t>Total</t>
        </is>
      </c>
      <c r="B3" s="39" t="n"/>
      <c r="C3" s="77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9" sqref="C9"/>
    </sheetView>
  </sheetViews>
  <sheetFormatPr baseColWidth="10" defaultRowHeight="15"/>
  <cols>
    <col width="21.7109375" customWidth="1" min="1" max="1"/>
    <col width="41.140625" customWidth="1" min="2" max="2"/>
  </cols>
  <sheetData>
    <row r="1">
      <c r="A1" s="58" t="inlineStr">
        <is>
          <t>Org. aplic.</t>
        </is>
      </c>
      <c r="B1" s="59" t="inlineStr">
        <is>
          <t>Descripción justificante</t>
        </is>
      </c>
      <c r="C1" s="59" t="inlineStr">
        <is>
          <t>Imp. aplic.</t>
        </is>
      </c>
    </row>
    <row r="2">
      <c r="A2" s="60" t="inlineStr">
        <is>
          <t>35.00.6C.00.14</t>
        </is>
      </c>
      <c r="B2" s="61" t="inlineStr">
        <is>
          <t>ESTUDIO PARA EL CONOCIMIENTO BASE DEL YESO Y DESARROLLO DE NUEVOS PRODUCTOS DE PLACAS DE YESO, YESO LAMINADO, PASTAS Y YESOS. Análisis de muestras</t>
        </is>
      </c>
      <c r="C2" s="78" t="n">
        <v>4495.04</v>
      </c>
    </row>
    <row r="3">
      <c r="A3" s="63" t="inlineStr">
        <is>
          <t>35.00.6C.00.14</t>
        </is>
      </c>
      <c r="B3" s="64" t="inlineStr">
        <is>
          <t>Análisis de muestras. Número de pedido: PO4012614579</t>
        </is>
      </c>
      <c r="C3" s="79" t="n">
        <v>3281.52</v>
      </c>
    </row>
    <row r="4" ht="15.75" customHeight="1" thickBot="1">
      <c r="A4" s="60" t="inlineStr">
        <is>
          <t>35.00.6C.00.22</t>
        </is>
      </c>
      <c r="B4" s="61" t="inlineStr">
        <is>
          <t>Evaluación de contenido por parte del experto técnico del proyecto 951.870 de la empresa INGENEO EQUIPOS INDUSTRIALES, S.L,  "IMIDTA/2025/15: I+D de un novedoso sistema de precalentamiento de la materia prima de los hornos de oxicombustión en la elaboración de fritas cerámicas, para la optimización de la eficiencia energética y reducción de.."</t>
        </is>
      </c>
      <c r="C4" s="78" t="n">
        <v>176</v>
      </c>
    </row>
    <row r="5" ht="15.75" customHeight="1" thickTop="1">
      <c r="A5" s="66" t="inlineStr">
        <is>
          <t>Total</t>
        </is>
      </c>
      <c r="B5" s="67" t="n"/>
      <c r="C5" s="80" t="n">
        <v>7952.559999999999</v>
      </c>
    </row>
    <row r="8">
      <c r="B8" s="43" t="inlineStr">
        <is>
          <t>Total ingresos investigación 2023-25</t>
        </is>
      </c>
      <c r="C8" s="81">
        <f>C5+Tabla2[[#Totals],[Imp.cob.aplic.]]+Tabla3[[#Totals],[Imp.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>
    <row r="1">
      <c r="A1" t="inlineStr">
        <is>
          <t>No hay ingresos de formación en 2023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7" sqref="B7:C7"/>
    </sheetView>
  </sheetViews>
  <sheetFormatPr baseColWidth="10" defaultRowHeight="15"/>
  <cols>
    <col width="17.85546875" customWidth="1" min="1" max="1"/>
    <col width="51" customWidth="1" min="2" max="2"/>
    <col width="13.28515625" customWidth="1" min="3" max="3"/>
  </cols>
  <sheetData>
    <row r="1">
      <c r="A1" s="35" t="inlineStr">
        <is>
          <t>Org. aplic.</t>
        </is>
      </c>
      <c r="B1" s="35" t="inlineStr">
        <is>
          <t>Descripción justificante</t>
        </is>
      </c>
      <c r="C1" s="75" t="inlineStr">
        <is>
          <t>Imp. aplic.</t>
        </is>
      </c>
    </row>
    <row r="2" customFormat="1" s="40">
      <c r="A2" s="39" t="inlineStr">
        <is>
          <t>10.91.2T.00.57</t>
        </is>
      </c>
      <c r="B2" s="39" t="inlineStr">
        <is>
          <t>CÓD: GM09. Microcredencial: Ética en la Investigación. Buenas prácticas y comités de ética.</t>
        </is>
      </c>
      <c r="C2" s="82" t="n">
        <v>571.2</v>
      </c>
    </row>
    <row r="3">
      <c r="A3" s="37" t="inlineStr">
        <is>
          <t>10.91.2T.00.72</t>
        </is>
      </c>
      <c r="B3" s="37" t="inlineStr">
        <is>
          <t xml:space="preserve">CÓD: GM09. Microcredencial.  ÉTICA EN LA INVESTIGACIÓN. BUENAS PRÁCTICAS Y COMITÉS DE ÉTICA _Plan_GM09-N Curso_2024-25_AñoCont_2024  </t>
        </is>
      </c>
      <c r="C3" s="76" t="n">
        <v>244.8</v>
      </c>
    </row>
    <row r="4">
      <c r="A4" s="39" t="inlineStr">
        <is>
          <t>Total</t>
        </is>
      </c>
      <c r="B4" s="39" t="n"/>
      <c r="C4" s="77">
        <f>SUBTOTAL(109,Tabla35[Imp.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D6" sqref="D6"/>
    </sheetView>
  </sheetViews>
  <sheetFormatPr baseColWidth="10" defaultRowHeight="15"/>
  <cols>
    <col width="37.28515625" customWidth="1" min="3" max="3"/>
  </cols>
  <sheetData>
    <row r="2">
      <c r="B2" t="inlineStr">
        <is>
          <t>No hay ingresos de formación en 2025</t>
        </is>
      </c>
    </row>
    <row r="6">
      <c r="C6" s="43" t="inlineStr">
        <is>
          <t>Total ingresos formación 2023-25</t>
        </is>
      </c>
      <c r="D6" s="81">
        <f>Tabla35[[#Totals],[Imp.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2026-05-28T21:59:15Z</dcterms:modified>
  <cp:lastModifiedBy>mayte.pujalte</cp:lastModifiedBy>
</cp:coreProperties>
</file>