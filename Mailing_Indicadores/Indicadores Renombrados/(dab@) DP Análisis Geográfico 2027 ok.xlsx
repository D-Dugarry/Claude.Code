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4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8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</fonts>
  <fills count="12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7" fillId="0" borderId="0"/>
    <xf numFmtId="167" fontId="11" fillId="0" borderId="0"/>
  </cellStyleXfs>
  <cellXfs count="60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3" fillId="2" borderId="1" applyAlignment="1" pivotButton="0" quotePrefix="0" xfId="1">
      <alignment horizontal="center"/>
    </xf>
    <xf numFmtId="0" fontId="3" fillId="2" borderId="1" applyAlignment="1" pivotButton="0" quotePrefix="0" xfId="2">
      <alignment horizontal="center"/>
    </xf>
    <xf numFmtId="0" fontId="3" fillId="2" borderId="1" applyAlignment="1" pivotButton="0" quotePrefix="0" xfId="3">
      <alignment horizontal="center" wrapText="1"/>
    </xf>
    <xf numFmtId="0" fontId="3" fillId="2" borderId="1" applyAlignment="1" pivotButton="0" quotePrefix="0" xfId="3">
      <alignment horizontal="right" wrapText="1"/>
    </xf>
    <xf numFmtId="0" fontId="1" fillId="3" borderId="0" pivotButton="0" quotePrefix="0" xfId="1"/>
    <xf numFmtId="0" fontId="1" fillId="3" borderId="0" applyAlignment="1" pivotButton="0" quotePrefix="0" xfId="1">
      <alignment horizontal="right"/>
    </xf>
    <xf numFmtId="0" fontId="6" fillId="5" borderId="1" applyAlignment="1" pivotButton="0" quotePrefix="0" xfId="3">
      <alignment horizontal="center" textRotation="90" wrapText="1"/>
    </xf>
    <xf numFmtId="0" fontId="6" fillId="2" borderId="1" applyAlignment="1" pivotButton="0" quotePrefix="0" xfId="3">
      <alignment horizontal="center" textRotation="90" wrapText="1"/>
    </xf>
    <xf numFmtId="0" fontId="4" fillId="0" borderId="0" pivotButton="0" quotePrefix="0" xfId="4"/>
    <xf numFmtId="0" fontId="8" fillId="0" borderId="0" pivotButton="0" quotePrefix="0" xfId="4"/>
    <xf numFmtId="0" fontId="8" fillId="0" borderId="0" applyAlignment="1" pivotButton="0" quotePrefix="0" xfId="4">
      <alignment horizontal="right"/>
    </xf>
    <xf numFmtId="0" fontId="5" fillId="4" borderId="1" pivotButton="0" quotePrefix="0" xfId="0"/>
    <xf numFmtId="0" fontId="5" fillId="4" borderId="1" applyAlignment="1" pivotButton="0" quotePrefix="0" xfId="0">
      <alignment textRotation="90"/>
    </xf>
    <xf numFmtId="0" fontId="6" fillId="2" borderId="1" applyAlignment="1" pivotButton="0" quotePrefix="0" xfId="3">
      <alignment horizontal="center" wrapText="1"/>
    </xf>
    <xf numFmtId="0" fontId="1" fillId="3" borderId="1" pivotButton="0" quotePrefix="0" xfId="1"/>
    <xf numFmtId="164" fontId="1" fillId="3" borderId="1" pivotButton="0" quotePrefix="0" xfId="1"/>
    <xf numFmtId="0" fontId="1" fillId="3" borderId="1" applyAlignment="1" pivotButton="0" quotePrefix="0" xfId="1">
      <alignment horizontal="right"/>
    </xf>
    <xf numFmtId="1" fontId="1" fillId="3" borderId="1" pivotButton="0" quotePrefix="0" xfId="1"/>
    <xf numFmtId="0" fontId="10" fillId="6" borderId="1" applyAlignment="1" pivotButton="0" quotePrefix="0" xfId="0">
      <alignment horizontal="left" vertical="center"/>
    </xf>
    <xf numFmtId="2" fontId="1" fillId="3" borderId="1" pivotButton="0" quotePrefix="0" xfId="1"/>
    <xf numFmtId="0" fontId="1" fillId="0" borderId="1" pivotButton="0" quotePrefix="0" xfId="1"/>
    <xf numFmtId="0" fontId="1" fillId="0" borderId="0" pivotButton="0" quotePrefix="0" xfId="1"/>
    <xf numFmtId="165" fontId="1" fillId="3" borderId="1" pivotButton="0" quotePrefix="0" xfId="1"/>
    <xf numFmtId="0" fontId="1" fillId="0" borderId="1" applyAlignment="1" pivotButton="0" quotePrefix="0" xfId="1">
      <alignment horizontal="right"/>
    </xf>
    <xf numFmtId="164" fontId="1" fillId="0" borderId="1" pivotButton="0" quotePrefix="0" xfId="1"/>
    <xf numFmtId="0" fontId="1" fillId="4" borderId="0" pivotButton="0" quotePrefix="0" xfId="1"/>
    <xf numFmtId="0" fontId="1" fillId="4" borderId="0" applyAlignment="1" pivotButton="0" quotePrefix="0" xfId="1">
      <alignment horizontal="right"/>
    </xf>
    <xf numFmtId="0" fontId="8" fillId="4" borderId="0" pivotButton="0" quotePrefix="0" xfId="4"/>
    <xf numFmtId="0" fontId="8" fillId="4" borderId="0" applyAlignment="1" pivotButton="0" quotePrefix="0" xfId="4">
      <alignment horizontal="right"/>
    </xf>
    <xf numFmtId="164" fontId="2" fillId="4" borderId="0" pivotButton="0" quotePrefix="0" xfId="1"/>
    <xf numFmtId="164" fontId="9" fillId="4" borderId="0" pivotButton="0" quotePrefix="0" xfId="4"/>
    <xf numFmtId="0" fontId="8" fillId="0" borderId="1" pivotButton="0" quotePrefix="0" xfId="4"/>
    <xf numFmtId="0" fontId="8" fillId="0" borderId="1" applyAlignment="1" pivotButton="0" quotePrefix="0" xfId="4">
      <alignment horizontal="right"/>
    </xf>
    <xf numFmtId="166" fontId="0" fillId="0" borderId="0" pivotButton="0" quotePrefix="0" xfId="0"/>
    <xf numFmtId="166" fontId="0" fillId="8" borderId="3" pivotButton="0" quotePrefix="0" xfId="5"/>
    <xf numFmtId="0" fontId="8" fillId="8" borderId="3" pivotButton="0" quotePrefix="0" xfId="0"/>
    <xf numFmtId="0" fontId="12" fillId="7" borderId="2" pivotButton="0" quotePrefix="0" xfId="0"/>
    <xf numFmtId="0" fontId="13" fillId="8" borderId="3" pivotButton="0" quotePrefix="0" xfId="0"/>
    <xf numFmtId="0" fontId="6" fillId="9" borderId="1" pivotButton="0" quotePrefix="0" xfId="0"/>
    <xf numFmtId="166" fontId="6" fillId="9" borderId="1" pivotButton="0" quotePrefix="0" xfId="0"/>
    <xf numFmtId="0" fontId="8" fillId="10" borderId="3" pivotButton="0" quotePrefix="0" xfId="0"/>
    <xf numFmtId="166" fontId="11" fillId="10" borderId="3" pivotButton="0" quotePrefix="0" xfId="0"/>
    <xf numFmtId="0" fontId="0" fillId="11" borderId="0" pivotButton="0" quotePrefix="0" xfId="0"/>
    <xf numFmtId="166" fontId="11" fillId="8" borderId="3" pivotButton="0" quotePrefix="0" xfId="5"/>
    <xf numFmtId="166" fontId="11" fillId="10" borderId="3" pivotButton="0" quotePrefix="0" xfId="5"/>
    <xf numFmtId="0" fontId="6" fillId="0" borderId="1" pivotButton="0" quotePrefix="0" xfId="0"/>
    <xf numFmtId="0" fontId="11" fillId="0" borderId="1" pivotButton="0" quotePrefix="0" xfId="4"/>
    <xf numFmtId="164" fontId="1" fillId="3" borderId="1" pivotButton="0" quotePrefix="0" xfId="1"/>
    <xf numFmtId="165" fontId="1" fillId="3" borderId="1" pivotButton="0" quotePrefix="0" xfId="1"/>
    <xf numFmtId="164" fontId="1" fillId="0" borderId="1" pivotButton="0" quotePrefix="0" xfId="1"/>
    <xf numFmtId="164" fontId="2" fillId="4" borderId="0" pivotButton="0" quotePrefix="0" xfId="1"/>
    <xf numFmtId="164" fontId="9" fillId="4" borderId="0" pivotButton="0" quotePrefix="0" xfId="4"/>
    <xf numFmtId="166" fontId="0" fillId="8" borderId="3" pivotButton="0" quotePrefix="0" xfId="5"/>
    <xf numFmtId="166" fontId="11" fillId="10" borderId="3" pivotButton="0" quotePrefix="0" xfId="0"/>
    <xf numFmtId="166" fontId="0" fillId="0" borderId="0" pivotButton="0" quotePrefix="0" xfId="0"/>
    <xf numFmtId="166" fontId="6" fillId="9" borderId="1" pivotButton="0" quotePrefix="0" xfId="0"/>
    <xf numFmtId="166" fontId="11" fillId="10" borderId="3" pivotButton="0" quotePrefix="0" xfId="5"/>
    <xf numFmtId="166" fontId="11" fillId="8" borderId="3" pivotButton="0" quotePrefix="0" xfId="5"/>
  </cellXfs>
  <cellStyles count="6">
    <cellStyle name="Normal" xfId="0" builtinId="0"/>
    <cellStyle name="Normal_Ind.2010" xfId="1"/>
    <cellStyle name="Normal_Becas 14_9_2005" xfId="2"/>
    <cellStyle name="Normal_PDI por Centro" xfId="3"/>
    <cellStyle name="Normal 3" xfId="4"/>
    <cellStyle name="Millares" xfId="5" builtinId="3"/>
  </cellStyles>
  <dxfs count="47"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0" formatCode="General"/>
      <fill>
        <patternFill patternType="solid">
          <fgColor theme="9" tint="0.7999816888943144"/>
          <bgColor theme="0"/>
        </patternFill>
      </fill>
      <border outline="0">
        <left/>
        <right/>
        <top style="thin">
          <color theme="9" tint="0.3999755851924192"/>
        </top>
        <bottom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right style="thin">
          <color theme="9" tint="0.3999755851924192"/>
        </right>
        <top style="thin">
          <color theme="9" tint="0.3999755851924192"/>
        </top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3" headerRowCount="1" totalsRowCount="1" headerRowDxfId="46" dataDxfId="44" totalsRowDxfId="42" headerRowBorderDxfId="45" tableBorderDxfId="43" totalsRowBorderDxfId="41">
  <autoFilter ref="A1:C2"/>
  <tableColumns count="3">
    <tableColumn id="1" name="Cód. org. aplic." totalsRowLabel="Total" dataDxfId="40" totalsRowDxfId="39"/>
    <tableColumn id="2" name="Descripción justificante" dataDxfId="38" totalsRowDxfId="37"/>
    <tableColumn id="3" name="Imp.cob.aplic." totalsRowFunction="sum" dataDxfId="36" totalsRowDxfId="35" data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3" headerRowCount="1" totalsRowCount="1" headerRowDxfId="34" totalsRowDxfId="31" headerRowBorderDxfId="33" tableBorderDxfId="32" totalsRowBorderDxfId="30">
  <autoFilter ref="A1:C2"/>
  <tableColumns count="3">
    <tableColumn id="1" name="Cód. org. aplic." totalsRowLabel="Total" dataDxfId="29" totalsRowDxfId="28"/>
    <tableColumn id="2" name="Descripción justificante" dataDxfId="27" totalsRowDxfId="26"/>
    <tableColumn id="3" name="Imp.cob.aplic." totalsRowFunction="sum" dataDxfId="25" totalsRowDxfId="24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25" displayName="Tabla25" ref="A1:C5" headerRowCount="1" totalsRowCount="1" headerRowDxfId="23" dataDxfId="21" totalsRowDxfId="19" headerRowBorderDxfId="22" tableBorderDxfId="20" totalsRowBorderDxfId="18">
  <autoFilter ref="A1:C4"/>
  <tableColumns count="3">
    <tableColumn id="1" name="Cód. org. aplic." totalsRowLabel="Total" dataDxfId="17" totalsRowDxfId="16"/>
    <tableColumn id="2" name="Descripción justificante" dataDxfId="15" totalsRowDxfId="14"/>
    <tableColumn id="3" name="Imp.cob.aplic." totalsRowFunction="sum" dataDxfId="13" totalsRowDxfId="12" data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256" displayName="Tabla256" ref="A1:C3" headerRowCount="1" totalsRowCount="1" headerRowDxfId="11" dataDxfId="9" totalsRowDxfId="7" headerRowBorderDxfId="10" tableBorderDxfId="8" totalsRowBorderDxfId="6">
  <autoFilter ref="A1:C2"/>
  <tableColumns count="3">
    <tableColumn id="1" name="Cód. org. aplic." totalsRowLabel="Total" dataDxfId="5" totalsRowDxfId="4"/>
    <tableColumn id="2" name="Descripción justificante" dataDxfId="3" totalsRowDxfId="2"/>
    <tableColumn id="3" name="Imp.cob.aplic." totalsRowFunction="sum" dataDxfId="1" totalsRow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24"/>
  <sheetViews>
    <sheetView showGridLines="0" zoomScale="120" zoomScaleNormal="120" workbookViewId="0">
      <pane xSplit="1" ySplit="1" topLeftCell="F5" activePane="bottomRight" state="frozen"/>
      <selection pane="topRight" activeCell="B1" sqref="B1"/>
      <selection pane="bottomLeft" activeCell="A2" sqref="A2"/>
      <selection pane="bottomRight" activeCell="P23" sqref="P23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41.7109375" bestFit="1" customWidth="1" style="6" min="10" max="10"/>
    <col width="6.140625" customWidth="1" style="6" min="11" max="11"/>
    <col width="5.140625" customWidth="1" style="6" min="12" max="12"/>
    <col width="4.42578125" customWidth="1" style="6" min="13" max="13"/>
    <col width="4.85546875" customWidth="1" style="6" min="14" max="14"/>
    <col width="4.85546875" customWidth="1" style="7" min="15" max="15"/>
    <col width="4.85546875" customWidth="1" style="6" min="16" max="16"/>
    <col width="3.5703125" customWidth="1" style="7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6" t="inlineStr">
        <is>
          <t xml:space="preserve">U023 </t>
        </is>
      </c>
      <c r="B2" s="16" t="inlineStr">
        <is>
          <t xml:space="preserve">ADM. FACULTAD DE FILOSOFIA Y LETRAS </t>
        </is>
      </c>
      <c r="C2" s="16" t="inlineStr">
        <is>
          <t xml:space="preserve">DOCTORADO EN FILOSOFÍA Y LETRAS </t>
        </is>
      </c>
      <c r="D2" s="16" t="inlineStr">
        <is>
          <t xml:space="preserve">Villar Navascués, Rubén Alejandro </t>
        </is>
      </c>
      <c r="E2" s="16" t="inlineStr">
        <is>
          <t xml:space="preserve">SISTEMAS DE SUMINISTRO Y TENDENCIAS DE CONSUMO DE AGUA URBANO-TURÍSTICO EN LOS MUNICIPIOS LITORALES DE ALICANTE (2000-2017) </t>
        </is>
      </c>
      <c r="F2" s="16" t="inlineStr">
        <is>
          <t xml:space="preserve">29/11/2019 </t>
        </is>
      </c>
      <c r="G2" s="16" t="inlineStr">
        <is>
          <t xml:space="preserve">21463610X </t>
        </is>
      </c>
      <c r="H2" s="16" t="inlineStr">
        <is>
          <t xml:space="preserve">Codirector de tesis </t>
        </is>
      </c>
      <c r="I2" s="16" t="inlineStr">
        <is>
          <t xml:space="preserve">B173 </t>
        </is>
      </c>
      <c r="J2" s="16" t="inlineStr">
        <is>
          <t xml:space="preserve">ANÁLISIS GEOGRÁFICO REGIONAL Y GEOGRAFÍA FÍSICA </t>
        </is>
      </c>
      <c r="K2" s="49" t="n">
        <v>0.5</v>
      </c>
      <c r="L2" s="16" t="inlineStr">
        <is>
          <t>B173</t>
        </is>
      </c>
      <c r="M2" s="16" t="n">
        <v>2019</v>
      </c>
      <c r="N2" s="16" t="inlineStr">
        <is>
          <t>10.21</t>
        </is>
      </c>
      <c r="O2" s="18" t="inlineStr">
        <is>
          <t>70</t>
        </is>
      </c>
      <c r="P2" s="16" t="inlineStr"/>
      <c r="Q2" s="18" t="inlineStr"/>
      <c r="R2" s="19" t="n">
        <v>30</v>
      </c>
      <c r="S2" s="21" t="n">
        <v>0.15</v>
      </c>
      <c r="T2" s="49" t="n">
        <v>0.35</v>
      </c>
      <c r="U2" s="49" t="n">
        <v>0</v>
      </c>
    </row>
    <row r="3">
      <c r="A3" s="16" t="inlineStr">
        <is>
          <t xml:space="preserve">U023 </t>
        </is>
      </c>
      <c r="B3" s="16" t="inlineStr">
        <is>
          <t xml:space="preserve">ADM. FACULTAD DE FILOSOFIA Y LETRAS </t>
        </is>
      </c>
      <c r="C3" s="16" t="inlineStr">
        <is>
          <t xml:space="preserve">DOCTORADO EN FILOSOFÍA Y LETRAS </t>
        </is>
      </c>
      <c r="D3" s="16" t="inlineStr">
        <is>
          <t xml:space="preserve">Villar Navascués, Rubén Alejandro </t>
        </is>
      </c>
      <c r="E3" s="16" t="inlineStr">
        <is>
          <t xml:space="preserve">SISTEMAS DE SUMINISTRO Y TENDENCIAS DE CONSUMO DE AGUA URBANO-TURÍSTICO EN LOS MUNICIPIOS LITORALES DE ALICANTE (2000-2017) </t>
        </is>
      </c>
      <c r="F3" s="16" t="inlineStr">
        <is>
          <t xml:space="preserve">29/11/2019 </t>
        </is>
      </c>
      <c r="G3" s="16" t="inlineStr">
        <is>
          <t xml:space="preserve">74218439S </t>
        </is>
      </c>
      <c r="H3" s="16" t="inlineStr">
        <is>
          <t xml:space="preserve">Codirector de tesis </t>
        </is>
      </c>
      <c r="I3" s="16" t="inlineStr">
        <is>
          <t xml:space="preserve">B173 </t>
        </is>
      </c>
      <c r="J3" s="16" t="inlineStr">
        <is>
          <t xml:space="preserve">ANÁLISIS GEOGRÁFICO REGIONAL Y GEOGRAFÍA FÍSICA </t>
        </is>
      </c>
      <c r="K3" s="50" t="n">
        <v>0.5</v>
      </c>
      <c r="L3" s="16" t="inlineStr">
        <is>
          <t>B173</t>
        </is>
      </c>
      <c r="M3" s="16" t="n">
        <v>2019</v>
      </c>
      <c r="N3" s="16" t="inlineStr">
        <is>
          <t>10.21</t>
        </is>
      </c>
      <c r="O3" s="18" t="inlineStr">
        <is>
          <t>40</t>
        </is>
      </c>
      <c r="P3" s="16" t="inlineStr">
        <is>
          <t>10.17</t>
        </is>
      </c>
      <c r="Q3" s="18" t="inlineStr">
        <is>
          <t>10</t>
        </is>
      </c>
      <c r="R3" s="19" t="n">
        <v>50</v>
      </c>
      <c r="S3" s="21" t="n">
        <v>0.25</v>
      </c>
      <c r="T3" s="49" t="n">
        <v>0.2</v>
      </c>
      <c r="U3" s="49" t="n">
        <v>0.05</v>
      </c>
    </row>
    <row r="4">
      <c r="A4" s="16" t="inlineStr">
        <is>
          <t xml:space="preserve">U058 </t>
        </is>
      </c>
      <c r="B4" s="16" t="inlineStr">
        <is>
          <t xml:space="preserve">ADM. I.U. DE INVESTIGACIONES TURÍSTICAS </t>
        </is>
      </c>
      <c r="C4" s="16" t="inlineStr">
        <is>
          <t xml:space="preserve">DOCTORADO EN TURISMO </t>
        </is>
      </c>
      <c r="D4" s="16" t="inlineStr">
        <is>
          <t xml:space="preserve">Navarro Ruiz, Sandra </t>
        </is>
      </c>
      <c r="E4" s="16" t="inlineStr">
        <is>
          <t xml:space="preserve">"COMPORTAMIENTO INTRADESTINO DE LOS VISITANTES E IMPLICACIONES PARA LA GESTIÓN TURÍSTICA LOCAL. ESTUDIO DE LOS VISITANTES DE CRUCERO EN VALENCIA" </t>
        </is>
      </c>
      <c r="F4" s="16" t="inlineStr">
        <is>
          <t xml:space="preserve">10/12/2019 </t>
        </is>
      </c>
      <c r="G4" s="16" t="inlineStr">
        <is>
          <t xml:space="preserve">25126276H </t>
        </is>
      </c>
      <c r="H4" s="16" t="inlineStr">
        <is>
          <t xml:space="preserve">Codirector de tesis </t>
        </is>
      </c>
      <c r="I4" s="16" t="inlineStr">
        <is>
          <t xml:space="preserve">B173 </t>
        </is>
      </c>
      <c r="J4" s="16" t="inlineStr">
        <is>
          <t xml:space="preserve">ANÁLISIS GEOGRÁFICO REGIONAL Y GEOGRAFÍA FÍSICA </t>
        </is>
      </c>
      <c r="K4" s="50" t="n">
        <v>0.5</v>
      </c>
      <c r="L4" s="16" t="inlineStr">
        <is>
          <t>B173</t>
        </is>
      </c>
      <c r="M4" s="16" t="n">
        <v>2019</v>
      </c>
      <c r="N4" s="16" t="inlineStr">
        <is>
          <t>10.06</t>
        </is>
      </c>
      <c r="O4" s="18" t="inlineStr">
        <is>
          <t>10</t>
        </is>
      </c>
      <c r="P4" s="16" t="inlineStr">
        <is>
          <t>10.17</t>
        </is>
      </c>
      <c r="Q4" s="18" t="inlineStr">
        <is>
          <t>70</t>
        </is>
      </c>
      <c r="R4" s="19" t="n">
        <v>20</v>
      </c>
      <c r="S4" s="21" t="n">
        <v>0.1</v>
      </c>
      <c r="T4" s="49" t="n">
        <v>0.05</v>
      </c>
      <c r="U4" s="49" t="n">
        <v>0.35</v>
      </c>
    </row>
    <row r="5">
      <c r="A5" s="16" t="inlineStr">
        <is>
          <t xml:space="preserve">U058 </t>
        </is>
      </c>
      <c r="B5" s="16" t="inlineStr">
        <is>
          <t xml:space="preserve">ADM. I.U. DE INVESTIGACIONES TURÍSTICAS </t>
        </is>
      </c>
      <c r="C5" s="16" t="inlineStr">
        <is>
          <t xml:space="preserve">DOCTORADO EN TURISMO </t>
        </is>
      </c>
      <c r="D5" s="16" t="inlineStr">
        <is>
          <t xml:space="preserve">Femenia Serra, Francisco </t>
        </is>
      </c>
      <c r="E5" s="16" t="inlineStr">
        <is>
          <t xml:space="preserve">SMART TOURISM DESTINATIONS: A DEMAND-BASED APPROACH FOR IMPROVING LOCAL TOURISM MANAGENENT </t>
        </is>
      </c>
      <c r="F5" s="16" t="inlineStr">
        <is>
          <t xml:space="preserve">03/12/2019 </t>
        </is>
      </c>
      <c r="G5" s="16" t="inlineStr">
        <is>
          <t xml:space="preserve">25126276H </t>
        </is>
      </c>
      <c r="H5" s="16" t="inlineStr">
        <is>
          <t xml:space="preserve">Director de tesis </t>
        </is>
      </c>
      <c r="I5" s="16" t="inlineStr">
        <is>
          <t xml:space="preserve">B173 </t>
        </is>
      </c>
      <c r="J5" s="16" t="inlineStr">
        <is>
          <t xml:space="preserve">ANÁLISIS GEOGRÁFICO REGIONAL Y GEOGRAFÍA FÍSICA </t>
        </is>
      </c>
      <c r="K5" s="50" t="n">
        <v>1</v>
      </c>
      <c r="L5" s="16" t="inlineStr">
        <is>
          <t>B173</t>
        </is>
      </c>
      <c r="M5" s="16" t="n">
        <v>2019</v>
      </c>
      <c r="N5" s="16" t="inlineStr">
        <is>
          <t>10.06</t>
        </is>
      </c>
      <c r="O5" s="18" t="inlineStr">
        <is>
          <t>10</t>
        </is>
      </c>
      <c r="P5" s="16" t="inlineStr">
        <is>
          <t>10.17</t>
        </is>
      </c>
      <c r="Q5" s="18" t="inlineStr">
        <is>
          <t>70</t>
        </is>
      </c>
      <c r="R5" s="19" t="n">
        <v>20</v>
      </c>
      <c r="S5" s="21" t="n">
        <v>0.2</v>
      </c>
      <c r="T5" s="49" t="n">
        <v>0.1</v>
      </c>
      <c r="U5" s="49" t="n">
        <v>0.7</v>
      </c>
    </row>
    <row r="6">
      <c r="A6" s="16" t="inlineStr">
        <is>
          <t xml:space="preserve">U023 </t>
        </is>
      </c>
      <c r="B6" s="16" t="inlineStr">
        <is>
          <t xml:space="preserve">ADM. FACULTAD DE FILOSOFIA Y LETRAS </t>
        </is>
      </c>
      <c r="C6" s="16" t="inlineStr">
        <is>
          <t xml:space="preserve">DOCTORADO EN FILOSOFÍA Y LETRAS </t>
        </is>
      </c>
      <c r="D6" s="16" t="inlineStr">
        <is>
          <t xml:space="preserve">Muñoz Castillo, Juan Antonio </t>
        </is>
      </c>
      <c r="E6" s="16" t="inlineStr">
        <is>
          <t xml:space="preserve">Patrimonio nuclear del sur de España: un estudio geográfico </t>
        </is>
      </c>
      <c r="F6" s="16" t="inlineStr">
        <is>
          <t xml:space="preserve">30/11/2020 </t>
        </is>
      </c>
      <c r="G6" s="16" t="inlineStr">
        <is>
          <t xml:space="preserve">21464937A </t>
        </is>
      </c>
      <c r="H6" s="16" t="inlineStr">
        <is>
          <t xml:space="preserve">Director de tesis </t>
        </is>
      </c>
      <c r="I6" s="16" t="inlineStr">
        <is>
          <t xml:space="preserve">B173 </t>
        </is>
      </c>
      <c r="J6" s="16" t="inlineStr">
        <is>
          <t xml:space="preserve">ANÁLISIS GEOGRÁFICO REGIONAL Y GEOGRAFÍA FÍSICA </t>
        </is>
      </c>
      <c r="K6" s="50" t="n">
        <v>1</v>
      </c>
      <c r="L6" s="16" t="inlineStr">
        <is>
          <t>B173</t>
        </is>
      </c>
      <c r="M6" s="16" t="n">
        <v>2019</v>
      </c>
      <c r="N6" s="16" t="inlineStr">
        <is>
          <t>10.21</t>
        </is>
      </c>
      <c r="O6" s="18" t="n">
        <v>50</v>
      </c>
      <c r="P6" s="16" t="inlineStr"/>
      <c r="Q6" s="18" t="n">
        <v>0</v>
      </c>
      <c r="R6" s="19" t="n">
        <v>50</v>
      </c>
      <c r="S6" s="21" t="n">
        <v>0.5</v>
      </c>
      <c r="T6" s="49" t="n">
        <v>0.5</v>
      </c>
      <c r="U6" s="49" t="n">
        <v>0</v>
      </c>
    </row>
    <row r="7">
      <c r="A7" s="16" t="inlineStr">
        <is>
          <t xml:space="preserve">U013 </t>
        </is>
      </c>
      <c r="B7" s="16" t="inlineStr">
        <is>
          <t xml:space="preserve">ADM. I.U. BIODIVERSIDAD (CIBIO) </t>
        </is>
      </c>
      <c r="C7" s="16" t="inlineStr">
        <is>
          <t xml:space="preserve">DOCTORADO EN BIODIVERSIDAD Y CONSERVACIÓN </t>
        </is>
      </c>
      <c r="D7" s="16" t="inlineStr">
        <is>
          <t xml:space="preserve">Soulopoulou , Polyxeni </t>
        </is>
      </c>
      <c r="E7" s="16" t="inlineStr">
        <is>
          <t xml:space="preserve">Intensity of agricultural land use and climate effects on bird biodiversity along a Greek natura 2000 site and implications for sustainable agro-management. </t>
        </is>
      </c>
      <c r="F7" s="16" t="inlineStr">
        <is>
          <t xml:space="preserve">29/09/2021 </t>
        </is>
      </c>
      <c r="G7" s="16" t="inlineStr">
        <is>
          <t xml:space="preserve">21434118G </t>
        </is>
      </c>
      <c r="H7" s="16" t="inlineStr">
        <is>
          <t xml:space="preserve">Codirector de tesis </t>
        </is>
      </c>
      <c r="I7" s="16" t="inlineStr">
        <is>
          <t xml:space="preserve">B173 </t>
        </is>
      </c>
      <c r="J7" s="16" t="inlineStr">
        <is>
          <t xml:space="preserve">ANÁLISIS GEOGRÁFICO REGIONAL Y GEOGRAFÍA FÍSICA </t>
        </is>
      </c>
      <c r="K7" s="22" t="n">
        <v>0.5</v>
      </c>
      <c r="L7" s="22" t="inlineStr">
        <is>
          <t>B173</t>
        </is>
      </c>
      <c r="M7" s="16" t="n">
        <v>2020</v>
      </c>
      <c r="N7" s="16" t="inlineStr">
        <is>
          <t>10.13</t>
        </is>
      </c>
      <c r="O7" s="18" t="n">
        <v>20</v>
      </c>
      <c r="P7" s="16" t="inlineStr">
        <is>
          <t>10.21</t>
        </is>
      </c>
      <c r="Q7" s="18" t="n">
        <v>40</v>
      </c>
      <c r="R7" s="16" t="n">
        <v>40</v>
      </c>
      <c r="S7" s="21" t="n">
        <v>0.2</v>
      </c>
      <c r="T7" s="16" t="n">
        <v>0.1</v>
      </c>
      <c r="U7" s="16" t="n">
        <v>0.2</v>
      </c>
    </row>
    <row r="8">
      <c r="A8" s="20" t="inlineStr">
        <is>
          <t xml:space="preserve">U013 </t>
        </is>
      </c>
      <c r="B8" s="20" t="inlineStr">
        <is>
          <t xml:space="preserve">ADM. I.U. BIODIVERSIDAD (CIBIO) </t>
        </is>
      </c>
      <c r="C8" s="20" t="inlineStr">
        <is>
          <t xml:space="preserve">DOCTORADO EN BIODIVERSIDAD Y CONSERVACIÓN </t>
        </is>
      </c>
      <c r="D8" s="20" t="inlineStr">
        <is>
          <t xml:space="preserve">Soulopoulou , Polyxeni </t>
        </is>
      </c>
      <c r="E8" s="20" t="inlineStr">
        <is>
          <t xml:space="preserve">Intensity of agricultural land use and climate effects on bird biodiversity along a Greek natura 2000 site and implications for sustainable agro-management. </t>
        </is>
      </c>
      <c r="F8" s="20" t="inlineStr">
        <is>
          <t xml:space="preserve">29/09/2021 </t>
        </is>
      </c>
      <c r="G8" s="20" t="inlineStr">
        <is>
          <t xml:space="preserve">21479431F </t>
        </is>
      </c>
      <c r="H8" s="20" t="inlineStr">
        <is>
          <t xml:space="preserve">Codirector de tesis </t>
        </is>
      </c>
      <c r="I8" s="20" t="inlineStr">
        <is>
          <t xml:space="preserve">B173 </t>
        </is>
      </c>
      <c r="J8" s="20" t="inlineStr">
        <is>
          <t xml:space="preserve">ANÁLISIS GEOGRÁFICO REGIONAL Y GEOGRAFÍA FÍSICA </t>
        </is>
      </c>
      <c r="K8" s="22" t="n">
        <v>0.5</v>
      </c>
      <c r="L8" s="22" t="inlineStr">
        <is>
          <t>B173</t>
        </is>
      </c>
      <c r="M8" s="16" t="n">
        <v>2020</v>
      </c>
      <c r="N8" s="16" t="inlineStr">
        <is>
          <t>10.13</t>
        </is>
      </c>
      <c r="O8" s="18" t="n">
        <v>20</v>
      </c>
      <c r="P8" s="16" t="inlineStr">
        <is>
          <t>10.21</t>
        </is>
      </c>
      <c r="Q8" s="18" t="n">
        <v>40</v>
      </c>
      <c r="R8" s="16" t="n">
        <v>40</v>
      </c>
      <c r="S8" s="16" t="n">
        <v>0.2</v>
      </c>
      <c r="T8" s="16" t="n">
        <v>0.1</v>
      </c>
      <c r="U8" s="16" t="n">
        <v>0.2</v>
      </c>
    </row>
    <row r="9">
      <c r="A9" s="20" t="inlineStr">
        <is>
          <t xml:space="preserve">U023 </t>
        </is>
      </c>
      <c r="B9" s="20" t="inlineStr">
        <is>
          <t xml:space="preserve">ADM. FACULTAD DE FILOSOFIA Y LETRAS </t>
        </is>
      </c>
      <c r="C9" s="20" t="inlineStr">
        <is>
          <t xml:space="preserve">DOCTORADO EN FILOSOFÍA Y LETRAS </t>
        </is>
      </c>
      <c r="D9" s="20" t="inlineStr">
        <is>
          <t xml:space="preserve">Barrado Navascués, David </t>
        </is>
      </c>
      <c r="E9" s="20" t="inlineStr">
        <is>
          <t xml:space="preserve">Cosmografía: la ciencia de los dos orbes. </t>
        </is>
      </c>
      <c r="F9" s="20" t="inlineStr">
        <is>
          <t xml:space="preserve">23/09/2021 </t>
        </is>
      </c>
      <c r="G9" s="20" t="inlineStr">
        <is>
          <t xml:space="preserve">21411000R </t>
        </is>
      </c>
      <c r="H9" s="20" t="inlineStr">
        <is>
          <t xml:space="preserve">Director de tesis </t>
        </is>
      </c>
      <c r="I9" s="20" t="inlineStr">
        <is>
          <t xml:space="preserve">B173 </t>
        </is>
      </c>
      <c r="J9" s="20" t="inlineStr">
        <is>
          <t xml:space="preserve">ANÁLISIS GEOGRÁFICO REGIONAL Y GEOGRAFÍA FÍSICA </t>
        </is>
      </c>
      <c r="K9" s="22" t="n">
        <v>1</v>
      </c>
      <c r="L9" s="22" t="inlineStr">
        <is>
          <t>B173</t>
        </is>
      </c>
      <c r="M9" s="16" t="n">
        <v>2020</v>
      </c>
      <c r="N9" s="16" t="inlineStr"/>
      <c r="O9" s="18" t="inlineStr"/>
      <c r="P9" s="16" t="inlineStr"/>
      <c r="Q9" s="18" t="inlineStr"/>
      <c r="R9" s="16" t="n">
        <v>100</v>
      </c>
      <c r="S9" s="16" t="n">
        <v>1</v>
      </c>
      <c r="T9" s="16" t="n">
        <v>0</v>
      </c>
      <c r="U9" s="16" t="n">
        <v>0</v>
      </c>
    </row>
    <row r="10">
      <c r="A10" s="20" t="inlineStr">
        <is>
          <t xml:space="preserve">U023 </t>
        </is>
      </c>
      <c r="B10" s="20" t="inlineStr">
        <is>
          <t xml:space="preserve">ADM. FACULTAD DE FILOSOFIA Y LETRAS </t>
        </is>
      </c>
      <c r="C10" s="20" t="inlineStr">
        <is>
          <t xml:space="preserve">DOCTORADO EN FILOSOFÍA Y LETRAS </t>
        </is>
      </c>
      <c r="D10" s="20" t="inlineStr">
        <is>
          <t xml:space="preserve">García Botella, María Estela </t>
        </is>
      </c>
      <c r="E10" s="20" t="inlineStr">
        <is>
          <t xml:space="preserve">Variables de información geográfica en los estudios de inundabilidad de pequeñas cuencas alteradas en el sureste de la Península Ibérica </t>
        </is>
      </c>
      <c r="F10" s="20" t="inlineStr">
        <is>
          <t xml:space="preserve">27/07/2021 </t>
        </is>
      </c>
      <c r="G10" s="20" t="inlineStr">
        <is>
          <t xml:space="preserve">21466152E </t>
        </is>
      </c>
      <c r="H10" s="20" t="inlineStr">
        <is>
          <t xml:space="preserve">Director de tesis </t>
        </is>
      </c>
      <c r="I10" s="20" t="inlineStr">
        <is>
          <t xml:space="preserve">B173 </t>
        </is>
      </c>
      <c r="J10" s="20" t="inlineStr">
        <is>
          <t xml:space="preserve">ANÁLISIS GEOGRÁFICO REGIONAL Y GEOGRAFÍA FÍSICA </t>
        </is>
      </c>
      <c r="K10" s="22" t="n">
        <v>1</v>
      </c>
      <c r="L10" s="22" t="inlineStr">
        <is>
          <t>B173</t>
        </is>
      </c>
      <c r="M10" s="16" t="n">
        <v>2020</v>
      </c>
      <c r="N10" s="16" t="inlineStr">
        <is>
          <t>10.17</t>
        </is>
      </c>
      <c r="O10" s="18" t="n">
        <v>10</v>
      </c>
      <c r="P10" s="16" t="inlineStr">
        <is>
          <t>10.21</t>
        </is>
      </c>
      <c r="Q10" s="18" t="n">
        <v>50</v>
      </c>
      <c r="R10" s="16" t="n">
        <v>40</v>
      </c>
      <c r="S10" s="16" t="n">
        <v>0.4</v>
      </c>
      <c r="T10" s="16" t="n">
        <v>0.1</v>
      </c>
      <c r="U10" s="16" t="n">
        <v>0.5</v>
      </c>
    </row>
    <row r="11">
      <c r="A11" s="20" t="inlineStr">
        <is>
          <t xml:space="preserve">U023 </t>
        </is>
      </c>
      <c r="B11" s="20" t="inlineStr">
        <is>
          <t xml:space="preserve">ADM. FACULTAD DE FILOSOFIA Y LETRAS </t>
        </is>
      </c>
      <c r="C11" s="20" t="inlineStr">
        <is>
          <t xml:space="preserve">DOCTORADO EN FILOSOFÍA Y LETRAS </t>
        </is>
      </c>
      <c r="D11" s="20" t="inlineStr">
        <is>
          <t xml:space="preserve">Prieto Cerdán, Antonio </t>
        </is>
      </c>
      <c r="E11" s="20" t="inlineStr">
        <is>
          <t xml:space="preserve">Infraestructura Verde como instrumento de ordenación territorial: analisis multiescalar </t>
        </is>
      </c>
      <c r="F11" s="20" t="inlineStr">
        <is>
          <t xml:space="preserve">30/04/2021 </t>
        </is>
      </c>
      <c r="G11" s="20" t="inlineStr">
        <is>
          <t xml:space="preserve">21479431F </t>
        </is>
      </c>
      <c r="H11" s="20" t="inlineStr">
        <is>
          <t xml:space="preserve">Director de tesis </t>
        </is>
      </c>
      <c r="I11" s="20" t="inlineStr">
        <is>
          <t xml:space="preserve">B173 </t>
        </is>
      </c>
      <c r="J11" s="20" t="inlineStr">
        <is>
          <t xml:space="preserve">ANÁLISIS GEOGRÁFICO REGIONAL Y GEOGRAFÍA FÍSICA </t>
        </is>
      </c>
      <c r="K11" s="22" t="n">
        <v>1</v>
      </c>
      <c r="L11" s="22" t="inlineStr">
        <is>
          <t>B173</t>
        </is>
      </c>
      <c r="M11" s="16" t="n">
        <v>2020</v>
      </c>
      <c r="N11" s="16" t="inlineStr">
        <is>
          <t>10.13</t>
        </is>
      </c>
      <c r="O11" s="18" t="n">
        <v>20</v>
      </c>
      <c r="P11" s="16" t="inlineStr">
        <is>
          <t>10.21</t>
        </is>
      </c>
      <c r="Q11" s="18" t="n">
        <v>40</v>
      </c>
      <c r="R11" s="16" t="n">
        <v>40</v>
      </c>
      <c r="S11" s="16" t="n">
        <v>0.4</v>
      </c>
      <c r="T11" s="16" t="n">
        <v>0.2</v>
      </c>
      <c r="U11" s="16" t="n">
        <v>0.4</v>
      </c>
    </row>
    <row r="12">
      <c r="A12" s="20" t="inlineStr">
        <is>
          <t xml:space="preserve">U058 </t>
        </is>
      </c>
      <c r="B12" s="20" t="inlineStr">
        <is>
          <t xml:space="preserve">ADM. I.U. DE INVESTIGACIONES TURÍSTICAS </t>
        </is>
      </c>
      <c r="C12" s="20" t="inlineStr">
        <is>
          <t xml:space="preserve">DOCTORADO EN TURISMO </t>
        </is>
      </c>
      <c r="D12" s="20" t="inlineStr">
        <is>
          <t xml:space="preserve">Lalangui Ramírez, Jessica Ivonne </t>
        </is>
      </c>
      <c r="E12" s="20" t="inlineStr">
        <is>
          <t xml:space="preserve">CONTRIBUCIÓN A LAS POTENCIALIDADES DE LOS DESTINOS TURÍSTICOS DE LA PROVINCIA DE EL ORO - ECUADOR </t>
        </is>
      </c>
      <c r="F12" s="20" t="inlineStr">
        <is>
          <t xml:space="preserve">22/03/2021 </t>
        </is>
      </c>
      <c r="G12" s="20" t="inlineStr">
        <is>
          <t xml:space="preserve">74218439S </t>
        </is>
      </c>
      <c r="H12" s="20" t="inlineStr">
        <is>
          <t xml:space="preserve">Director de tesis </t>
        </is>
      </c>
      <c r="I12" s="20" t="inlineStr">
        <is>
          <t xml:space="preserve">B173 </t>
        </is>
      </c>
      <c r="J12" s="20" t="inlineStr">
        <is>
          <t xml:space="preserve">ANÁLISIS GEOGRÁFICO REGIONAL Y GEOGRAFÍA FÍSICA </t>
        </is>
      </c>
      <c r="K12" s="22" t="n">
        <v>1</v>
      </c>
      <c r="L12" s="22" t="inlineStr">
        <is>
          <t>B173</t>
        </is>
      </c>
      <c r="M12" s="16" t="n">
        <v>2020</v>
      </c>
      <c r="N12" s="16" t="inlineStr">
        <is>
          <t>10.21</t>
        </is>
      </c>
      <c r="O12" s="18" t="n">
        <v>40</v>
      </c>
      <c r="P12" s="16" t="inlineStr">
        <is>
          <t>10.17</t>
        </is>
      </c>
      <c r="Q12" s="18" t="n">
        <v>10</v>
      </c>
      <c r="R12" s="16" t="n">
        <v>50</v>
      </c>
      <c r="S12" s="16" t="n">
        <v>0.5</v>
      </c>
      <c r="T12" s="16" t="n">
        <v>0.4</v>
      </c>
      <c r="U12" s="16" t="n">
        <v>0.1</v>
      </c>
    </row>
    <row r="13">
      <c r="A13" s="20" t="inlineStr">
        <is>
          <t xml:space="preserve">U058 </t>
        </is>
      </c>
      <c r="B13" s="20" t="inlineStr">
        <is>
          <t xml:space="preserve">ADM. I.U. DE INVESTIGACIONES TURÍSTICAS </t>
        </is>
      </c>
      <c r="C13" s="20" t="inlineStr">
        <is>
          <t xml:space="preserve">DOCTORADO EN TURISMO </t>
        </is>
      </c>
      <c r="D13" s="20" t="inlineStr">
        <is>
          <t xml:space="preserve">Rodríguez Pallas, Ángel </t>
        </is>
      </c>
      <c r="E13" s="20" t="inlineStr">
        <is>
          <t xml:space="preserve">Agencias de viaje, convivencia del negocio online-offline. El impacto de las TIC, los cambios en los hábitos de consumo y la importancia del marketing relacional </t>
        </is>
      </c>
      <c r="F13" s="20" t="inlineStr">
        <is>
          <t xml:space="preserve">26/02/2021 </t>
        </is>
      </c>
      <c r="G13" s="20" t="inlineStr">
        <is>
          <t xml:space="preserve">25126276H </t>
        </is>
      </c>
      <c r="H13" s="20" t="inlineStr">
        <is>
          <t xml:space="preserve">Codirector de tesis </t>
        </is>
      </c>
      <c r="I13" s="20" t="inlineStr">
        <is>
          <t xml:space="preserve">B173 </t>
        </is>
      </c>
      <c r="J13" s="20" t="inlineStr">
        <is>
          <t xml:space="preserve">ANÁLISIS GEOGRÁFICO REGIONAL Y GEOGRAFÍA FÍSICA </t>
        </is>
      </c>
      <c r="K13" s="22" t="n">
        <v>0.5</v>
      </c>
      <c r="L13" s="22" t="inlineStr">
        <is>
          <t>B173</t>
        </is>
      </c>
      <c r="M13" s="16" t="n">
        <v>2020</v>
      </c>
      <c r="N13" s="16" t="inlineStr">
        <is>
          <t>10.06</t>
        </is>
      </c>
      <c r="O13" s="18" t="n">
        <v>10</v>
      </c>
      <c r="P13" s="16" t="inlineStr">
        <is>
          <t>10.17</t>
        </is>
      </c>
      <c r="Q13" s="18" t="n">
        <v>70</v>
      </c>
      <c r="R13" s="16" t="n">
        <v>20</v>
      </c>
      <c r="S13" s="16" t="n">
        <v>0.1</v>
      </c>
      <c r="T13" s="16" t="n">
        <v>0.05</v>
      </c>
      <c r="U13" s="16" t="n">
        <v>0.35</v>
      </c>
    </row>
    <row r="14">
      <c r="A14" s="20" t="inlineStr">
        <is>
          <t xml:space="preserve">U058 </t>
        </is>
      </c>
      <c r="B14" s="20" t="inlineStr">
        <is>
          <t xml:space="preserve">ADM. I.U. DE INVESTIGACIONES TURÍSTICAS </t>
        </is>
      </c>
      <c r="C14" s="20" t="inlineStr">
        <is>
          <t xml:space="preserve">DOCTORADO EN TURISMO </t>
        </is>
      </c>
      <c r="D14" s="20" t="inlineStr">
        <is>
          <t xml:space="preserve">Díaz Soto, Carlos Manuel </t>
        </is>
      </c>
      <c r="E14" s="20" t="inlineStr">
        <is>
          <t xml:space="preserve">Análisis y estrategias de mejoramiento del turismo de salud y bienestar en Bucaramanga y su zona metropolitana </t>
        </is>
      </c>
      <c r="F14" s="20" t="inlineStr">
        <is>
          <t xml:space="preserve">10/06/2022 </t>
        </is>
      </c>
      <c r="G14" s="20" t="inlineStr">
        <is>
          <t xml:space="preserve">74218439S </t>
        </is>
      </c>
      <c r="H14" s="20" t="inlineStr">
        <is>
          <t xml:space="preserve">Director de tesis </t>
        </is>
      </c>
      <c r="I14" s="20" t="inlineStr">
        <is>
          <t xml:space="preserve">B173 </t>
        </is>
      </c>
      <c r="J14" s="20" t="inlineStr">
        <is>
          <t xml:space="preserve">ANÁLISIS GEOGRÁFICO REGIONAL Y GEOGRAFÍA FÍSICA </t>
        </is>
      </c>
      <c r="K14" s="22" t="n">
        <v>1</v>
      </c>
      <c r="L14" s="22" t="inlineStr">
        <is>
          <t>B173</t>
        </is>
      </c>
      <c r="M14" s="16" t="n">
        <v>2021</v>
      </c>
      <c r="N14" s="16" t="inlineStr">
        <is>
          <t>10.21</t>
        </is>
      </c>
      <c r="O14" s="18" t="n">
        <v>40</v>
      </c>
      <c r="P14" s="16" t="inlineStr">
        <is>
          <t>10.17</t>
        </is>
      </c>
      <c r="Q14" s="18" t="n">
        <v>10</v>
      </c>
      <c r="R14" s="16" t="n">
        <v>50</v>
      </c>
      <c r="S14" s="16" t="n">
        <v>0.5</v>
      </c>
      <c r="T14" s="16" t="n">
        <v>0.4</v>
      </c>
      <c r="U14" s="16" t="n">
        <v>0.1</v>
      </c>
    </row>
    <row r="15">
      <c r="A15" s="16" t="inlineStr">
        <is>
          <t xml:space="preserve">U023 </t>
        </is>
      </c>
      <c r="B15" s="16" t="inlineStr">
        <is>
          <t xml:space="preserve">ADM. FACULTAD DE FILOSOFIA Y LETRAS </t>
        </is>
      </c>
      <c r="C15" s="16" t="inlineStr">
        <is>
          <t xml:space="preserve">DOCTORADO EN FILOSOFÍA Y LETRAS </t>
        </is>
      </c>
      <c r="D15" s="16" t="inlineStr">
        <is>
          <t xml:space="preserve">Pinargote Macías, Eleticia Isabel </t>
        </is>
      </c>
      <c r="E15" s="16" t="inlineStr">
        <is>
          <t xml:space="preserve">La Extensión Universitaria como herramienta para el desarrollo local. La Universidad Técnica de Manabí en las parroquias rurales de Portoviejo. </t>
        </is>
      </c>
      <c r="F15" s="16" t="inlineStr">
        <is>
          <t xml:space="preserve">27/02/2023 </t>
        </is>
      </c>
      <c r="G15" s="16" t="inlineStr">
        <is>
          <t xml:space="preserve">22131391D </t>
        </is>
      </c>
      <c r="H15" s="16" t="inlineStr">
        <is>
          <t xml:space="preserve">Director de tesis </t>
        </is>
      </c>
      <c r="I15" s="16" t="inlineStr">
        <is>
          <t xml:space="preserve">B173 </t>
        </is>
      </c>
      <c r="J15" s="16" t="inlineStr">
        <is>
          <t xml:space="preserve">ANÁLISIS GEOGRÁFICO REGIONAL Y GEOGRAFÍA FÍSICA </t>
        </is>
      </c>
      <c r="K15" s="22" t="n">
        <v>1</v>
      </c>
      <c r="L15" s="22" t="inlineStr">
        <is>
          <t>B173</t>
        </is>
      </c>
      <c r="M15" s="16" t="n">
        <v>2022</v>
      </c>
      <c r="N15" s="16" t="inlineStr">
        <is>
          <t>10.17</t>
        </is>
      </c>
      <c r="O15" s="18" t="n">
        <v>50</v>
      </c>
      <c r="P15" s="16" t="inlineStr"/>
      <c r="Q15" s="18" t="n">
        <v>0</v>
      </c>
      <c r="R15" s="16" t="n">
        <v>50</v>
      </c>
      <c r="S15" s="16" t="n">
        <v>0.5</v>
      </c>
      <c r="T15" s="16" t="n">
        <v>0.5</v>
      </c>
      <c r="U15" s="16" t="n">
        <v>0</v>
      </c>
    </row>
    <row r="16" customFormat="1" s="23">
      <c r="A16" s="22" t="inlineStr">
        <is>
          <t xml:space="preserve">U023 </t>
        </is>
      </c>
      <c r="B16" s="22" t="inlineStr">
        <is>
          <t xml:space="preserve">ADM. FACULTAD DE FILOSOFIA Y LETRAS </t>
        </is>
      </c>
      <c r="C16" s="22" t="inlineStr">
        <is>
          <t xml:space="preserve">DOCTORADO EN FILOSOFÍA Y LETRAS </t>
        </is>
      </c>
      <c r="D16" s="22" t="inlineStr">
        <is>
          <t xml:space="preserve">Sánchez Almodóvar, Esther </t>
        </is>
      </c>
      <c r="E16" s="22" t="inlineStr">
        <is>
          <t xml:space="preserve">Experiencias de gestión del riesgo de inundación: acciones desde la adaptación y resiliencia al cambio climático en la provincia de Alicante </t>
        </is>
      </c>
      <c r="F16" s="22" t="inlineStr">
        <is>
          <t xml:space="preserve">20/09/2023 </t>
        </is>
      </c>
      <c r="G16" s="22" t="inlineStr">
        <is>
          <t xml:space="preserve">21464937A </t>
        </is>
      </c>
      <c r="H16" s="22" t="inlineStr">
        <is>
          <t xml:space="preserve">Codirector de tesis </t>
        </is>
      </c>
      <c r="I16" s="22" t="inlineStr">
        <is>
          <t xml:space="preserve">B173 </t>
        </is>
      </c>
      <c r="J16" s="22" t="inlineStr">
        <is>
          <t xml:space="preserve">ANÁLISIS GEOGRÁFICO REGIONAL Y GEOGRAFÍA FÍSICA </t>
        </is>
      </c>
      <c r="K16" s="22" t="n">
        <v>0.5</v>
      </c>
      <c r="L16" s="22" t="inlineStr">
        <is>
          <t>B173</t>
        </is>
      </c>
      <c r="M16" s="22" t="n">
        <v>2022</v>
      </c>
      <c r="N16" s="22" t="inlineStr">
        <is>
          <t>10.21</t>
        </is>
      </c>
      <c r="O16" s="25" t="n">
        <v>50</v>
      </c>
      <c r="P16" s="22" t="inlineStr"/>
      <c r="Q16" s="25" t="n">
        <v>0</v>
      </c>
      <c r="R16" s="22" t="n">
        <v>50</v>
      </c>
      <c r="S16" s="51" t="n">
        <v>0.25</v>
      </c>
      <c r="T16" s="22" t="n">
        <v>0.25</v>
      </c>
      <c r="U16" s="22" t="n">
        <v>0</v>
      </c>
    </row>
    <row r="17">
      <c r="A17" s="16" t="inlineStr">
        <is>
          <t xml:space="preserve">U058 </t>
        </is>
      </c>
      <c r="B17" s="16" t="inlineStr">
        <is>
          <t xml:space="preserve">I.U. DE INVESTIGACIONES TURÍSTICAS (10.17) </t>
        </is>
      </c>
      <c r="C17" s="16" t="inlineStr">
        <is>
          <t xml:space="preserve">DOCTORADO EN TURISMO </t>
        </is>
      </c>
      <c r="D17" s="16" t="inlineStr">
        <is>
          <t xml:space="preserve">Guerrero Miranda, Jenny Paulina </t>
        </is>
      </c>
      <c r="E17" s="16" t="inlineStr">
        <is>
          <t xml:space="preserve">Puesta en valor de la arquitectura vernácula como entrada al turismo, en la Mancomunidad del Chocó Andino (Quito ¿ Ecuador) </t>
        </is>
      </c>
      <c r="F17" s="16" t="inlineStr">
        <is>
          <t xml:space="preserve">20/12/2022 </t>
        </is>
      </c>
      <c r="G17" s="16" t="inlineStr">
        <is>
          <t xml:space="preserve">25126276H </t>
        </is>
      </c>
      <c r="H17" s="16" t="inlineStr">
        <is>
          <t xml:space="preserve">Director de tesis </t>
        </is>
      </c>
      <c r="I17" s="16" t="inlineStr">
        <is>
          <t xml:space="preserve">B173 </t>
        </is>
      </c>
      <c r="J17" s="16" t="inlineStr">
        <is>
          <t xml:space="preserve">ANÁLISIS GEOGRÁFICO REGIONAL Y GEOGRAFÍA FÍSICA </t>
        </is>
      </c>
      <c r="K17" s="16" t="n">
        <v>1</v>
      </c>
      <c r="L17" s="16" t="inlineStr">
        <is>
          <t>B173</t>
        </is>
      </c>
      <c r="M17" s="16" t="n">
        <v>2022</v>
      </c>
      <c r="N17" s="16" t="inlineStr">
        <is>
          <t>10.06</t>
        </is>
      </c>
      <c r="O17" s="18" t="n">
        <v>10</v>
      </c>
      <c r="P17" s="16" t="inlineStr">
        <is>
          <t>10.17</t>
        </is>
      </c>
      <c r="Q17" s="18" t="n">
        <v>70</v>
      </c>
      <c r="R17" s="16" t="n">
        <v>20</v>
      </c>
      <c r="S17" s="16" t="n">
        <v>0.2</v>
      </c>
      <c r="T17" s="16" t="n">
        <v>0.1</v>
      </c>
      <c r="U17" s="16" t="n">
        <v>0.7</v>
      </c>
    </row>
    <row r="18">
      <c r="A18" s="16" t="inlineStr">
        <is>
          <t xml:space="preserve">U058 </t>
        </is>
      </c>
      <c r="B18" s="16" t="inlineStr">
        <is>
          <t xml:space="preserve">I.U. DE INVESTIGACIONES TURÍSTICAS (10.17) </t>
        </is>
      </c>
      <c r="C18" s="16" t="inlineStr">
        <is>
          <t xml:space="preserve">DOCTORADO EN TURISMO </t>
        </is>
      </c>
      <c r="D18" s="16" t="inlineStr">
        <is>
          <t xml:space="preserve">Pazmiño Valle, Patricia </t>
        </is>
      </c>
      <c r="E18" s="16" t="inlineStr">
        <is>
          <t xml:space="preserve">DESARROLLO SOSTENIBLE Y GESTIÓN DEL GEOTURISMO EN GEOPARQUES ECUADOR: ESTUDIO DE CASO DEL GEOPARQUE IMBABURA </t>
        </is>
      </c>
      <c r="F18" s="16" t="inlineStr">
        <is>
          <t xml:space="preserve">28/04/2023 </t>
        </is>
      </c>
      <c r="G18" s="16" t="inlineStr">
        <is>
          <t xml:space="preserve">74218439S </t>
        </is>
      </c>
      <c r="H18" s="16" t="inlineStr">
        <is>
          <t xml:space="preserve">Director de tesis </t>
        </is>
      </c>
      <c r="I18" s="16" t="inlineStr">
        <is>
          <t xml:space="preserve">B173 </t>
        </is>
      </c>
      <c r="J18" s="16" t="inlineStr">
        <is>
          <t xml:space="preserve">ANÁLISIS GEOGRÁFICO REGIONAL Y GEOGRAFÍA FÍSICA </t>
        </is>
      </c>
      <c r="K18" s="16" t="n">
        <v>1</v>
      </c>
      <c r="L18" s="16" t="inlineStr">
        <is>
          <t>B173</t>
        </is>
      </c>
      <c r="M18" s="16" t="n">
        <v>2022</v>
      </c>
      <c r="N18" s="16" t="inlineStr">
        <is>
          <t>10.21</t>
        </is>
      </c>
      <c r="O18" s="18" t="n">
        <v>40</v>
      </c>
      <c r="P18" s="16" t="inlineStr">
        <is>
          <t>10.17</t>
        </is>
      </c>
      <c r="Q18" s="18" t="n">
        <v>10</v>
      </c>
      <c r="R18" s="16" t="n">
        <v>50</v>
      </c>
      <c r="S18" s="16" t="n">
        <v>0.5</v>
      </c>
      <c r="T18" s="16" t="n">
        <v>0.4</v>
      </c>
      <c r="U18" s="16" t="n">
        <v>0.1</v>
      </c>
    </row>
    <row r="19">
      <c r="A19" s="16" t="inlineStr">
        <is>
          <t xml:space="preserve">U058 </t>
        </is>
      </c>
      <c r="B19" s="16" t="inlineStr">
        <is>
          <t xml:space="preserve">I.U. DE INVESTIGACIONES TURÍSTICAS (10.17) </t>
        </is>
      </c>
      <c r="C19" s="16" t="inlineStr">
        <is>
          <t xml:space="preserve">DOCTORADO EN TURISMO </t>
        </is>
      </c>
      <c r="D19" s="16" t="inlineStr">
        <is>
          <t xml:space="preserve">Garcia Reinoso, Nelson </t>
        </is>
      </c>
      <c r="E19" s="16" t="inlineStr">
        <is>
          <t xml:space="preserve">Desarrollo territorial sostenible del turismo en Manabí, Ecuador. Modelos y estrategias </t>
        </is>
      </c>
      <c r="F19" s="16" t="inlineStr">
        <is>
          <t xml:space="preserve">16/12/2022 </t>
        </is>
      </c>
      <c r="G19" s="16" t="inlineStr">
        <is>
          <t xml:space="preserve">74218439S </t>
        </is>
      </c>
      <c r="H19" s="16" t="inlineStr">
        <is>
          <t xml:space="preserve">Codirector de tesis </t>
        </is>
      </c>
      <c r="I19" s="16" t="inlineStr">
        <is>
          <t xml:space="preserve">B173 </t>
        </is>
      </c>
      <c r="J19" s="16" t="inlineStr">
        <is>
          <t xml:space="preserve">ANÁLISIS GEOGRÁFICO REGIONAL Y GEOGRAFÍA FÍSICA </t>
        </is>
      </c>
      <c r="K19" s="16" t="n">
        <v>0.5</v>
      </c>
      <c r="L19" s="16" t="inlineStr">
        <is>
          <t>B173</t>
        </is>
      </c>
      <c r="M19" s="16" t="n">
        <v>2022</v>
      </c>
      <c r="N19" s="16" t="inlineStr">
        <is>
          <t>10.21</t>
        </is>
      </c>
      <c r="O19" s="18" t="n">
        <v>40</v>
      </c>
      <c r="P19" s="16" t="inlineStr">
        <is>
          <t>10.17</t>
        </is>
      </c>
      <c r="Q19" s="18" t="n">
        <v>10</v>
      </c>
      <c r="R19" s="16" t="n">
        <v>50</v>
      </c>
      <c r="S19" s="16" t="n">
        <v>0.25</v>
      </c>
      <c r="T19" s="16" t="n">
        <v>0.2</v>
      </c>
      <c r="U19" s="16" t="n">
        <v>0.05</v>
      </c>
    </row>
    <row r="20" customFormat="1" s="23">
      <c r="A20" s="22" t="inlineStr">
        <is>
          <t xml:space="preserve">U058 </t>
        </is>
      </c>
      <c r="B20" s="22" t="inlineStr">
        <is>
          <t xml:space="preserve">I.U. DE INVESTIGACIONES TURÍSTICAS (10.17) </t>
        </is>
      </c>
      <c r="C20" s="22" t="inlineStr">
        <is>
          <t xml:space="preserve">DOCTORADO EN TURISMO </t>
        </is>
      </c>
      <c r="D20" s="22" t="inlineStr">
        <is>
          <t xml:space="preserve">Pelegrín Entenza, Norberto </t>
        </is>
      </c>
      <c r="E20" s="22" t="inlineStr">
        <is>
          <t xml:space="preserve">EL TURISMO EN CUBA. ESTUDIO DE CASOS DESDE LA PERSPECTIVA DEL ANÁLISIS REGIONAL </t>
        </is>
      </c>
      <c r="F20" s="22" t="inlineStr">
        <is>
          <t xml:space="preserve">03/03/2023 </t>
        </is>
      </c>
      <c r="G20" s="22" t="inlineStr">
        <is>
          <t xml:space="preserve">74176634R </t>
        </is>
      </c>
      <c r="H20" s="22" t="inlineStr">
        <is>
          <t xml:space="preserve">Director de tesis </t>
        </is>
      </c>
      <c r="I20" s="22" t="inlineStr">
        <is>
          <t xml:space="preserve">B173 </t>
        </is>
      </c>
      <c r="J20" s="22" t="inlineStr">
        <is>
          <t xml:space="preserve">ANÁLISIS GEOGRÁFICO REGIONAL Y GEOGRAFÍA FÍSICA </t>
        </is>
      </c>
      <c r="K20" s="22" t="n">
        <v>1</v>
      </c>
      <c r="L20" s="22" t="inlineStr">
        <is>
          <t>B173</t>
        </is>
      </c>
      <c r="M20" s="22" t="n">
        <v>2022</v>
      </c>
      <c r="N20" s="22" t="inlineStr">
        <is>
          <t>10.06</t>
        </is>
      </c>
      <c r="O20" s="25" t="n">
        <v>10</v>
      </c>
      <c r="P20" s="22" t="inlineStr">
        <is>
          <t>10.17</t>
        </is>
      </c>
      <c r="Q20" s="25" t="n">
        <v>80</v>
      </c>
      <c r="R20" s="22" t="n">
        <v>10</v>
      </c>
      <c r="S20" s="22" t="n">
        <v>0.1</v>
      </c>
      <c r="T20" s="22" t="n">
        <v>0.1</v>
      </c>
      <c r="U20" s="22" t="n">
        <v>0.8</v>
      </c>
    </row>
    <row r="21" customFormat="1" s="23">
      <c r="A21" s="22" t="inlineStr">
        <is>
          <t>U023</t>
        </is>
      </c>
      <c r="B21" s="22" t="inlineStr">
        <is>
          <t>ADM. FACULTAD DE FILOSOFIA Y LETRAS</t>
        </is>
      </c>
      <c r="C21" s="22" t="inlineStr">
        <is>
          <t>DOCTORADO EN FILOSOFÍA Y LETRAS</t>
        </is>
      </c>
      <c r="D21" s="22" t="inlineStr">
        <is>
          <t>Abad Coloma, Ricardo</t>
        </is>
      </c>
      <c r="E21" s="22" t="inlineStr">
        <is>
          <t>Evaluación de la pobreza hídrica en entornos urbanos del litoral mediterráneo: Estudios de caso</t>
        </is>
      </c>
      <c r="F21" s="22" t="inlineStr">
        <is>
          <t>27/09/2024</t>
        </is>
      </c>
      <c r="G21" s="22" t="inlineStr">
        <is>
          <t>21463610X</t>
        </is>
      </c>
      <c r="H21" s="22" t="inlineStr">
        <is>
          <t>Codirector de tesis</t>
        </is>
      </c>
      <c r="I21" s="22" t="inlineStr">
        <is>
          <t>B173</t>
        </is>
      </c>
      <c r="J21" s="22" t="inlineStr">
        <is>
          <t>ANAL. GEOGRAF. REGIONAL Y GEOGRAFIA FISI</t>
        </is>
      </c>
      <c r="K21" s="22" t="n">
        <v>0.5</v>
      </c>
      <c r="L21" s="22" t="inlineStr">
        <is>
          <t>B173</t>
        </is>
      </c>
      <c r="M21" s="22" t="n">
        <v>2023</v>
      </c>
      <c r="N21" s="22" t="inlineStr">
        <is>
          <t>10.21</t>
        </is>
      </c>
      <c r="O21" s="25" t="inlineStr">
        <is>
          <t>70</t>
        </is>
      </c>
      <c r="P21" s="22" t="inlineStr"/>
      <c r="Q21" s="25" t="inlineStr"/>
      <c r="R21" s="22" t="n">
        <v>30</v>
      </c>
      <c r="S21" s="22" t="n">
        <v>0.15</v>
      </c>
      <c r="T21" s="22" t="n">
        <v>0.35</v>
      </c>
      <c r="U21" s="22" t="n">
        <v>0</v>
      </c>
      <c r="V21" s="23" t="inlineStr">
        <is>
          <t>S</t>
        </is>
      </c>
    </row>
    <row r="22" customFormat="1" s="23">
      <c r="A22" s="22" t="inlineStr">
        <is>
          <t>U023</t>
        </is>
      </c>
      <c r="B22" s="22" t="inlineStr">
        <is>
          <t>ADM. FACULTAD DE FILOSOFIA Y LETRAS</t>
        </is>
      </c>
      <c r="C22" s="22" t="inlineStr">
        <is>
          <t>DOCTORADO EN FILOSOFÍA Y LETRAS</t>
        </is>
      </c>
      <c r="D22" s="22" t="inlineStr">
        <is>
          <t>Abad Coloma, Ricardo</t>
        </is>
      </c>
      <c r="E22" s="22" t="inlineStr">
        <is>
          <t>Evaluación de la pobreza hídrica en entornos urbanos del litoral mediterráneo: Estudios de caso</t>
        </is>
      </c>
      <c r="F22" s="22" t="inlineStr">
        <is>
          <t>27/09/2024</t>
        </is>
      </c>
      <c r="G22" s="22" t="inlineStr">
        <is>
          <t>74218439S</t>
        </is>
      </c>
      <c r="H22" s="22" t="inlineStr">
        <is>
          <t>Codirector de tesis</t>
        </is>
      </c>
      <c r="I22" s="22" t="inlineStr">
        <is>
          <t>B173</t>
        </is>
      </c>
      <c r="J22" s="22" t="inlineStr">
        <is>
          <t>ANAL. GEOGRAF. REGIONAL Y GEOGRAFIA FISI</t>
        </is>
      </c>
      <c r="K22" s="22" t="n">
        <v>0.5</v>
      </c>
      <c r="L22" s="22" t="inlineStr">
        <is>
          <t>B173</t>
        </is>
      </c>
      <c r="M22" s="22" t="n">
        <v>2023</v>
      </c>
      <c r="N22" s="22" t="inlineStr">
        <is>
          <t>10.21</t>
        </is>
      </c>
      <c r="O22" s="25" t="inlineStr">
        <is>
          <t>40</t>
        </is>
      </c>
      <c r="P22" s="22" t="inlineStr">
        <is>
          <t>10.17</t>
        </is>
      </c>
      <c r="Q22" s="25" t="inlineStr">
        <is>
          <t>10</t>
        </is>
      </c>
      <c r="R22" s="22" t="n">
        <v>50</v>
      </c>
      <c r="S22" s="22" t="n">
        <v>0.25</v>
      </c>
      <c r="T22" s="22" t="n">
        <v>0.2</v>
      </c>
      <c r="U22" s="22" t="n">
        <v>0.05</v>
      </c>
      <c r="V22" s="23" t="inlineStr">
        <is>
          <t>S</t>
        </is>
      </c>
    </row>
    <row r="23" customFormat="1" s="23">
      <c r="A23" s="16" t="inlineStr">
        <is>
          <t>U058</t>
        </is>
      </c>
      <c r="B23" s="16" t="inlineStr">
        <is>
          <t>I.U. DE INVESTIGACIONES TURÍSTICAS (10.17)</t>
        </is>
      </c>
      <c r="C23" s="16" t="inlineStr">
        <is>
          <t>DOCTORADO EN TURISMO</t>
        </is>
      </c>
      <c r="D23" s="16" t="inlineStr">
        <is>
          <t>Glass , Elke Marianne</t>
        </is>
      </c>
      <c r="E23" s="16" t="inlineStr">
        <is>
          <t>ESTRUCTURA Y ORGANIZACIÓN DEL TURISMO DE SALUD EN LA PROVINCIA DE ALICANTE</t>
        </is>
      </c>
      <c r="F23" s="16" t="inlineStr">
        <is>
          <t>09/02/2024</t>
        </is>
      </c>
      <c r="G23" s="16" t="inlineStr">
        <is>
          <t>74176634R</t>
        </is>
      </c>
      <c r="H23" s="16" t="inlineStr">
        <is>
          <t>Director de tesis</t>
        </is>
      </c>
      <c r="I23" s="16" t="inlineStr">
        <is>
          <t>B173</t>
        </is>
      </c>
      <c r="J23" s="16" t="inlineStr">
        <is>
          <t>ANÁLISIS GEOGRÁFICO REGIONAL Y GEOGRAFÍA FÍSICA</t>
        </is>
      </c>
      <c r="K23" s="16" t="n">
        <v>1</v>
      </c>
      <c r="L23" s="16" t="inlineStr">
        <is>
          <t>B173</t>
        </is>
      </c>
      <c r="M23" s="16" t="n">
        <v>2023</v>
      </c>
      <c r="N23" s="16" t="inlineStr">
        <is>
          <t>10.19</t>
        </is>
      </c>
      <c r="O23" s="16" t="inlineStr">
        <is>
          <t>20</t>
        </is>
      </c>
      <c r="P23" s="16" t="inlineStr"/>
      <c r="Q23" s="16" t="inlineStr"/>
      <c r="R23" s="16" t="n">
        <v>80</v>
      </c>
      <c r="S23" s="16" t="n">
        <v>0.8</v>
      </c>
      <c r="T23" s="16" t="n">
        <v>0.2</v>
      </c>
      <c r="U23" s="16" t="n">
        <v>0</v>
      </c>
      <c r="V23" s="23" t="inlineStr">
        <is>
          <t>S</t>
        </is>
      </c>
    </row>
    <row r="24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8" t="n"/>
      <c r="P24" s="27" t="n"/>
      <c r="Q24" s="28" t="n"/>
      <c r="R24" s="27" t="n"/>
      <c r="S24" s="52">
        <f>SUM(S2:S23)</f>
        <v/>
      </c>
      <c r="T24" s="27" t="n"/>
      <c r="U24" s="27" t="n"/>
    </row>
  </sheetData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zoomScale="117" zoomScaleNormal="117" workbookViewId="0">
      <selection activeCell="T11" sqref="T11"/>
    </sheetView>
  </sheetViews>
  <sheetFormatPr baseColWidth="10" defaultColWidth="11.42578125" defaultRowHeight="12.75"/>
  <cols>
    <col width="10.42578125" bestFit="1" customWidth="1" style="11" min="1" max="1"/>
    <col width="38.28515625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30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>
      <c r="A2" s="33" t="inlineStr">
        <is>
          <t>21434118G</t>
        </is>
      </c>
      <c r="B2" s="33" t="inlineStr">
        <is>
          <t>Marco Molina, Juan Antonio</t>
        </is>
      </c>
      <c r="C2" s="33" t="inlineStr">
        <is>
          <t>FUNCIONARIO</t>
        </is>
      </c>
      <c r="D2" s="33" t="n">
        <v>1</v>
      </c>
      <c r="E2" s="33" t="n"/>
      <c r="F2" s="33" t="n"/>
      <c r="G2" s="33" t="n"/>
      <c r="H2" s="33" t="n"/>
      <c r="I2" s="33" t="n"/>
      <c r="J2" s="33" t="n">
        <v>1</v>
      </c>
      <c r="K2" s="33" t="inlineStr">
        <is>
          <t>B173</t>
        </is>
      </c>
      <c r="L2" s="33" t="inlineStr">
        <is>
          <t>10.21</t>
        </is>
      </c>
      <c r="M2" s="33" t="inlineStr">
        <is>
          <t>40</t>
        </is>
      </c>
      <c r="N2" s="34" t="inlineStr">
        <is>
          <t>10.13</t>
        </is>
      </c>
      <c r="O2" s="33" t="inlineStr">
        <is>
          <t>20</t>
        </is>
      </c>
      <c r="P2" s="34" t="n">
        <v>40</v>
      </c>
      <c r="Q2" s="33" t="n">
        <v>0.4</v>
      </c>
      <c r="R2" s="33" t="n">
        <v>0.2</v>
      </c>
      <c r="S2" s="33" t="n">
        <v>0.4</v>
      </c>
    </row>
    <row r="3">
      <c r="A3" s="33" t="inlineStr">
        <is>
          <t>21436398F</t>
        </is>
      </c>
      <c r="B3" s="33" t="inlineStr">
        <is>
          <t>Such Climent, Mari Paz</t>
        </is>
      </c>
      <c r="C3" s="33" t="inlineStr">
        <is>
          <t>FUNCIONARIO</t>
        </is>
      </c>
      <c r="D3" s="33" t="n"/>
      <c r="E3" s="33" t="n">
        <v>1</v>
      </c>
      <c r="F3" s="33" t="n"/>
      <c r="G3" s="33" t="n"/>
      <c r="H3" s="33" t="n"/>
      <c r="I3" s="33" t="n"/>
      <c r="J3" s="33" t="n">
        <v>1</v>
      </c>
      <c r="K3" s="33" t="inlineStr">
        <is>
          <t>B173</t>
        </is>
      </c>
      <c r="L3" s="33" t="inlineStr">
        <is>
          <t>10.17</t>
        </is>
      </c>
      <c r="M3" s="33" t="inlineStr">
        <is>
          <t>35</t>
        </is>
      </c>
      <c r="N3" s="34" t="inlineStr">
        <is>
          <t>10.21</t>
        </is>
      </c>
      <c r="O3" s="33" t="inlineStr">
        <is>
          <t>30</t>
        </is>
      </c>
      <c r="P3" s="34" t="n">
        <v>35</v>
      </c>
      <c r="Q3" s="33" t="n">
        <v>0.35</v>
      </c>
      <c r="R3" s="33" t="n">
        <v>0.3</v>
      </c>
      <c r="S3" s="33" t="n">
        <v>0.35</v>
      </c>
    </row>
    <row r="4">
      <c r="A4" s="33" t="inlineStr">
        <is>
          <t>21463610X</t>
        </is>
      </c>
      <c r="B4" s="33" t="inlineStr">
        <is>
          <t>Rico Amorós, Antonio Manuel</t>
        </is>
      </c>
      <c r="C4" s="33" t="inlineStr">
        <is>
          <t>FUNCIONARIO</t>
        </is>
      </c>
      <c r="D4" s="33" t="n"/>
      <c r="E4" s="33" t="n">
        <v>1</v>
      </c>
      <c r="F4" s="33" t="n"/>
      <c r="G4" s="33" t="n"/>
      <c r="H4" s="33" t="n"/>
      <c r="I4" s="33" t="n"/>
      <c r="J4" s="33" t="n">
        <v>1</v>
      </c>
      <c r="K4" s="33" t="inlineStr">
        <is>
          <t>B173</t>
        </is>
      </c>
      <c r="L4" s="33" t="inlineStr">
        <is>
          <t>10.21</t>
        </is>
      </c>
      <c r="M4" s="33" t="inlineStr">
        <is>
          <t>70</t>
        </is>
      </c>
      <c r="N4" s="34" t="inlineStr"/>
      <c r="O4" s="33" t="inlineStr"/>
      <c r="P4" s="34" t="n">
        <v>30</v>
      </c>
      <c r="Q4" s="33" t="n">
        <v>0.7</v>
      </c>
      <c r="R4" s="33" t="n">
        <v>0</v>
      </c>
      <c r="S4" s="33" t="n">
        <v>0.3</v>
      </c>
    </row>
    <row r="5">
      <c r="A5" s="33" t="inlineStr">
        <is>
          <t>21464937A</t>
        </is>
      </c>
      <c r="B5" s="33" t="inlineStr">
        <is>
          <t>Olcina Cantos, Jorge</t>
        </is>
      </c>
      <c r="C5" s="33" t="inlineStr">
        <is>
          <t>FUNCIONARIO</t>
        </is>
      </c>
      <c r="D5" s="33" t="n">
        <v>1</v>
      </c>
      <c r="E5" s="33" t="n"/>
      <c r="F5" s="33" t="n"/>
      <c r="G5" s="33" t="n"/>
      <c r="H5" s="33" t="n"/>
      <c r="I5" s="33" t="n"/>
      <c r="J5" s="33" t="n">
        <v>1</v>
      </c>
      <c r="K5" s="33" t="inlineStr">
        <is>
          <t>B173</t>
        </is>
      </c>
      <c r="L5" s="33" t="inlineStr">
        <is>
          <t>10.21</t>
        </is>
      </c>
      <c r="M5" s="33" t="inlineStr">
        <is>
          <t>50</t>
        </is>
      </c>
      <c r="N5" s="34" t="inlineStr"/>
      <c r="O5" s="33" t="inlineStr"/>
      <c r="P5" s="34" t="n">
        <v>50</v>
      </c>
      <c r="Q5" s="33" t="n">
        <v>0.5</v>
      </c>
      <c r="R5" s="33" t="n">
        <v>0</v>
      </c>
      <c r="S5" s="33" t="n">
        <v>0.5</v>
      </c>
    </row>
    <row r="6">
      <c r="A6" s="33" t="inlineStr">
        <is>
          <t>21466152E</t>
        </is>
      </c>
      <c r="B6" s="33" t="inlineStr">
        <is>
          <t>Ramon Morte, Alfredo</t>
        </is>
      </c>
      <c r="C6" s="33" t="inlineStr">
        <is>
          <t>FUNCIONARIO</t>
        </is>
      </c>
      <c r="D6" s="33" t="n"/>
      <c r="E6" s="33" t="n"/>
      <c r="F6" s="33" t="n"/>
      <c r="G6" s="33" t="n"/>
      <c r="H6" s="33" t="n"/>
      <c r="I6" s="33" t="n">
        <v>1</v>
      </c>
      <c r="J6" s="33" t="n">
        <v>1</v>
      </c>
      <c r="K6" s="33" t="inlineStr">
        <is>
          <t>B173</t>
        </is>
      </c>
      <c r="L6" s="33" t="inlineStr">
        <is>
          <t>10.21</t>
        </is>
      </c>
      <c r="M6" s="33" t="inlineStr">
        <is>
          <t>50</t>
        </is>
      </c>
      <c r="N6" s="34" t="inlineStr">
        <is>
          <t>10.17</t>
        </is>
      </c>
      <c r="O6" s="33" t="inlineStr">
        <is>
          <t>10</t>
        </is>
      </c>
      <c r="P6" s="34" t="n">
        <v>40</v>
      </c>
      <c r="Q6" s="33" t="n">
        <v>0.5</v>
      </c>
      <c r="R6" s="33" t="n">
        <v>0.1</v>
      </c>
      <c r="S6" s="33" t="n">
        <v>0.4</v>
      </c>
    </row>
    <row r="7">
      <c r="A7" s="33" t="inlineStr">
        <is>
          <t>21479431F</t>
        </is>
      </c>
      <c r="B7" s="33" t="inlineStr">
        <is>
          <t>Padilla Blanco, Ascensión</t>
        </is>
      </c>
      <c r="C7" s="33" t="inlineStr">
        <is>
          <t>FUNCIONARIO</t>
        </is>
      </c>
      <c r="D7" s="33" t="n"/>
      <c r="E7" s="33" t="n">
        <v>1</v>
      </c>
      <c r="F7" s="33" t="n"/>
      <c r="G7" s="33" t="n"/>
      <c r="H7" s="33" t="n"/>
      <c r="I7" s="33" t="n"/>
      <c r="J7" s="33" t="n">
        <v>1</v>
      </c>
      <c r="K7" s="33" t="inlineStr">
        <is>
          <t>B173</t>
        </is>
      </c>
      <c r="L7" s="33" t="inlineStr">
        <is>
          <t>10.21</t>
        </is>
      </c>
      <c r="M7" s="33" t="inlineStr">
        <is>
          <t>40</t>
        </is>
      </c>
      <c r="N7" s="34" t="inlineStr">
        <is>
          <t>10.13</t>
        </is>
      </c>
      <c r="O7" s="33" t="inlineStr">
        <is>
          <t>20</t>
        </is>
      </c>
      <c r="P7" s="34" t="n">
        <v>40</v>
      </c>
      <c r="Q7" s="33" t="n">
        <v>0.4</v>
      </c>
      <c r="R7" s="33" t="n">
        <v>0.2</v>
      </c>
      <c r="S7" s="33" t="n">
        <v>0.4</v>
      </c>
    </row>
    <row r="8">
      <c r="A8" s="33" t="inlineStr">
        <is>
          <t>21485335T</t>
        </is>
      </c>
      <c r="B8" s="33" t="inlineStr">
        <is>
          <t>Torres Alfosea, Francisco José</t>
        </is>
      </c>
      <c r="C8" s="33" t="inlineStr">
        <is>
          <t>FUNCIONARIO</t>
        </is>
      </c>
      <c r="D8" s="33" t="n"/>
      <c r="E8" s="33" t="n"/>
      <c r="F8" s="33" t="n"/>
      <c r="G8" s="33" t="n">
        <v>1</v>
      </c>
      <c r="H8" s="33" t="n"/>
      <c r="I8" s="33" t="n"/>
      <c r="J8" s="33" t="n">
        <v>1</v>
      </c>
      <c r="K8" s="33" t="inlineStr">
        <is>
          <t>B173</t>
        </is>
      </c>
      <c r="L8" s="33" t="inlineStr">
        <is>
          <t>10.17</t>
        </is>
      </c>
      <c r="M8" s="33" t="inlineStr">
        <is>
          <t>20</t>
        </is>
      </c>
      <c r="N8" s="34" t="inlineStr">
        <is>
          <t>10.21</t>
        </is>
      </c>
      <c r="O8" s="33" t="inlineStr">
        <is>
          <t>50</t>
        </is>
      </c>
      <c r="P8" s="34" t="n">
        <v>30</v>
      </c>
      <c r="Q8" s="33" t="n">
        <v>0.2</v>
      </c>
      <c r="R8" s="33" t="n">
        <v>0.5</v>
      </c>
      <c r="S8" s="33" t="n">
        <v>0.3</v>
      </c>
    </row>
    <row r="9">
      <c r="A9" s="33" t="inlineStr">
        <is>
          <t>21485448K</t>
        </is>
      </c>
      <c r="B9" s="33" t="inlineStr">
        <is>
          <t>Baños Castiñeira, Carlos Javier</t>
        </is>
      </c>
      <c r="C9" s="33" t="inlineStr">
        <is>
          <t>FUNCIONARIO</t>
        </is>
      </c>
      <c r="D9" s="33" t="n"/>
      <c r="E9" s="33" t="n"/>
      <c r="F9" s="33" t="n"/>
      <c r="G9" s="33" t="n">
        <v>1</v>
      </c>
      <c r="H9" s="33" t="n"/>
      <c r="I9" s="33" t="n"/>
      <c r="J9" s="33" t="n">
        <v>1</v>
      </c>
      <c r="K9" s="33" t="inlineStr">
        <is>
          <t>B173</t>
        </is>
      </c>
      <c r="L9" s="33" t="inlineStr">
        <is>
          <t>10.17</t>
        </is>
      </c>
      <c r="M9" s="33" t="inlineStr">
        <is>
          <t>20</t>
        </is>
      </c>
      <c r="N9" s="34" t="inlineStr">
        <is>
          <t>10.21</t>
        </is>
      </c>
      <c r="O9" s="33" t="inlineStr">
        <is>
          <t>30</t>
        </is>
      </c>
      <c r="P9" s="34" t="n">
        <v>50</v>
      </c>
      <c r="Q9" s="33" t="n">
        <v>0.2</v>
      </c>
      <c r="R9" s="33" t="n">
        <v>0.3</v>
      </c>
      <c r="S9" s="33" t="n">
        <v>0.5</v>
      </c>
    </row>
    <row r="10">
      <c r="A10" s="33" t="inlineStr">
        <is>
          <t>21503087L</t>
        </is>
      </c>
      <c r="B10" s="33" t="inlineStr">
        <is>
          <t>Rico Cánovas, Elisa</t>
        </is>
      </c>
      <c r="C10" s="33" t="inlineStr">
        <is>
          <t>NO FUNCIONARIO</t>
        </is>
      </c>
      <c r="D10" s="33" t="n"/>
      <c r="E10" s="33" t="n"/>
      <c r="F10" s="33" t="n"/>
      <c r="G10" s="33" t="n"/>
      <c r="H10" s="33" t="n">
        <v>1</v>
      </c>
      <c r="I10" s="33" t="n"/>
      <c r="J10" s="33" t="n">
        <v>1</v>
      </c>
      <c r="K10" s="33" t="inlineStr">
        <is>
          <t>B173</t>
        </is>
      </c>
      <c r="L10" s="33" t="inlineStr">
        <is>
          <t>10.21</t>
        </is>
      </c>
      <c r="M10" s="33" t="inlineStr">
        <is>
          <t>20</t>
        </is>
      </c>
      <c r="N10" s="34" t="inlineStr">
        <is>
          <t>10.17</t>
        </is>
      </c>
      <c r="O10" s="33" t="inlineStr">
        <is>
          <t>50</t>
        </is>
      </c>
      <c r="P10" s="34" t="n">
        <v>30</v>
      </c>
      <c r="Q10" s="33" t="n">
        <v>0.2</v>
      </c>
      <c r="R10" s="33" t="n">
        <v>0.5</v>
      </c>
      <c r="S10" s="33" t="n">
        <v>0.3</v>
      </c>
    </row>
    <row r="11">
      <c r="A11" s="33" t="inlineStr">
        <is>
          <t>21655866D</t>
        </is>
      </c>
      <c r="B11" s="33" t="inlineStr">
        <is>
          <t>Moltó Mantero, Enrique Alfonso</t>
        </is>
      </c>
      <c r="C11" s="33" t="inlineStr">
        <is>
          <t>NO FUNCIONARIO</t>
        </is>
      </c>
      <c r="D11" s="33" t="n"/>
      <c r="E11" s="33" t="n"/>
      <c r="F11" s="33" t="n"/>
      <c r="G11" s="33" t="n"/>
      <c r="H11" s="33" t="n"/>
      <c r="I11" s="33" t="n">
        <v>1</v>
      </c>
      <c r="J11" s="33" t="n">
        <v>1</v>
      </c>
      <c r="K11" s="33" t="inlineStr">
        <is>
          <t>B173</t>
        </is>
      </c>
      <c r="L11" s="33" t="inlineStr">
        <is>
          <t>10.21</t>
        </is>
      </c>
      <c r="M11" s="33" t="inlineStr">
        <is>
          <t>50</t>
        </is>
      </c>
      <c r="N11" s="34" t="inlineStr"/>
      <c r="O11" s="33" t="inlineStr"/>
      <c r="P11" s="34" t="n">
        <v>50</v>
      </c>
      <c r="Q11" s="33" t="n">
        <v>0.5</v>
      </c>
      <c r="R11" s="33" t="n">
        <v>0</v>
      </c>
      <c r="S11" s="33" t="n">
        <v>0.5</v>
      </c>
    </row>
    <row r="12">
      <c r="A12" s="33" t="inlineStr">
        <is>
          <t>25126276H</t>
        </is>
      </c>
      <c r="B12" s="33" t="inlineStr">
        <is>
          <t>Ivars Baidal, Josep Antoni</t>
        </is>
      </c>
      <c r="C12" s="33" t="inlineStr">
        <is>
          <t>FUNCIONARIO</t>
        </is>
      </c>
      <c r="D12" s="33" t="n"/>
      <c r="E12" s="33" t="n">
        <v>1</v>
      </c>
      <c r="F12" s="33" t="n"/>
      <c r="G12" s="33" t="n"/>
      <c r="H12" s="33" t="n"/>
      <c r="I12" s="33" t="n"/>
      <c r="J12" s="33" t="n">
        <v>1</v>
      </c>
      <c r="K12" s="33" t="inlineStr">
        <is>
          <t>B173</t>
        </is>
      </c>
      <c r="L12" s="33" t="inlineStr">
        <is>
          <t>10.17</t>
        </is>
      </c>
      <c r="M12" s="33" t="inlineStr">
        <is>
          <t>70</t>
        </is>
      </c>
      <c r="N12" s="34" t="inlineStr">
        <is>
          <t>10.06</t>
        </is>
      </c>
      <c r="O12" s="33" t="inlineStr">
        <is>
          <t>10</t>
        </is>
      </c>
      <c r="P12" s="34" t="n">
        <v>20</v>
      </c>
      <c r="Q12" s="33" t="n">
        <v>0.7</v>
      </c>
      <c r="R12" s="33" t="n">
        <v>0.1</v>
      </c>
      <c r="S12" s="48" t="n">
        <v>0.2</v>
      </c>
    </row>
    <row r="13">
      <c r="A13" s="33" t="inlineStr">
        <is>
          <t>48353391P</t>
        </is>
      </c>
      <c r="B13" s="33" t="inlineStr">
        <is>
          <t>Giménez Font, Pablo</t>
        </is>
      </c>
      <c r="C13" s="33" t="inlineStr">
        <is>
          <t>FUNCIONARIO</t>
        </is>
      </c>
      <c r="D13" s="33" t="n"/>
      <c r="E13" s="33" t="n"/>
      <c r="F13" s="33" t="n">
        <v>1</v>
      </c>
      <c r="G13" s="33" t="n"/>
      <c r="H13" s="33" t="n"/>
      <c r="I13" s="33" t="n"/>
      <c r="J13" s="33" t="n">
        <v>1</v>
      </c>
      <c r="K13" s="33" t="inlineStr">
        <is>
          <t>B173</t>
        </is>
      </c>
      <c r="L13" s="33" t="inlineStr">
        <is>
          <t>10.21</t>
        </is>
      </c>
      <c r="M13" s="33" t="inlineStr">
        <is>
          <t>50</t>
        </is>
      </c>
      <c r="N13" s="34" t="inlineStr">
        <is>
          <t>10.13</t>
        </is>
      </c>
      <c r="O13" s="33" t="inlineStr">
        <is>
          <t>20</t>
        </is>
      </c>
      <c r="P13" s="34" t="n">
        <v>30</v>
      </c>
      <c r="Q13" s="33" t="n">
        <v>0.5</v>
      </c>
      <c r="R13" s="33" t="n">
        <v>0.2</v>
      </c>
      <c r="S13" s="33" t="n">
        <v>0.3</v>
      </c>
    </row>
    <row r="14">
      <c r="A14" s="33" t="inlineStr">
        <is>
          <t>48356326E</t>
        </is>
      </c>
      <c r="B14" s="33" t="inlineStr">
        <is>
          <t>Capdepón Frías, Margarita</t>
        </is>
      </c>
      <c r="C14" s="33" t="inlineStr">
        <is>
          <t>NO FUNCIONARIO</t>
        </is>
      </c>
      <c r="D14" s="33" t="n"/>
      <c r="E14" s="33" t="n"/>
      <c r="F14" s="33" t="n"/>
      <c r="G14" s="33" t="n"/>
      <c r="H14" s="33" t="n"/>
      <c r="I14" s="33" t="n">
        <v>1</v>
      </c>
      <c r="J14" s="33" t="n">
        <v>1</v>
      </c>
      <c r="K14" s="33" t="inlineStr">
        <is>
          <t>B173</t>
        </is>
      </c>
      <c r="L14" s="33" t="inlineStr">
        <is>
          <t>10.21</t>
        </is>
      </c>
      <c r="M14" s="33" t="inlineStr">
        <is>
          <t>30</t>
        </is>
      </c>
      <c r="N14" s="34" t="inlineStr">
        <is>
          <t>10.17</t>
        </is>
      </c>
      <c r="O14" s="33" t="inlineStr">
        <is>
          <t>30</t>
        </is>
      </c>
      <c r="P14" s="34" t="n">
        <v>40</v>
      </c>
      <c r="Q14" s="33" t="n">
        <v>0.3</v>
      </c>
      <c r="R14" s="33" t="n">
        <v>0.3</v>
      </c>
      <c r="S14" s="33" t="n">
        <v>0.4</v>
      </c>
    </row>
    <row r="15">
      <c r="A15" s="33" t="inlineStr">
        <is>
          <t>74176634R</t>
        </is>
      </c>
      <c r="B15" s="33" t="inlineStr">
        <is>
          <t>Vera Rebollo, José Fernando</t>
        </is>
      </c>
      <c r="C15" s="33" t="n">
        <v>6</v>
      </c>
      <c r="D15" s="33" t="n"/>
      <c r="E15" s="33" t="n"/>
      <c r="F15" s="33" t="n"/>
      <c r="G15" s="33" t="n"/>
      <c r="H15" s="33" t="n"/>
      <c r="I15" s="33" t="n">
        <v>1</v>
      </c>
      <c r="J15" s="33" t="n">
        <v>1</v>
      </c>
      <c r="K15" s="33" t="inlineStr">
        <is>
          <t>B173</t>
        </is>
      </c>
      <c r="L15" s="33" t="inlineStr">
        <is>
          <t>10.17</t>
        </is>
      </c>
      <c r="M15" s="33" t="inlineStr">
        <is>
          <t>80</t>
        </is>
      </c>
      <c r="N15" s="34" t="inlineStr">
        <is>
          <t>10.06</t>
        </is>
      </c>
      <c r="O15" s="33" t="inlineStr">
        <is>
          <t>10</t>
        </is>
      </c>
      <c r="P15" s="34" t="n">
        <v>10</v>
      </c>
      <c r="Q15" s="33" t="n">
        <v>0.8</v>
      </c>
      <c r="R15" s="33" t="n">
        <v>0.1</v>
      </c>
      <c r="S15" s="33" t="n">
        <v>0.1</v>
      </c>
    </row>
    <row r="16">
      <c r="A16" s="33" t="inlineStr">
        <is>
          <t>74218439S</t>
        </is>
      </c>
      <c r="B16" s="33" t="inlineStr">
        <is>
          <t>Hernández Hernández, María</t>
        </is>
      </c>
      <c r="C16" s="33" t="inlineStr">
        <is>
          <t>FUNCIONARIO</t>
        </is>
      </c>
      <c r="D16" s="33" t="n">
        <v>1</v>
      </c>
      <c r="E16" s="33" t="n"/>
      <c r="F16" s="33" t="n"/>
      <c r="G16" s="33" t="n"/>
      <c r="H16" s="33" t="n"/>
      <c r="I16" s="33" t="n"/>
      <c r="J16" s="33" t="n">
        <v>1</v>
      </c>
      <c r="K16" s="33" t="inlineStr">
        <is>
          <t>B173</t>
        </is>
      </c>
      <c r="L16" s="33" t="inlineStr">
        <is>
          <t>10.17</t>
        </is>
      </c>
      <c r="M16" s="33" t="inlineStr">
        <is>
          <t>10</t>
        </is>
      </c>
      <c r="N16" s="34" t="inlineStr">
        <is>
          <t>10.21</t>
        </is>
      </c>
      <c r="O16" s="33" t="inlineStr">
        <is>
          <t>40</t>
        </is>
      </c>
      <c r="P16" s="34" t="n">
        <v>50</v>
      </c>
      <c r="Q16" s="33" t="n">
        <v>0.1</v>
      </c>
      <c r="R16" s="33" t="n">
        <v>0.4</v>
      </c>
      <c r="S16" s="33" t="n">
        <v>0.5</v>
      </c>
    </row>
    <row r="17">
      <c r="A17" s="33" t="inlineStr">
        <is>
          <t>85084945X</t>
        </is>
      </c>
      <c r="B17" s="33" t="inlineStr">
        <is>
          <t>Miró Pérez, Juan Javier</t>
        </is>
      </c>
      <c r="C17" s="33" t="inlineStr">
        <is>
          <t>NO FUNCIONARIO</t>
        </is>
      </c>
      <c r="D17" s="33" t="n"/>
      <c r="E17" s="33" t="n"/>
      <c r="F17" s="33" t="n"/>
      <c r="G17" s="33" t="n"/>
      <c r="H17" s="33" t="n"/>
      <c r="I17" s="33" t="n">
        <v>1</v>
      </c>
      <c r="J17" s="33" t="n">
        <v>1</v>
      </c>
      <c r="K17" s="33" t="inlineStr">
        <is>
          <t>B173</t>
        </is>
      </c>
      <c r="L17" s="33" t="n">
        <v>0</v>
      </c>
      <c r="M17" s="33" t="n">
        <v>0</v>
      </c>
      <c r="N17" s="34" t="inlineStr"/>
      <c r="O17" s="33" t="inlineStr"/>
      <c r="P17" s="34" t="n">
        <v>100</v>
      </c>
      <c r="Q17" s="33" t="n">
        <v>0</v>
      </c>
      <c r="R17" s="33" t="n">
        <v>0</v>
      </c>
      <c r="S17" s="33" t="n">
        <v>1</v>
      </c>
    </row>
    <row r="18">
      <c r="A18" s="29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9" t="n"/>
      <c r="M18" s="29" t="n"/>
      <c r="N18" s="30" t="n"/>
      <c r="O18" s="29" t="n"/>
      <c r="P18" s="30" t="n"/>
      <c r="Q18" s="29" t="n"/>
      <c r="R18" s="29" t="n"/>
      <c r="S18" s="53">
        <f>SUM(S2:S17)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12" sqref="B12"/>
    </sheetView>
  </sheetViews>
  <sheetFormatPr baseColWidth="10" defaultColWidth="13.140625" defaultRowHeight="12.75"/>
  <cols>
    <col width="16.28515625" customWidth="1" min="1" max="1"/>
    <col width="118.28515625" customWidth="1" min="2" max="2"/>
    <col width="14.85546875" customWidth="1" min="3" max="3"/>
  </cols>
  <sheetData>
    <row r="1">
      <c r="A1" s="38" t="inlineStr">
        <is>
          <t>Cód. org. aplic.</t>
        </is>
      </c>
      <c r="B1" s="38" t="inlineStr">
        <is>
          <t>Descripción justificante</t>
        </is>
      </c>
      <c r="C1" s="38" t="inlineStr">
        <is>
          <t>Imp.cob.aplic.</t>
        </is>
      </c>
    </row>
    <row r="2">
      <c r="A2" s="39" t="inlineStr">
        <is>
          <t>30.10.6Q.00.01</t>
        </is>
      </c>
      <c r="B2" s="39" t="inlineStr">
        <is>
          <t>APORTACIÓN A LA PRIMERA ANUALIDAD DEL ACUERDO DE COLABORACIÓN ENTRE LA UNIVERSIDAD DE ALICANTE Y AGUAS MUNICIPALIZADAS DE ALICANTE, EMPRESA MIXTA, PARA LA CREACIÓN DE LA CÁTEDRA INSTITUCIONAL "AGUAS DE ALICANTE DE CAMBIO CLIMÁTICO" DE LA UNIVERSIDAD DE ALICANTE</t>
        </is>
      </c>
      <c r="C2" s="54" t="n">
        <v>2099</v>
      </c>
    </row>
    <row r="3" customFormat="1" s="44">
      <c r="A3" s="42" t="inlineStr">
        <is>
          <t>Total</t>
        </is>
      </c>
      <c r="B3" s="42" t="n"/>
      <c r="C3" s="55">
        <f>SUBTOTAL(109,Tabla2[Imp.cob.aplic.])</f>
        <v/>
      </c>
    </row>
    <row r="4">
      <c r="C4" s="5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23" sqref="B23"/>
    </sheetView>
  </sheetViews>
  <sheetFormatPr baseColWidth="10" defaultColWidth="13.140625" defaultRowHeight="12.75"/>
  <cols>
    <col width="16.28515625" customWidth="1" min="1" max="1"/>
    <col width="118.28515625" customWidth="1" min="2" max="2"/>
    <col width="14.85546875" customWidth="1" min="3" max="3"/>
  </cols>
  <sheetData>
    <row r="1">
      <c r="A1" s="38" t="inlineStr">
        <is>
          <t>Cód. org. aplic.</t>
        </is>
      </c>
      <c r="B1" s="38" t="inlineStr">
        <is>
          <t>Descripción justificante</t>
        </is>
      </c>
      <c r="C1" s="38" t="inlineStr">
        <is>
          <t>Imp.cob.aplic.</t>
        </is>
      </c>
    </row>
    <row r="2">
      <c r="A2" s="39" t="inlineStr">
        <is>
          <t>30.10.6Q.00.01</t>
        </is>
      </c>
      <c r="B2" s="39" t="inlineStr">
        <is>
          <t>DOTACIÓN DE 20.000,00€. ANUALIDAD 2024 CÁTEDRA "AGUAS DE ALICANTE DE CAMBIO CLIMÁTICO"</t>
        </is>
      </c>
      <c r="C2" s="54" t="n">
        <v>20000</v>
      </c>
    </row>
    <row r="3" customFormat="1" s="44">
      <c r="A3" s="42" t="inlineStr">
        <is>
          <t>Total</t>
        </is>
      </c>
      <c r="B3" s="42" t="n"/>
      <c r="C3" s="55">
        <f>SUBTOTAL(109,Tabla3[Imp.cob.aplic.])</f>
        <v/>
      </c>
    </row>
    <row r="4">
      <c r="C4" s="5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7"/>
  <sheetViews>
    <sheetView workbookViewId="0">
      <selection activeCell="F13" sqref="F13"/>
    </sheetView>
  </sheetViews>
  <sheetFormatPr baseColWidth="10" defaultRowHeight="12.75"/>
  <cols>
    <col width="42" customWidth="1" min="3" max="3"/>
  </cols>
  <sheetData>
    <row r="2">
      <c r="B2" t="inlineStr">
        <is>
          <t>No hay ingresos de investigación en 2025</t>
        </is>
      </c>
    </row>
    <row r="7">
      <c r="C7" s="40" t="inlineStr">
        <is>
          <t>Total ingresos investigación 2023-25</t>
        </is>
      </c>
      <c r="D7" s="57">
        <f>+Tabla3[[#Totals],[Imp.cob.aplic.]]+Tabla2[[#Totals],[Imp.cob.aplic.]]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28" sqref="B28"/>
    </sheetView>
  </sheetViews>
  <sheetFormatPr baseColWidth="10" defaultColWidth="13.140625" defaultRowHeight="12.75"/>
  <cols>
    <col width="16.28515625" customWidth="1" min="1" max="1"/>
    <col width="118.28515625" customWidth="1" min="2" max="2"/>
    <col width="14.85546875" customWidth="1" min="3" max="3"/>
  </cols>
  <sheetData>
    <row r="1">
      <c r="A1" s="38" t="inlineStr">
        <is>
          <t>Cód. org. aplic.</t>
        </is>
      </c>
      <c r="B1" s="38" t="inlineStr">
        <is>
          <t>Descripción justificante</t>
        </is>
      </c>
      <c r="C1" s="38" t="inlineStr">
        <is>
          <t>Imp.cob.aplic.</t>
        </is>
      </c>
    </row>
    <row r="2">
      <c r="A2" s="39" t="inlineStr">
        <is>
          <t>10.91.2T.00.18</t>
        </is>
      </c>
      <c r="B2" s="39" t="inlineStr">
        <is>
          <t xml:space="preserve">Plan_GI04 Curso_2023-24 Emitido_2023-24 - DIRECCIÓN Y GESTIÓN DE EMPRESAS TURÍSTICAS DE INTERMEDIACIÓN </t>
        </is>
      </c>
      <c r="C2" s="54" t="n">
        <v>198</v>
      </c>
    </row>
    <row r="3" customFormat="1" s="44">
      <c r="A3" s="42" t="inlineStr">
        <is>
          <t>10.91.2T.00.18</t>
        </is>
      </c>
      <c r="B3" s="42" t="inlineStr">
        <is>
          <t>DEVOLUCIÓN DE TASAS NÓMINAS_REMESA Nº 2023DTR380589_RDT INVERSA: 2023EXPADM2019</t>
        </is>
      </c>
      <c r="C3" s="58" t="n">
        <v>-17</v>
      </c>
    </row>
    <row r="4">
      <c r="A4" s="37" t="inlineStr">
        <is>
          <t>10.91.2T.00.21</t>
        </is>
      </c>
      <c r="B4" s="37" t="inlineStr">
        <is>
          <t xml:space="preserve">Plan_GJ93 Curso_2023-24 Emitido_2023-24 -YOU ARE HIRED! ORATORIA PARA ENTREVISTAS DE TRABAJO EN INGLÉS </t>
        </is>
      </c>
      <c r="C4" s="59" t="n">
        <v>25.5</v>
      </c>
    </row>
    <row r="5">
      <c r="A5" s="42" t="inlineStr">
        <is>
          <t>Total</t>
        </is>
      </c>
      <c r="B5" s="42" t="n"/>
      <c r="C5" s="55">
        <f>SUBTOTAL(109,Tabla25[Imp.cob.aplic.])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28" sqref="D28"/>
    </sheetView>
  </sheetViews>
  <sheetFormatPr baseColWidth="10" defaultColWidth="13.140625" defaultRowHeight="12.75"/>
  <cols>
    <col width="16.28515625" customWidth="1" min="1" max="1"/>
    <col width="118.28515625" customWidth="1" min="2" max="2"/>
    <col width="14.85546875" customWidth="1" min="3" max="3"/>
  </cols>
  <sheetData>
    <row r="1">
      <c r="A1" s="38" t="inlineStr">
        <is>
          <t>Cód. org. aplic.</t>
        </is>
      </c>
      <c r="B1" s="38" t="inlineStr">
        <is>
          <t>Descripción justificante</t>
        </is>
      </c>
      <c r="C1" s="38" t="inlineStr">
        <is>
          <t>Imp.cob.aplic.</t>
        </is>
      </c>
    </row>
    <row r="2">
      <c r="A2" s="39" t="inlineStr">
        <is>
          <t>10.91.2T.00.18</t>
        </is>
      </c>
      <c r="B2" s="39" t="inlineStr">
        <is>
          <t>DEVOLUCIÓN DE PRECIOS PÚBLICOS POR INGRESOS DE MATRÍCULA_REMESA Nº 2024DTR350464</t>
        </is>
      </c>
      <c r="C2" s="54" t="n">
        <v>-34</v>
      </c>
    </row>
    <row r="3" customFormat="1" s="44">
      <c r="A3" s="42" t="inlineStr">
        <is>
          <t>Total</t>
        </is>
      </c>
      <c r="B3" s="42" t="n"/>
      <c r="C3" s="55">
        <f>SUBTOTAL(109,Tabla256[Imp.cob.aplic.])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5"/>
  <sheetViews>
    <sheetView tabSelected="1" workbookViewId="0">
      <selection activeCell="C12" sqref="C12"/>
    </sheetView>
  </sheetViews>
  <sheetFormatPr baseColWidth="10" defaultRowHeight="12.75"/>
  <cols>
    <col width="40.28515625" customWidth="1" min="2" max="2"/>
  </cols>
  <sheetData>
    <row r="2">
      <c r="B2" t="inlineStr">
        <is>
          <t>Sin ingresos por docencia en 2025</t>
        </is>
      </c>
    </row>
    <row r="5">
      <c r="B5" s="47" t="inlineStr">
        <is>
          <t>Total ingresos formación 2023-25</t>
        </is>
      </c>
      <c r="C5" s="47">
        <f>Tabla25[[#Totals],[Imp.cob.aplic.]]+Tabla256[[#Totals],[Imp.cob.aplic.]]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dab@ua.es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2019-10-14T10:11:40Z</dcterms:created>
  <dcterms:modified xsi:type="dcterms:W3CDTF">2026-05-28T21:59:08Z</dcterms:modified>
  <cp:lastModifiedBy>mayte.pujalte</cp:lastModifiedBy>
</cp:coreProperties>
</file>