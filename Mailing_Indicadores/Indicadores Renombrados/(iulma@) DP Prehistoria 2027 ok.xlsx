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15" firstSheet="0" activeTab="1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_-* #,##0.00_-;\-* #,##0.00_-;_-* &quot;-&quot;??_-;_-@_-"/>
    <numFmt numFmtId="166" formatCode="_-* #,##0.00\ _€_-;\-* #,##0.00\ _€_-;_-* &quot;-&quot;??\ _€_-;_-@_-"/>
  </numFmts>
  <fonts count="20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Arial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9" tint="0.3999755851924192"/>
      </left>
      <right/>
      <top/>
      <bottom style="thin">
        <color theme="9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</borders>
  <cellStyleXfs count="7">
    <xf numFmtId="0" fontId="13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3" fillId="0" borderId="0"/>
  </cellStyleXfs>
  <cellXfs count="110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4" fontId="2" fillId="4" borderId="2" pivotButton="0" quotePrefix="0" xfId="1"/>
    <xf numFmtId="0" fontId="2" fillId="0" borderId="1" pivotButton="0" quotePrefix="0" xfId="1"/>
    <xf numFmtId="0" fontId="2" fillId="4" borderId="3" pivotButton="0" quotePrefix="0" xfId="1"/>
    <xf numFmtId="0" fontId="10" fillId="6" borderId="1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5" fontId="0" fillId="8" borderId="8" pivotButton="0" quotePrefix="0" xfId="6"/>
    <xf numFmtId="0" fontId="2" fillId="0" borderId="1" pivotButton="0" quotePrefix="0" xfId="0"/>
    <xf numFmtId="0" fontId="9" fillId="8" borderId="7" pivotButton="0" quotePrefix="0" xfId="0"/>
    <xf numFmtId="0" fontId="9" fillId="8" borderId="8" pivotButton="0" quotePrefix="0" xfId="0"/>
    <xf numFmtId="165" fontId="6" fillId="8" borderId="8" pivotButton="0" quotePrefix="0" xfId="6"/>
    <xf numFmtId="0" fontId="9" fillId="0" borderId="7" pivotButton="0" quotePrefix="0" xfId="0"/>
    <xf numFmtId="0" fontId="9" fillId="0" borderId="8" pivotButton="0" quotePrefix="0" xfId="0"/>
    <xf numFmtId="165" fontId="6" fillId="0" borderId="8" pivotButton="0" quotePrefix="0" xfId="6"/>
    <xf numFmtId="165" fontId="0" fillId="0" borderId="0" pivotButton="0" quotePrefix="0" xfId="0"/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12" fillId="9" borderId="0" pivotButton="0" quotePrefix="0" xfId="0"/>
    <xf numFmtId="0" fontId="3" fillId="9" borderId="0" pivotButton="0" quotePrefix="0" xfId="1"/>
    <xf numFmtId="0" fontId="3" fillId="9" borderId="0" applyAlignment="1" pivotButton="0" quotePrefix="0" xfId="1">
      <alignment horizontal="right"/>
    </xf>
    <xf numFmtId="164" fontId="3" fillId="9" borderId="0" pivotButton="0" quotePrefix="0" xfId="1"/>
    <xf numFmtId="0" fontId="6" fillId="0" borderId="0" pivotButton="0" quotePrefix="0" xfId="0"/>
    <xf numFmtId="165" fontId="6" fillId="0" borderId="0" pivotButton="0" quotePrefix="0" xfId="6"/>
    <xf numFmtId="0" fontId="15" fillId="0" borderId="0" pivotButton="0" quotePrefix="0" xfId="0"/>
    <xf numFmtId="0" fontId="14" fillId="7" borderId="9" pivotButton="0" quotePrefix="0" xfId="0"/>
    <xf numFmtId="165" fontId="0" fillId="8" borderId="10" pivotButton="0" quotePrefix="0" xfId="6"/>
    <xf numFmtId="0" fontId="9" fillId="8" borderId="10" pivotButton="0" quotePrefix="0" xfId="0"/>
    <xf numFmtId="0" fontId="9" fillId="10" borderId="10" pivotButton="0" quotePrefix="0" xfId="0"/>
    <xf numFmtId="165" fontId="13" fillId="10" borderId="10" pivotButton="0" quotePrefix="0" xfId="0"/>
    <xf numFmtId="0" fontId="0" fillId="11" borderId="0" pivotButton="0" quotePrefix="0" xfId="0"/>
    <xf numFmtId="165" fontId="6" fillId="8" borderId="10" pivotButton="0" quotePrefix="0" xfId="6"/>
    <xf numFmtId="0" fontId="0" fillId="8" borderId="8" pivotButton="0" quotePrefix="0" xfId="0"/>
    <xf numFmtId="0" fontId="11" fillId="7" borderId="9" pivotButton="0" quotePrefix="0" xfId="0"/>
    <xf numFmtId="165" fontId="11" fillId="7" borderId="9" pivotButton="0" quotePrefix="0" xfId="6"/>
    <xf numFmtId="0" fontId="0" fillId="8" borderId="10" pivotButton="0" quotePrefix="0" xfId="0"/>
    <xf numFmtId="0" fontId="0" fillId="10" borderId="10" pivotButton="0" quotePrefix="0" xfId="0"/>
    <xf numFmtId="165" fontId="6" fillId="10" borderId="10" pivotButton="0" quotePrefix="0" xfId="0"/>
    <xf numFmtId="0" fontId="14" fillId="7" borderId="11" pivotButton="0" quotePrefix="0" xfId="0"/>
    <xf numFmtId="0" fontId="0" fillId="0" borderId="8" pivotButton="0" quotePrefix="0" xfId="0"/>
    <xf numFmtId="165" fontId="0" fillId="0" borderId="8" pivotButton="0" quotePrefix="0" xfId="6"/>
    <xf numFmtId="0" fontId="16" fillId="0" borderId="1" pivotButton="0" quotePrefix="0" xfId="0"/>
    <xf numFmtId="165" fontId="16" fillId="0" borderId="1" pivotButton="0" quotePrefix="0" xfId="0"/>
    <xf numFmtId="0" fontId="12" fillId="0" borderId="1" pivotButton="0" quotePrefix="0" xfId="0"/>
    <xf numFmtId="165" fontId="12" fillId="0" borderId="1" pivotButton="0" quotePrefix="0" xfId="0"/>
    <xf numFmtId="0" fontId="17" fillId="12" borderId="12" pivotButton="0" quotePrefix="0" xfId="0"/>
    <xf numFmtId="0" fontId="17" fillId="12" borderId="13" pivotButton="0" quotePrefix="0" xfId="0"/>
    <xf numFmtId="0" fontId="18" fillId="13" borderId="12" pivotButton="0" quotePrefix="0" xfId="0"/>
    <xf numFmtId="0" fontId="18" fillId="13" borderId="13" pivotButton="0" quotePrefix="0" xfId="0"/>
    <xf numFmtId="166" fontId="18" fillId="13" borderId="13" pivotButton="0" quotePrefix="0" xfId="6"/>
    <xf numFmtId="0" fontId="18" fillId="0" borderId="12" pivotButton="0" quotePrefix="0" xfId="0"/>
    <xf numFmtId="0" fontId="18" fillId="0" borderId="13" pivotButton="0" quotePrefix="0" xfId="0"/>
    <xf numFmtId="166" fontId="18" fillId="0" borderId="13" pivotButton="0" quotePrefix="0" xfId="6"/>
    <xf numFmtId="0" fontId="19" fillId="0" borderId="14" pivotButton="0" quotePrefix="0" xfId="0"/>
    <xf numFmtId="0" fontId="19" fillId="0" borderId="15" pivotButton="0" quotePrefix="0" xfId="0"/>
    <xf numFmtId="166" fontId="19" fillId="0" borderId="15" pivotButton="0" quotePrefix="0" xfId="6"/>
    <xf numFmtId="0" fontId="17" fillId="12" borderId="16" pivotButton="0" quotePrefix="0" xfId="0"/>
    <xf numFmtId="166" fontId="17" fillId="12" borderId="16" pivotButton="0" quotePrefix="0" xfId="6"/>
    <xf numFmtId="0" fontId="18" fillId="0" borderId="17" pivotButton="0" quotePrefix="0" xfId="0"/>
    <xf numFmtId="166" fontId="18" fillId="0" borderId="17" pivotButton="0" quotePrefix="0" xfId="6"/>
    <xf numFmtId="166" fontId="18" fillId="0" borderId="17" pivotButton="0" quotePrefix="0" xfId="0"/>
    <xf numFmtId="0" fontId="0" fillId="11" borderId="1" pivotButton="0" quotePrefix="0" xfId="0"/>
    <xf numFmtId="0" fontId="0" fillId="11" borderId="1" applyAlignment="1" pivotButton="0" quotePrefix="0" xfId="0">
      <alignment horizontal="center"/>
    </xf>
    <xf numFmtId="0" fontId="9" fillId="11" borderId="0" pivotButton="0" quotePrefix="0" xfId="5"/>
    <xf numFmtId="164" fontId="2" fillId="4" borderId="2" pivotButton="0" quotePrefix="0" xfId="1"/>
    <xf numFmtId="164" fontId="3" fillId="9" borderId="0" pivotButton="0" quotePrefix="0" xfId="1"/>
    <xf numFmtId="165" fontId="6" fillId="8" borderId="10" pivotButton="0" quotePrefix="0" xfId="6"/>
    <xf numFmtId="165" fontId="6" fillId="10" borderId="10" pivotButton="0" quotePrefix="0" xfId="0"/>
    <xf numFmtId="165" fontId="0" fillId="0" borderId="0" pivotButton="0" quotePrefix="0" xfId="0"/>
    <xf numFmtId="165" fontId="11" fillId="7" borderId="9" pivotButton="0" quotePrefix="0" xfId="6"/>
    <xf numFmtId="165" fontId="0" fillId="8" borderId="10" pivotButton="0" quotePrefix="0" xfId="6"/>
    <xf numFmtId="165" fontId="13" fillId="10" borderId="10" pivotButton="0" quotePrefix="0" xfId="0"/>
    <xf numFmtId="166" fontId="18" fillId="13" borderId="13" pivotButton="0" quotePrefix="0" xfId="6"/>
    <xf numFmtId="166" fontId="18" fillId="0" borderId="13" pivotButton="0" quotePrefix="0" xfId="6"/>
    <xf numFmtId="166" fontId="19" fillId="0" borderId="15" pivotButton="0" quotePrefix="0" xfId="6"/>
    <xf numFmtId="165" fontId="12" fillId="0" borderId="1" pivotButton="0" quotePrefix="0" xfId="0"/>
    <xf numFmtId="165" fontId="6" fillId="8" borderId="8" pivotButton="0" quotePrefix="0" xfId="6"/>
    <xf numFmtId="165" fontId="6" fillId="0" borderId="8" pivotButton="0" quotePrefix="0" xfId="6"/>
    <xf numFmtId="165" fontId="6" fillId="0" borderId="0" pivotButton="0" quotePrefix="0" xfId="6"/>
    <xf numFmtId="165" fontId="0" fillId="8" borderId="8" pivotButton="0" quotePrefix="0" xfId="6"/>
    <xf numFmtId="165" fontId="0" fillId="0" borderId="8" pivotButton="0" quotePrefix="0" xfId="6"/>
    <xf numFmtId="166" fontId="17" fillId="12" borderId="16" pivotButton="0" quotePrefix="0" xfId="6"/>
    <xf numFmtId="166" fontId="18" fillId="0" borderId="17" pivotButton="0" quotePrefix="0" xfId="6"/>
    <xf numFmtId="166" fontId="18" fillId="0" borderId="17" pivotButton="0" quotePrefix="0" xfId="0"/>
    <xf numFmtId="165" fontId="16" fillId="0" borderId="1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45"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border outline="0">
        <bottom style="thin">
          <color theme="4" tint="0.3999755851924192"/>
        </bottom>
      </border>
    </dxf>
    <dxf>
      <font>
        <name val="Arial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4"/>
          <bgColor theme="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ill>
        <patternFill patternType="solid">
          <fgColor theme="9" tint="0.7999816888943144"/>
          <bgColor theme="0"/>
        </patternFill>
      </fill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ill>
        <patternFill patternType="solid">
          <fgColor theme="9" tint="0.7999816888943144"/>
          <bgColor theme="0"/>
        </patternFill>
      </fill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 patternType="solid">
          <fgColor theme="9" tint="0.7999816888943144"/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"/>
        </top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ill>
        <patternFill patternType="solid">
          <fgColor theme="9" tint="0.7999816888943144"/>
          <bgColor theme="0"/>
        </patternFill>
      </fill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ill>
        <patternFill patternType="solid">
          <fgColor theme="9" tint="0.7999816888943144"/>
          <bgColor theme="0"/>
        </patternFill>
      </fill>
    </dxf>
    <dxf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3" headerRowCount="1" totalsRowCount="1" headerRowDxfId="44" totalsRowDxfId="41" headerRowBorderDxfId="43" tableBorderDxfId="42" totalsRowBorderDxfId="40">
  <autoFilter ref="A1:C2"/>
  <tableColumns count="3">
    <tableColumn id="1" name="Cód. org. aplic." totalsRowLabel="Total" dataDxfId="39" totalsRowDxfId="38"/>
    <tableColumn id="2" name="Descripción justificante" dataDxfId="37" totalsRowDxfId="36"/>
    <tableColumn id="3" name="Imp.cob.aplic." totalsRowFunction="sum" dataDxfId="35" totalsRowDxfId="34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3" headerRowCount="1" totalsRowCount="1" totalsRowDxfId="31" headerRowBorderDxfId="33" tableBorderDxfId="32" totalsRowBorderDxfId="30">
  <autoFilter ref="A1:C2"/>
  <tableColumns count="3">
    <tableColumn id="1" name="Org. aplic." totalsRowLabel="Total" dataDxfId="29" totalsRowDxfId="28"/>
    <tableColumn id="2" name="Descripción justificante" dataDxfId="27" totalsRowDxfId="26"/>
    <tableColumn id="3" name="Imp. aplic." totalsRowFunction="sum" dataDxfId="25" totalsRowDxfId="24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13" headerRowCount="1" totalsRowCount="1" headerRowDxfId="23" headerRowBorderDxfId="22" tableBorderDxfId="21">
  <autoFilter ref="A1:C12"/>
  <tableColumns count="3">
    <tableColumn id="1" name="Cód. org. aplic." totalsRowLabel="Total"/>
    <tableColumn id="2" name="Descripción justificante"/>
    <tableColumn id="3" name="Imp.cob.aplic." totalsRowFunction="sum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4" name="Tabla6" displayName="Tabla6" ref="A1:C21" headerRowCount="1" totalsRowCount="1" headerRowDxfId="20" totalsRowDxfId="17" headerRowBorderDxfId="19" tableBorderDxfId="18" totalsRowBorderDxfId="16">
  <autoFilter ref="A1:C20"/>
  <tableColumns count="3">
    <tableColumn id="1" name="Org. aplic." totalsRowLabel="Total" dataDxfId="15" totalsRowDxfId="14"/>
    <tableColumn id="2" name="Descripción justificante" dataDxfId="13" totalsRowDxfId="12"/>
    <tableColumn id="3" name="Imp. aplic." totalsRowFunction="sum" dataDxfId="11" totalsRowDxfId="10" dataCellStyle="Millares" totalsRowCellStyle="Millar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1" displayName="Tabla1" ref="A1:C22" headerRowCount="1" totalsRowCount="1" headerRowDxfId="9" headerRowBorderDxfId="8" tableBorderDxfId="7" totalsRowBorderDxfId="6">
  <autoFilter ref="A1:C21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7"/>
  <sheetViews>
    <sheetView showGridLines="0" zoomScale="112" zoomScaleNormal="112" workbookViewId="0">
      <pane xSplit="1" ySplit="1" topLeftCell="D14" activePane="bottomRight" state="frozen"/>
      <selection pane="topRight" activeCell="B1" sqref="B1"/>
      <selection pane="bottomLeft" activeCell="A2" sqref="A2"/>
      <selection pane="bottomRight" activeCell="U43" sqref="U43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5.140625" customWidth="1" style="6" min="11" max="12"/>
    <col width="4.42578125" customWidth="1" style="6" min="13" max="13"/>
    <col width="4.85546875" customWidth="1" style="6" min="14" max="14"/>
    <col width="4.85546875" customWidth="1" style="7" min="15" max="15"/>
    <col width="4.85546875" customWidth="1" style="6" min="16" max="16"/>
    <col width="3.5703125" customWidth="1" style="7" min="17" max="17"/>
    <col width="3.5703125" customWidth="1" style="6" min="18" max="18"/>
    <col width="5.140625" customWidth="1" style="6" min="19" max="21"/>
    <col width="10.28515625" customWidth="1" style="6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7" t="inlineStr">
        <is>
          <t xml:space="preserve">U023 </t>
        </is>
      </c>
      <c r="B2" s="17" t="inlineStr">
        <is>
          <t xml:space="preserve">ADM. FACULTAD DE FILOSOFIA Y LETRAS </t>
        </is>
      </c>
      <c r="C2" s="17" t="inlineStr">
        <is>
          <t xml:space="preserve">DOCTORADO EN FILOSOFÍA Y LETRAS </t>
        </is>
      </c>
      <c r="D2" s="17" t="inlineStr">
        <is>
          <t xml:space="preserve">Die Maculet, María del Rosario </t>
        </is>
      </c>
      <c r="E2" s="17" t="inlineStr">
        <is>
          <t xml:space="preserve">LA CORRESPONDENCIA ERUDITA DE ANTONIO VALCÁRCEL PIO DE SABOYA, CONDE DE LUMIARES (1748-1808) </t>
        </is>
      </c>
      <c r="F2" s="17" t="inlineStr">
        <is>
          <t xml:space="preserve">15/09/2020 </t>
        </is>
      </c>
      <c r="G2" s="17" t="inlineStr">
        <is>
          <t xml:space="preserve">03078551R </t>
        </is>
      </c>
      <c r="H2" s="17" t="inlineStr">
        <is>
          <t xml:space="preserve">Codirector de tesis </t>
        </is>
      </c>
      <c r="I2" s="17" t="inlineStr">
        <is>
          <t xml:space="preserve">B130 </t>
        </is>
      </c>
      <c r="J2" s="17" t="inlineStr">
        <is>
          <t xml:space="preserve">PREHISTORIA, ARQUEOLOGÍA, HIST. ANTIGUA, FILOL. GRIEGA Y FILOL. LATINA </t>
        </is>
      </c>
      <c r="K2" s="17" t="n">
        <v>0.5</v>
      </c>
      <c r="L2" s="17" t="inlineStr">
        <is>
          <t>B130</t>
        </is>
      </c>
      <c r="M2" s="17" t="n">
        <v>2019</v>
      </c>
      <c r="N2" s="18" t="inlineStr"/>
      <c r="O2" s="17" t="inlineStr"/>
      <c r="P2" s="18" t="inlineStr"/>
      <c r="Q2" s="19" t="inlineStr"/>
      <c r="R2" s="89" t="n">
        <v>100</v>
      </c>
      <c r="S2" s="89" t="n">
        <v>0.5</v>
      </c>
      <c r="T2" s="89" t="n">
        <v>0</v>
      </c>
      <c r="U2" s="33" t="n">
        <v>0</v>
      </c>
    </row>
    <row r="3">
      <c r="A3" s="17" t="inlineStr">
        <is>
          <t xml:space="preserve">U023 </t>
        </is>
      </c>
      <c r="B3" s="17" t="inlineStr">
        <is>
          <t xml:space="preserve">ADM. FACULTAD DE FILOSOFIA Y LETRAS </t>
        </is>
      </c>
      <c r="C3" s="17" t="inlineStr">
        <is>
          <t xml:space="preserve">DOCTORADO EN FILOSOFÍA Y LETRAS </t>
        </is>
      </c>
      <c r="D3" s="17" t="inlineStr">
        <is>
          <t xml:space="preserve">Castillo Vizcaíno, Laura </t>
        </is>
      </c>
      <c r="E3" s="17" t="inlineStr">
        <is>
          <t xml:space="preserve">El espacio ibérico del sur de Albacete entre los siglos VI y II a.C.: Los oppida de La Peña (Peñas de San Pedro) y Saltigi/Chinchilla y sus territorios </t>
        </is>
      </c>
      <c r="F3" s="17" t="inlineStr">
        <is>
          <t xml:space="preserve">25/09/2020 </t>
        </is>
      </c>
      <c r="G3" s="17" t="inlineStr">
        <is>
          <t xml:space="preserve">07210590K </t>
        </is>
      </c>
      <c r="H3" s="17" t="inlineStr">
        <is>
          <t xml:space="preserve">Codirector de tesis </t>
        </is>
      </c>
      <c r="I3" s="17" t="inlineStr">
        <is>
          <t xml:space="preserve">B130 </t>
        </is>
      </c>
      <c r="J3" s="17" t="inlineStr">
        <is>
          <t xml:space="preserve">PREHISTORIA, ARQUEOLOGÍA, HIST. ANTIGUA, FILOL. GRIEGA Y FILOL. LATINA </t>
        </is>
      </c>
      <c r="K3" s="17" t="n">
        <v>0.5</v>
      </c>
      <c r="L3" s="17" t="inlineStr">
        <is>
          <t>B130</t>
        </is>
      </c>
      <c r="M3" s="17" t="n">
        <v>2019</v>
      </c>
      <c r="N3" s="18" t="inlineStr">
        <is>
          <t>10.24</t>
        </is>
      </c>
      <c r="O3" s="17" t="inlineStr">
        <is>
          <t>80</t>
        </is>
      </c>
      <c r="P3" s="18" t="inlineStr"/>
      <c r="Q3" s="19" t="inlineStr"/>
      <c r="R3" s="89" t="n">
        <v>20</v>
      </c>
      <c r="S3" s="89" t="n">
        <v>0.1</v>
      </c>
      <c r="T3" s="89" t="n">
        <v>0.4</v>
      </c>
      <c r="U3" s="33" t="n">
        <v>0</v>
      </c>
    </row>
    <row r="4">
      <c r="A4" s="15" t="inlineStr">
        <is>
          <t xml:space="preserve">U023 </t>
        </is>
      </c>
      <c r="B4" s="15" t="inlineStr">
        <is>
          <t xml:space="preserve">ADM. FACULTAD DE FILOSOFIA Y LETRAS </t>
        </is>
      </c>
      <c r="C4" s="15" t="inlineStr">
        <is>
          <t xml:space="preserve">DOCTORADO EN FILOSOFÍA Y LETRAS </t>
        </is>
      </c>
      <c r="D4" s="15" t="inlineStr">
        <is>
          <t xml:space="preserve">Santana Onrubia, Rubén </t>
        </is>
      </c>
      <c r="E4" s="15" t="inlineStr">
        <is>
          <t xml:space="preserve">LAS TRANSFORMACIONES DEL MODELO TERRITORIAL EN EL LITORAL CENTRAL DE LA TARRACONENSE EN EL BAJO IMPERIO </t>
        </is>
      </c>
      <c r="F4" s="15" t="inlineStr">
        <is>
          <t xml:space="preserve">22/01/2021 </t>
        </is>
      </c>
      <c r="G4" s="15" t="inlineStr">
        <is>
          <t xml:space="preserve">48569460S </t>
        </is>
      </c>
      <c r="H4" s="15" t="inlineStr">
        <is>
          <t xml:space="preserve">Codirector de tesis </t>
        </is>
      </c>
      <c r="I4" s="15" t="inlineStr">
        <is>
          <t xml:space="preserve">B130 </t>
        </is>
      </c>
      <c r="J4" s="15" t="inlineStr">
        <is>
          <t xml:space="preserve">PREHISTORIA, ARQUEOLOGÍA, HIST. ANTIGUA, FILOL. GRIEGA Y FILOL. LATINA </t>
        </is>
      </c>
      <c r="K4" s="21" t="n">
        <v>0.5</v>
      </c>
      <c r="L4" s="22" t="inlineStr">
        <is>
          <t>B130</t>
        </is>
      </c>
      <c r="M4" s="15" t="n">
        <v>2019</v>
      </c>
      <c r="N4" s="16" t="inlineStr">
        <is>
          <t>10.24</t>
        </is>
      </c>
      <c r="O4" s="15" t="n">
        <v>50</v>
      </c>
      <c r="P4" s="16" t="inlineStr"/>
      <c r="Q4" s="15" t="n">
        <v>0</v>
      </c>
      <c r="R4" s="15" t="n">
        <v>50</v>
      </c>
      <c r="S4" s="15" t="n">
        <v>0.25</v>
      </c>
      <c r="T4" s="15" t="n">
        <v>0.25</v>
      </c>
      <c r="U4" s="33" t="n">
        <v>0</v>
      </c>
    </row>
    <row r="5" ht="12" customHeight="1" thickBot="1">
      <c r="A5" s="15" t="inlineStr">
        <is>
          <t xml:space="preserve">U023 </t>
        </is>
      </c>
      <c r="B5" s="15" t="inlineStr">
        <is>
          <t xml:space="preserve">ADM. FACULTAD DE FILOSOFIA Y LETRAS </t>
        </is>
      </c>
      <c r="C5" s="15" t="inlineStr">
        <is>
          <t xml:space="preserve">DOCTORADO EN FILOSOFÍA Y LETRAS </t>
        </is>
      </c>
      <c r="D5" s="15" t="inlineStr">
        <is>
          <t xml:space="preserve">Santana Onrubia, Rubén </t>
        </is>
      </c>
      <c r="E5" s="15" t="inlineStr">
        <is>
          <t xml:space="preserve">LAS TRANSFORMACIONES DEL MODELO TERRITORIAL EN EL LITORAL CENTRAL DE LA TARRACONENSE EN EL BAJO IMPERIO </t>
        </is>
      </c>
      <c r="F5" s="15" t="inlineStr">
        <is>
          <t xml:space="preserve">22/01/2021 </t>
        </is>
      </c>
      <c r="G5" s="15" t="inlineStr">
        <is>
          <t xml:space="preserve">21474593E </t>
        </is>
      </c>
      <c r="H5" s="15" t="inlineStr">
        <is>
          <t xml:space="preserve">Codirector de tesis </t>
        </is>
      </c>
      <c r="I5" s="15" t="inlineStr">
        <is>
          <t xml:space="preserve">B130 </t>
        </is>
      </c>
      <c r="J5" s="15" t="inlineStr">
        <is>
          <t xml:space="preserve">PREHISTORIA, ARQUEOLOGÍA, HIST. ANTIGUA, FILOL. GRIEGA Y FILOL. LATINA </t>
        </is>
      </c>
      <c r="K5" s="21" t="n">
        <v>0.5</v>
      </c>
      <c r="L5" s="22" t="inlineStr">
        <is>
          <t>B130</t>
        </is>
      </c>
      <c r="M5" s="15" t="n">
        <v>2019</v>
      </c>
      <c r="N5" s="16" t="inlineStr">
        <is>
          <t>10.24</t>
        </is>
      </c>
      <c r="O5" s="15" t="n">
        <v>80</v>
      </c>
      <c r="P5" s="16" t="inlineStr"/>
      <c r="Q5" s="15" t="n">
        <v>0</v>
      </c>
      <c r="R5" s="15" t="n">
        <v>20</v>
      </c>
      <c r="S5" s="15" t="n">
        <v>0.1</v>
      </c>
      <c r="T5" s="15" t="n">
        <v>0.4</v>
      </c>
      <c r="U5" s="33" t="n">
        <v>0</v>
      </c>
    </row>
    <row r="6" ht="12" customHeight="1" thickBot="1">
      <c r="A6" s="23" t="inlineStr">
        <is>
          <t xml:space="preserve">U023 </t>
        </is>
      </c>
      <c r="B6" s="23" t="inlineStr">
        <is>
          <t xml:space="preserve">ADM. FACULTAD DE FILOSOFIA Y LETRAS </t>
        </is>
      </c>
      <c r="C6" s="23" t="inlineStr">
        <is>
          <t xml:space="preserve">DOCTORADO EN FILOSOFÍA Y LETRAS </t>
        </is>
      </c>
      <c r="D6" s="23" t="inlineStr">
        <is>
          <t xml:space="preserve">Molina Burguera, Guillermo </t>
        </is>
      </c>
      <c r="E6" s="23" t="inlineStr">
        <is>
          <t xml:space="preserve">LA GESTIÓN DEL ENTORNO HISTÓRICO: CASOS DE ESTUDIO EN ESPAÑA, FRANCIA Y REINO UNIDO </t>
        </is>
      </c>
      <c r="F6" s="23" t="inlineStr">
        <is>
          <t xml:space="preserve">02/03/2021 </t>
        </is>
      </c>
      <c r="G6" s="24" t="inlineStr">
        <is>
          <t xml:space="preserve">07210590K </t>
        </is>
      </c>
      <c r="H6" s="25" t="inlineStr">
        <is>
          <t xml:space="preserve">Codirector de tesis </t>
        </is>
      </c>
      <c r="I6" s="25" t="inlineStr">
        <is>
          <t xml:space="preserve">B130 </t>
        </is>
      </c>
      <c r="J6" s="26" t="inlineStr">
        <is>
          <t xml:space="preserve">PREHISTORIA, ARQUEOLOGÍA, HIST. ANTIGUA, FILOL. GRIEGA Y FILOL. LATINA </t>
        </is>
      </c>
      <c r="K6" s="21" t="n">
        <v>0.5</v>
      </c>
      <c r="L6" s="15" t="inlineStr">
        <is>
          <t>B130</t>
        </is>
      </c>
      <c r="M6" s="15" t="n">
        <v>2020</v>
      </c>
      <c r="N6" s="16" t="inlineStr">
        <is>
          <t>10.24</t>
        </is>
      </c>
      <c r="O6" s="15" t="n">
        <v>80</v>
      </c>
      <c r="P6" s="16" t="inlineStr"/>
      <c r="Q6" s="15" t="n">
        <v>0</v>
      </c>
      <c r="R6" s="15" t="n">
        <v>20</v>
      </c>
      <c r="S6" s="15" t="n">
        <v>0.1</v>
      </c>
      <c r="T6" s="15" t="n">
        <v>0.4</v>
      </c>
      <c r="U6" s="33" t="n">
        <v>0</v>
      </c>
    </row>
    <row r="7" ht="12" customHeight="1" thickBot="1">
      <c r="A7" s="23" t="inlineStr">
        <is>
          <t xml:space="preserve">U023 </t>
        </is>
      </c>
      <c r="B7" s="23" t="inlineStr">
        <is>
          <t xml:space="preserve">ADM. FACULTAD DE FILOSOFIA Y LETRAS </t>
        </is>
      </c>
      <c r="C7" s="23" t="inlineStr">
        <is>
          <t xml:space="preserve">DOCTORADO EN FILOSOFÍA Y LETRAS </t>
        </is>
      </c>
      <c r="D7" s="23" t="inlineStr">
        <is>
          <t xml:space="preserve">Torres Gomariz, Octavio </t>
        </is>
      </c>
      <c r="E7" s="23" t="inlineStr">
        <is>
          <t xml:space="preserve">La sociedad postalayótica bajo la órbita púnica: viviendas y grupos domésticos en el archipiélago balear (VI-II a.C.) </t>
        </is>
      </c>
      <c r="F7" s="23" t="inlineStr">
        <is>
          <t xml:space="preserve">12/02/2021 </t>
        </is>
      </c>
      <c r="G7" s="24" t="inlineStr">
        <is>
          <t xml:space="preserve">52860484K </t>
        </is>
      </c>
      <c r="H7" s="25" t="inlineStr">
        <is>
          <t xml:space="preserve">Director de tesis </t>
        </is>
      </c>
      <c r="I7" s="25" t="inlineStr">
        <is>
          <t xml:space="preserve">B130 </t>
        </is>
      </c>
      <c r="J7" s="26" t="inlineStr">
        <is>
          <t xml:space="preserve">PREHISTORIA, ARQUEOLOGÍA, HIST. ANTIGUA, FILOL. GRIEGA Y FILOL. LATINA </t>
        </is>
      </c>
      <c r="K7" s="21" t="n">
        <v>1</v>
      </c>
      <c r="L7" s="15" t="inlineStr">
        <is>
          <t>B130</t>
        </is>
      </c>
      <c r="M7" s="15" t="n">
        <v>2020</v>
      </c>
      <c r="N7" s="16" t="inlineStr">
        <is>
          <t>10.24</t>
        </is>
      </c>
      <c r="O7" s="15" t="n">
        <v>80</v>
      </c>
      <c r="P7" s="16" t="inlineStr"/>
      <c r="Q7" s="15" t="n">
        <v>0</v>
      </c>
      <c r="R7" s="15" t="n">
        <v>20</v>
      </c>
      <c r="S7" s="15" t="n">
        <v>0.2</v>
      </c>
      <c r="T7" s="15" t="n">
        <v>0.8</v>
      </c>
      <c r="U7" s="33" t="n">
        <v>0</v>
      </c>
    </row>
    <row r="8" ht="12" customHeight="1" thickBot="1">
      <c r="A8" s="23" t="inlineStr">
        <is>
          <t xml:space="preserve">U023 </t>
        </is>
      </c>
      <c r="B8" s="23" t="inlineStr">
        <is>
          <t xml:space="preserve">ADM. FACULTAD DE FILOSOFIA Y LETRAS </t>
        </is>
      </c>
      <c r="C8" s="23" t="inlineStr">
        <is>
          <t xml:space="preserve">DOCTORADO EN TRANSFERENCIAS INTERCULTURALES E HISTÓRICAS EN LA EUROPA MEDIE </t>
        </is>
      </c>
      <c r="D8" s="23" t="inlineStr">
        <is>
          <t xml:space="preserve">Terzopoulou , Anastasia </t>
        </is>
      </c>
      <c r="E8" s="23" t="inlineStr">
        <is>
          <t xml:space="preserve">Los desastres de la guerra troyana sobre las heroínas de Eurípides y Séneca: Estudio comparativo </t>
        </is>
      </c>
      <c r="F8" s="23" t="inlineStr">
        <is>
          <t xml:space="preserve">09/06/2021 </t>
        </is>
      </c>
      <c r="G8" s="24" t="inlineStr">
        <is>
          <t xml:space="preserve">25145934B </t>
        </is>
      </c>
      <c r="H8" s="25" t="inlineStr">
        <is>
          <t xml:space="preserve">Director de tesis </t>
        </is>
      </c>
      <c r="I8" s="25" t="inlineStr">
        <is>
          <t xml:space="preserve">B130 </t>
        </is>
      </c>
      <c r="J8" s="26" t="inlineStr">
        <is>
          <t xml:space="preserve">PREHISTORIA, ARQUEOLOGÍA, HIST. ANTIGUA, FILOL. GRIEGA Y FILOL. LATINA </t>
        </is>
      </c>
      <c r="K8" s="21" t="n">
        <v>1</v>
      </c>
      <c r="L8" s="15" t="inlineStr">
        <is>
          <t>B130</t>
        </is>
      </c>
      <c r="M8" s="15" t="n">
        <v>2020</v>
      </c>
      <c r="N8" s="16" t="inlineStr">
        <is>
          <t>10.24</t>
        </is>
      </c>
      <c r="O8" s="15" t="n">
        <v>80</v>
      </c>
      <c r="P8" s="16" t="inlineStr"/>
      <c r="Q8" s="15" t="n">
        <v>0</v>
      </c>
      <c r="R8" s="15" t="n">
        <v>20</v>
      </c>
      <c r="S8" s="15" t="n">
        <v>0.2</v>
      </c>
      <c r="T8" s="15" t="n">
        <v>0.8</v>
      </c>
      <c r="U8" s="33" t="n">
        <v>0</v>
      </c>
    </row>
    <row r="9">
      <c r="A9" s="15" t="inlineStr">
        <is>
          <t xml:space="preserve">U023 </t>
        </is>
      </c>
      <c r="B9" s="15" t="inlineStr">
        <is>
          <t xml:space="preserve">ADM. FACULTAD DE FILOSOFIA Y LETRAS </t>
        </is>
      </c>
      <c r="C9" s="15" t="inlineStr">
        <is>
          <t xml:space="preserve">DOCTORADO EN FILOSOFÍA Y LETRAS </t>
        </is>
      </c>
      <c r="D9" s="15" t="inlineStr">
        <is>
          <t xml:space="preserve">Alba Luzón, Miriam </t>
        </is>
      </c>
      <c r="E9" s="15" t="inlineStr">
        <is>
          <t xml:space="preserve">Las comunidades de montaña de la edad de hierro en la cuenca del Taibilla </t>
        </is>
      </c>
      <c r="F9" s="15" t="inlineStr">
        <is>
          <t xml:space="preserve">19/07/2022 </t>
        </is>
      </c>
      <c r="G9" s="15" t="inlineStr">
        <is>
          <t xml:space="preserve">21657385X </t>
        </is>
      </c>
      <c r="H9" s="15" t="inlineStr">
        <is>
          <t xml:space="preserve">Codirector de tesis </t>
        </is>
      </c>
      <c r="I9" s="15" t="inlineStr">
        <is>
          <t xml:space="preserve">B130 </t>
        </is>
      </c>
      <c r="J9" s="15" t="inlineStr">
        <is>
          <t xml:space="preserve">PREHISTORIA, ARQUEOLOGÍA, HIST. ANTIGUA, FILOL. GRIEGA Y FILOL. LATINA </t>
        </is>
      </c>
      <c r="K9" s="21" t="n">
        <v>0.5</v>
      </c>
      <c r="L9" s="15" t="inlineStr">
        <is>
          <t>B130</t>
        </is>
      </c>
      <c r="M9" s="15" t="n">
        <v>2021</v>
      </c>
      <c r="N9" s="16" t="inlineStr">
        <is>
          <t>10.24</t>
        </is>
      </c>
      <c r="O9" s="15" t="n">
        <v>80</v>
      </c>
      <c r="P9" s="16" t="inlineStr"/>
      <c r="Q9" s="15" t="n">
        <v>0</v>
      </c>
      <c r="R9" s="15" t="n">
        <v>20</v>
      </c>
      <c r="S9" s="15" t="n">
        <v>0.1</v>
      </c>
      <c r="T9" s="15" t="n">
        <v>0.4</v>
      </c>
      <c r="U9" s="33" t="n">
        <v>0</v>
      </c>
    </row>
    <row r="10">
      <c r="A10" s="15" t="inlineStr">
        <is>
          <t xml:space="preserve">U023 </t>
        </is>
      </c>
      <c r="B10" s="15" t="inlineStr">
        <is>
          <t xml:space="preserve">ADM. FACULTAD DE FILOSOFIA Y LETRAS </t>
        </is>
      </c>
      <c r="C10" s="15" t="inlineStr">
        <is>
          <t xml:space="preserve">DOCTORADO EN FILOSOFÍA Y LETRAS </t>
        </is>
      </c>
      <c r="D10" s="15" t="inlineStr">
        <is>
          <t xml:space="preserve">Rosell Garrido, Patricia </t>
        </is>
      </c>
      <c r="E10" s="15" t="inlineStr">
        <is>
          <t xml:space="preserve">Espacios cotidianos, espacios de trabajo. La mujer íbera de los territorios valencianos a través de las actividades textil y culinaria. </t>
        </is>
      </c>
      <c r="F10" s="15" t="inlineStr">
        <is>
          <t xml:space="preserve">14/09/2022 </t>
        </is>
      </c>
      <c r="G10" s="15" t="inlineStr">
        <is>
          <t xml:space="preserve">25120571V </t>
        </is>
      </c>
      <c r="H10" s="15" t="inlineStr">
        <is>
          <t xml:space="preserve">Codirector de tesis </t>
        </is>
      </c>
      <c r="I10" s="15" t="inlineStr">
        <is>
          <t xml:space="preserve">B130 </t>
        </is>
      </c>
      <c r="J10" s="15" t="inlineStr">
        <is>
          <t xml:space="preserve">PREHISTORIA, ARQUEOLOGÍA, HIST. ANTIGUA, FILOL. GRIEGA Y FILOL. LATINA </t>
        </is>
      </c>
      <c r="K10" s="21" t="n">
        <v>0.5</v>
      </c>
      <c r="L10" s="15" t="inlineStr">
        <is>
          <t>B130</t>
        </is>
      </c>
      <c r="M10" s="15" t="n">
        <v>2021</v>
      </c>
      <c r="N10" s="16" t="inlineStr">
        <is>
          <t>10.24</t>
        </is>
      </c>
      <c r="O10" s="15" t="n">
        <v>80</v>
      </c>
      <c r="P10" s="16" t="inlineStr"/>
      <c r="Q10" s="15" t="n">
        <v>0</v>
      </c>
      <c r="R10" s="15" t="n">
        <v>20</v>
      </c>
      <c r="S10" s="15" t="n">
        <v>0.1</v>
      </c>
      <c r="T10" s="15" t="n">
        <v>0.4</v>
      </c>
      <c r="U10" s="33" t="n">
        <v>0</v>
      </c>
    </row>
    <row r="11">
      <c r="A11" s="15" t="inlineStr">
        <is>
          <t xml:space="preserve">U023 </t>
        </is>
      </c>
      <c r="B11" s="15" t="inlineStr">
        <is>
          <t xml:space="preserve">ADM. FACULTAD DE FILOSOFIA Y LETRAS </t>
        </is>
      </c>
      <c r="C11" s="15" t="inlineStr">
        <is>
          <t xml:space="preserve">DOCTORADO EN FILOSOFÍA Y LETRAS </t>
        </is>
      </c>
      <c r="D11" s="15" t="inlineStr">
        <is>
          <t xml:space="preserve">Basso Rial, Ricardo Emanuel </t>
        </is>
      </c>
      <c r="E11" s="15" t="inlineStr">
        <is>
          <t xml:space="preserve">La producción textil en el Sudeste y el Levante de la península ibérica durante la prehistoria reciente (3500-550 CAL BC) </t>
        </is>
      </c>
      <c r="F11" s="15" t="inlineStr">
        <is>
          <t xml:space="preserve">24/05/2022 </t>
        </is>
      </c>
      <c r="G11" s="15" t="inlineStr">
        <is>
          <t xml:space="preserve">22131713D </t>
        </is>
      </c>
      <c r="H11" s="15" t="inlineStr">
        <is>
          <t xml:space="preserve">Director de tesis </t>
        </is>
      </c>
      <c r="I11" s="15" t="inlineStr">
        <is>
          <t xml:space="preserve">B130 </t>
        </is>
      </c>
      <c r="J11" s="15" t="inlineStr">
        <is>
          <t xml:space="preserve">PREHISTORIA, ARQUEOLOGÍA, HIST. ANTIGUA, FILOL. GRIEGA Y FILOL. LATINA </t>
        </is>
      </c>
      <c r="K11" s="21" t="n">
        <v>1</v>
      </c>
      <c r="L11" s="15" t="inlineStr">
        <is>
          <t>B130</t>
        </is>
      </c>
      <c r="M11" s="15" t="n">
        <v>2021</v>
      </c>
      <c r="N11" s="16" t="inlineStr">
        <is>
          <t>10.24</t>
        </is>
      </c>
      <c r="O11" s="15" t="n">
        <v>80</v>
      </c>
      <c r="P11" s="16" t="inlineStr"/>
      <c r="Q11" s="15" t="n">
        <v>0</v>
      </c>
      <c r="R11" s="15" t="n">
        <v>20</v>
      </c>
      <c r="S11" s="15" t="n">
        <v>0.2</v>
      </c>
      <c r="T11" s="15" t="n">
        <v>0.8</v>
      </c>
      <c r="U11" s="33" t="n">
        <v>0</v>
      </c>
    </row>
    <row r="12">
      <c r="A12" s="15" t="inlineStr">
        <is>
          <t xml:space="preserve">U023 </t>
        </is>
      </c>
      <c r="B12" s="15" t="inlineStr">
        <is>
          <t xml:space="preserve">ADM. FACULTAD DE FILOSOFIA Y LETRAS </t>
        </is>
      </c>
      <c r="C12" s="15" t="inlineStr">
        <is>
          <t xml:space="preserve">DOCTORADO EN FILOSOFÍA Y LETRAS </t>
        </is>
      </c>
      <c r="D12" s="15" t="inlineStr">
        <is>
          <t xml:space="preserve">Perdiguero Asensi, Pascual </t>
        </is>
      </c>
      <c r="E12" s="15" t="inlineStr">
        <is>
          <t xml:space="preserve">Producción y comercio en la esfera de influencia púnica. Relaciones y dinámicas productivas en la contestania ibérica. </t>
        </is>
      </c>
      <c r="F12" s="15" t="inlineStr">
        <is>
          <t xml:space="preserve">13/09/2022 </t>
        </is>
      </c>
      <c r="G12" s="15" t="inlineStr">
        <is>
          <t xml:space="preserve">25120571V </t>
        </is>
      </c>
      <c r="H12" s="15" t="inlineStr">
        <is>
          <t xml:space="preserve">Director de tesis </t>
        </is>
      </c>
      <c r="I12" s="15" t="inlineStr">
        <is>
          <t xml:space="preserve">B130 </t>
        </is>
      </c>
      <c r="J12" s="15" t="inlineStr">
        <is>
          <t xml:space="preserve">PREHISTORIA, ARQUEOLOGÍA, HIST. ANTIGUA, FILOL. GRIEGA Y FILOL. LATINA </t>
        </is>
      </c>
      <c r="K12" s="21" t="n">
        <v>1</v>
      </c>
      <c r="L12" s="15" t="inlineStr">
        <is>
          <t>B130</t>
        </is>
      </c>
      <c r="M12" s="15" t="n">
        <v>2021</v>
      </c>
      <c r="N12" s="16" t="inlineStr">
        <is>
          <t>10.24</t>
        </is>
      </c>
      <c r="O12" s="15" t="n">
        <v>80</v>
      </c>
      <c r="P12" s="16" t="inlineStr"/>
      <c r="Q12" s="15" t="n">
        <v>0</v>
      </c>
      <c r="R12" s="15" t="n">
        <v>20</v>
      </c>
      <c r="S12" s="15" t="n">
        <v>0.2</v>
      </c>
      <c r="T12" s="15" t="n">
        <v>0.8</v>
      </c>
      <c r="U12" s="33" t="n">
        <v>0</v>
      </c>
    </row>
    <row r="13">
      <c r="A13" s="15" t="inlineStr">
        <is>
          <t xml:space="preserve">U023 </t>
        </is>
      </c>
      <c r="B13" s="15" t="inlineStr">
        <is>
          <t xml:space="preserve">ADM. FACULTAD DE FILOSOFIA Y LETRAS </t>
        </is>
      </c>
      <c r="C13" s="15" t="inlineStr">
        <is>
          <t xml:space="preserve">DOCTORADO EN FILOSOFÍA Y LETRAS </t>
        </is>
      </c>
      <c r="D13" s="15" t="inlineStr">
        <is>
          <t xml:space="preserve">Ruiz Molina, Liborio </t>
        </is>
      </c>
      <c r="E13" s="15" t="inlineStr">
        <is>
          <t xml:space="preserve">Yakka. Un castillo rural de Sarq al-Andalus durante el periodo almohade. Siglos XII-XIII.Yecla. Murcia </t>
        </is>
      </c>
      <c r="F13" s="15" t="inlineStr">
        <is>
          <t xml:space="preserve">11/04/2022 </t>
        </is>
      </c>
      <c r="G13" s="15" t="inlineStr">
        <is>
          <t xml:space="preserve">21431893X </t>
        </is>
      </c>
      <c r="H13" s="15" t="inlineStr">
        <is>
          <t xml:space="preserve">Director de tesis </t>
        </is>
      </c>
      <c r="I13" s="15" t="inlineStr">
        <is>
          <t xml:space="preserve">B130 </t>
        </is>
      </c>
      <c r="J13" s="15" t="inlineStr">
        <is>
          <t xml:space="preserve">PREHISTORIA, ARQUEOLOGÍA, HIST. ANTIGUA, FILOL. GRIEGA Y FILOL. LATINA </t>
        </is>
      </c>
      <c r="K13" s="21" t="n">
        <v>1</v>
      </c>
      <c r="L13" s="15" t="inlineStr">
        <is>
          <t>B130</t>
        </is>
      </c>
      <c r="M13" s="15" t="n">
        <v>2021</v>
      </c>
      <c r="N13" s="16" t="inlineStr">
        <is>
          <t>10.24</t>
        </is>
      </c>
      <c r="O13" s="15" t="n">
        <v>80</v>
      </c>
      <c r="P13" s="16" t="inlineStr"/>
      <c r="Q13" s="15" t="n">
        <v>0</v>
      </c>
      <c r="R13" s="15" t="n">
        <v>20</v>
      </c>
      <c r="S13" s="15" t="n">
        <v>0.2</v>
      </c>
      <c r="T13" s="15" t="n">
        <v>0.8</v>
      </c>
      <c r="U13" s="33" t="n">
        <v>0</v>
      </c>
    </row>
    <row r="14">
      <c r="A14" s="15" t="inlineStr">
        <is>
          <t xml:space="preserve">U023 </t>
        </is>
      </c>
      <c r="B14" s="15" t="inlineStr">
        <is>
          <t xml:space="preserve">ADM. FACULTAD DE FILOSOFIA Y LETRAS </t>
        </is>
      </c>
      <c r="C14" s="15" t="inlineStr">
        <is>
          <t xml:space="preserve">DOCTORADO EN FILOSOFÍA Y LETRAS </t>
        </is>
      </c>
      <c r="D14" s="15" t="inlineStr">
        <is>
          <t>Martínez Amorós, Silvia</t>
        </is>
      </c>
      <c r="E14" s="15" t="inlineStr">
        <is>
          <t xml:space="preserve">Las producciones cerámicas neolíticas durante VI/V milenio cal BC en el Levante peninsular. </t>
        </is>
      </c>
      <c r="F14" s="15" t="inlineStr">
        <is>
          <t xml:space="preserve">10/02/2023 </t>
        </is>
      </c>
      <c r="G14" s="15" t="inlineStr">
        <is>
          <t xml:space="preserve">21672478S </t>
        </is>
      </c>
      <c r="H14" s="15" t="inlineStr">
        <is>
          <t xml:space="preserve">Director de tesis </t>
        </is>
      </c>
      <c r="I14" s="15" t="inlineStr">
        <is>
          <t xml:space="preserve">B130 </t>
        </is>
      </c>
      <c r="J14" s="15" t="inlineStr">
        <is>
          <t xml:space="preserve">PREHISTORIA, ARQUEOLOGÍA, HIST. ANTIGUA, FILOL. GRIEGA Y FILOL. LATINA </t>
        </is>
      </c>
      <c r="K14" s="33" t="n">
        <v>1</v>
      </c>
      <c r="L14" s="15" t="inlineStr">
        <is>
          <t>B130</t>
        </is>
      </c>
      <c r="M14" s="33" t="n">
        <v>2022</v>
      </c>
      <c r="N14" s="33" t="inlineStr">
        <is>
          <t>10.24</t>
        </is>
      </c>
      <c r="O14" s="33" t="n">
        <v>80</v>
      </c>
      <c r="P14" s="33" t="inlineStr"/>
      <c r="Q14" s="33" t="n">
        <v>0</v>
      </c>
      <c r="R14" s="33" t="n">
        <v>20</v>
      </c>
      <c r="S14" s="33" t="n">
        <v>0.2</v>
      </c>
      <c r="T14" s="33" t="n">
        <v>0.8</v>
      </c>
      <c r="U14" s="33" t="n">
        <v>0</v>
      </c>
    </row>
    <row r="15">
      <c r="A15" s="15" t="inlineStr">
        <is>
          <t xml:space="preserve">U023 </t>
        </is>
      </c>
      <c r="B15" s="15" t="inlineStr">
        <is>
          <t xml:space="preserve">ADM. FACULTAD DE FILOSOFIA Y LETRAS </t>
        </is>
      </c>
      <c r="C15" s="15" t="inlineStr">
        <is>
          <t xml:space="preserve">DOCTORADO EN FILOSOFÍA Y LETRAS </t>
        </is>
      </c>
      <c r="D15" s="15" t="inlineStr">
        <is>
          <t>OLCINA DOMÉNECH, MANUEL HIPOLITO</t>
        </is>
      </c>
      <c r="E15" s="15" t="inlineStr">
        <is>
          <t xml:space="preserve">El Tossal de Manises (Alicante): historia de la investigación y la etapa prerromana </t>
        </is>
      </c>
      <c r="F15" s="15" t="inlineStr">
        <is>
          <t xml:space="preserve">25/04/2023 </t>
        </is>
      </c>
      <c r="G15" s="15" t="inlineStr">
        <is>
          <t xml:space="preserve">31379115P </t>
        </is>
      </c>
      <c r="H15" s="15" t="inlineStr">
        <is>
          <t xml:space="preserve">Director de tesis </t>
        </is>
      </c>
      <c r="I15" s="15" t="inlineStr">
        <is>
          <t xml:space="preserve">B130 </t>
        </is>
      </c>
      <c r="J15" s="15" t="inlineStr">
        <is>
          <t xml:space="preserve">PREHISTORIA, ARQUEOLOGÍA, HIST. ANTIGUA, FILOL. GRIEGA Y FILOL. LATINA </t>
        </is>
      </c>
      <c r="K15" s="33" t="n">
        <v>1</v>
      </c>
      <c r="L15" s="15" t="inlineStr">
        <is>
          <t>B130</t>
        </is>
      </c>
      <c r="M15" s="33" t="n">
        <v>2022</v>
      </c>
      <c r="N15" s="33" t="inlineStr">
        <is>
          <t>10.24</t>
        </is>
      </c>
      <c r="O15" s="33" t="n">
        <v>80</v>
      </c>
      <c r="P15" s="33" t="inlineStr"/>
      <c r="Q15" s="33" t="n">
        <v>0</v>
      </c>
      <c r="R15" s="33" t="n">
        <v>20</v>
      </c>
      <c r="S15" s="33" t="n">
        <v>0.2</v>
      </c>
      <c r="T15" s="33" t="n">
        <v>0.8</v>
      </c>
      <c r="U15" s="33" t="n">
        <v>0</v>
      </c>
    </row>
    <row r="16">
      <c r="A16" s="15" t="inlineStr">
        <is>
          <t xml:space="preserve">U023 </t>
        </is>
      </c>
      <c r="B16" s="15" t="inlineStr">
        <is>
          <t xml:space="preserve">ADM. FACULTAD DE FILOSOFIA Y LETRAS </t>
        </is>
      </c>
      <c r="C16" s="15" t="inlineStr">
        <is>
          <t xml:space="preserve">DOCTORADO EN FILOSOFÍA Y LETRAS </t>
        </is>
      </c>
      <c r="D16" s="15" t="inlineStr">
        <is>
          <t>Olcina Lagos, Santiago</t>
        </is>
      </c>
      <c r="E16" s="15" t="inlineStr">
        <is>
          <t xml:space="preserve">Institucionalización, gestión y difusión del patrimonio arqueológico en la provincia de Alicante entre los siglos XIX y XX: la Comisión Provincial de Monumentos Histórico-Artísticos (1844-1964). </t>
        </is>
      </c>
      <c r="F16" s="15" t="inlineStr">
        <is>
          <t xml:space="preserve">30/06/2023 </t>
        </is>
      </c>
      <c r="G16" s="15" t="inlineStr">
        <is>
          <t xml:space="preserve">21452732B </t>
        </is>
      </c>
      <c r="H16" s="15" t="inlineStr">
        <is>
          <t xml:space="preserve">Codirector de tesis </t>
        </is>
      </c>
      <c r="I16" s="15" t="inlineStr">
        <is>
          <t xml:space="preserve">B130 </t>
        </is>
      </c>
      <c r="J16" s="15" t="inlineStr">
        <is>
          <t xml:space="preserve">PREHISTORIA, ARQUEOLOGÍA, HIST. ANTIGUA, FILOL. GRIEGA Y FILOL. LATINA </t>
        </is>
      </c>
      <c r="K16" s="33" t="n">
        <v>0.5</v>
      </c>
      <c r="L16" s="15" t="inlineStr">
        <is>
          <t>B130</t>
        </is>
      </c>
      <c r="M16" s="33" t="n">
        <v>2022</v>
      </c>
      <c r="N16" s="33" t="inlineStr">
        <is>
          <t>10.24</t>
        </is>
      </c>
      <c r="O16" s="33" t="n">
        <v>80</v>
      </c>
      <c r="P16" s="33" t="inlineStr"/>
      <c r="Q16" s="33" t="n">
        <v>0</v>
      </c>
      <c r="R16" s="33" t="n">
        <v>20</v>
      </c>
      <c r="S16" s="33" t="n">
        <v>0.1</v>
      </c>
      <c r="T16" s="33" t="n">
        <v>0.4</v>
      </c>
      <c r="U16" s="33" t="n">
        <v>0</v>
      </c>
    </row>
    <row r="17">
      <c r="A17" s="15" t="inlineStr">
        <is>
          <t xml:space="preserve">U023 </t>
        </is>
      </c>
      <c r="B17" s="15" t="inlineStr">
        <is>
          <t xml:space="preserve">ADM. FACULTAD DE FILOSOFIA Y LETRAS </t>
        </is>
      </c>
      <c r="C17" s="15" t="inlineStr">
        <is>
          <t xml:space="preserve">DOCTORADO EN FILOSOFÍA Y LETRAS </t>
        </is>
      </c>
      <c r="D17" s="15" t="inlineStr">
        <is>
          <t>Carbonell Pastor, Sonia</t>
        </is>
      </c>
      <c r="E17" s="15" t="inlineStr">
        <is>
          <t xml:space="preserve">Complejización social y procesos de cambio en el I milenio a.n.e. Un análisis de la </t>
        </is>
      </c>
      <c r="F17" s="15" t="inlineStr">
        <is>
          <t xml:space="preserve">03/03/2023 </t>
        </is>
      </c>
      <c r="G17" s="15" t="inlineStr">
        <is>
          <t xml:space="preserve">52860484K </t>
        </is>
      </c>
      <c r="H17" s="15" t="inlineStr">
        <is>
          <t xml:space="preserve">Director de tesis </t>
        </is>
      </c>
      <c r="I17" s="15" t="inlineStr">
        <is>
          <t xml:space="preserve">B130 </t>
        </is>
      </c>
      <c r="J17" s="15" t="inlineStr">
        <is>
          <t xml:space="preserve">PREHISTORIA, ARQUEOLOGÍA, HIST. ANTIGUA, FILOL. GRIEGA Y FILOL. LATINA </t>
        </is>
      </c>
      <c r="K17" s="33" t="n">
        <v>1</v>
      </c>
      <c r="L17" s="15" t="inlineStr">
        <is>
          <t>B130</t>
        </is>
      </c>
      <c r="M17" s="33" t="n">
        <v>2022</v>
      </c>
      <c r="N17" s="33" t="inlineStr">
        <is>
          <t>10.24</t>
        </is>
      </c>
      <c r="O17" s="33" t="n">
        <v>80</v>
      </c>
      <c r="P17" s="33" t="inlineStr"/>
      <c r="Q17" s="33" t="n">
        <v>0</v>
      </c>
      <c r="R17" s="33" t="n">
        <v>20</v>
      </c>
      <c r="S17" s="33" t="n">
        <v>0.2</v>
      </c>
      <c r="T17" s="33" t="n">
        <v>0.8</v>
      </c>
      <c r="U17" s="33" t="n">
        <v>0</v>
      </c>
    </row>
    <row r="18">
      <c r="A18" s="33" t="inlineStr">
        <is>
          <t xml:space="preserve">U023 </t>
        </is>
      </c>
      <c r="B18" s="33" t="inlineStr">
        <is>
          <t xml:space="preserve">ADM. FACULTAD DE FILOSOFIA Y LETRAS </t>
        </is>
      </c>
      <c r="C18" s="33" t="inlineStr">
        <is>
          <t xml:space="preserve">DOCTORADO EN FILOSOFÍA Y LETRAS </t>
        </is>
      </c>
      <c r="D18" s="33" t="inlineStr">
        <is>
          <t>Mayor Benadero, Alejandro</t>
        </is>
      </c>
      <c r="E18" s="33" t="inlineStr">
        <is>
          <t xml:space="preserve">Las pistas que nos dejaron: gestión del sílex y movilidad neandertal en la unidad estratigráfica VIII del abrigo de El Salt (Alcoi, Alacant) </t>
        </is>
      </c>
      <c r="F18" s="33" t="inlineStr">
        <is>
          <t xml:space="preserve">12/05/2023 </t>
        </is>
      </c>
      <c r="G18" s="33" t="inlineStr">
        <is>
          <t xml:space="preserve">22131713D </t>
        </is>
      </c>
      <c r="H18" s="33" t="inlineStr">
        <is>
          <t xml:space="preserve">Codirector de tesis </t>
        </is>
      </c>
      <c r="I18" s="33" t="inlineStr">
        <is>
          <t xml:space="preserve">B130 </t>
        </is>
      </c>
      <c r="J18" s="33" t="inlineStr">
        <is>
          <t xml:space="preserve">PREHISTORIA, ARQUEOLOGÍA, HIST. ANTIGUA, FILOL. GRIEGA Y FILOL. LATINA </t>
        </is>
      </c>
      <c r="K18" s="33" t="n">
        <v>0.5</v>
      </c>
      <c r="L18" s="33" t="inlineStr">
        <is>
          <t>B130</t>
        </is>
      </c>
      <c r="M18" s="33" t="n">
        <v>2022</v>
      </c>
      <c r="N18" s="33" t="inlineStr">
        <is>
          <t>10.24</t>
        </is>
      </c>
      <c r="O18" s="33" t="n">
        <v>80</v>
      </c>
      <c r="P18" s="33" t="inlineStr"/>
      <c r="Q18" s="33" t="n">
        <v>0</v>
      </c>
      <c r="R18" s="33" t="n">
        <v>20</v>
      </c>
      <c r="S18" s="33" t="n">
        <v>0.1</v>
      </c>
      <c r="T18" s="33" t="n">
        <v>0.4</v>
      </c>
      <c r="U18" s="33" t="n">
        <v>0</v>
      </c>
    </row>
    <row r="19">
      <c r="A19" s="33" t="inlineStr">
        <is>
          <t xml:space="preserve">U023 </t>
        </is>
      </c>
      <c r="B19" s="33" t="inlineStr">
        <is>
          <t xml:space="preserve">ADM. FACULTAD DE FILOSOFIA Y LETRAS </t>
        </is>
      </c>
      <c r="C19" s="33" t="inlineStr">
        <is>
          <t xml:space="preserve">DOCTORADO EN FILOSOFÍA Y LETRAS </t>
        </is>
      </c>
      <c r="D19" s="33" t="inlineStr">
        <is>
          <t>Vinader Antón, Irene</t>
        </is>
      </c>
      <c r="E19" s="33" t="inlineStr">
        <is>
          <t xml:space="preserve">Tradición y continuidad de las producciones cerámicas a mano entre el bronce final y el hierro antiguo: Peña Negra (Crevillent) y la Fonteta (Guardamar del Segura) </t>
        </is>
      </c>
      <c r="F19" s="33" t="inlineStr">
        <is>
          <t xml:space="preserve">19/12/2022 </t>
        </is>
      </c>
      <c r="G19" s="33" t="inlineStr">
        <is>
          <t xml:space="preserve">07210590K </t>
        </is>
      </c>
      <c r="H19" s="33" t="inlineStr">
        <is>
          <t xml:space="preserve">Director de tesis </t>
        </is>
      </c>
      <c r="I19" s="33" t="inlineStr">
        <is>
          <t xml:space="preserve">B130 </t>
        </is>
      </c>
      <c r="J19" s="33" t="inlineStr">
        <is>
          <t xml:space="preserve">PREHISTORIA, ARQUEOLOGÍA, HIST. ANTIGUA, FILOL. GRIEGA Y FILOL. LATINA </t>
        </is>
      </c>
      <c r="K19" s="33" t="n">
        <v>1</v>
      </c>
      <c r="L19" s="33" t="inlineStr">
        <is>
          <t>B130</t>
        </is>
      </c>
      <c r="M19" s="33" t="n">
        <v>2022</v>
      </c>
      <c r="N19" s="33" t="inlineStr">
        <is>
          <t>10.24</t>
        </is>
      </c>
      <c r="O19" s="33" t="n">
        <v>80</v>
      </c>
      <c r="P19" s="33" t="inlineStr"/>
      <c r="Q19" s="33" t="n">
        <v>0</v>
      </c>
      <c r="R19" s="33" t="n">
        <v>20</v>
      </c>
      <c r="S19" s="33" t="n">
        <v>0.2</v>
      </c>
      <c r="T19" s="33" t="n">
        <v>0.8</v>
      </c>
      <c r="U19" s="33" t="n">
        <v>0</v>
      </c>
    </row>
    <row r="20">
      <c r="A20" s="33" t="inlineStr">
        <is>
          <t xml:space="preserve">U023 </t>
        </is>
      </c>
      <c r="B20" s="33" t="inlineStr">
        <is>
          <t xml:space="preserve">ADM. FACULTAD DE FILOSOFIA Y LETRAS </t>
        </is>
      </c>
      <c r="C20" s="33" t="inlineStr">
        <is>
          <t xml:space="preserve">DOCTORADO EN FILOSOFÍA Y LETRAS </t>
        </is>
      </c>
      <c r="D20" s="33" t="inlineStr">
        <is>
          <t>Cabezas Romero, Rubén</t>
        </is>
      </c>
      <c r="E20" s="33" t="inlineStr">
        <is>
          <t xml:space="preserve">La Edad del Bronce en el corredor de Yecla (Murcia)- Caudete (Albacete): Datos para su estudio </t>
        </is>
      </c>
      <c r="F20" s="33" t="inlineStr">
        <is>
          <t xml:space="preserve">15/09/2023 </t>
        </is>
      </c>
      <c r="G20" s="33" t="inlineStr">
        <is>
          <t xml:space="preserve">22131713D </t>
        </is>
      </c>
      <c r="H20" s="33" t="inlineStr">
        <is>
          <t xml:space="preserve">Director de tesis </t>
        </is>
      </c>
      <c r="I20" s="33" t="inlineStr">
        <is>
          <t xml:space="preserve">B130 </t>
        </is>
      </c>
      <c r="J20" s="33" t="inlineStr">
        <is>
          <t xml:space="preserve">PREHISTORIA, ARQUEOLOGÍA, HIST. ANTIGUA, FILOL. GRIEGA Y FILOL. LATINA </t>
        </is>
      </c>
      <c r="K20" s="33" t="n">
        <v>1</v>
      </c>
      <c r="L20" s="33" t="inlineStr">
        <is>
          <t>B130</t>
        </is>
      </c>
      <c r="M20" s="33" t="n">
        <v>2022</v>
      </c>
      <c r="N20" s="33" t="inlineStr">
        <is>
          <t>10.24</t>
        </is>
      </c>
      <c r="O20" s="33" t="n">
        <v>80</v>
      </c>
      <c r="P20" s="33" t="inlineStr"/>
      <c r="Q20" s="33" t="n">
        <v>0</v>
      </c>
      <c r="R20" s="33" t="n">
        <v>20</v>
      </c>
      <c r="S20" s="33" t="n">
        <v>0.2</v>
      </c>
      <c r="T20" s="33" t="n">
        <v>0.8</v>
      </c>
      <c r="U20" s="33" t="n">
        <v>0</v>
      </c>
    </row>
    <row r="21">
      <c r="A21" s="33" t="inlineStr">
        <is>
          <t xml:space="preserve">U023 </t>
        </is>
      </c>
      <c r="B21" s="33" t="inlineStr">
        <is>
          <t>ADM. FACULTAD DE FILOSOFIA Y LETRAS</t>
        </is>
      </c>
      <c r="C21" s="33" t="inlineStr">
        <is>
          <t>DOCTORADO EN FILOSOFÍA Y LETRAS</t>
        </is>
      </c>
      <c r="D21" s="33" t="inlineStr">
        <is>
          <t>Sánchez Martínez, Patricia</t>
        </is>
      </c>
      <c r="E21" s="33" t="inlineStr">
        <is>
          <t>Domiciano e Hispania. El proyecto domicianeo de construcción pública en Hispania</t>
        </is>
      </c>
      <c r="F21" s="33" t="inlineStr">
        <is>
          <t>25/09/2023</t>
        </is>
      </c>
      <c r="G21" s="33" t="inlineStr">
        <is>
          <t xml:space="preserve">03078551R </t>
        </is>
      </c>
      <c r="H21" s="33" t="inlineStr">
        <is>
          <t>Director de tesis</t>
        </is>
      </c>
      <c r="I21" s="33" t="inlineStr">
        <is>
          <t>B130</t>
        </is>
      </c>
      <c r="J21" s="33" t="inlineStr">
        <is>
          <t>PREHISTORIA, ARQUEOLOGÍA, HIST. ANTIGUA, FILOL. GRIEGA Y FILOL. LATINA</t>
        </is>
      </c>
      <c r="K21" s="33" t="n">
        <v>1</v>
      </c>
      <c r="L21" s="33" t="inlineStr">
        <is>
          <t>B130</t>
        </is>
      </c>
      <c r="M21" s="33" t="n">
        <v>2022</v>
      </c>
      <c r="N21" s="33" t="inlineStr"/>
      <c r="O21" s="33" t="inlineStr"/>
      <c r="P21" s="33" t="inlineStr"/>
      <c r="Q21" s="33" t="inlineStr"/>
      <c r="R21" s="33" t="n">
        <v>100</v>
      </c>
      <c r="S21" s="33" t="n">
        <v>1</v>
      </c>
      <c r="T21" s="33" t="n">
        <v>0</v>
      </c>
      <c r="U21" s="33" t="n">
        <v>0</v>
      </c>
    </row>
    <row r="22">
      <c r="A22" s="33" t="inlineStr">
        <is>
          <t xml:space="preserve">U023 </t>
        </is>
      </c>
      <c r="B22" s="33" t="inlineStr">
        <is>
          <t>ADM. FACULTAD DE FILOSOFIA Y LETRAS</t>
        </is>
      </c>
      <c r="C22" s="33" t="inlineStr">
        <is>
          <t>DOCTORADO EN FILOSOFÍA Y LETRAS</t>
        </is>
      </c>
      <c r="D22" s="33" t="inlineStr">
        <is>
          <t>Centeno Díaz, José Luis</t>
        </is>
      </c>
      <c r="E22" s="33" t="inlineStr">
        <is>
          <t>Estudio iconográfico e iconológico de la epigrafía funeraria y votiva civil en la península</t>
        </is>
      </c>
      <c r="F22" s="33" t="inlineStr">
        <is>
          <t>26/09/2023</t>
        </is>
      </c>
      <c r="G22" s="33" t="inlineStr">
        <is>
          <t xml:space="preserve">03078551R </t>
        </is>
      </c>
      <c r="H22" s="33" t="inlineStr">
        <is>
          <t>Director de tesis</t>
        </is>
      </c>
      <c r="I22" s="33" t="inlineStr">
        <is>
          <t>B130</t>
        </is>
      </c>
      <c r="J22" s="33" t="inlineStr">
        <is>
          <t>PREHISTORIA, ARQUEOLOGÍA, HIST. ANTIGUA, FILOL. GRIEGA Y FILOL. LATINA</t>
        </is>
      </c>
      <c r="K22" s="33" t="n">
        <v>1</v>
      </c>
      <c r="L22" s="33" t="inlineStr">
        <is>
          <t>B130</t>
        </is>
      </c>
      <c r="M22" s="33" t="n">
        <v>2022</v>
      </c>
      <c r="N22" s="33" t="inlineStr"/>
      <c r="O22" s="33" t="inlineStr"/>
      <c r="P22" s="33" t="inlineStr"/>
      <c r="Q22" s="33" t="inlineStr"/>
      <c r="R22" s="33" t="n">
        <v>100</v>
      </c>
      <c r="S22" s="33" t="n">
        <v>1</v>
      </c>
      <c r="T22" s="33" t="n">
        <v>0</v>
      </c>
      <c r="U22" s="33" t="n">
        <v>0</v>
      </c>
    </row>
    <row r="23">
      <c r="A23" s="33" t="inlineStr">
        <is>
          <t>U023</t>
        </is>
      </c>
      <c r="B23" s="33" t="inlineStr">
        <is>
          <t>ADM. FACULTAD DE FILOSOFIA Y LETRAS</t>
        </is>
      </c>
      <c r="C23" s="33" t="inlineStr">
        <is>
          <t>DOCTORADO EN FILOSOFÍA Y LETRAS</t>
        </is>
      </c>
      <c r="D23" s="33" t="inlineStr">
        <is>
          <t>Moreno Narganes, Jose Maria</t>
        </is>
      </c>
      <c r="E23" s="33" t="inlineStr">
        <is>
          <t>TRABAJANDO EN CASA: ACTIVIDADES DE HILADO Y TEJIDO EN EL ESPACIO DOMÉSTICO DE AL-ANDALUS (SS. IX-XIII)</t>
        </is>
      </c>
      <c r="F23" s="33" t="inlineStr">
        <is>
          <t>23/07/2024</t>
        </is>
      </c>
      <c r="G23" s="33" t="inlineStr">
        <is>
          <t>21431893X</t>
        </is>
      </c>
      <c r="H23" s="33" t="inlineStr">
        <is>
          <t>Codirector de tesis</t>
        </is>
      </c>
      <c r="I23" s="33" t="inlineStr">
        <is>
          <t>B130</t>
        </is>
      </c>
      <c r="J23" s="33" t="inlineStr">
        <is>
          <t>PREHISTORIA, ARQUEOLOGÍA, HIST. ANTIGUA, FILOL. GRIEGA Y FILOL. LATINA</t>
        </is>
      </c>
      <c r="K23" s="33" t="n">
        <v>0.5</v>
      </c>
      <c r="L23" s="33" t="inlineStr">
        <is>
          <t>B130</t>
        </is>
      </c>
      <c r="M23" s="33" t="n">
        <v>2023</v>
      </c>
      <c r="N23" s="33" t="inlineStr">
        <is>
          <t>10.24</t>
        </is>
      </c>
      <c r="O23" s="33" t="inlineStr">
        <is>
          <t>80</t>
        </is>
      </c>
      <c r="P23" s="33" t="inlineStr"/>
      <c r="Q23" s="33" t="inlineStr"/>
      <c r="R23" s="33" t="n">
        <v>20</v>
      </c>
      <c r="S23" s="33" t="n">
        <v>0.1</v>
      </c>
      <c r="T23" s="33" t="n">
        <v>0.4</v>
      </c>
      <c r="U23" s="33" t="n">
        <v>0</v>
      </c>
      <c r="V23" s="6" t="inlineStr">
        <is>
          <t>S</t>
        </is>
      </c>
    </row>
    <row r="24">
      <c r="A24" s="33" t="inlineStr">
        <is>
          <t>U023</t>
        </is>
      </c>
      <c r="B24" s="33" t="inlineStr">
        <is>
          <t>ADM. FACULTAD DE FILOSOFIA Y LETRAS</t>
        </is>
      </c>
      <c r="C24" s="33" t="inlineStr">
        <is>
          <t>DOCTORADO EN FILOSOFÍA Y LETRAS</t>
        </is>
      </c>
      <c r="D24" s="33" t="inlineStr">
        <is>
          <t>Cases Mora, Noelia</t>
        </is>
      </c>
      <c r="E24" s="33" t="inlineStr">
        <is>
          <t>El culto a divinidades con epíteto Augustus / Augusta en la Hispania romana</t>
        </is>
      </c>
      <c r="F24" s="33" t="inlineStr">
        <is>
          <t>17/11/2023</t>
        </is>
      </c>
      <c r="G24" s="33" t="inlineStr">
        <is>
          <t>03078551R</t>
        </is>
      </c>
      <c r="H24" s="33" t="inlineStr">
        <is>
          <t>Director de tesis</t>
        </is>
      </c>
      <c r="I24" s="33" t="inlineStr">
        <is>
          <t>B130</t>
        </is>
      </c>
      <c r="J24" s="33" t="inlineStr">
        <is>
          <t>PREHISTORIA, ARQUEOLOGÍA, HIST. ANTIGUA, FILOL. GRIEGA Y FILOL. LATINA</t>
        </is>
      </c>
      <c r="K24" s="33" t="n">
        <v>1</v>
      </c>
      <c r="L24" s="33" t="inlineStr">
        <is>
          <t>B130</t>
        </is>
      </c>
      <c r="M24" s="33" t="n">
        <v>2023</v>
      </c>
      <c r="N24" s="33" t="inlineStr"/>
      <c r="O24" s="33" t="inlineStr"/>
      <c r="P24" s="33" t="inlineStr"/>
      <c r="Q24" s="33" t="inlineStr"/>
      <c r="R24" s="33" t="n">
        <v>100</v>
      </c>
      <c r="S24" s="33" t="n">
        <v>1</v>
      </c>
      <c r="T24" s="33" t="n">
        <v>0</v>
      </c>
      <c r="U24" s="33" t="n">
        <v>0</v>
      </c>
      <c r="V24" s="6" t="inlineStr">
        <is>
          <t>S</t>
        </is>
      </c>
    </row>
    <row r="25">
      <c r="A25" s="33" t="inlineStr">
        <is>
          <t>U023</t>
        </is>
      </c>
      <c r="B25" s="33" t="inlineStr">
        <is>
          <t>ADM. FACULTAD DE FILOSOFIA Y LETRAS</t>
        </is>
      </c>
      <c r="C25" s="33" t="inlineStr">
        <is>
          <t>DOCTORADO EN FILOSOFÍA Y LETRAS</t>
        </is>
      </c>
      <c r="D25" s="33" t="inlineStr">
        <is>
          <t>Martínez Boix, Jose Luis</t>
        </is>
      </c>
      <c r="E25" s="33" t="inlineStr">
        <is>
          <t>ESTUDIO ARQUEOLÓGICO E ICONOGRÁFICO DE LA CERÁMICA PINTADA IBERORROMANA: EL CASO DE LA CERÁMICA ILICITANA</t>
        </is>
      </c>
      <c r="F25" s="33" t="inlineStr">
        <is>
          <t>28/02/2024</t>
        </is>
      </c>
      <c r="G25" s="33" t="inlineStr">
        <is>
          <t>25120571V</t>
        </is>
      </c>
      <c r="H25" s="33" t="inlineStr">
        <is>
          <t>Codirector de tesis</t>
        </is>
      </c>
      <c r="I25" s="33" t="inlineStr">
        <is>
          <t>B130</t>
        </is>
      </c>
      <c r="J25" s="33" t="inlineStr">
        <is>
          <t>PREHISTORIA, ARQUEOLOGÍA, HIST. ANTIGUA, FILOL. GRIEGA Y FILOL. LATINA</t>
        </is>
      </c>
      <c r="K25" s="33" t="n">
        <v>0.5</v>
      </c>
      <c r="L25" s="33" t="inlineStr">
        <is>
          <t>B130</t>
        </is>
      </c>
      <c r="M25" s="33" t="n">
        <v>2023</v>
      </c>
      <c r="N25" s="33" t="inlineStr">
        <is>
          <t>10.24</t>
        </is>
      </c>
      <c r="O25" s="33" t="inlineStr">
        <is>
          <t>80</t>
        </is>
      </c>
      <c r="P25" s="33" t="inlineStr"/>
      <c r="Q25" s="33" t="inlineStr"/>
      <c r="R25" s="33" t="n">
        <v>20</v>
      </c>
      <c r="S25" s="33" t="n">
        <v>0.1</v>
      </c>
      <c r="T25" s="33" t="n">
        <v>0.4</v>
      </c>
      <c r="U25" s="33" t="n">
        <v>0</v>
      </c>
      <c r="V25" s="6" t="inlineStr">
        <is>
          <t>S</t>
        </is>
      </c>
    </row>
    <row r="26">
      <c r="A26" s="33" t="inlineStr">
        <is>
          <t>U023</t>
        </is>
      </c>
      <c r="B26" s="33" t="inlineStr">
        <is>
          <t>ADM. FACULTAD DE FILOSOFIA Y LETRAS</t>
        </is>
      </c>
      <c r="C26" s="33" t="inlineStr">
        <is>
          <t>DOCTORADO EN FILOSOFÍA Y LETRAS</t>
        </is>
      </c>
      <c r="D26" s="33" t="inlineStr">
        <is>
          <t>Bujalance Silva, Raquel</t>
        </is>
      </c>
      <c r="E26" s="33" t="inlineStr">
        <is>
          <t>Desarrollo del urbanismo islámico en el sureste peninsular. Análisis y comparativas. Fases, modelos y características urbanas</t>
        </is>
      </c>
      <c r="F26" s="33" t="inlineStr">
        <is>
          <t>06/09/2024</t>
        </is>
      </c>
      <c r="G26" s="33" t="inlineStr">
        <is>
          <t>52774862M</t>
        </is>
      </c>
      <c r="H26" s="33" t="inlineStr">
        <is>
          <t>Codirector de tesis</t>
        </is>
      </c>
      <c r="I26" s="33" t="inlineStr">
        <is>
          <t>B130</t>
        </is>
      </c>
      <c r="J26" s="33" t="inlineStr">
        <is>
          <t>PREHISTORIA, ARQUEOLOGÍA, HIST. ANTIGUA, FILOL. GRIEGA Y FILOL. LATINA</t>
        </is>
      </c>
      <c r="K26" s="33" t="n">
        <v>0.5</v>
      </c>
      <c r="L26" s="33" t="inlineStr">
        <is>
          <t>B130</t>
        </is>
      </c>
      <c r="M26" s="33" t="n">
        <v>2023</v>
      </c>
      <c r="N26" s="33" t="inlineStr">
        <is>
          <t>10.24</t>
        </is>
      </c>
      <c r="O26" s="33" t="inlineStr">
        <is>
          <t>80</t>
        </is>
      </c>
      <c r="P26" s="33" t="inlineStr"/>
      <c r="Q26" s="33" t="inlineStr"/>
      <c r="R26" s="33" t="n">
        <v>20</v>
      </c>
      <c r="S26" s="33" t="n">
        <v>0.1</v>
      </c>
      <c r="T26" s="33" t="n">
        <v>0.4</v>
      </c>
      <c r="U26" s="33" t="n">
        <v>0</v>
      </c>
      <c r="V26" s="6" t="inlineStr">
        <is>
          <t>S</t>
        </is>
      </c>
    </row>
    <row r="27">
      <c r="A27" s="33" t="inlineStr">
        <is>
          <t>U023</t>
        </is>
      </c>
      <c r="B27" s="33" t="inlineStr">
        <is>
          <t>ADM. FACULTAD DE FILOSOFIA Y LETRAS</t>
        </is>
      </c>
      <c r="C27" s="33" t="inlineStr">
        <is>
          <t>DOCTORADO EN FILOSOFÍA Y LETRAS</t>
        </is>
      </c>
      <c r="D27" s="33" t="inlineStr">
        <is>
          <t>Bujalance Silva, Raquel</t>
        </is>
      </c>
      <c r="E27" s="33" t="inlineStr">
        <is>
          <t>Desarrollo del urbanismo islámico en el sureste peninsular. Análisis y comparativas. Fases, modelos y características urbanas</t>
        </is>
      </c>
      <c r="F27" s="33" t="inlineStr">
        <is>
          <t>06/09/2024</t>
        </is>
      </c>
      <c r="G27" s="33" t="inlineStr">
        <is>
          <t>21452732B</t>
        </is>
      </c>
      <c r="H27" s="33" t="inlineStr">
        <is>
          <t>Codirector de tesis</t>
        </is>
      </c>
      <c r="I27" s="33" t="inlineStr">
        <is>
          <t>B130</t>
        </is>
      </c>
      <c r="J27" s="33" t="inlineStr">
        <is>
          <t>PREHISTORIA, ARQUEOLOGÍA, HIST. ANTIGUA, FILOL. GRIEGA Y FILOL. LATINA</t>
        </is>
      </c>
      <c r="K27" s="33" t="n">
        <v>0.5</v>
      </c>
      <c r="L27" s="33" t="inlineStr">
        <is>
          <t>B130</t>
        </is>
      </c>
      <c r="M27" s="33" t="n">
        <v>2023</v>
      </c>
      <c r="N27" s="33" t="inlineStr">
        <is>
          <t>10.24</t>
        </is>
      </c>
      <c r="O27" s="33" t="inlineStr">
        <is>
          <t>80</t>
        </is>
      </c>
      <c r="P27" s="33" t="inlineStr"/>
      <c r="Q27" s="33" t="inlineStr"/>
      <c r="R27" s="33" t="n">
        <v>20</v>
      </c>
      <c r="S27" s="33" t="n">
        <v>0.1</v>
      </c>
      <c r="T27" s="33" t="n">
        <v>0.4</v>
      </c>
      <c r="U27" s="33" t="n">
        <v>0</v>
      </c>
      <c r="V27" s="6" t="inlineStr">
        <is>
          <t>S</t>
        </is>
      </c>
    </row>
    <row r="28">
      <c r="A28" s="33" t="inlineStr">
        <is>
          <t>ZZ</t>
        </is>
      </c>
      <c r="B28" s="33" t="inlineStr">
        <is>
          <t>SIN ASIGNAR</t>
        </is>
      </c>
      <c r="C28" s="33" t="inlineStr">
        <is>
          <t>DOCTORADO EN FILOSOFÍA Y LETRAS</t>
        </is>
      </c>
      <c r="D28" s="33" t="inlineStr">
        <is>
          <t>San Quirico García, Raquel</t>
        </is>
      </c>
      <c r="E28" s="33" t="inlineStr">
        <is>
          <t>SOCIEDADES DE CASAS EN EL SURESTE PENINSULAR DURANTE LA EDAD DEL HIERRO IBÉRICA (ss. IX-III a.n.e.)</t>
        </is>
      </c>
      <c r="F28" s="33" t="inlineStr">
        <is>
          <t>04/09/2024</t>
        </is>
      </c>
      <c r="G28" s="33" t="inlineStr">
        <is>
          <t>21657385X</t>
        </is>
      </c>
      <c r="H28" s="33" t="inlineStr">
        <is>
          <t>Director de tesis</t>
        </is>
      </c>
      <c r="I28" s="33" t="inlineStr">
        <is>
          <t>B130</t>
        </is>
      </c>
      <c r="J28" s="33" t="inlineStr">
        <is>
          <t>PREHISTORIA, ARQUEOLOGÍA, HIST. ANTIGUA, FILOL. GRIEGA Y FILOL. LATINA</t>
        </is>
      </c>
      <c r="K28" s="33" t="n">
        <v>1</v>
      </c>
      <c r="L28" s="33" t="inlineStr">
        <is>
          <t>B130</t>
        </is>
      </c>
      <c r="M28" s="33" t="n">
        <v>2023</v>
      </c>
      <c r="N28" s="33" t="inlineStr">
        <is>
          <t>10.24</t>
        </is>
      </c>
      <c r="O28" s="33" t="inlineStr">
        <is>
          <t>80</t>
        </is>
      </c>
      <c r="P28" s="33" t="inlineStr"/>
      <c r="Q28" s="33" t="inlineStr"/>
      <c r="R28" s="33" t="n">
        <v>20</v>
      </c>
      <c r="S28" s="33" t="n">
        <v>0.2</v>
      </c>
      <c r="T28" s="33" t="n">
        <v>0.8</v>
      </c>
      <c r="U28" s="33" t="n">
        <v>0</v>
      </c>
      <c r="V28" s="6" t="inlineStr">
        <is>
          <t>S</t>
        </is>
      </c>
    </row>
    <row r="29">
      <c r="A29" s="33" t="inlineStr">
        <is>
          <t>ZZ</t>
        </is>
      </c>
      <c r="B29" s="33" t="inlineStr">
        <is>
          <t>SIN ASIGNAR</t>
        </is>
      </c>
      <c r="C29" s="33" t="inlineStr">
        <is>
          <t>DOCTORADO EN TRANSFERENCIAS INTERCULTURALES E HISTÓRICAS EN LA EUROPA MEDIE</t>
        </is>
      </c>
      <c r="D29" s="33" t="inlineStr">
        <is>
          <t>Nicolás Flores, Fernando</t>
        </is>
      </c>
      <c r="E29" s="33" t="inlineStr">
        <is>
          <t>EL TEATRO DE TEMÁTICA GRECOLATINA Y SU APLICACIÓN DIDÁCTICA EN EL ÁMBITO LAS HUMANIDADES. ESTUDIO DE CASO PARTICULAR</t>
        </is>
      </c>
      <c r="F29" s="33" t="inlineStr">
        <is>
          <t>17/07/2024</t>
        </is>
      </c>
      <c r="G29" s="33" t="inlineStr">
        <is>
          <t>25145934B</t>
        </is>
      </c>
      <c r="H29" s="33" t="inlineStr">
        <is>
          <t>Codirector de tesis</t>
        </is>
      </c>
      <c r="I29" s="33" t="inlineStr">
        <is>
          <t>B130</t>
        </is>
      </c>
      <c r="J29" s="33" t="inlineStr">
        <is>
          <t>PREHISTORIA, ARQUEOLOGÍA, HIST. ANTIGUA, FILOL. GRIEGA Y FILOL. LATINA</t>
        </is>
      </c>
      <c r="K29" s="33" t="n">
        <v>0.5</v>
      </c>
      <c r="L29" s="33" t="inlineStr">
        <is>
          <t>B130</t>
        </is>
      </c>
      <c r="M29" s="33" t="n">
        <v>2023</v>
      </c>
      <c r="N29" s="33" t="inlineStr">
        <is>
          <t>10.24</t>
        </is>
      </c>
      <c r="O29" s="33" t="inlineStr">
        <is>
          <t>80</t>
        </is>
      </c>
      <c r="P29" s="33" t="inlineStr"/>
      <c r="Q29" s="33" t="inlineStr"/>
      <c r="R29" s="33" t="n">
        <v>20</v>
      </c>
      <c r="S29" s="33" t="n">
        <v>0.1</v>
      </c>
      <c r="T29" s="33" t="n">
        <v>0.4</v>
      </c>
      <c r="U29" s="33" t="n">
        <v>0</v>
      </c>
      <c r="V29" s="6" t="inlineStr">
        <is>
          <t>S</t>
        </is>
      </c>
    </row>
    <row r="30">
      <c r="A30" s="33" t="inlineStr">
        <is>
          <t>U023</t>
        </is>
      </c>
      <c r="B30" s="33" t="inlineStr">
        <is>
          <t>Administración Facultad de Filosofía y Letras</t>
        </is>
      </c>
      <c r="C30" s="33" t="inlineStr">
        <is>
          <t>DOCTORADO EN FILOSOFÍA Y LETRAS</t>
        </is>
      </c>
      <c r="D30" s="33" t="inlineStr">
        <is>
          <t>Agües Escolano, Irene</t>
        </is>
      </c>
      <c r="E30" s="33" t="inlineStr">
        <is>
          <t>LOS GRAFITIS COMO INFORMADORES HISTÓRICOS: EL SIGLO XVIII EN LA VILA JOIOSA A TRAVÉS DE LOS GRAFITIS PARIETALES</t>
        </is>
      </c>
      <c r="F30" s="33" t="inlineStr">
        <is>
          <t>08/04/2025</t>
        </is>
      </c>
      <c r="G30" s="33" t="inlineStr">
        <is>
          <t>21452732B</t>
        </is>
      </c>
      <c r="H30" s="33" t="inlineStr">
        <is>
          <t>Codirector de tesis</t>
        </is>
      </c>
      <c r="I30" s="33" t="inlineStr">
        <is>
          <t>B130</t>
        </is>
      </c>
      <c r="J30" s="33" t="inlineStr">
        <is>
          <t>Prehistoria, Arqueología, Historia Antigua, Filología Griega y Filología Latina</t>
        </is>
      </c>
      <c r="K30" s="33" t="n">
        <v>0.5</v>
      </c>
      <c r="L30" s="33" t="inlineStr">
        <is>
          <t>B130</t>
        </is>
      </c>
      <c r="M30" s="33" t="n">
        <v>2024</v>
      </c>
      <c r="N30" s="33" t="inlineStr">
        <is>
          <t>10.24</t>
        </is>
      </c>
      <c r="O30" s="33" t="inlineStr">
        <is>
          <t>80</t>
        </is>
      </c>
      <c r="P30" s="33" t="inlineStr"/>
      <c r="Q30" s="33" t="inlineStr"/>
      <c r="R30" s="33" t="n">
        <v>20</v>
      </c>
      <c r="S30" s="33" t="n">
        <v>0.1</v>
      </c>
      <c r="T30" s="33" t="n">
        <v>0.4</v>
      </c>
      <c r="U30" s="33" t="n">
        <v>0</v>
      </c>
    </row>
    <row r="31">
      <c r="A31" s="33" t="inlineStr">
        <is>
          <t>U023</t>
        </is>
      </c>
      <c r="B31" s="33" t="inlineStr">
        <is>
          <t>Administración Facultad de Filosofía y Letras</t>
        </is>
      </c>
      <c r="C31" s="33" t="inlineStr">
        <is>
          <t>DOCTORADO EN FILOSOFÍA Y LETRAS</t>
        </is>
      </c>
      <c r="D31" s="33" t="inlineStr">
        <is>
          <t>Del Mastro Ochoa, Marta</t>
        </is>
      </c>
      <c r="E31" s="33" t="inlineStr">
        <is>
          <t>Mapear el mar: el análisis espacial de los espacios marinos del levante peninsular a través de las fuentes históricas en período andalusí</t>
        </is>
      </c>
      <c r="F31" s="33" t="inlineStr">
        <is>
          <t>15/04/2025</t>
        </is>
      </c>
      <c r="G31" s="33" t="inlineStr">
        <is>
          <t>21431893X</t>
        </is>
      </c>
      <c r="H31" s="33" t="inlineStr">
        <is>
          <t>Director de tesis</t>
        </is>
      </c>
      <c r="I31" s="33" t="inlineStr">
        <is>
          <t>B130</t>
        </is>
      </c>
      <c r="J31" s="33" t="inlineStr">
        <is>
          <t>Prehistoria, Arqueología, Historia Antigua, Filología Griega y Filología Latina</t>
        </is>
      </c>
      <c r="K31" s="33" t="n">
        <v>1</v>
      </c>
      <c r="L31" s="33" t="inlineStr">
        <is>
          <t>B130</t>
        </is>
      </c>
      <c r="M31" s="33" t="n">
        <v>2024</v>
      </c>
      <c r="N31" s="33" t="inlineStr">
        <is>
          <t>10.24</t>
        </is>
      </c>
      <c r="O31" s="33" t="inlineStr">
        <is>
          <t>80</t>
        </is>
      </c>
      <c r="P31" s="33" t="inlineStr"/>
      <c r="Q31" s="33" t="inlineStr"/>
      <c r="R31" s="33" t="n">
        <v>20</v>
      </c>
      <c r="S31" s="33" t="n">
        <v>0.2</v>
      </c>
      <c r="T31" s="33" t="n">
        <v>0.8</v>
      </c>
      <c r="U31" s="33" t="n">
        <v>0</v>
      </c>
    </row>
    <row r="32">
      <c r="A32" s="33" t="inlineStr">
        <is>
          <t>U023</t>
        </is>
      </c>
      <c r="B32" s="33" t="inlineStr">
        <is>
          <t>Administración Facultad de Filosofía y Letras</t>
        </is>
      </c>
      <c r="C32" s="33" t="inlineStr">
        <is>
          <t>DOCTORADO EN FILOSOFÍA Y LETRAS</t>
        </is>
      </c>
      <c r="D32" s="33" t="inlineStr">
        <is>
          <t>Pérez Prefasi, Alejandro Jesús</t>
        </is>
      </c>
      <c r="E32" s="33" t="inlineStr">
        <is>
          <t>La evolución de las anclas en la navegación desde la prehistoria hasta el s. XVIII d.C.: La bahía del Portitxol (Xàbia. Alicante) como caso de estudio</t>
        </is>
      </c>
      <c r="F32" s="33" t="inlineStr">
        <is>
          <t>17/02/2025</t>
        </is>
      </c>
      <c r="G32" s="33" t="inlineStr">
        <is>
          <t>21474593E</t>
        </is>
      </c>
      <c r="H32" s="33" t="inlineStr">
        <is>
          <t>Codirector de tesis</t>
        </is>
      </c>
      <c r="I32" s="33" t="inlineStr">
        <is>
          <t>B130</t>
        </is>
      </c>
      <c r="J32" s="33" t="inlineStr">
        <is>
          <t>Prehistoria, Arqueología, Historia Antigua, Filología Griega y Filología Latina</t>
        </is>
      </c>
      <c r="K32" s="33" t="n">
        <v>0.5</v>
      </c>
      <c r="L32" s="33" t="inlineStr">
        <is>
          <t>B130</t>
        </is>
      </c>
      <c r="M32" s="33" t="n">
        <v>2024</v>
      </c>
      <c r="N32" s="33" t="inlineStr">
        <is>
          <t>10.24</t>
        </is>
      </c>
      <c r="O32" s="33" t="inlineStr">
        <is>
          <t>80</t>
        </is>
      </c>
      <c r="P32" s="33" t="inlineStr"/>
      <c r="Q32" s="33" t="inlineStr"/>
      <c r="R32" s="33" t="n">
        <v>20</v>
      </c>
      <c r="S32" s="33" t="n">
        <v>0.1</v>
      </c>
      <c r="T32" s="33" t="n">
        <v>0.4</v>
      </c>
      <c r="U32" s="33" t="n">
        <v>0</v>
      </c>
    </row>
    <row r="33">
      <c r="A33" s="33" t="inlineStr">
        <is>
          <t>U023</t>
        </is>
      </c>
      <c r="B33" s="33" t="inlineStr">
        <is>
          <t>Administración Facultad de Filosofía y Letras</t>
        </is>
      </c>
      <c r="C33" s="33" t="inlineStr">
        <is>
          <t>DOCTORADO EN FILOSOFÍA Y LETRAS</t>
        </is>
      </c>
      <c r="D33" s="33" t="inlineStr">
        <is>
          <t>Maciá Ortuño, Marina</t>
        </is>
      </c>
      <c r="E33" s="33" t="inlineStr">
        <is>
          <t>Edición, traducción y comentario de las obras completas de Jaume Gil o Iacobus Egidii</t>
        </is>
      </c>
      <c r="F33" s="33" t="inlineStr">
        <is>
          <t>24/01/2025</t>
        </is>
      </c>
      <c r="G33" s="33" t="inlineStr">
        <is>
          <t>21492519P</t>
        </is>
      </c>
      <c r="H33" s="33" t="inlineStr">
        <is>
          <t>Codirector de tesis</t>
        </is>
      </c>
      <c r="I33" s="33" t="inlineStr">
        <is>
          <t>B130</t>
        </is>
      </c>
      <c r="J33" s="33" t="inlineStr">
        <is>
          <t>Prehistoria, Arqueología, Historia Antigua, Filología Griega y Filología Latina</t>
        </is>
      </c>
      <c r="K33" s="33" t="n">
        <v>0.5</v>
      </c>
      <c r="L33" s="33" t="inlineStr">
        <is>
          <t>B130</t>
        </is>
      </c>
      <c r="M33" s="33" t="n">
        <v>2024</v>
      </c>
      <c r="N33" s="33" t="inlineStr"/>
      <c r="O33" s="33" t="inlineStr"/>
      <c r="P33" s="33" t="inlineStr"/>
      <c r="Q33" s="33" t="inlineStr"/>
      <c r="R33" s="33" t="n">
        <v>100</v>
      </c>
      <c r="S33" s="33" t="n">
        <v>0.5</v>
      </c>
      <c r="T33" s="33" t="n">
        <v>0</v>
      </c>
      <c r="U33" s="33" t="n">
        <v>0</v>
      </c>
    </row>
    <row r="34">
      <c r="A34" s="33" t="inlineStr">
        <is>
          <t>U023</t>
        </is>
      </c>
      <c r="B34" s="33" t="inlineStr">
        <is>
          <t>Administración Facultad de Filosofía y Letras</t>
        </is>
      </c>
      <c r="C34" s="33" t="inlineStr">
        <is>
          <t>DOCTORADO EN FILOSOFÍA Y LETRAS</t>
        </is>
      </c>
      <c r="D34" s="33" t="inlineStr">
        <is>
          <t>Maciá Ortuño, Marina</t>
        </is>
      </c>
      <c r="E34" s="33" t="inlineStr">
        <is>
          <t>Edición, traducción y comentario de las obras completas de Jaume Gil o Iacobus Egidii</t>
        </is>
      </c>
      <c r="F34" s="33" t="inlineStr">
        <is>
          <t>24/01/2025</t>
        </is>
      </c>
      <c r="G34" s="33" t="inlineStr">
        <is>
          <t>25145934B</t>
        </is>
      </c>
      <c r="H34" s="33" t="inlineStr">
        <is>
          <t>Codirector de tesis</t>
        </is>
      </c>
      <c r="I34" s="33" t="inlineStr">
        <is>
          <t>B130</t>
        </is>
      </c>
      <c r="J34" s="33" t="inlineStr">
        <is>
          <t>Prehistoria, Arqueología, Historia Antigua, Filología Griega y Filología Latina</t>
        </is>
      </c>
      <c r="K34" s="33" t="n">
        <v>0.5</v>
      </c>
      <c r="L34" s="33" t="inlineStr">
        <is>
          <t>B130</t>
        </is>
      </c>
      <c r="M34" s="33" t="n">
        <v>2024</v>
      </c>
      <c r="N34" s="33" t="inlineStr">
        <is>
          <t>10.24</t>
        </is>
      </c>
      <c r="O34" s="33" t="inlineStr">
        <is>
          <t>80</t>
        </is>
      </c>
      <c r="P34" s="33" t="inlineStr"/>
      <c r="Q34" s="33" t="inlineStr"/>
      <c r="R34" s="33" t="n">
        <v>20</v>
      </c>
      <c r="S34" s="33" t="n">
        <v>0.1</v>
      </c>
      <c r="T34" s="33" t="n">
        <v>0.4</v>
      </c>
      <c r="U34" s="33" t="n">
        <v>0</v>
      </c>
    </row>
    <row r="35">
      <c r="A35" s="33" t="inlineStr">
        <is>
          <t>U023</t>
        </is>
      </c>
      <c r="B35" s="33" t="inlineStr">
        <is>
          <t>Administración Facultad de Filosofía y Letras</t>
        </is>
      </c>
      <c r="C35" s="33" t="inlineStr">
        <is>
          <t>DOCTORADO EN FILOSOFÍA Y LETRAS</t>
        </is>
      </c>
      <c r="D35" s="33" t="inlineStr">
        <is>
          <t>Anton Espí, Neus</t>
        </is>
      </c>
      <c r="E35" s="33" t="inlineStr">
        <is>
          <t>Arqueologia de la infància. Estudi de la infància ibera a través de les restes arqueològiques dels jaciments de la península Ibèrica.</t>
        </is>
      </c>
      <c r="F35" s="33" t="inlineStr">
        <is>
          <t>04/02/2025</t>
        </is>
      </c>
      <c r="G35" s="33" t="inlineStr">
        <is>
          <t>25120571V</t>
        </is>
      </c>
      <c r="H35" s="33" t="inlineStr">
        <is>
          <t>Director de tesis</t>
        </is>
      </c>
      <c r="I35" s="33" t="inlineStr">
        <is>
          <t>B130</t>
        </is>
      </c>
      <c r="J35" s="33" t="inlineStr">
        <is>
          <t>Prehistoria, Arqueología, Historia Antigua, Filología Griega y Filología Latina</t>
        </is>
      </c>
      <c r="K35" s="33" t="n">
        <v>1</v>
      </c>
      <c r="L35" s="33" t="inlineStr">
        <is>
          <t>B130</t>
        </is>
      </c>
      <c r="M35" s="33" t="n">
        <v>2024</v>
      </c>
      <c r="N35" s="33" t="inlineStr">
        <is>
          <t>10.24</t>
        </is>
      </c>
      <c r="O35" s="33" t="inlineStr">
        <is>
          <t>80</t>
        </is>
      </c>
      <c r="P35" s="33" t="inlineStr"/>
      <c r="Q35" s="33" t="inlineStr"/>
      <c r="R35" s="33" t="n">
        <v>20</v>
      </c>
      <c r="S35" s="33" t="n">
        <v>0.2</v>
      </c>
      <c r="T35" s="33" t="n">
        <v>0.8</v>
      </c>
      <c r="U35" s="33" t="n">
        <v>0</v>
      </c>
    </row>
    <row r="36">
      <c r="A36" s="33" t="inlineStr">
        <is>
          <t>U023</t>
        </is>
      </c>
      <c r="B36" s="33" t="inlineStr">
        <is>
          <t>Administración Facultad de Filosofía y Letras</t>
        </is>
      </c>
      <c r="C36" s="33" t="inlineStr">
        <is>
          <t>DOCTORADO EN FILOSOFÍA Y LETRAS</t>
        </is>
      </c>
      <c r="D36" s="33" t="inlineStr">
        <is>
          <t>Famari , Valentina</t>
        </is>
      </c>
      <c r="E36" s="33" t="inlineStr">
        <is>
          <t>La ceramica ispano-moresca nei territori della regione del Veneto (Italia)</t>
        </is>
      </c>
      <c r="F36" s="33" t="inlineStr">
        <is>
          <t>03/02/2025</t>
        </is>
      </c>
      <c r="G36" s="33" t="inlineStr">
        <is>
          <t>21452732B</t>
        </is>
      </c>
      <c r="H36" s="33" t="inlineStr">
        <is>
          <t>Director de tesis</t>
        </is>
      </c>
      <c r="I36" s="33" t="inlineStr">
        <is>
          <t>B130</t>
        </is>
      </c>
      <c r="J36" s="33" t="inlineStr">
        <is>
          <t>Prehistoria, Arqueología, Historia Antigua, Filología Griega y Filología Latina</t>
        </is>
      </c>
      <c r="K36" s="33" t="n">
        <v>1</v>
      </c>
      <c r="L36" s="33" t="inlineStr">
        <is>
          <t>B130</t>
        </is>
      </c>
      <c r="M36" s="33" t="n">
        <v>2024</v>
      </c>
      <c r="N36" s="33" t="inlineStr">
        <is>
          <t>10.24</t>
        </is>
      </c>
      <c r="O36" s="33" t="inlineStr">
        <is>
          <t>80</t>
        </is>
      </c>
      <c r="P36" s="33" t="inlineStr"/>
      <c r="Q36" s="33" t="inlineStr"/>
      <c r="R36" s="33" t="n">
        <v>20</v>
      </c>
      <c r="S36" s="33" t="n">
        <v>0.2</v>
      </c>
      <c r="T36" s="33" t="n">
        <v>0.8</v>
      </c>
      <c r="U36" s="33" t="n">
        <v>0</v>
      </c>
    </row>
    <row r="37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5" t="n"/>
      <c r="P37" s="44" t="n"/>
      <c r="Q37" s="45" t="n"/>
      <c r="R37" s="44" t="n"/>
      <c r="S37" s="90">
        <f>SUM(S2:S36)</f>
        <v/>
      </c>
      <c r="T37" s="44" t="n"/>
      <c r="U37" s="44" t="n"/>
    </row>
  </sheetData>
  <autoFilter ref="A1:U1">
    <sortState ref="A2:T1866">
      <sortCondition ref="K2:K1866"/>
      <sortCondition ref="L2:L1866"/>
      <sortCondition ref="D2:D1866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2"/>
  <sheetViews>
    <sheetView tabSelected="1" zoomScaleNormal="100" workbookViewId="0">
      <selection activeCell="M30" sqref="M30"/>
    </sheetView>
  </sheetViews>
  <sheetFormatPr baseColWidth="10" defaultColWidth="11.42578125" defaultRowHeight="12.75"/>
  <cols>
    <col width="10.5703125" bestFit="1" customWidth="1" style="11" min="1" max="1"/>
    <col width="39.42578125" bestFit="1" customWidth="1" style="11" min="2" max="2"/>
    <col width="17" bestFit="1" customWidth="1" style="11" min="3" max="3"/>
    <col width="3.28515625" bestFit="1" customWidth="1" style="11" min="4" max="9"/>
    <col width="13.140625" bestFit="1" customWidth="1" style="11" min="10" max="10"/>
    <col width="5.28515625" bestFit="1" customWidth="1" style="11" min="11" max="11"/>
    <col width="5.7109375" bestFit="1" customWidth="1" style="11" min="12" max="13"/>
    <col width="5.7109375" bestFit="1" customWidth="1" style="12" min="14" max="14"/>
    <col width="5.7109375" bestFit="1" customWidth="1" style="11" min="15" max="15"/>
    <col width="5.7109375" bestFit="1" customWidth="1" style="12" min="16" max="16"/>
    <col width="5.7109375" bestFit="1" customWidth="1" style="11" min="17" max="19"/>
    <col width="11.42578125" customWidth="1" style="11" min="20" max="16384"/>
  </cols>
  <sheetData>
    <row r="1" ht="60" customFormat="1" customHeight="1" s="10">
      <c r="A1" s="27" t="inlineStr">
        <is>
          <t>NIF</t>
        </is>
      </c>
      <c r="B1" s="27" t="inlineStr">
        <is>
          <t>NOMBRE_COMPLETO</t>
        </is>
      </c>
      <c r="C1" s="27" t="inlineStr">
        <is>
          <t>TIPO_SEXENIO</t>
        </is>
      </c>
      <c r="D1" s="28" t="inlineStr">
        <is>
          <t>2020</t>
        </is>
      </c>
      <c r="E1" s="28" t="inlineStr">
        <is>
          <t>2021</t>
        </is>
      </c>
      <c r="F1" s="28" t="inlineStr">
        <is>
          <t>2022</t>
        </is>
      </c>
      <c r="G1" s="28" t="inlineStr">
        <is>
          <t>2023</t>
        </is>
      </c>
      <c r="H1" s="28" t="inlineStr">
        <is>
          <t>2024</t>
        </is>
      </c>
      <c r="I1" s="28" t="inlineStr">
        <is>
          <t>2025</t>
        </is>
      </c>
      <c r="J1" s="27" t="inlineStr">
        <is>
          <t>Total general</t>
        </is>
      </c>
      <c r="K1" s="29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5" customHeight="1">
      <c r="A2" s="13" t="inlineStr">
        <is>
          <t>03078551R</t>
        </is>
      </c>
      <c r="B2" s="13" t="inlineStr">
        <is>
          <t>Abascal Palazón, Juan Manuel</t>
        </is>
      </c>
      <c r="C2" s="14" t="inlineStr">
        <is>
          <t>FUNCIONARIO</t>
        </is>
      </c>
      <c r="D2" s="13" t="n"/>
      <c r="E2" s="13" t="n">
        <v>1</v>
      </c>
      <c r="F2" s="13" t="n"/>
      <c r="G2" s="13" t="n"/>
      <c r="H2" s="13" t="n"/>
      <c r="I2" s="13" t="n"/>
      <c r="J2" s="30" t="n">
        <v>1</v>
      </c>
      <c r="K2" s="30" t="inlineStr">
        <is>
          <t>B130</t>
        </is>
      </c>
      <c r="L2" s="31" t="n">
        <v>0</v>
      </c>
      <c r="M2" s="31" t="n">
        <v>0</v>
      </c>
      <c r="N2" s="31" t="inlineStr"/>
      <c r="O2" s="31" t="inlineStr"/>
      <c r="P2" s="31" t="n">
        <v>100</v>
      </c>
      <c r="Q2" s="31" t="n">
        <v>0</v>
      </c>
      <c r="R2" s="31" t="n">
        <v>0</v>
      </c>
      <c r="S2" s="31" t="n">
        <v>1</v>
      </c>
    </row>
    <row r="3" ht="15" customHeight="1">
      <c r="A3" s="13" t="inlineStr">
        <is>
          <t>07210590K</t>
        </is>
      </c>
      <c r="B3" s="13" t="inlineStr">
        <is>
          <t>Lorrio Alvarado, Alberto José</t>
        </is>
      </c>
      <c r="C3" s="14" t="inlineStr">
        <is>
          <t>FUNCIONARIO</t>
        </is>
      </c>
      <c r="D3" s="13" t="n"/>
      <c r="E3" s="13" t="n">
        <v>1</v>
      </c>
      <c r="F3" s="13" t="n"/>
      <c r="G3" s="13" t="n"/>
      <c r="H3" s="13" t="n"/>
      <c r="I3" s="13" t="n"/>
      <c r="J3" s="30" t="n">
        <v>1</v>
      </c>
      <c r="K3" s="30" t="inlineStr">
        <is>
          <t>B130</t>
        </is>
      </c>
      <c r="L3" s="31" t="inlineStr">
        <is>
          <t>10.24</t>
        </is>
      </c>
      <c r="M3" s="31" t="inlineStr">
        <is>
          <t>80</t>
        </is>
      </c>
      <c r="N3" s="31" t="inlineStr"/>
      <c r="O3" s="31" t="inlineStr"/>
      <c r="P3" s="31" t="n">
        <v>20</v>
      </c>
      <c r="Q3" s="31" t="n">
        <v>0.8</v>
      </c>
      <c r="R3" s="31" t="n">
        <v>0</v>
      </c>
      <c r="S3" s="31" t="n">
        <v>0.2</v>
      </c>
    </row>
    <row r="4" ht="15" customHeight="1">
      <c r="A4" s="30" t="inlineStr">
        <is>
          <t>21431893X</t>
        </is>
      </c>
      <c r="B4" s="30" t="inlineStr">
        <is>
          <t>Gutiérrez Lloret, Sonia</t>
        </is>
      </c>
      <c r="C4" s="30" t="inlineStr">
        <is>
          <t>FUNCIONARIO</t>
        </is>
      </c>
      <c r="D4" s="30" t="n"/>
      <c r="E4" s="30" t="n"/>
      <c r="F4" s="30" t="n"/>
      <c r="G4" s="30" t="n"/>
      <c r="H4" s="30" t="n">
        <v>1</v>
      </c>
      <c r="I4" s="30" t="n"/>
      <c r="J4" s="30" t="n">
        <v>1</v>
      </c>
      <c r="K4" s="30" t="inlineStr">
        <is>
          <t>B130</t>
        </is>
      </c>
      <c r="L4" s="31" t="inlineStr">
        <is>
          <t>10.24</t>
        </is>
      </c>
      <c r="M4" s="31" t="inlineStr">
        <is>
          <t>80</t>
        </is>
      </c>
      <c r="N4" s="31" t="inlineStr"/>
      <c r="O4" s="31" t="inlineStr"/>
      <c r="P4" s="31" t="n">
        <v>20</v>
      </c>
      <c r="Q4" s="31" t="n">
        <v>0.8</v>
      </c>
      <c r="R4" s="31" t="n">
        <v>0</v>
      </c>
      <c r="S4" s="31" t="n">
        <v>0.2</v>
      </c>
    </row>
    <row r="5" ht="15" customHeight="1">
      <c r="A5" s="30" t="inlineStr">
        <is>
          <t>21437969Z</t>
        </is>
      </c>
      <c r="B5" s="30" t="inlineStr">
        <is>
          <t>Olivares Pedreño, Juan Carlos</t>
        </is>
      </c>
      <c r="C5" s="30" t="inlineStr">
        <is>
          <t>FUNCIONARIO</t>
        </is>
      </c>
      <c r="D5" s="30" t="n"/>
      <c r="E5" s="30" t="n"/>
      <c r="F5" s="30" t="n"/>
      <c r="G5" s="30" t="n"/>
      <c r="H5" s="30" t="n">
        <v>3</v>
      </c>
      <c r="I5" s="30" t="n"/>
      <c r="J5" s="30" t="n">
        <v>3</v>
      </c>
      <c r="K5" s="30" t="inlineStr">
        <is>
          <t>B130</t>
        </is>
      </c>
      <c r="L5" s="31" t="n">
        <v>0</v>
      </c>
      <c r="M5" s="31" t="n">
        <v>0</v>
      </c>
      <c r="N5" s="31" t="inlineStr"/>
      <c r="O5" s="31" t="inlineStr"/>
      <c r="P5" s="31" t="n">
        <v>100</v>
      </c>
      <c r="Q5" s="31" t="n">
        <v>0</v>
      </c>
      <c r="R5" s="31" t="n">
        <v>0</v>
      </c>
      <c r="S5" s="31" t="n">
        <v>3</v>
      </c>
    </row>
    <row r="6" ht="15" customHeight="1">
      <c r="A6" s="30" t="inlineStr">
        <is>
          <t>21452732B</t>
        </is>
      </c>
      <c r="B6" s="30" t="inlineStr">
        <is>
          <t>Doménech Belda, Carolina</t>
        </is>
      </c>
      <c r="C6" s="30" t="inlineStr">
        <is>
          <t>FUNCIONARIO</t>
        </is>
      </c>
      <c r="D6" s="30" t="n"/>
      <c r="E6" s="30" t="n"/>
      <c r="F6" s="30" t="n"/>
      <c r="G6" s="30" t="n">
        <v>1</v>
      </c>
      <c r="H6" s="30" t="n"/>
      <c r="I6" s="30" t="n"/>
      <c r="J6" s="30" t="n">
        <v>1</v>
      </c>
      <c r="K6" s="30" t="inlineStr">
        <is>
          <t>B130</t>
        </is>
      </c>
      <c r="L6" s="31" t="inlineStr">
        <is>
          <t>10.24</t>
        </is>
      </c>
      <c r="M6" s="31" t="inlineStr">
        <is>
          <t>80</t>
        </is>
      </c>
      <c r="N6" s="31" t="inlineStr"/>
      <c r="O6" s="31" t="inlineStr"/>
      <c r="P6" s="31" t="n">
        <v>20</v>
      </c>
      <c r="Q6" s="31" t="n">
        <v>0.8</v>
      </c>
      <c r="R6" s="31" t="n">
        <v>0</v>
      </c>
      <c r="S6" s="31" t="n">
        <v>0.2</v>
      </c>
    </row>
    <row r="7" ht="15" customHeight="1">
      <c r="A7" s="30" t="inlineStr">
        <is>
          <t>21454765C</t>
        </is>
      </c>
      <c r="B7" s="30" t="inlineStr">
        <is>
          <t>López Martínez, María Paz</t>
        </is>
      </c>
      <c r="C7" s="30" t="inlineStr">
        <is>
          <t>FUNCIONARIO</t>
        </is>
      </c>
      <c r="D7" s="30" t="n">
        <v>1</v>
      </c>
      <c r="E7" s="30" t="n"/>
      <c r="F7" s="30" t="n"/>
      <c r="G7" s="30" t="n"/>
      <c r="H7" s="30" t="n"/>
      <c r="I7" s="30" t="n"/>
      <c r="J7" s="30" t="n">
        <v>1</v>
      </c>
      <c r="K7" s="30" t="inlineStr">
        <is>
          <t>B130</t>
        </is>
      </c>
      <c r="L7" s="31" t="inlineStr">
        <is>
          <t>10.24</t>
        </is>
      </c>
      <c r="M7" s="31" t="inlineStr">
        <is>
          <t>80</t>
        </is>
      </c>
      <c r="N7" s="31" t="inlineStr"/>
      <c r="O7" s="31" t="inlineStr"/>
      <c r="P7" s="31" t="n">
        <v>20</v>
      </c>
      <c r="Q7" s="31" t="n">
        <v>0.8</v>
      </c>
      <c r="R7" s="31" t="n">
        <v>0</v>
      </c>
      <c r="S7" s="31" t="n">
        <v>0.2</v>
      </c>
    </row>
    <row r="8" ht="15" customHeight="1">
      <c r="A8" s="30" t="inlineStr">
        <is>
          <t>21474593E</t>
        </is>
      </c>
      <c r="B8" s="30" t="inlineStr">
        <is>
          <t>Molina Vidal, Jaime</t>
        </is>
      </c>
      <c r="C8" s="30" t="inlineStr">
        <is>
          <t>FUNCIONARIO</t>
        </is>
      </c>
      <c r="D8" s="30" t="n"/>
      <c r="E8" s="30" t="n"/>
      <c r="F8" s="30" t="n"/>
      <c r="G8" s="30" t="n"/>
      <c r="H8" s="30" t="n"/>
      <c r="I8" s="30" t="n">
        <v>1</v>
      </c>
      <c r="J8" s="30" t="n">
        <v>1</v>
      </c>
      <c r="K8" s="30" t="inlineStr">
        <is>
          <t>B130</t>
        </is>
      </c>
      <c r="L8" s="31" t="inlineStr">
        <is>
          <t>10.24</t>
        </is>
      </c>
      <c r="M8" s="31" t="inlineStr">
        <is>
          <t>80</t>
        </is>
      </c>
      <c r="N8" s="31" t="inlineStr"/>
      <c r="O8" s="31" t="inlineStr"/>
      <c r="P8" s="31" t="n">
        <v>20</v>
      </c>
      <c r="Q8" s="31" t="n">
        <v>0.8</v>
      </c>
      <c r="R8" s="31" t="n">
        <v>0</v>
      </c>
      <c r="S8" s="31" t="n">
        <v>0.2</v>
      </c>
    </row>
    <row r="9" ht="15" customHeight="1">
      <c r="A9" s="30" t="inlineStr">
        <is>
          <t>21657385X</t>
        </is>
      </c>
      <c r="B9" s="30" t="inlineStr">
        <is>
          <t>Grau Mira, Ignacio</t>
        </is>
      </c>
      <c r="C9" s="30" t="inlineStr">
        <is>
          <t>FUNCIONARIO</t>
        </is>
      </c>
      <c r="D9" s="30" t="n"/>
      <c r="E9" s="30" t="n">
        <v>1</v>
      </c>
      <c r="F9" s="30" t="n"/>
      <c r="G9" s="30" t="n"/>
      <c r="H9" s="30" t="n"/>
      <c r="I9" s="30" t="n"/>
      <c r="J9" s="30" t="n">
        <v>1</v>
      </c>
      <c r="K9" s="30" t="inlineStr">
        <is>
          <t>B130</t>
        </is>
      </c>
      <c r="L9" s="31" t="inlineStr">
        <is>
          <t>10.24</t>
        </is>
      </c>
      <c r="M9" s="31" t="inlineStr">
        <is>
          <t>80</t>
        </is>
      </c>
      <c r="N9" s="31" t="inlineStr"/>
      <c r="O9" s="31" t="inlineStr"/>
      <c r="P9" s="31" t="n">
        <v>20</v>
      </c>
      <c r="Q9" s="31" t="n">
        <v>0.8</v>
      </c>
      <c r="R9" s="31" t="n">
        <v>0</v>
      </c>
      <c r="S9" s="31" t="n">
        <v>0.2</v>
      </c>
    </row>
    <row r="10" ht="15" customHeight="1">
      <c r="A10" s="30" t="inlineStr">
        <is>
          <t>21672478S</t>
        </is>
      </c>
      <c r="B10" s="30" t="inlineStr">
        <is>
          <t>García Atiénzar, Gabriel</t>
        </is>
      </c>
      <c r="C10" s="30" t="inlineStr">
        <is>
          <t>FUNCIONARIO</t>
        </is>
      </c>
      <c r="D10" s="30" t="n"/>
      <c r="E10" s="30" t="n"/>
      <c r="F10" s="30" t="n"/>
      <c r="G10" s="30" t="n">
        <v>1</v>
      </c>
      <c r="H10" s="30" t="n"/>
      <c r="I10" s="30" t="n"/>
      <c r="J10" s="30" t="n">
        <v>1</v>
      </c>
      <c r="K10" s="30" t="inlineStr">
        <is>
          <t>B130</t>
        </is>
      </c>
      <c r="L10" s="31" t="inlineStr">
        <is>
          <t>10.24</t>
        </is>
      </c>
      <c r="M10" s="31" t="inlineStr">
        <is>
          <t>80</t>
        </is>
      </c>
      <c r="N10" s="31" t="inlineStr"/>
      <c r="O10" s="31" t="inlineStr"/>
      <c r="P10" s="31" t="n">
        <v>20</v>
      </c>
      <c r="Q10" s="31" t="n">
        <v>0.8</v>
      </c>
      <c r="R10" s="31" t="n">
        <v>0</v>
      </c>
      <c r="S10" s="31" t="n">
        <v>0.2</v>
      </c>
    </row>
    <row r="11" ht="15" customHeight="1">
      <c r="A11" s="30" t="inlineStr">
        <is>
          <t>22131713D</t>
        </is>
      </c>
      <c r="B11" s="30" t="inlineStr">
        <is>
          <t>Jover Maestre, Francisco Javier</t>
        </is>
      </c>
      <c r="C11" s="30" t="inlineStr">
        <is>
          <t>FUNCIONARIO</t>
        </is>
      </c>
      <c r="D11" s="30" t="n"/>
      <c r="E11" s="30" t="n"/>
      <c r="F11" s="30" t="n"/>
      <c r="G11" s="30" t="n"/>
      <c r="H11" s="30" t="n">
        <v>1</v>
      </c>
      <c r="I11" s="30" t="n"/>
      <c r="J11" s="30" t="n">
        <v>1</v>
      </c>
      <c r="K11" s="30" t="inlineStr">
        <is>
          <t>B130</t>
        </is>
      </c>
      <c r="L11" s="31" t="inlineStr">
        <is>
          <t>10.24</t>
        </is>
      </c>
      <c r="M11" s="31" t="inlineStr">
        <is>
          <t>80</t>
        </is>
      </c>
      <c r="N11" s="31" t="inlineStr"/>
      <c r="O11" s="31" t="inlineStr"/>
      <c r="P11" s="31" t="n">
        <v>20</v>
      </c>
      <c r="Q11" s="31" t="n">
        <v>0.8</v>
      </c>
      <c r="R11" s="31" t="n">
        <v>0</v>
      </c>
      <c r="S11" s="31" t="n">
        <v>0.2</v>
      </c>
    </row>
    <row r="12" ht="15" customHeight="1">
      <c r="A12" s="30" t="inlineStr">
        <is>
          <t>25120571V</t>
        </is>
      </c>
      <c r="B12" s="30" t="inlineStr">
        <is>
          <t>Sala Sellés, Feliciana</t>
        </is>
      </c>
      <c r="C12" s="30" t="inlineStr">
        <is>
          <t>FUNCIONARIO</t>
        </is>
      </c>
      <c r="D12" s="30" t="n"/>
      <c r="E12" s="30" t="n"/>
      <c r="F12" s="30" t="n"/>
      <c r="G12" s="30" t="n"/>
      <c r="H12" s="30" t="n"/>
      <c r="I12" s="30" t="n">
        <v>1</v>
      </c>
      <c r="J12" s="30" t="n">
        <v>1</v>
      </c>
      <c r="K12" s="30" t="inlineStr">
        <is>
          <t>B130</t>
        </is>
      </c>
      <c r="L12" s="31" t="inlineStr">
        <is>
          <t>10.24</t>
        </is>
      </c>
      <c r="M12" s="31" t="inlineStr">
        <is>
          <t>80</t>
        </is>
      </c>
      <c r="N12" s="31" t="inlineStr"/>
      <c r="O12" s="31" t="inlineStr"/>
      <c r="P12" s="31" t="n">
        <v>20</v>
      </c>
      <c r="Q12" s="31" t="n">
        <v>0.8</v>
      </c>
      <c r="R12" s="31" t="n">
        <v>0</v>
      </c>
      <c r="S12" s="31" t="n">
        <v>0.2</v>
      </c>
    </row>
    <row r="13" ht="15" customHeight="1">
      <c r="A13" s="30" t="inlineStr">
        <is>
          <t>25145934B</t>
        </is>
      </c>
      <c r="B13" s="30" t="inlineStr">
        <is>
          <t>Mesa Sanz, Juan Francisco</t>
        </is>
      </c>
      <c r="C13" s="30" t="inlineStr">
        <is>
          <t>FUNCIONARIO</t>
        </is>
      </c>
      <c r="D13" s="30" t="n"/>
      <c r="E13" s="30" t="n"/>
      <c r="F13" s="30" t="n"/>
      <c r="G13" s="30" t="n"/>
      <c r="H13" s="30" t="n"/>
      <c r="I13" s="30" t="n">
        <v>1</v>
      </c>
      <c r="J13" s="30" t="n">
        <v>1</v>
      </c>
      <c r="K13" s="30" t="inlineStr">
        <is>
          <t>B130</t>
        </is>
      </c>
      <c r="L13" s="31" t="inlineStr">
        <is>
          <t>10.24</t>
        </is>
      </c>
      <c r="M13" s="31" t="inlineStr">
        <is>
          <t>80</t>
        </is>
      </c>
      <c r="N13" s="31" t="inlineStr"/>
      <c r="O13" s="31" t="inlineStr"/>
      <c r="P13" s="31" t="n">
        <v>20</v>
      </c>
      <c r="Q13" s="31" t="n">
        <v>0.8</v>
      </c>
      <c r="R13" s="31" t="n">
        <v>0</v>
      </c>
      <c r="S13" s="31" t="n">
        <v>0.2</v>
      </c>
    </row>
    <row r="14" ht="15" customHeight="1">
      <c r="A14" s="30" t="inlineStr">
        <is>
          <t>29022960L</t>
        </is>
      </c>
      <c r="B14" s="30" t="inlineStr">
        <is>
          <t>Fernández López de Pablo, Javier</t>
        </is>
      </c>
      <c r="C14" s="30" t="inlineStr">
        <is>
          <t>FUNCIONARIO</t>
        </is>
      </c>
      <c r="D14" s="30" t="n"/>
      <c r="E14" s="30" t="n"/>
      <c r="F14" s="30" t="n"/>
      <c r="G14" s="30" t="n"/>
      <c r="H14" s="30" t="n">
        <v>3</v>
      </c>
      <c r="I14" s="30" t="n"/>
      <c r="J14" s="30" t="n">
        <v>3</v>
      </c>
      <c r="K14" s="30" t="inlineStr">
        <is>
          <t>B130</t>
        </is>
      </c>
      <c r="L14" s="31" t="n">
        <v>0</v>
      </c>
      <c r="M14" s="31" t="n">
        <v>0</v>
      </c>
      <c r="N14" s="31" t="inlineStr"/>
      <c r="O14" s="31" t="inlineStr"/>
      <c r="P14" s="31" t="n">
        <v>100</v>
      </c>
      <c r="Q14" s="31" t="n">
        <v>0</v>
      </c>
      <c r="R14" s="31" t="n">
        <v>0</v>
      </c>
      <c r="S14" s="31" t="n">
        <v>3</v>
      </c>
    </row>
    <row r="15" ht="15" customHeight="1">
      <c r="A15" s="30" t="inlineStr">
        <is>
          <t>43255686T</t>
        </is>
      </c>
      <c r="B15" s="30" t="inlineStr">
        <is>
          <t>González-Conde Puente, María Pilar</t>
        </is>
      </c>
      <c r="C15" s="30" t="inlineStr">
        <is>
          <t>NO FUNCIONARIO</t>
        </is>
      </c>
      <c r="D15" s="30" t="n"/>
      <c r="E15" s="30" t="n"/>
      <c r="F15" s="30" t="n"/>
      <c r="G15" s="30" t="n"/>
      <c r="H15" s="30" t="n">
        <v>1</v>
      </c>
      <c r="I15" s="30" t="n"/>
      <c r="J15" s="30" t="n">
        <v>1</v>
      </c>
      <c r="K15" s="30" t="inlineStr">
        <is>
          <t>B130</t>
        </is>
      </c>
      <c r="L15" s="31" t="n">
        <v>0</v>
      </c>
      <c r="M15" s="31" t="n">
        <v>0</v>
      </c>
      <c r="N15" s="31" t="inlineStr"/>
      <c r="O15" s="31" t="inlineStr"/>
      <c r="P15" s="31" t="n">
        <v>100</v>
      </c>
      <c r="Q15" s="31" t="n">
        <v>0</v>
      </c>
      <c r="R15" s="31" t="n">
        <v>0</v>
      </c>
      <c r="S15" s="31" t="n">
        <v>1</v>
      </c>
    </row>
    <row r="16" ht="15" customHeight="1">
      <c r="A16" s="30" t="inlineStr">
        <is>
          <t>43727316S</t>
        </is>
      </c>
      <c r="B16" s="30" t="inlineStr">
        <is>
          <t>Graells Fabregat, Raimon</t>
        </is>
      </c>
      <c r="C16" s="30" t="inlineStr">
        <is>
          <t>NO FUNCIONARIO</t>
        </is>
      </c>
      <c r="D16" s="30" t="n"/>
      <c r="E16" s="30" t="n"/>
      <c r="F16" s="30" t="n"/>
      <c r="G16" s="30" t="n"/>
      <c r="H16" s="30" t="n">
        <v>1</v>
      </c>
      <c r="I16" s="30" t="n">
        <v>2</v>
      </c>
      <c r="J16" s="30" t="n">
        <v>3</v>
      </c>
      <c r="K16" s="30" t="inlineStr">
        <is>
          <t>B130</t>
        </is>
      </c>
      <c r="L16" s="31" t="inlineStr">
        <is>
          <t>10.24</t>
        </is>
      </c>
      <c r="M16" s="31" t="inlineStr">
        <is>
          <t>80</t>
        </is>
      </c>
      <c r="N16" s="31" t="inlineStr"/>
      <c r="O16" s="31" t="inlineStr"/>
      <c r="P16" s="31" t="n">
        <v>20</v>
      </c>
      <c r="Q16" s="31" t="n">
        <v>2.4</v>
      </c>
      <c r="R16" s="31" t="n">
        <v>0</v>
      </c>
      <c r="S16" s="31" t="n">
        <v>0.6</v>
      </c>
    </row>
    <row r="17" ht="15" customHeight="1">
      <c r="A17" s="30" t="inlineStr">
        <is>
          <t>48364694H</t>
        </is>
      </c>
      <c r="B17" s="30" t="inlineStr">
        <is>
          <t>Barciela González, Virginia</t>
        </is>
      </c>
      <c r="C17" s="30" t="inlineStr">
        <is>
          <t>NO FUNCIONARIO</t>
        </is>
      </c>
      <c r="D17" s="30" t="n"/>
      <c r="E17" s="30" t="n"/>
      <c r="F17" s="30" t="n"/>
      <c r="G17" s="30" t="n"/>
      <c r="H17" s="30" t="n">
        <v>1</v>
      </c>
      <c r="I17" s="30" t="n"/>
      <c r="J17" s="30" t="n">
        <v>1</v>
      </c>
      <c r="K17" s="30" t="inlineStr">
        <is>
          <t>B130</t>
        </is>
      </c>
      <c r="L17" s="31" t="inlineStr">
        <is>
          <t>10.24</t>
        </is>
      </c>
      <c r="M17" s="31" t="inlineStr">
        <is>
          <t>80</t>
        </is>
      </c>
      <c r="N17" s="31" t="inlineStr"/>
      <c r="O17" s="31" t="inlineStr"/>
      <c r="P17" s="31" t="n">
        <v>20</v>
      </c>
      <c r="Q17" s="31" t="n">
        <v>0.8</v>
      </c>
      <c r="R17" s="31" t="n">
        <v>0</v>
      </c>
      <c r="S17" s="31" t="n">
        <v>0.2</v>
      </c>
    </row>
    <row r="18" ht="15" customHeight="1">
      <c r="A18" s="30" t="inlineStr">
        <is>
          <t>48569460S</t>
        </is>
      </c>
      <c r="B18" s="30" t="inlineStr">
        <is>
          <t>Mateo Corredor, Daniel</t>
        </is>
      </c>
      <c r="C18" s="30" t="inlineStr">
        <is>
          <t>FUNCIONARIO</t>
        </is>
      </c>
      <c r="D18" s="30" t="n"/>
      <c r="E18" s="30" t="n"/>
      <c r="F18" s="30" t="n"/>
      <c r="G18" s="30" t="n"/>
      <c r="H18" s="30" t="n">
        <v>2</v>
      </c>
      <c r="I18" s="30" t="n"/>
      <c r="J18" s="30" t="n">
        <v>2</v>
      </c>
      <c r="K18" s="30" t="inlineStr">
        <is>
          <t>B130</t>
        </is>
      </c>
      <c r="L18" s="31" t="inlineStr">
        <is>
          <t>10.24</t>
        </is>
      </c>
      <c r="M18" s="31" t="inlineStr">
        <is>
          <t>50</t>
        </is>
      </c>
      <c r="N18" s="31" t="inlineStr"/>
      <c r="O18" s="31" t="inlineStr"/>
      <c r="P18" s="31" t="n">
        <v>50</v>
      </c>
      <c r="Q18" s="31" t="n">
        <v>1</v>
      </c>
      <c r="R18" s="31" t="n">
        <v>0</v>
      </c>
      <c r="S18" s="31" t="n">
        <v>1</v>
      </c>
    </row>
    <row r="19" ht="15" customFormat="1" customHeight="1" s="88">
      <c r="A19" s="86" t="inlineStr">
        <is>
          <t>52773425V</t>
        </is>
      </c>
      <c r="B19" s="86" t="inlineStr">
        <is>
          <t>Amorós Ruiz, Victoria Encarnación</t>
        </is>
      </c>
      <c r="C19" s="86" t="inlineStr">
        <is>
          <t>NO FUNCIONARIO</t>
        </is>
      </c>
      <c r="D19" s="86" t="n"/>
      <c r="E19" s="86" t="n"/>
      <c r="F19" s="86" t="n"/>
      <c r="G19" s="86" t="n"/>
      <c r="H19" s="86" t="n"/>
      <c r="I19" s="86" t="n">
        <v>1</v>
      </c>
      <c r="J19" s="86" t="n">
        <v>1</v>
      </c>
      <c r="K19" s="86" t="inlineStr">
        <is>
          <t>B130</t>
        </is>
      </c>
      <c r="L19" s="87" t="inlineStr">
        <is>
          <t>10.24</t>
        </is>
      </c>
      <c r="M19" s="87" t="inlineStr">
        <is>
          <t>80</t>
        </is>
      </c>
      <c r="N19" s="87" t="n">
        <v>0</v>
      </c>
      <c r="O19" s="87" t="n">
        <v>0</v>
      </c>
      <c r="P19" s="87" t="n">
        <v>20</v>
      </c>
      <c r="Q19" s="87" t="n">
        <v>0.8</v>
      </c>
      <c r="R19" s="87" t="n">
        <v>0</v>
      </c>
      <c r="S19" s="87" t="n">
        <v>0.2</v>
      </c>
    </row>
    <row r="20" ht="15" customHeight="1">
      <c r="A20" s="30" t="inlineStr">
        <is>
          <t>52774862M</t>
        </is>
      </c>
      <c r="B20" s="30" t="inlineStr">
        <is>
          <t>Sarabia Bautista, Julia</t>
        </is>
      </c>
      <c r="C20" s="30" t="inlineStr">
        <is>
          <t>FUNCIONARIO</t>
        </is>
      </c>
      <c r="D20" s="30" t="n"/>
      <c r="E20" s="30" t="n"/>
      <c r="F20" s="30" t="n">
        <v>1</v>
      </c>
      <c r="G20" s="30" t="n">
        <v>1</v>
      </c>
      <c r="H20" s="30" t="n"/>
      <c r="I20" s="30" t="n"/>
      <c r="J20" s="30" t="n">
        <v>2</v>
      </c>
      <c r="K20" s="30" t="inlineStr">
        <is>
          <t>B130</t>
        </is>
      </c>
      <c r="L20" s="31" t="inlineStr">
        <is>
          <t>10.24</t>
        </is>
      </c>
      <c r="M20" s="31" t="inlineStr">
        <is>
          <t>80</t>
        </is>
      </c>
      <c r="N20" s="31" t="inlineStr"/>
      <c r="O20" s="31" t="inlineStr"/>
      <c r="P20" s="31" t="n">
        <v>20</v>
      </c>
      <c r="Q20" s="31" t="n">
        <v>1.6</v>
      </c>
      <c r="R20" s="31" t="n">
        <v>0</v>
      </c>
      <c r="S20" s="31" t="n">
        <v>0.4</v>
      </c>
    </row>
    <row r="21" ht="15" customHeight="1">
      <c r="A21" s="30" t="inlineStr">
        <is>
          <t>52860484K</t>
        </is>
      </c>
      <c r="B21" s="30" t="inlineStr">
        <is>
          <t>Prados Martínez, Fernando</t>
        </is>
      </c>
      <c r="C21" s="30" t="inlineStr">
        <is>
          <t>FUNCIONARIO</t>
        </is>
      </c>
      <c r="D21" s="30" t="n"/>
      <c r="E21" s="30" t="n"/>
      <c r="F21" s="30" t="n"/>
      <c r="G21" s="30" t="n"/>
      <c r="H21" s="30" t="n">
        <v>1</v>
      </c>
      <c r="I21" s="30" t="n"/>
      <c r="J21" s="30" t="n">
        <v>1</v>
      </c>
      <c r="K21" s="30" t="inlineStr">
        <is>
          <t>B130</t>
        </is>
      </c>
      <c r="L21" s="31" t="inlineStr">
        <is>
          <t>10.24</t>
        </is>
      </c>
      <c r="M21" s="31" t="inlineStr">
        <is>
          <t>80</t>
        </is>
      </c>
      <c r="N21" s="31" t="inlineStr"/>
      <c r="O21" s="31" t="inlineStr"/>
      <c r="P21" s="31" t="n">
        <v>20</v>
      </c>
      <c r="Q21" s="31" t="n">
        <v>0.8</v>
      </c>
      <c r="R21" s="31" t="n">
        <v>0</v>
      </c>
      <c r="S21" s="31" t="n">
        <v>0.2</v>
      </c>
    </row>
    <row r="22" ht="15" customHeight="1">
      <c r="A22" s="41" t="n"/>
      <c r="B22" s="41" t="n"/>
      <c r="C22" s="42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3">
        <f>SUM(S2:S21)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13" sqref="B13"/>
    </sheetView>
  </sheetViews>
  <sheetFormatPr baseColWidth="10" defaultRowHeight="15"/>
  <cols>
    <col width="16.42578125" customWidth="1" min="1" max="1"/>
    <col width="92.28515625" customWidth="1" min="2" max="2"/>
    <col width="15.42578125" customWidth="1" min="3" max="3"/>
  </cols>
  <sheetData>
    <row r="1">
      <c r="A1" s="50" t="inlineStr">
        <is>
          <t>Cód. org. aplic.</t>
        </is>
      </c>
      <c r="B1" s="50" t="inlineStr">
        <is>
          <t>Descripción justificante</t>
        </is>
      </c>
      <c r="C1" s="50" t="inlineStr">
        <is>
          <t>Imp.cob.aplic.</t>
        </is>
      </c>
    </row>
    <row r="2">
      <c r="A2" s="52" t="inlineStr">
        <is>
          <t>30.50.6P.00.21</t>
        </is>
      </c>
      <c r="B2" s="52" t="inlineStr">
        <is>
          <t xml:space="preserve">ayudas JDC2022-048464-I, JDC2022-048464-I (Dot. Adicional), JDC2022-048845-I, JDC2022-048845-I, Dot. Adicional), JDC2022-049970-I, JDC2022-049970-I (Dot. Adicional) </t>
        </is>
      </c>
      <c r="C2" s="91" t="n">
        <v>7400</v>
      </c>
    </row>
    <row r="3" customFormat="1" s="55">
      <c r="A3" s="53" t="inlineStr">
        <is>
          <t>Total</t>
        </is>
      </c>
      <c r="B3" s="53" t="n"/>
      <c r="C3" s="92">
        <f>SUBTOTAL(109,Tabla2[Imp.cob.aplic.])</f>
        <v/>
      </c>
    </row>
    <row r="4">
      <c r="C4" s="9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6" sqref="B6:C6"/>
    </sheetView>
  </sheetViews>
  <sheetFormatPr baseColWidth="10" defaultRowHeight="15"/>
  <cols>
    <col width="37.85546875" customWidth="1" min="2" max="2"/>
    <col width="13.28515625" customWidth="1" min="3" max="3"/>
  </cols>
  <sheetData>
    <row r="1">
      <c r="A1" s="58" t="inlineStr">
        <is>
          <t>Org. aplic.</t>
        </is>
      </c>
      <c r="B1" s="58" t="inlineStr">
        <is>
          <t>Descripción justificante</t>
        </is>
      </c>
      <c r="C1" s="94" t="inlineStr">
        <is>
          <t>Imp. aplic.</t>
        </is>
      </c>
    </row>
    <row r="2">
      <c r="A2" s="60" t="inlineStr">
        <is>
          <t>30.50.6P.00.19</t>
        </is>
      </c>
      <c r="B2" s="60" t="inlineStr">
        <is>
          <t>DEVOLUCIÓN DE INGRESOS_CARTA DE PAGO_ REFERENCIA: PID2019-106169GB-I00, ANUALIDAD: 2020</t>
        </is>
      </c>
      <c r="C2" s="95" t="n">
        <v>-239</v>
      </c>
    </row>
    <row r="3" customFormat="1" s="55">
      <c r="A3" s="61" t="inlineStr">
        <is>
          <t>Total</t>
        </is>
      </c>
      <c r="B3" s="61" t="n"/>
      <c r="C3" s="96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9" sqref="C9"/>
    </sheetView>
  </sheetViews>
  <sheetFormatPr baseColWidth="10" defaultRowHeight="15"/>
  <cols>
    <col width="20" customWidth="1" min="1" max="1"/>
    <col width="41.42578125" customWidth="1" min="2" max="2"/>
    <col width="19.28515625" customWidth="1" min="3" max="3"/>
  </cols>
  <sheetData>
    <row r="1">
      <c r="A1" s="70" t="inlineStr">
        <is>
          <t>Org. aplic.</t>
        </is>
      </c>
      <c r="B1" s="71" t="inlineStr">
        <is>
          <t>Descripción justificante</t>
        </is>
      </c>
      <c r="C1" s="71" t="inlineStr">
        <is>
          <t>Imp. aplic.</t>
        </is>
      </c>
    </row>
    <row r="2">
      <c r="A2" s="72" t="inlineStr">
        <is>
          <t>30.50.6P.00.18</t>
        </is>
      </c>
      <c r="B2" s="73" t="inlineStr">
        <is>
          <t>DEVOLUCIÓN DE INGRESOS_CARTA DE PAGO_ REFERENCIA: RYC2018-024523-I, ANUALIDAD: 2024 FA</t>
        </is>
      </c>
      <c r="C2" s="97" t="n">
        <v>-2044.59</v>
      </c>
    </row>
    <row r="3">
      <c r="A3" s="75" t="inlineStr">
        <is>
          <t>30.50.6P.00.24</t>
        </is>
      </c>
      <c r="B3" s="76" t="inlineStr">
        <is>
          <t>AYUDAS JDC2023-052227-I, JDC2023-052227-I (Dot. Adicional), JDC2023-052419-I, JDC2023-052419-I , Dot. Adicional), JDC2023-052988-I, JDC2023-052988-I (Dot. Adicional)</t>
        </is>
      </c>
      <c r="C3" s="98" t="n">
        <v>7400</v>
      </c>
    </row>
    <row r="4" ht="15.75" customHeight="1" thickBot="1">
      <c r="A4" s="72" t="inlineStr">
        <is>
          <t>30.50.6P.00.25</t>
        </is>
      </c>
      <c r="B4" s="73" t="inlineStr">
        <is>
          <t>AYUDAS JDC2023-052227-I, JDC2023-052227-I (Dot. Adicional), JDC2023-052419-I, JDC2023-052419-I , Dot. Adicional), JDC2023-052988-I, JDC2023-052988-I (Dot. Adicional)</t>
        </is>
      </c>
      <c r="C4" s="97" t="n">
        <v>7400</v>
      </c>
    </row>
    <row r="5" ht="15.75" customHeight="1" thickTop="1">
      <c r="A5" s="78" t="inlineStr">
        <is>
          <t>Total</t>
        </is>
      </c>
      <c r="B5" s="79" t="n"/>
      <c r="C5" s="99" t="n">
        <v>12755.41</v>
      </c>
    </row>
    <row r="8">
      <c r="B8" s="68" t="inlineStr">
        <is>
          <t>Total ingresos investigación 2023-25</t>
        </is>
      </c>
      <c r="C8" s="100">
        <f>C5+Tabla2[[#Totals],[Imp.cob.aplic.]]+Tabla3[[#Totals],[Imp.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B16" sqref="B16"/>
    </sheetView>
  </sheetViews>
  <sheetFormatPr baseColWidth="10" defaultRowHeight="15"/>
  <cols>
    <col width="28.28515625" customWidth="1" min="1" max="1"/>
    <col width="79" customWidth="1" min="2" max="2"/>
    <col width="15.42578125" customWidth="1" min="3" max="3"/>
  </cols>
  <sheetData>
    <row r="1">
      <c r="A1" s="63" t="inlineStr">
        <is>
          <t>Cód. org. aplic.</t>
        </is>
      </c>
      <c r="B1" s="50" t="inlineStr">
        <is>
          <t>Descripción justificante</t>
        </is>
      </c>
      <c r="C1" s="50" t="inlineStr">
        <is>
          <t>Imp.cob.aplic.</t>
        </is>
      </c>
    </row>
    <row r="2">
      <c r="A2" s="34" t="inlineStr">
        <is>
          <t>30.50.2T.00.04</t>
        </is>
      </c>
      <c r="B2" s="35" t="inlineStr">
        <is>
          <t xml:space="preserve">Plan_9207 Curso_2022-23 Emitido_2022-23 - MÁSTER EN PATRIMONIO VIRTUAL </t>
        </is>
      </c>
      <c r="C2" s="101" t="n">
        <v>2342.08</v>
      </c>
    </row>
    <row r="3">
      <c r="A3" s="37" t="inlineStr">
        <is>
          <t>30.50.2T.00.04</t>
        </is>
      </c>
      <c r="B3" s="38" t="inlineStr">
        <is>
          <t xml:space="preserve">Plan_9357 Curso_2022-23 Emitido_2022-23 - ESPECIALISTA EN CREACIÓN DE ENTORNOS VIRTUALES APLICADOS AL PATRIMONIO </t>
        </is>
      </c>
      <c r="C3" s="102" t="n">
        <v>879.75</v>
      </c>
    </row>
    <row r="4">
      <c r="A4" s="34" t="inlineStr">
        <is>
          <t>30.50.2T.00.04</t>
        </is>
      </c>
      <c r="B4" s="35" t="inlineStr">
        <is>
          <t xml:space="preserve">Plan_9433 Curso_2023-24 Emitido_2023-24 - ESPECIALISTA EN CREACIÓN DE ENTORNOS VIRTUALES APLICADOS AL PATRIMONIO </t>
        </is>
      </c>
      <c r="C4" s="101" t="n">
        <v>1759.5</v>
      </c>
    </row>
    <row r="5">
      <c r="A5" s="37" t="inlineStr">
        <is>
          <t>30.50.2T.00.04</t>
        </is>
      </c>
      <c r="B5" s="38" t="inlineStr">
        <is>
          <t xml:space="preserve">Plan_9356 Curso_2023-24 AñoCont_2023 - MÁSTER EN PATRIMONIO VIRTUAL </t>
        </is>
      </c>
      <c r="C5" s="102" t="n">
        <v>599.25</v>
      </c>
    </row>
    <row r="6">
      <c r="A6" s="34" t="inlineStr">
        <is>
          <t>30.50.2T.00.04</t>
        </is>
      </c>
      <c r="B6" s="35" t="inlineStr">
        <is>
          <t xml:space="preserve">Plan_9207 Curso_2023-24 Emitido_2023-24 - MÁSTER EN PATRIMONIO VIRTUAL </t>
        </is>
      </c>
      <c r="C6" s="101" t="n">
        <v>870.2</v>
      </c>
    </row>
    <row r="7">
      <c r="A7" s="37" t="inlineStr">
        <is>
          <t>30.50.2T.00.04</t>
        </is>
      </c>
      <c r="B7" s="38" t="inlineStr">
        <is>
          <t xml:space="preserve">Plan_9382 Curso_2023-24 Emitido_2023-24 - MÁSTER DE FORMACIÓN PERMANENTE EN PATRIMONIO VIRTUAL </t>
        </is>
      </c>
      <c r="C7" s="102" t="n">
        <v>53455.29</v>
      </c>
    </row>
    <row r="8">
      <c r="A8" s="34" t="inlineStr">
        <is>
          <t>30.50.2T.00.04</t>
        </is>
      </c>
      <c r="B8" s="35" t="inlineStr">
        <is>
          <t xml:space="preserve">AD_Plan_9382 Curso_2023-24 Emitido_2023-24 - MÁSTER DE FORMACIÓN PERMANENTE EN PATRIMONIO VIRTUAL </t>
        </is>
      </c>
      <c r="C8" s="101" t="n">
        <v>-21504.01</v>
      </c>
    </row>
    <row r="9">
      <c r="A9" s="37" t="inlineStr">
        <is>
          <t>30.50.2T.00.04</t>
        </is>
      </c>
      <c r="B9" s="38" t="inlineStr">
        <is>
          <t xml:space="preserve">AD_Plan_9433 Curso_2023-24 Emitido_2023-24 - ESPECIALISTA EN CREACIÓN DE ENTORNOS VIRTUALES APLICADOS AL PATRIMONIO </t>
        </is>
      </c>
      <c r="C9" s="102" t="n">
        <v>-881.6799999999999</v>
      </c>
    </row>
    <row r="10">
      <c r="A10" s="34" t="inlineStr">
        <is>
          <t>30.50.2T.00.04</t>
        </is>
      </c>
      <c r="B10" s="35" t="inlineStr">
        <is>
          <t xml:space="preserve">Anulación de derecho - Plan_9207 Curso_2023-24 Emitido_2023-24 - MÁSTER EN PATRIMONIO VIRTUAL </t>
        </is>
      </c>
      <c r="C10" s="101" t="n">
        <v>-188.77</v>
      </c>
    </row>
    <row r="11">
      <c r="A11" s="37" t="inlineStr">
        <is>
          <t>30.50.2T.00.04</t>
        </is>
      </c>
      <c r="B11" s="38" t="inlineStr">
        <is>
          <t xml:space="preserve">Plan_9356 Curso_2022-23 Emitido_2022-23 - MÁSTER EN PATRIMONIO VIRTUAL </t>
        </is>
      </c>
      <c r="C11" s="102" t="n">
        <v>12442.5</v>
      </c>
    </row>
    <row r="12" customFormat="1" s="49">
      <c r="A12" s="47" t="inlineStr">
        <is>
          <t>30.50.2T.00.01</t>
        </is>
      </c>
      <c r="B12" s="47" t="inlineStr">
        <is>
          <t>Plan_GC36 Curso_2022-23 ___ CURSO DE ESPECIALIZACIÓN EN ILUSTRACIÓN HISTÓRICO-ARQUEOLÓGICA.</t>
        </is>
      </c>
      <c r="C12" s="103" t="n">
        <v>810</v>
      </c>
    </row>
    <row r="13">
      <c r="A13" t="inlineStr">
        <is>
          <t>Total</t>
        </is>
      </c>
      <c r="C13" s="93">
        <f>SUBTOTAL(109,Tabla5[Imp.cob.aplic.])</f>
        <v/>
      </c>
    </row>
    <row r="14">
      <c r="C14" s="93" t="n"/>
    </row>
  </sheetData>
  <pageMargins left="0.7" right="0.7" top="0.75" bottom="0.75" header="0.3" footer="0.3"/>
  <pageSetup orientation="portrait" paperSize="9" horizontalDpi="0" verticalDpi="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topLeftCell="A7" workbookViewId="0">
      <selection activeCell="H34" sqref="H34"/>
    </sheetView>
  </sheetViews>
  <sheetFormatPr baseColWidth="10" defaultRowHeight="15"/>
  <cols>
    <col width="50.7109375" customWidth="1" min="2" max="2"/>
    <col width="11.7109375" customWidth="1" min="3" max="3"/>
  </cols>
  <sheetData>
    <row r="1">
      <c r="A1" s="58" t="inlineStr">
        <is>
          <t>Org. aplic.</t>
        </is>
      </c>
      <c r="B1" s="58" t="inlineStr">
        <is>
          <t>Descripción justificante</t>
        </is>
      </c>
      <c r="C1" s="58" t="inlineStr">
        <is>
          <t>Imp. aplic.</t>
        </is>
      </c>
    </row>
    <row r="2">
      <c r="A2" s="57" t="inlineStr">
        <is>
          <t>30.50.2T.00.01</t>
        </is>
      </c>
      <c r="B2" s="57" t="inlineStr">
        <is>
          <t xml:space="preserve">ANULACIÓN_ Plan GC36 curso 2021-22, ILUSTRACIÓN HISTÓRICA Y ARQUEOLÓGICA -   </t>
        </is>
      </c>
      <c r="C2" s="104" t="n">
        <v>-810</v>
      </c>
    </row>
    <row r="3">
      <c r="A3" s="64" t="inlineStr">
        <is>
          <t>30.50.2T.00.04</t>
        </is>
      </c>
      <c r="B3" s="64" t="inlineStr">
        <is>
          <t xml:space="preserve">LIQ-TitProp_9433-2 Curso_2023-24 AñoCont_2023 - ESPECIALISTA EN CREACIÓN DE ENTORNOS VIRTUALES APLICADOS AL PATRIMONIO </t>
        </is>
      </c>
      <c r="C3" s="105" t="n">
        <v>440.77</v>
      </c>
    </row>
    <row r="4">
      <c r="A4" s="57" t="inlineStr">
        <is>
          <t>30.50.2T.00.04</t>
        </is>
      </c>
      <c r="B4" s="57" t="inlineStr">
        <is>
          <t xml:space="preserve">LIQ-TitProp_9207-N Curso_2023-24_AñoCont_2024 TipoRec_Remesa - MÁSTER EN PATRIMONIO VIRTUAL (2)  </t>
        </is>
      </c>
      <c r="C4" s="104" t="n">
        <v>94.55</v>
      </c>
    </row>
    <row r="5">
      <c r="A5" s="64" t="inlineStr">
        <is>
          <t>30.50.2T.00.04</t>
        </is>
      </c>
      <c r="B5" s="64" t="inlineStr">
        <is>
          <t xml:space="preserve">LIQ-TitProp_9382-2 Curso_2023-24 AñoCont_2023 - MÁSTER DE FORMACIÓN PERMANENTE EN PATRIMONIO VIRTUAL </t>
        </is>
      </c>
      <c r="C5" s="105" t="n">
        <v>9234.299999999999</v>
      </c>
    </row>
    <row r="6">
      <c r="A6" s="57" t="inlineStr">
        <is>
          <t>30.50.2T.00.04</t>
        </is>
      </c>
      <c r="B6" s="57" t="inlineStr">
        <is>
          <t xml:space="preserve">LIQ-TitProp_9382-2 Curso_2023-24 AñoCont_2023 - MÁSTER DE FORMACIÓN PERMANENTE EN PATRIMONIO VIRTUAL </t>
        </is>
      </c>
      <c r="C6" s="104" t="n">
        <v>475.95</v>
      </c>
    </row>
    <row r="7">
      <c r="A7" s="64" t="inlineStr">
        <is>
          <t>30.50.2T.00.04</t>
        </is>
      </c>
      <c r="B7" s="64" t="inlineStr">
        <is>
          <t>DEVOLUCIÓN DE TASAS NÓMINAS_REMESA Nº 2024DTR070585_2024EXPADM0262/RDT INVERSA 2024EXPADM0262</t>
        </is>
      </c>
      <c r="C7" s="105" t="n">
        <v>-570.62</v>
      </c>
    </row>
    <row r="8">
      <c r="A8" s="57" t="inlineStr">
        <is>
          <t>30.50.2T.00.04</t>
        </is>
      </c>
      <c r="B8" s="57" t="inlineStr">
        <is>
          <t xml:space="preserve">LIQ-TitProp_9433-3 Curso_2023-24 AñoCont_2023 - ESPECIALISTA EN CREACIÓN DE ENTORNOS VIRTUALES APLICADOS AL PATRIMONIO </t>
        </is>
      </c>
      <c r="C8" s="104" t="n">
        <v>440.91</v>
      </c>
    </row>
    <row r="9">
      <c r="A9" s="64" t="inlineStr">
        <is>
          <t>30.50.2T.00.04</t>
        </is>
      </c>
      <c r="B9" s="64" t="inlineStr">
        <is>
          <t>LIQ-TitProp_9207-N Curso_2023-24_AñoCont_2024 TipoRec_Remesa - MÁSTER EN PATRIMONIO VIRTUAL (3)</t>
        </is>
      </c>
      <c r="C9" s="105" t="n">
        <v>94.38</v>
      </c>
    </row>
    <row r="10">
      <c r="A10" s="57" t="inlineStr">
        <is>
          <t>30.50.2T.00.04</t>
        </is>
      </c>
      <c r="B10" s="57" t="inlineStr">
        <is>
          <t xml:space="preserve">LIQ-TitProp_9382-3 Curso_2023-24 AñoCont_2023 - MÁSTER DE FORMACIÓN PERMANENTE EN PATRIMONIO VIRTUAL </t>
        </is>
      </c>
      <c r="C10" s="104" t="n">
        <v>8214.99</v>
      </c>
    </row>
    <row r="11">
      <c r="A11" s="64" t="inlineStr">
        <is>
          <t>30.50.2T.00.04</t>
        </is>
      </c>
      <c r="B11" s="64" t="inlineStr">
        <is>
          <t xml:space="preserve">LIQ-TitProp_9382-4 Curso_2023-24 AñoCont_2023 - MÁSTER DE FORMACIÓN PERMANENTE EN PATRIMONIO VIRTUAL </t>
        </is>
      </c>
      <c r="C11" s="105" t="n">
        <v>3316.38</v>
      </c>
    </row>
    <row r="12">
      <c r="A12" s="57" t="inlineStr">
        <is>
          <t>30.50.2T.00.04</t>
        </is>
      </c>
      <c r="B12" s="57" t="inlineStr">
        <is>
          <t xml:space="preserve">LIQ-TitProp_9382-4 Curso_2023-24 AñoCont_2023 - MÁSTER DE FORMACIÓN PERMANENTE EN PATRIMONIO VIRTUAL </t>
        </is>
      </c>
      <c r="C12" s="104" t="n">
        <v>238.05</v>
      </c>
    </row>
    <row r="13">
      <c r="A13" s="64" t="inlineStr">
        <is>
          <t>30.50.2T.00.04</t>
        </is>
      </c>
      <c r="B13" s="64" t="inlineStr">
        <is>
          <t xml:space="preserve">LIQ-TitProp_9382-1 Curso_2024-25 AñoCont_2024 - MÁSTER DE FORMACIÓN PERMANENTE EN PATRIMONIO VIRTUAL </t>
        </is>
      </c>
      <c r="C13" s="105" t="n">
        <v>23678.93</v>
      </c>
    </row>
    <row r="14">
      <c r="A14" s="57" t="inlineStr">
        <is>
          <t>30.50.2T.00.04</t>
        </is>
      </c>
      <c r="B14" s="57" t="inlineStr">
        <is>
          <t xml:space="preserve">LIQ-TitProp_9433-1 Curso_2024-25 AñoCont_2024 - ESPECIALISTA EN CREACIÓN DE ENTORNOS VIRTUALES APLICADOS AL PATRIMONIO </t>
        </is>
      </c>
      <c r="C14" s="104" t="n">
        <v>1173</v>
      </c>
    </row>
    <row r="15">
      <c r="A15" s="64" t="inlineStr">
        <is>
          <t>30.50.2T.00.04</t>
        </is>
      </c>
      <c r="B15" s="64" t="inlineStr">
        <is>
          <t xml:space="preserve">Liq.PPub_311,00__ADRmsa_2024__EFP Enseñanzas Formación Permanente - Master, Especialista y Experto.  LIQ-TitProp_9382- Curso_2024-25 AñoCont_2024 - MÁSTER DE FORMACIÓN PERMANENTE EN PATRIMONIO VIRTUAL </t>
        </is>
      </c>
      <c r="C15" s="105" t="n">
        <v>26403.35</v>
      </c>
    </row>
    <row r="16">
      <c r="A16" s="57" t="inlineStr">
        <is>
          <t>30.50.2T.00.04</t>
        </is>
      </c>
      <c r="B16" s="57" t="inlineStr">
        <is>
          <t xml:space="preserve">AD_Liq.PPub_311,00__ADRmsa_2024__EFP Enseñanzas Formación Permanente - Master, Especialista y Experto.  LIQ-TitProp_9382- Curso_2024-25 AñoCont_2024 - MÁSTER DE FORMACIÓN PERMANENTE EN PATRIMONIO VIRTUAL </t>
        </is>
      </c>
      <c r="C16" s="104" t="n">
        <v>-26403.35</v>
      </c>
    </row>
    <row r="17">
      <c r="A17" s="64" t="inlineStr">
        <is>
          <t>30.50.2T.00.04</t>
        </is>
      </c>
      <c r="B17" s="64" t="inlineStr">
        <is>
          <t xml:space="preserve">Liq.PPub_311,00__ADRmsa_2024__EFP Enseñanzas Formación Permanente - Master, Especialista y Experto.  LIQ-TitProp_9433-Curso_2024-25 AñoCont_2024 - ESPECIALISTA EN CREACIÓN DE ENTORNOS VIRTUALES APLICADOS AL PATRIMONIO </t>
        </is>
      </c>
      <c r="C17" s="105" t="n">
        <v>1173</v>
      </c>
    </row>
    <row r="18">
      <c r="A18" s="57" t="inlineStr">
        <is>
          <t>30.50.2T.00.04</t>
        </is>
      </c>
      <c r="B18" s="57" t="inlineStr">
        <is>
          <t xml:space="preserve">AD_Liq.PPub_311,00__ADRmsa_2024__EFP Enseñanzas Formación Permanente - Master, Especialista y Experto.  LIQ-TitProp_9433-Curso_2024-25 AñoCont_2024 - ESPECIALISTA EN CREACIÓN DE ENTORNOS VIRTUALES APLICADOS AL PATRIMONIO </t>
        </is>
      </c>
      <c r="C18" s="104" t="n">
        <v>-1173</v>
      </c>
    </row>
    <row r="19">
      <c r="A19" s="64" t="inlineStr">
        <is>
          <t>30.50.2T.00.04</t>
        </is>
      </c>
      <c r="B19" s="64" t="inlineStr">
        <is>
          <t xml:space="preserve">LIQ-TitProp_9356-N Curso_2024-25_AñoCont_2024 TipoRec_Emitido - MÁSTER EN PATRIMONIO VIRTUAL </t>
        </is>
      </c>
      <c r="C19" s="105" t="n">
        <v>216.75</v>
      </c>
    </row>
    <row r="20">
      <c r="A20" s="60" t="inlineStr">
        <is>
          <t>30.50.2T.00.04</t>
        </is>
      </c>
      <c r="B20" s="60" t="inlineStr">
        <is>
          <t xml:space="preserve">LIQ-EP_Plan_9382-N Curso_2024-25_AñoCont_2024 TipoRec_Emitido - MÁSTER DE FORMACIÓN PERMANENTE EN PATRIMONIO VIRTUAL _ (Cierre-24) </t>
        </is>
      </c>
      <c r="C20" s="95" t="n">
        <v>5033.02</v>
      </c>
    </row>
    <row r="21">
      <c r="A21" s="61" t="inlineStr">
        <is>
          <t>Total</t>
        </is>
      </c>
      <c r="B21" s="61" t="n"/>
      <c r="C21" s="96">
        <f>SUBTOTAL(109,Tabla6[Imp.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topLeftCell="A4" workbookViewId="0">
      <selection activeCell="C30" sqref="C30"/>
    </sheetView>
  </sheetViews>
  <sheetFormatPr baseColWidth="10" defaultRowHeight="15"/>
  <cols>
    <col width="17.7109375" customWidth="1" min="1" max="1"/>
    <col width="67.42578125" customWidth="1" min="2" max="2"/>
    <col width="25.42578125" customWidth="1" min="3" max="3"/>
  </cols>
  <sheetData>
    <row r="1">
      <c r="A1" s="81" t="inlineStr">
        <is>
          <t>Org. aplic.</t>
        </is>
      </c>
      <c r="B1" s="81" t="inlineStr">
        <is>
          <t>Descripción justificante</t>
        </is>
      </c>
      <c r="C1" s="106" t="inlineStr">
        <is>
          <t>Imp. aplic.</t>
        </is>
      </c>
    </row>
    <row r="2">
      <c r="A2" s="73" t="inlineStr">
        <is>
          <t>30.50.2T.00.04</t>
        </is>
      </c>
      <c r="B2" s="73" t="inlineStr">
        <is>
          <t xml:space="preserve">LIQ-TitProp_9382-N Curso_2024-25 AñoCont_2024 - MÁSTER DE FORMACIÓN PERMANENTE EN PATRIMONIO VIRTUAL (viene del ji-24-6802 ad-24-6803 ji(443)) </t>
        </is>
      </c>
      <c r="C2" s="97" t="n">
        <v>15405.14</v>
      </c>
    </row>
    <row r="3">
      <c r="A3" s="76" t="inlineStr">
        <is>
          <t>30.50.2T.00.04</t>
        </is>
      </c>
      <c r="B3" s="76" t="inlineStr">
        <is>
          <t xml:space="preserve">LIQ-TitProp_9433-2 Curso_2024-25 AñoCont_2025 - ESPECIALISTA EN CREACIÓN DE ENTORNOS VIRTUALES APLICADOS AL PATRIMONIO (443 del ji-24-6813 ad-24-6839) </t>
        </is>
      </c>
      <c r="C3" s="98" t="n">
        <v>586.5</v>
      </c>
    </row>
    <row r="4">
      <c r="A4" s="73" t="inlineStr">
        <is>
          <t>30.50.2T.00.04</t>
        </is>
      </c>
      <c r="B4" s="73" t="inlineStr">
        <is>
          <t xml:space="preserve">LIQ-TitProp_9382-3 Curso_2024-25 AñoCont_2025 - MÁSTER DE FORMACIÓN PERMANENTE EN PATRIMONIO VIRTUAL (viene del ji-24(443)-6803) </t>
        </is>
      </c>
      <c r="C4" s="97" t="n">
        <v>6145.74</v>
      </c>
    </row>
    <row r="5">
      <c r="A5" s="76" t="inlineStr">
        <is>
          <t>30.50.2T.00.04</t>
        </is>
      </c>
      <c r="B5" s="76" t="inlineStr">
        <is>
          <t xml:space="preserve">LIQ-TitProp_9382-N Curso_2024-25 AñoCont_2025 - MÁSTER DE FORMACIÓN PERMANENTE EN PATRIMONIO VIRTUAL (PARTE 25/25) </t>
        </is>
      </c>
      <c r="C5" s="98" t="n">
        <v>153.2</v>
      </c>
    </row>
    <row r="6">
      <c r="A6" s="73" t="inlineStr">
        <is>
          <t>30.50.2T.00.04</t>
        </is>
      </c>
      <c r="B6" s="73" t="inlineStr">
        <is>
          <t xml:space="preserve">LIQ-TitProp_9433-N Curso_2024-25 AñoCont_2025 - ESPECIALISTA EN CREACIÓN DE ENTORNOS VIRTUALES APLICADOS AL PATRIMONIO (443 del ji-24-6839 ad) </t>
        </is>
      </c>
      <c r="C6" s="97" t="n">
        <v>586.5</v>
      </c>
    </row>
    <row r="7">
      <c r="A7" s="76" t="inlineStr">
        <is>
          <t>30.50.2T.00.04</t>
        </is>
      </c>
      <c r="B7" s="76" t="inlineStr">
        <is>
          <t xml:space="preserve">LIQ-TitProp_9382-N Curso_2024-25 AñoCont_2025 - MÁSTER DE FORMACIÓN PERMANENTE EN PATRIMONIO VIRTUAL (parte 443 del ad-24-6803) </t>
        </is>
      </c>
      <c r="C7" s="98" t="n">
        <v>4590.34</v>
      </c>
    </row>
    <row r="8">
      <c r="A8" s="73" t="inlineStr">
        <is>
          <t>30.50.2T.00.04</t>
        </is>
      </c>
      <c r="B8" s="73" t="inlineStr">
        <is>
          <t xml:space="preserve">LIQ-TitProp_9382-N Curso_2024-25 AñoCont_2025 - MÁSTER DE FORMACIÓN PERMANENTE EN PATRIMONIO VIRTUAL (PARTE 25) </t>
        </is>
      </c>
      <c r="C8" s="97" t="n">
        <v>988.78</v>
      </c>
    </row>
    <row r="9">
      <c r="A9" s="76" t="inlineStr">
        <is>
          <t>30.50.2T.00.06</t>
        </is>
      </c>
      <c r="B9" s="76" t="inlineStr">
        <is>
          <t xml:space="preserve">LIQ-TitProp_GM41-N Curso_2024-25 AñoCont_2025 - MÉTODOS DE CAPTURA 3D EN PATRIMONIO: FOTOGRAMETRÍA DIGITAL </t>
        </is>
      </c>
      <c r="C9" s="98" t="n">
        <v>2235.6</v>
      </c>
    </row>
    <row r="10">
      <c r="A10" s="73" t="inlineStr">
        <is>
          <t>30.50.2T.00.05</t>
        </is>
      </c>
      <c r="B10" s="73" t="inlineStr">
        <is>
          <t>CÓD: GM41. MICROCREDENCIAL. MÉTODOS DE CAPTURA 3D EN PATRIMONIO: FOTOGRAMETRÍA DIGITAL</t>
        </is>
      </c>
      <c r="C10" s="97" t="n">
        <v>5670</v>
      </c>
    </row>
    <row r="11">
      <c r="A11" s="76" t="inlineStr">
        <is>
          <t>30.50.2T.00.03</t>
        </is>
      </c>
      <c r="B11" s="76" t="inlineStr">
        <is>
          <t>AD_PLAN 9207 CURSO 2021-22_MÁSTER EN PATRIMONIO CULTURAL. 30.50.2T.00.03</t>
        </is>
      </c>
      <c r="C11" s="98" t="n">
        <v>-8.5</v>
      </c>
    </row>
    <row r="12">
      <c r="A12" s="73" t="inlineStr">
        <is>
          <t>30.50.2T.00.03</t>
        </is>
      </c>
      <c r="B12" s="73" t="inlineStr">
        <is>
          <t xml:space="preserve">AD_ Plan 9207 curso 2021-22, MÁSTER EN PATRIMONIO VIRTUAL. COMPLEMENTARIO DEL JI 2021/6190 </t>
        </is>
      </c>
      <c r="C12" s="97" t="n">
        <v>-6516.91</v>
      </c>
    </row>
    <row r="13">
      <c r="A13" s="76" t="inlineStr">
        <is>
          <t>30.50.2T.00.03</t>
        </is>
      </c>
      <c r="B13" s="76" t="inlineStr">
        <is>
          <t xml:space="preserve">AD_Plan 9207 curso 2021-22, MÁSTER EN PATRIMONIO VIRTUAL. COMPLEMENTARIO DEL JI 2021/6190 </t>
        </is>
      </c>
      <c r="C13" s="98" t="n">
        <v>-8215.129999999999</v>
      </c>
    </row>
    <row r="14">
      <c r="A14" s="73" t="inlineStr">
        <is>
          <t>10.91.2T.01.75</t>
        </is>
      </c>
      <c r="B14" s="73" t="inlineStr">
        <is>
          <t xml:space="preserve">LIQ-TitProp_9382-1 Curso_2025-26 AñoCont_2025 - MÁSTER DE FORMACIÓN PERMANENTE EN PATRIMONIO VIRTUAL (QUEDAN 36.97 POR REDISTRIBUIR) </t>
        </is>
      </c>
      <c r="C14" s="97" t="n">
        <v>21861.52</v>
      </c>
    </row>
    <row r="15">
      <c r="A15" s="76" t="inlineStr">
        <is>
          <t>10.91.2T.01.75</t>
        </is>
      </c>
      <c r="B15" s="76" t="inlineStr">
        <is>
          <t xml:space="preserve">LIQ-TitProp_9433-1 Curso_2025-26 AñoCont_2025 - ESPECIALISTA EN CREACIÓN DE ENTORNOS VIRTUALES APLICADOS AL PATRIMONIO </t>
        </is>
      </c>
      <c r="C15" s="98" t="n">
        <v>551.9400000000001</v>
      </c>
    </row>
    <row r="16">
      <c r="A16" s="73" t="inlineStr">
        <is>
          <t>10.91.2T.01.75</t>
        </is>
      </c>
      <c r="B16" s="73" t="inlineStr">
        <is>
          <t>LIQ-TitProp_9433-N Curso_2025-26 AñoCont_2025 - ESPECIALISTA EN CREACIÓN DE ENTORNOS VIRTUALES APLICADOS AL PATRIMONIO (CIERRE 25 APLAZADO)</t>
        </is>
      </c>
      <c r="C16" s="97" t="n">
        <v>1103.37</v>
      </c>
    </row>
    <row r="17">
      <c r="A17" s="76" t="inlineStr">
        <is>
          <t>10.91.2T.01.75</t>
        </is>
      </c>
      <c r="B17" s="76" t="inlineStr">
        <is>
          <t>LIQ-TitProp_9433-N Curso_2025-26 AñoCont_2025 - ESPECIALISTA EN CREACIÓN DE ENTORNOS VIRTUALES APLICADOS AL PATRIMONIO (CIERRE 25 APLAZADO)</t>
        </is>
      </c>
      <c r="C17" s="98" t="n">
        <v>-1103.37</v>
      </c>
    </row>
    <row r="18">
      <c r="A18" s="73" t="inlineStr">
        <is>
          <t>10.91.2T.01.75</t>
        </is>
      </c>
      <c r="B18" s="73" t="inlineStr">
        <is>
          <t xml:space="preserve">LIQ-TitProp_9382-2 Curso_2025-26 AñoCont_2025 - MÁSTER DE FORMACIÓN PERMANENTE EN PATRIMONIO VIRTUAL (CIERRE 25 EMITIDO 25 COBRADO 25) </t>
        </is>
      </c>
      <c r="C18" s="97" t="n">
        <v>3246.66</v>
      </c>
    </row>
    <row r="19">
      <c r="A19" s="76" t="inlineStr">
        <is>
          <t>10.91.2T.01.75</t>
        </is>
      </c>
      <c r="B19" s="76" t="inlineStr">
        <is>
          <t xml:space="preserve">LIQ-TitProp_9382-N Curso_2025-26 AñoCont_2025 - MÁSTER DE FORMACIÓN PERMANENTE EN PATRIMONIO VIRTUAL (CIERRE-25 APLAZADO 443) </t>
        </is>
      </c>
      <c r="C19" s="98" t="n">
        <v>22653.19</v>
      </c>
    </row>
    <row r="20">
      <c r="A20" s="73" t="inlineStr">
        <is>
          <t>10.91.2T.01.75</t>
        </is>
      </c>
      <c r="B20" s="73" t="inlineStr">
        <is>
          <t xml:space="preserve">LIQ-TitProp_9382-N Curso_2025-26 AñoCont_2025 - MÁSTER DE FORMACIÓN PERMANENTE EN PATRIMONIO VIRTUAL (CIERRE-25 APLAZADO 443) </t>
        </is>
      </c>
      <c r="C20" s="97" t="n">
        <v>-22653.19</v>
      </c>
    </row>
    <row r="21">
      <c r="A21" s="83" t="inlineStr">
        <is>
          <t>10.91.2T.01.75</t>
        </is>
      </c>
      <c r="B21" s="83" t="inlineStr">
        <is>
          <t>LIQ-TitProp_9356-N Curso_2024-25 AñoCont_2025 - MÁSTER EN PATRIMONIO VIRTUAL _ (Cierre-25) EMITIDO-25 NO-COBRADO</t>
        </is>
      </c>
      <c r="C21" s="107" t="n">
        <v>772.6799999999999</v>
      </c>
    </row>
    <row r="22">
      <c r="A22" s="83" t="inlineStr">
        <is>
          <t>Total</t>
        </is>
      </c>
      <c r="B22" s="83" t="n"/>
      <c r="C22" s="108">
        <f>SUBTOTAL(109,Tabla1[Imp. aplic.])</f>
        <v/>
      </c>
    </row>
    <row r="26">
      <c r="B26" s="66" t="inlineStr">
        <is>
          <t>Total ingresos formación 2023-25</t>
        </is>
      </c>
      <c r="C26" s="109">
        <f>Tabla1[[#Totals],[Imp. aplic.]]+Tabla5[[#Totals],[Imp.cob.aplic.]]+Tabla6[[#Totals],[Imp. aplic.]]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iulma@ua.es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2026-05-28T21:59:16Z</dcterms:modified>
  <cp:lastModifiedBy>mayte.pujalte</cp:lastModifiedBy>
</cp:coreProperties>
</file>