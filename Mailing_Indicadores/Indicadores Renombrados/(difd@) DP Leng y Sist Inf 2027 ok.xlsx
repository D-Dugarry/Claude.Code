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12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0" borderId="1" pivotButton="0" quotePrefix="0" xfId="1"/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9" fillId="8" borderId="7" pivotButton="0" quotePrefix="0" xfId="0"/>
    <xf numFmtId="166" fontId="6" fillId="8" borderId="7" pivotButton="0" quotePrefix="0" xfId="6"/>
    <xf numFmtId="0" fontId="9" fillId="0" borderId="7" pivotButton="0" quotePrefix="0" xfId="0"/>
    <xf numFmtId="166" fontId="6" fillId="0" borderId="7" pivotButton="0" quotePrefix="0" xfId="6"/>
    <xf numFmtId="166" fontId="0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4" fillId="9" borderId="0" pivotButton="0" quotePrefix="0" xfId="0"/>
    <xf numFmtId="0" fontId="3" fillId="2" borderId="0" pivotButton="0" quotePrefix="0" xfId="1"/>
    <xf numFmtId="0" fontId="3" fillId="2" borderId="0" applyAlignment="1" pivotButton="0" quotePrefix="0" xfId="1">
      <alignment horizontal="right"/>
    </xf>
    <xf numFmtId="164" fontId="3" fillId="2" borderId="0" pivotButton="0" quotePrefix="0" xfId="1"/>
    <xf numFmtId="0" fontId="13" fillId="7" borderId="8" pivotButton="0" quotePrefix="0" xfId="0"/>
    <xf numFmtId="166" fontId="0" fillId="0" borderId="9" pivotButton="0" quotePrefix="0" xfId="6"/>
    <xf numFmtId="0" fontId="0" fillId="0" borderId="9" pivotButton="0" quotePrefix="0" xfId="0"/>
    <xf numFmtId="0" fontId="9" fillId="8" borderId="9" pivotButton="0" quotePrefix="0" xfId="0"/>
    <xf numFmtId="166" fontId="6" fillId="8" borderId="9" pivotButton="0" quotePrefix="0" xfId="6"/>
    <xf numFmtId="0" fontId="9" fillId="10" borderId="9" pivotButton="0" quotePrefix="0" xfId="0"/>
    <xf numFmtId="166" fontId="6" fillId="10" borderId="9" pivotButton="0" quotePrefix="0" xfId="0"/>
    <xf numFmtId="0" fontId="0" fillId="11" borderId="0" pivotButton="0" quotePrefix="0" xfId="0"/>
    <xf numFmtId="0" fontId="0" fillId="8" borderId="7" pivotButton="0" quotePrefix="0" xfId="0"/>
    <xf numFmtId="0" fontId="0" fillId="0" borderId="7" pivotButton="0" quotePrefix="0" xfId="0"/>
    <xf numFmtId="0" fontId="11" fillId="7" borderId="8" pivotButton="0" quotePrefix="0" xfId="0"/>
    <xf numFmtId="166" fontId="11" fillId="7" borderId="8" pivotButton="0" quotePrefix="0" xfId="6"/>
    <xf numFmtId="0" fontId="0" fillId="8" borderId="9" pivotButton="0" quotePrefix="0" xfId="0"/>
    <xf numFmtId="166" fontId="0" fillId="8" borderId="9" pivotButton="0" quotePrefix="0" xfId="6"/>
    <xf numFmtId="0" fontId="0" fillId="10" borderId="9" pivotButton="0" quotePrefix="0" xfId="0"/>
    <xf numFmtId="166" fontId="12" fillId="10" borderId="9" pivotButton="0" quotePrefix="0" xfId="0"/>
    <xf numFmtId="167" fontId="14" fillId="0" borderId="0" pivotButton="0" quotePrefix="0" xfId="6"/>
    <xf numFmtId="0" fontId="14" fillId="0" borderId="0" pivotButton="0" quotePrefix="0" xfId="0"/>
    <xf numFmtId="0" fontId="0" fillId="0" borderId="9" pivotButton="0" quotePrefix="0" xfId="0"/>
    <xf numFmtId="166" fontId="0" fillId="0" borderId="9" pivotButton="0" quotePrefix="0" xfId="0"/>
    <xf numFmtId="0" fontId="14" fillId="0" borderId="1" pivotButton="0" quotePrefix="0" xfId="0"/>
    <xf numFmtId="167" fontId="14" fillId="0" borderId="1" pivotButton="0" quotePrefix="0" xfId="6"/>
    <xf numFmtId="0" fontId="0" fillId="10" borderId="7" pivotButton="0" quotePrefix="0" xfId="0"/>
    <xf numFmtId="166" fontId="0" fillId="10" borderId="7" pivotButton="0" quotePrefix="0" xfId="6"/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/>
    </xf>
    <xf numFmtId="0" fontId="16" fillId="12" borderId="10" pivotButton="0" quotePrefix="0" xfId="0"/>
    <xf numFmtId="0" fontId="16" fillId="12" borderId="11" pivotButton="0" quotePrefix="0" xfId="0"/>
    <xf numFmtId="0" fontId="17" fillId="13" borderId="10" pivotButton="0" quotePrefix="0" xfId="0"/>
    <xf numFmtId="0" fontId="17" fillId="13" borderId="11" pivotButton="0" quotePrefix="0" xfId="0"/>
    <xf numFmtId="167" fontId="17" fillId="13" borderId="11" pivotButton="0" quotePrefix="0" xfId="6"/>
    <xf numFmtId="0" fontId="17" fillId="0" borderId="10" pivotButton="0" quotePrefix="0" xfId="0"/>
    <xf numFmtId="0" fontId="17" fillId="0" borderId="11" pivotButton="0" quotePrefix="0" xfId="0"/>
    <xf numFmtId="167" fontId="17" fillId="0" borderId="11" pivotButton="0" quotePrefix="0" xfId="6"/>
    <xf numFmtId="0" fontId="18" fillId="0" borderId="12" pivotButton="0" quotePrefix="0" xfId="0"/>
    <xf numFmtId="0" fontId="18" fillId="0" borderId="13" pivotButton="0" quotePrefix="0" xfId="0"/>
    <xf numFmtId="167" fontId="18" fillId="0" borderId="13" pivotButton="0" quotePrefix="0" xfId="6"/>
    <xf numFmtId="0" fontId="13" fillId="12" borderId="10" pivotButton="0" quotePrefix="0" xfId="0"/>
    <xf numFmtId="0" fontId="13" fillId="12" borderId="11" pivotButton="0" quotePrefix="0" xfId="0"/>
    <xf numFmtId="167" fontId="13" fillId="12" borderId="11" pivotButton="0" quotePrefix="0" xfId="6"/>
    <xf numFmtId="0" fontId="9" fillId="13" borderId="10" pivotButton="0" quotePrefix="0" xfId="0"/>
    <xf numFmtId="0" fontId="9" fillId="13" borderId="11" pivotButton="0" quotePrefix="0" xfId="0"/>
    <xf numFmtId="167" fontId="9" fillId="13" borderId="11" pivotButton="0" quotePrefix="0" xfId="6"/>
    <xf numFmtId="0" fontId="9" fillId="0" borderId="10" pivotButton="0" quotePrefix="0" xfId="0"/>
    <xf numFmtId="0" fontId="9" fillId="0" borderId="11" pivotButton="0" quotePrefix="0" xfId="0"/>
    <xf numFmtId="167" fontId="9" fillId="0" borderId="11" pivotButton="0" quotePrefix="0" xfId="6"/>
    <xf numFmtId="167" fontId="18" fillId="0" borderId="13" pivotButton="0" quotePrefix="0" xfId="0"/>
    <xf numFmtId="0" fontId="2" fillId="11" borderId="1" pivotButton="0" quotePrefix="0" xfId="0"/>
    <xf numFmtId="0" fontId="2" fillId="11" borderId="1" applyAlignment="1" pivotButton="0" quotePrefix="0" xfId="0">
      <alignment horizontal="left"/>
    </xf>
    <xf numFmtId="0" fontId="2" fillId="11" borderId="0" pivotButton="0" quotePrefix="0" xfId="1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8" borderId="7" pivotButton="0" quotePrefix="0" xfId="6"/>
    <xf numFmtId="166" fontId="6" fillId="0" borderId="7" pivotButton="0" quotePrefix="0" xfId="6"/>
    <xf numFmtId="166" fontId="6" fillId="8" borderId="9" pivotButton="0" quotePrefix="0" xfId="6"/>
    <xf numFmtId="166" fontId="6" fillId="10" borderId="9" pivotButton="0" quotePrefix="0" xfId="0"/>
    <xf numFmtId="166" fontId="0" fillId="0" borderId="0" pivotButton="0" quotePrefix="0" xfId="0"/>
    <xf numFmtId="166" fontId="11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8" borderId="9" pivotButton="0" quotePrefix="0" xfId="6"/>
    <xf numFmtId="166" fontId="12" fillId="10" borderId="9" pivotButton="0" quotePrefix="0" xfId="0"/>
    <xf numFmtId="167" fontId="17" fillId="13" borderId="11" pivotButton="0" quotePrefix="0" xfId="6"/>
    <xf numFmtId="167" fontId="17" fillId="0" borderId="11" pivotButton="0" quotePrefix="0" xfId="6"/>
    <xf numFmtId="167" fontId="18" fillId="0" borderId="13" pivotButton="0" quotePrefix="0" xfId="6"/>
    <xf numFmtId="167" fontId="14" fillId="0" borderId="1" pivotButton="0" quotePrefix="0" xfId="6"/>
    <xf numFmtId="166" fontId="0" fillId="0" borderId="9" pivotButton="0" quotePrefix="0" xfId="6"/>
    <xf numFmtId="166" fontId="0" fillId="0" borderId="9" pivotButton="0" quotePrefix="0" xfId="0"/>
    <xf numFmtId="167" fontId="14" fillId="0" borderId="0" pivotButton="0" quotePrefix="0" xfId="6"/>
    <xf numFmtId="166" fontId="0" fillId="10" borderId="7" pivotButton="0" quotePrefix="0" xfId="6"/>
    <xf numFmtId="167" fontId="13" fillId="12" borderId="11" pivotButton="0" quotePrefix="0" xfId="6"/>
    <xf numFmtId="167" fontId="9" fillId="13" borderId="11" pivotButton="0" quotePrefix="0" xfId="6"/>
    <xf numFmtId="167" fontId="9" fillId="0" borderId="11" pivotButton="0" quotePrefix="0" xfId="6"/>
    <xf numFmtId="167" fontId="18" fillId="0" borderId="13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5"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5" headerRowCount="1" totalsRowCount="1" headerRowDxfId="34" totalsRowDxfId="31" headerRowBorderDxfId="33" tableBorderDxfId="32" totalsRowBorderDxfId="30">
  <autoFilter ref="A1:C14"/>
  <tableColumns count="3">
    <tableColumn id="1" name="Cód. org. aplic." totalsRowLabel="Total" dataDxfId="29" totalsRowDxfId="28"/>
    <tableColumn id="2" name="Descripción justificante" dataDxfId="27" totalsRowDxfId="26"/>
    <tableColumn id="3" name="Imp.cob.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3" headerRowCount="1" totalsRowCount="1" totalsRowDxfId="21" headerRowBorderDxfId="23" tableBorderDxfId="22" totalsRowBorderDxfId="20">
  <autoFilter ref="A1:C22"/>
  <tableColumns count="3">
    <tableColumn id="1" name="Org. aplic." totalsRowLabel="Total" dataDxfId="19" totalsRowDxfId="18"/>
    <tableColumn id="2" name="Descripción justificante" dataDxfId="17" totalsRowDxfId="16"/>
    <tableColumn id="3" name="Imp. aplic." totalsRowFunction="sum" dataDxfId="15" totalsRowDxfId="1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1:C6" headerRowCount="1" totalsRowCount="1" headerRowDxfId="13" headerRowBorderDxfId="12" tableBorderDxfId="11" totalsRowBorderDxfId="10">
  <autoFilter ref="A1:C5"/>
  <tableColumns count="3">
    <tableColumn id="1" name="Org. aplic." totalsRowLabel="Total" totalsRowDxfId="9"/>
    <tableColumn id="2" name="Descripción justificante" totalsRowDxfId="8"/>
    <tableColumn id="3" name="Imp. aplic." totalsRowFunction="sum" totalsRow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C11" headerRowCount="1" totalsRowCount="1" headerRowDxfId="6" headerRowBorderDxfId="5" tableBorderDxfId="4" totalsRowBorderDxfId="3">
  <autoFilter ref="A1:C10"/>
  <tableColumns count="3">
    <tableColumn id="1" name="Org. aplic." totalsRowLabel="Total" totalsRowDxfId="2"/>
    <tableColumn id="2" name="Descripción justificante" totalsRowDxfId="1"/>
    <tableColumn id="3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showGridLines="0" tabSelected="1" zoomScale="120" zoomScaleNormal="120" workbookViewId="0">
      <pane xSplit="1" ySplit="1" topLeftCell="C56" activePane="bottomRight" state="frozen"/>
      <selection pane="topRight" activeCell="B1" sqref="B1"/>
      <selection pane="bottomLeft" activeCell="A2" sqref="A2"/>
      <selection pane="bottomRight" activeCell="F84" sqref="F84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U062 </t>
        </is>
      </c>
      <c r="B2" s="20" t="inlineStr">
        <is>
          <t xml:space="preserve">ADM. I.U. DE INVESTIGACIÓN INFORMÁTICA </t>
        </is>
      </c>
      <c r="C2" s="20" t="inlineStr">
        <is>
          <t xml:space="preserve">DOCTORADO EN INFORMÁTICA </t>
        </is>
      </c>
      <c r="D2" s="20" t="inlineStr">
        <is>
          <t xml:space="preserve">Cadena Vela, Susana Graciela </t>
        </is>
      </c>
      <c r="E2" s="20" t="inlineStr">
        <is>
          <t xml:space="preserve">MARCO DE REFERENCIA PARA LA PUBLICACIÓN DE DATOS ABIERTOS COMPRENSIBLES BASADO EN ESTÁNDARES DE CALIDAD </t>
        </is>
      </c>
      <c r="F2" s="20" t="inlineStr">
        <is>
          <t xml:space="preserve">20/11/2019 </t>
        </is>
      </c>
      <c r="G2" s="20" t="inlineStr">
        <is>
          <t xml:space="preserve">73993969W </t>
        </is>
      </c>
      <c r="H2" s="20" t="inlineStr">
        <is>
          <t xml:space="preserve">Codirector de tesis </t>
        </is>
      </c>
      <c r="I2" s="20" t="inlineStr">
        <is>
          <t xml:space="preserve">B158 </t>
        </is>
      </c>
      <c r="J2" s="20" t="inlineStr">
        <is>
          <t xml:space="preserve">LENGUAJES Y SISTEMAS INFORMÁTICOS </t>
        </is>
      </c>
      <c r="K2" s="98" t="n">
        <v>0.5</v>
      </c>
      <c r="L2" s="20" t="inlineStr">
        <is>
          <t>B158</t>
        </is>
      </c>
      <c r="M2" s="20" t="n">
        <v>2019</v>
      </c>
      <c r="N2" s="20" t="inlineStr">
        <is>
          <t>10.19</t>
        </is>
      </c>
      <c r="O2" s="21" t="inlineStr">
        <is>
          <t>20</t>
        </is>
      </c>
      <c r="P2" s="20" t="inlineStr"/>
      <c r="Q2" s="21" t="inlineStr"/>
      <c r="R2" s="22" t="n">
        <v>80</v>
      </c>
      <c r="S2" s="99" t="n">
        <v>0.4</v>
      </c>
      <c r="T2" s="99" t="n">
        <v>0.1</v>
      </c>
      <c r="U2" s="99" t="n">
        <v>0</v>
      </c>
    </row>
    <row r="3">
      <c r="A3" s="20" t="inlineStr">
        <is>
          <t xml:space="preserve">U062 </t>
        </is>
      </c>
      <c r="B3" s="20" t="inlineStr">
        <is>
          <t xml:space="preserve">ADM. I.U. DE INVESTIGACIÓN INFORMÁTICA </t>
        </is>
      </c>
      <c r="C3" s="20" t="inlineStr">
        <is>
          <t xml:space="preserve">DOCTORADO EN INFORMÁTICA </t>
        </is>
      </c>
      <c r="D3" s="20" t="inlineStr">
        <is>
          <t xml:space="preserve">Arroba Rimassa, Jorge </t>
        </is>
      </c>
      <c r="E3" s="20" t="inlineStr">
        <is>
          <t xml:space="preserve">EL ANÁLISIS DE OPINIONES EN LA PREDICCIÓN POLÍTICA BASADOS EN TWITTER. UN NUEVO ENFOQUE </t>
        </is>
      </c>
      <c r="F3" s="20" t="inlineStr">
        <is>
          <t xml:space="preserve">28/10/2019 </t>
        </is>
      </c>
      <c r="G3" s="20" t="inlineStr">
        <is>
          <t xml:space="preserve">21467137H </t>
        </is>
      </c>
      <c r="H3" s="20" t="inlineStr">
        <is>
          <t xml:space="preserve">Codirector de tesis </t>
        </is>
      </c>
      <c r="I3" s="20" t="inlineStr">
        <is>
          <t xml:space="preserve">B158 </t>
        </is>
      </c>
      <c r="J3" s="20" t="inlineStr">
        <is>
          <t xml:space="preserve">LENGUAJES Y SISTEMAS INFORMÁTICOS </t>
        </is>
      </c>
      <c r="K3" s="98" t="n">
        <v>0.5</v>
      </c>
      <c r="L3" s="20" t="inlineStr">
        <is>
          <t>B158</t>
        </is>
      </c>
      <c r="M3" s="20" t="n">
        <v>2019</v>
      </c>
      <c r="N3" s="20" t="inlineStr">
        <is>
          <t>10.19</t>
        </is>
      </c>
      <c r="O3" s="21" t="inlineStr">
        <is>
          <t>20</t>
        </is>
      </c>
      <c r="P3" s="20" t="inlineStr"/>
      <c r="Q3" s="21" t="inlineStr"/>
      <c r="R3" s="22" t="n">
        <v>80</v>
      </c>
      <c r="S3" s="99" t="n">
        <v>0.4</v>
      </c>
      <c r="T3" s="99" t="n">
        <v>0.1</v>
      </c>
      <c r="U3" s="99" t="n">
        <v>0</v>
      </c>
    </row>
    <row r="4">
      <c r="A4" s="20" t="inlineStr">
        <is>
          <t xml:space="preserve">U062 </t>
        </is>
      </c>
      <c r="B4" s="20" t="inlineStr">
        <is>
          <t xml:space="preserve">ADM. I.U. DE INVESTIGACIÓN INFORMÁTICA </t>
        </is>
      </c>
      <c r="C4" s="20" t="inlineStr">
        <is>
          <t xml:space="preserve">DOCTORADO EN INFORMÁTICA </t>
        </is>
      </c>
      <c r="D4" s="20" t="inlineStr">
        <is>
          <t xml:space="preserve">Arroba Rimassa, Jorge </t>
        </is>
      </c>
      <c r="E4" s="20" t="inlineStr">
        <is>
          <t xml:space="preserve">EL ANÁLISIS DE OPINIONES EN LA PREDICCIÓN POLÍTICA BASADOS EN TWITTER. UN NUEVO ENFOQUE </t>
        </is>
      </c>
      <c r="F4" s="20" t="inlineStr">
        <is>
          <t xml:space="preserve">28/10/2019 </t>
        </is>
      </c>
      <c r="G4" s="20" t="inlineStr">
        <is>
          <t xml:space="preserve">21645638Q </t>
        </is>
      </c>
      <c r="H4" s="20" t="inlineStr">
        <is>
          <t xml:space="preserve">Codirector de tesis </t>
        </is>
      </c>
      <c r="I4" s="20" t="inlineStr">
        <is>
          <t xml:space="preserve">B158 </t>
        </is>
      </c>
      <c r="J4" s="20" t="inlineStr">
        <is>
          <t xml:space="preserve">LENGUAJES Y SISTEMAS INFORMÁTICOS </t>
        </is>
      </c>
      <c r="K4" s="98" t="n">
        <v>0.5</v>
      </c>
      <c r="L4" s="20" t="inlineStr">
        <is>
          <t>B158</t>
        </is>
      </c>
      <c r="M4" s="20" t="n">
        <v>2019</v>
      </c>
      <c r="N4" s="20" t="inlineStr">
        <is>
          <t>10.19</t>
        </is>
      </c>
      <c r="O4" s="21" t="inlineStr">
        <is>
          <t>20</t>
        </is>
      </c>
      <c r="P4" s="20" t="inlineStr"/>
      <c r="Q4" s="21" t="inlineStr"/>
      <c r="R4" s="22" t="n">
        <v>80</v>
      </c>
      <c r="S4" s="99" t="n">
        <v>0.4</v>
      </c>
      <c r="T4" s="99" t="n">
        <v>0.1</v>
      </c>
      <c r="U4" s="99" t="n">
        <v>0</v>
      </c>
    </row>
    <row r="5">
      <c r="A5" s="20" t="inlineStr">
        <is>
          <t xml:space="preserve">U062 </t>
        </is>
      </c>
      <c r="B5" s="20" t="inlineStr">
        <is>
          <t xml:space="preserve">ADM. I.U. DE INVESTIGACIÓN INFORMÁTICA </t>
        </is>
      </c>
      <c r="C5" s="20" t="inlineStr">
        <is>
          <t xml:space="preserve">DOCTORADO EN INFORMÁTICA </t>
        </is>
      </c>
      <c r="D5" s="20" t="inlineStr">
        <is>
          <t xml:space="preserve">Enríquez Reyes, Robert </t>
        </is>
      </c>
      <c r="E5" s="20" t="inlineStr">
        <is>
          <t xml:space="preserve">SELECCIÓN DE CONJUNTOS DE DATOS A PUBLICAR EN ABIERTO BASADA EN EL MÉTODO DELPHI DIFUSO </t>
        </is>
      </c>
      <c r="F5" s="20" t="inlineStr">
        <is>
          <t xml:space="preserve">20/11/2019 </t>
        </is>
      </c>
      <c r="G5" s="20" t="inlineStr">
        <is>
          <t xml:space="preserve">73993969W </t>
        </is>
      </c>
      <c r="H5" s="20" t="inlineStr">
        <is>
          <t xml:space="preserve">Codirector de tesis </t>
        </is>
      </c>
      <c r="I5" s="20" t="inlineStr">
        <is>
          <t xml:space="preserve">B158 </t>
        </is>
      </c>
      <c r="J5" s="20" t="inlineStr">
        <is>
          <t xml:space="preserve">LENGUAJES Y SISTEMAS INFORMÁTICOS </t>
        </is>
      </c>
      <c r="K5" s="98" t="n">
        <v>0.5</v>
      </c>
      <c r="L5" s="20" t="inlineStr">
        <is>
          <t>B158</t>
        </is>
      </c>
      <c r="M5" s="20" t="n">
        <v>2019</v>
      </c>
      <c r="N5" s="20" t="inlineStr">
        <is>
          <t>10.19</t>
        </is>
      </c>
      <c r="O5" s="21" t="inlineStr">
        <is>
          <t>20</t>
        </is>
      </c>
      <c r="P5" s="20" t="inlineStr"/>
      <c r="Q5" s="21" t="inlineStr"/>
      <c r="R5" s="22" t="n">
        <v>80</v>
      </c>
      <c r="S5" s="99" t="n">
        <v>0.4</v>
      </c>
      <c r="T5" s="99" t="n">
        <v>0.1</v>
      </c>
      <c r="U5" s="99" t="n">
        <v>0</v>
      </c>
    </row>
    <row r="6">
      <c r="A6" s="20" t="inlineStr">
        <is>
          <t xml:space="preserve">U062 </t>
        </is>
      </c>
      <c r="B6" s="20" t="inlineStr">
        <is>
          <t xml:space="preserve">ADM. I.U. DE INVESTIGACIÓN INFORMÁTICA </t>
        </is>
      </c>
      <c r="C6" s="20" t="inlineStr">
        <is>
          <t xml:space="preserve">DOCTORADO EN INFORMÁTICA </t>
        </is>
      </c>
      <c r="D6" s="20" t="inlineStr">
        <is>
          <t xml:space="preserve">Buenaño Fernández, Diego Patricio </t>
        </is>
      </c>
      <c r="E6" s="20" t="inlineStr">
        <is>
          <t xml:space="preserve">PROPUESTA DE UN CONJUNTO DE HERRAMIENTAS DE MINERÍA DE DATOS PARA EVALUAR EL DESEMPEÑO DE LOS ESTUDIANTES Y LOS PROCESOS DE ENSEÑANZA-APRENDIZAJE EN EL ÁMBITO DE LA EDUACIÓN EN LA INGENIERÍA </t>
        </is>
      </c>
      <c r="F6" s="20" t="inlineStr">
        <is>
          <t xml:space="preserve">19/06/2020 </t>
        </is>
      </c>
      <c r="G6" s="20" t="inlineStr">
        <is>
          <t xml:space="preserve">21513360B </t>
        </is>
      </c>
      <c r="H6" s="20" t="inlineStr">
        <is>
          <t xml:space="preserve">Codirector de tesis </t>
        </is>
      </c>
      <c r="I6" s="20" t="inlineStr">
        <is>
          <t xml:space="preserve">B158 </t>
        </is>
      </c>
      <c r="J6" s="20" t="inlineStr">
        <is>
          <t xml:space="preserve">LENGUAJES Y SISTEMAS INFORMÁTICOS </t>
        </is>
      </c>
      <c r="K6" s="98" t="n">
        <v>0.5</v>
      </c>
      <c r="L6" s="20" t="inlineStr">
        <is>
          <t>B158</t>
        </is>
      </c>
      <c r="M6" s="20" t="n">
        <v>2019</v>
      </c>
      <c r="N6" s="20" t="inlineStr">
        <is>
          <t>10.19</t>
        </is>
      </c>
      <c r="O6" s="21" t="inlineStr">
        <is>
          <t>20</t>
        </is>
      </c>
      <c r="P6" s="20" t="inlineStr"/>
      <c r="Q6" s="21" t="inlineStr"/>
      <c r="R6" s="22" t="n">
        <v>80</v>
      </c>
      <c r="S6" s="99" t="n">
        <v>0.4</v>
      </c>
      <c r="T6" s="99" t="n">
        <v>0.1</v>
      </c>
      <c r="U6" s="99" t="n">
        <v>0</v>
      </c>
    </row>
    <row r="7">
      <c r="A7" s="20" t="inlineStr">
        <is>
          <t xml:space="preserve">U062 </t>
        </is>
      </c>
      <c r="B7" s="20" t="inlineStr">
        <is>
          <t xml:space="preserve">ADM. I.U. DE INVESTIGACIÓN INFORMÁTICA </t>
        </is>
      </c>
      <c r="C7" s="20" t="inlineStr">
        <is>
          <t xml:space="preserve">DOCTORADO EN INFORMÁTICA </t>
        </is>
      </c>
      <c r="D7" s="20" t="inlineStr">
        <is>
          <t xml:space="preserve">Villegas Chiliquinga, William Eduardo </t>
        </is>
      </c>
      <c r="E7" s="20" t="inlineStr">
        <is>
          <t xml:space="preserve">ARQUITECTURA PARA LA GESTIÓN DE DATOS EN UN CAMPUS INTELIGENTE </t>
        </is>
      </c>
      <c r="F7" s="20" t="inlineStr">
        <is>
          <t xml:space="preserve">24/01/2020 </t>
        </is>
      </c>
      <c r="G7" s="20" t="inlineStr">
        <is>
          <t xml:space="preserve">21513360B </t>
        </is>
      </c>
      <c r="H7" s="20" t="inlineStr">
        <is>
          <t xml:space="preserve">Director de tesis </t>
        </is>
      </c>
      <c r="I7" s="20" t="inlineStr">
        <is>
          <t xml:space="preserve">B158 </t>
        </is>
      </c>
      <c r="J7" s="20" t="inlineStr">
        <is>
          <t xml:space="preserve">LENGUAJES Y SISTEMAS INFORMÁTICOS </t>
        </is>
      </c>
      <c r="K7" s="98" t="n">
        <v>1</v>
      </c>
      <c r="L7" s="20" t="inlineStr">
        <is>
          <t>B158</t>
        </is>
      </c>
      <c r="M7" s="20" t="n">
        <v>2019</v>
      </c>
      <c r="N7" s="20" t="inlineStr">
        <is>
          <t>10.19</t>
        </is>
      </c>
      <c r="O7" s="21" t="inlineStr">
        <is>
          <t>20</t>
        </is>
      </c>
      <c r="P7" s="20" t="inlineStr"/>
      <c r="Q7" s="21" t="inlineStr"/>
      <c r="R7" s="22" t="n">
        <v>80</v>
      </c>
      <c r="S7" s="99" t="n">
        <v>0.8</v>
      </c>
      <c r="T7" s="99" t="n">
        <v>0.2</v>
      </c>
      <c r="U7" s="99" t="n">
        <v>0</v>
      </c>
    </row>
    <row r="8">
      <c r="A8" s="20" t="inlineStr">
        <is>
          <t xml:space="preserve">U062 </t>
        </is>
      </c>
      <c r="B8" s="20" t="inlineStr">
        <is>
          <t xml:space="preserve">ADM. I.U. DE INVESTIGACIÓN INFORMÁTICA </t>
        </is>
      </c>
      <c r="C8" s="20" t="inlineStr">
        <is>
          <t xml:space="preserve">DOCTORADO EN INFORMÁTICA </t>
        </is>
      </c>
      <c r="D8" s="20" t="inlineStr">
        <is>
          <t xml:space="preserve">Acosta Vargas, Nelly Patricia </t>
        </is>
      </c>
      <c r="E8" s="20" t="inlineStr">
        <is>
          <t xml:space="preserve">EVALUACIÓN DE LA ACCESIBILIDAD WEB CON HERRAMIENTAS AUTOMÁTICAS Y UN MÉTODO HEURÍSTICO ARA USUARIOS CON BAJA VISIÓN </t>
        </is>
      </c>
      <c r="F8" s="20" t="inlineStr">
        <is>
          <t xml:space="preserve">11/02/2020 </t>
        </is>
      </c>
      <c r="G8" s="20" t="inlineStr">
        <is>
          <t xml:space="preserve">21513360B </t>
        </is>
      </c>
      <c r="H8" s="20" t="inlineStr">
        <is>
          <t xml:space="preserve">Director de tesis </t>
        </is>
      </c>
      <c r="I8" s="20" t="inlineStr">
        <is>
          <t xml:space="preserve">B158 </t>
        </is>
      </c>
      <c r="J8" s="20" t="inlineStr">
        <is>
          <t xml:space="preserve">LENGUAJES Y SISTEMAS INFORMÁTICOS </t>
        </is>
      </c>
      <c r="K8" s="98" t="n">
        <v>1</v>
      </c>
      <c r="L8" s="20" t="inlineStr">
        <is>
          <t>B158</t>
        </is>
      </c>
      <c r="M8" s="20" t="n">
        <v>2019</v>
      </c>
      <c r="N8" s="20" t="inlineStr">
        <is>
          <t>10.19</t>
        </is>
      </c>
      <c r="O8" s="21" t="inlineStr">
        <is>
          <t>20</t>
        </is>
      </c>
      <c r="P8" s="20" t="inlineStr"/>
      <c r="Q8" s="21" t="inlineStr"/>
      <c r="R8" s="22" t="n">
        <v>80</v>
      </c>
      <c r="S8" s="99" t="n">
        <v>0.8</v>
      </c>
      <c r="T8" s="99" t="n">
        <v>0.2</v>
      </c>
      <c r="U8" s="99" t="n">
        <v>0</v>
      </c>
    </row>
    <row r="9">
      <c r="A9" s="20" t="inlineStr">
        <is>
          <t xml:space="preserve">U062 </t>
        </is>
      </c>
      <c r="B9" s="20" t="inlineStr">
        <is>
          <t xml:space="preserve">ADM. I.U. DE INVESTIGACIÓN INFORMÁTICA </t>
        </is>
      </c>
      <c r="C9" s="20" t="inlineStr">
        <is>
          <t xml:space="preserve">DOCTORADO EN INFORMÁTICA </t>
        </is>
      </c>
      <c r="D9" s="20" t="inlineStr">
        <is>
          <t xml:space="preserve">Escobar Esteban, María Pilar </t>
        </is>
      </c>
      <c r="E9" s="20" t="inlineStr">
        <is>
          <t xml:space="preserve">UN ENFOQUE MULTIDIMENSIONAL BASADO EN RDF PARA LA PUBLICACIÓN DE LINKED OPEN DATA </t>
        </is>
      </c>
      <c r="F9" s="20" t="inlineStr">
        <is>
          <t xml:space="preserve">07/07/2020 </t>
        </is>
      </c>
      <c r="G9" s="20" t="inlineStr">
        <is>
          <t xml:space="preserve">21395951V </t>
        </is>
      </c>
      <c r="H9" s="20" t="inlineStr">
        <is>
          <t xml:space="preserve">Codirector de tesis </t>
        </is>
      </c>
      <c r="I9" s="20" t="inlineStr">
        <is>
          <t xml:space="preserve">B158 </t>
        </is>
      </c>
      <c r="J9" s="20" t="inlineStr">
        <is>
          <t xml:space="preserve">LENGUAJES Y SISTEMAS INFORMÁTICOS </t>
        </is>
      </c>
      <c r="K9" s="98" t="n">
        <v>0.5</v>
      </c>
      <c r="L9" s="20" t="inlineStr">
        <is>
          <t>B158</t>
        </is>
      </c>
      <c r="M9" s="20" t="n">
        <v>2019</v>
      </c>
      <c r="N9" s="20" t="inlineStr">
        <is>
          <t>10.06</t>
        </is>
      </c>
      <c r="O9" s="21" t="inlineStr">
        <is>
          <t>10</t>
        </is>
      </c>
      <c r="P9" s="20" t="inlineStr">
        <is>
          <t>10.19</t>
        </is>
      </c>
      <c r="Q9" s="21" t="inlineStr">
        <is>
          <t>10</t>
        </is>
      </c>
      <c r="R9" s="22" t="n">
        <v>80</v>
      </c>
      <c r="S9" s="99" t="n">
        <v>0.4</v>
      </c>
      <c r="T9" s="99" t="n">
        <v>0.05</v>
      </c>
      <c r="U9" s="99" t="n">
        <v>0.05</v>
      </c>
    </row>
    <row r="10">
      <c r="A10" s="20" t="inlineStr">
        <is>
          <t xml:space="preserve">U062 </t>
        </is>
      </c>
      <c r="B10" s="20" t="inlineStr">
        <is>
          <t xml:space="preserve">ADM. I.U. DE INVESTIGACIÓN INFORMÁTICA </t>
        </is>
      </c>
      <c r="C10" s="20" t="inlineStr">
        <is>
          <t xml:space="preserve">DOCTORADO EN INFORMÁTICA </t>
        </is>
      </c>
      <c r="D10" s="20" t="inlineStr">
        <is>
          <t xml:space="preserve">Escobar Esteban, María Pilar </t>
        </is>
      </c>
      <c r="E10" s="20" t="inlineStr">
        <is>
          <t xml:space="preserve">UN ENFOQUE MULTIDIMENSIONAL BASADO EN RDF PARA LA PUBLICACIÓN DE LINKED OPEN DATA </t>
        </is>
      </c>
      <c r="F10" s="20" t="inlineStr">
        <is>
          <t xml:space="preserve">07/07/2020 </t>
        </is>
      </c>
      <c r="G10" s="20" t="inlineStr">
        <is>
          <t xml:space="preserve">21488273V </t>
        </is>
      </c>
      <c r="H10" s="20" t="inlineStr">
        <is>
          <t xml:space="preserve">Codirector de tesis </t>
        </is>
      </c>
      <c r="I10" s="20" t="inlineStr">
        <is>
          <t xml:space="preserve">B158 </t>
        </is>
      </c>
      <c r="J10" s="20" t="inlineStr">
        <is>
          <t xml:space="preserve">LENGUAJES Y SISTEMAS INFORMÁTICOS </t>
        </is>
      </c>
      <c r="K10" s="98" t="n">
        <v>0.5</v>
      </c>
      <c r="L10" s="20" t="inlineStr">
        <is>
          <t>B158</t>
        </is>
      </c>
      <c r="M10" s="20" t="n">
        <v>2019</v>
      </c>
      <c r="N10" s="20" t="inlineStr">
        <is>
          <t>10.19</t>
        </is>
      </c>
      <c r="O10" s="21" t="inlineStr">
        <is>
          <t>20</t>
        </is>
      </c>
      <c r="P10" s="20" t="inlineStr"/>
      <c r="Q10" s="21" t="inlineStr"/>
      <c r="R10" s="22" t="n">
        <v>80</v>
      </c>
      <c r="S10" s="99" t="n">
        <v>0.4</v>
      </c>
      <c r="T10" s="99" t="n">
        <v>0.1</v>
      </c>
      <c r="U10" s="99" t="n">
        <v>0</v>
      </c>
    </row>
    <row r="11">
      <c r="A11" s="20" t="inlineStr">
        <is>
          <t xml:space="preserve">U062 </t>
        </is>
      </c>
      <c r="B11" s="20" t="inlineStr">
        <is>
          <t xml:space="preserve">ADM. I.U. DE INVESTIGACIÓN INFORMÁTICA </t>
        </is>
      </c>
      <c r="C11" s="20" t="inlineStr">
        <is>
          <t xml:space="preserve">DOCTORADO EN INFORMÁTICA </t>
        </is>
      </c>
      <c r="D11" s="20" t="inlineStr">
        <is>
          <t xml:space="preserve">Kauffmann Incer, Erick </t>
        </is>
      </c>
      <c r="E11" s="20" t="inlineStr">
        <is>
          <t xml:space="preserve">ARQUITECTURA PARA ANALÍTICAS DE DATOS ORIENTADA A LA AYUDA DEL PROCESO DE LA TOMA DE DECISIONES </t>
        </is>
      </c>
      <c r="F11" s="20" t="inlineStr">
        <is>
          <t xml:space="preserve">16/01/2020 </t>
        </is>
      </c>
      <c r="G11" s="20" t="inlineStr">
        <is>
          <t xml:space="preserve">21488273V </t>
        </is>
      </c>
      <c r="H11" s="20" t="inlineStr">
        <is>
          <t xml:space="preserve">Codirector de tesis </t>
        </is>
      </c>
      <c r="I11" s="20" t="inlineStr">
        <is>
          <t xml:space="preserve">B158 </t>
        </is>
      </c>
      <c r="J11" s="20" t="inlineStr">
        <is>
          <t xml:space="preserve">LENGUAJES Y SISTEMAS INFORMÁTICOS </t>
        </is>
      </c>
      <c r="K11" s="98" t="n">
        <v>0.5</v>
      </c>
      <c r="L11" s="20" t="inlineStr">
        <is>
          <t>B158</t>
        </is>
      </c>
      <c r="M11" s="20" t="n">
        <v>2019</v>
      </c>
      <c r="N11" s="20" t="inlineStr">
        <is>
          <t>10.19</t>
        </is>
      </c>
      <c r="O11" s="21" t="inlineStr">
        <is>
          <t>20</t>
        </is>
      </c>
      <c r="P11" s="20" t="inlineStr"/>
      <c r="Q11" s="21" t="inlineStr"/>
      <c r="R11" s="22" t="n">
        <v>80</v>
      </c>
      <c r="S11" s="99" t="n">
        <v>0.4</v>
      </c>
      <c r="T11" s="99" t="n">
        <v>0.1</v>
      </c>
      <c r="U11" s="99" t="n">
        <v>0</v>
      </c>
    </row>
    <row r="12">
      <c r="A12" s="17" t="inlineStr">
        <is>
          <t xml:space="preserve">U044 </t>
        </is>
      </c>
      <c r="B12" s="17" t="inlineStr">
        <is>
          <t xml:space="preserve">ADM. FACULTAD DE CIENCIAS DE LA SALUD </t>
        </is>
      </c>
      <c r="C12" s="17" t="inlineStr">
        <is>
          <t xml:space="preserve">DOCTORADO EN CIENCIAS DE LA SALUD </t>
        </is>
      </c>
      <c r="D12" s="17" t="inlineStr">
        <is>
          <t xml:space="preserve">Silva Barrera, Blanca Patricia </t>
        </is>
      </c>
      <c r="E12" s="17" t="inlineStr">
        <is>
          <t xml:space="preserve">ESTUDIO DESCRIPTIVO SOBRE LOS FACTORES DE VULNERABILIDAD QUE AFECTAN AL INGRESO DE PACIENTES EN UN HOSPITAL PSIQUIÁTRICO ALEMÁN (2001-2014) </t>
        </is>
      </c>
      <c r="F12" s="17" t="inlineStr">
        <is>
          <t xml:space="preserve">12/11/2020 </t>
        </is>
      </c>
      <c r="G12" s="17" t="inlineStr">
        <is>
          <t xml:space="preserve">21453179K </t>
        </is>
      </c>
      <c r="H12" s="17" t="inlineStr">
        <is>
          <t xml:space="preserve">Director de tesis </t>
        </is>
      </c>
      <c r="I12" s="17" t="inlineStr">
        <is>
          <t xml:space="preserve">B158 </t>
        </is>
      </c>
      <c r="J12" s="17" t="inlineStr">
        <is>
          <t xml:space="preserve">LENGUAJES Y SISTEMAS INFORMÁTICOS </t>
        </is>
      </c>
      <c r="K12" s="19" t="n">
        <v>1</v>
      </c>
      <c r="L12" s="19" t="inlineStr">
        <is>
          <t>B158</t>
        </is>
      </c>
      <c r="M12" s="24" t="n">
        <v>2019</v>
      </c>
      <c r="N12" s="17" t="inlineStr">
        <is>
          <t>10.19</t>
        </is>
      </c>
      <c r="O12" s="18" t="n">
        <v>20</v>
      </c>
      <c r="P12" s="17" t="inlineStr"/>
      <c r="Q12" s="18" t="n">
        <v>0</v>
      </c>
      <c r="R12" s="17" t="n">
        <v>80</v>
      </c>
      <c r="S12" s="17" t="n">
        <v>0.8</v>
      </c>
      <c r="T12" s="17" t="n">
        <v>0.2</v>
      </c>
      <c r="U12" s="17" t="n">
        <v>0</v>
      </c>
    </row>
    <row r="13">
      <c r="A13" s="17" t="inlineStr">
        <is>
          <t xml:space="preserve">U062 </t>
        </is>
      </c>
      <c r="B13" s="17" t="inlineStr">
        <is>
          <t xml:space="preserve">ADM. I.U. DE INVESTIGACIÓN INFORMÁTICA </t>
        </is>
      </c>
      <c r="C13" s="17" t="inlineStr">
        <is>
          <t xml:space="preserve">DOCTORADO EN INFORMÁTICA </t>
        </is>
      </c>
      <c r="D13" s="17" t="inlineStr">
        <is>
          <t xml:space="preserve">Herrera Flores, Boris Enrique </t>
        </is>
      </c>
      <c r="E13" s="17" t="inlineStr">
        <is>
          <t xml:space="preserve">Propuesta metodológica para el desarrollo de sistemas automáticos de evaluación </t>
        </is>
      </c>
      <c r="F13" s="17" t="inlineStr">
        <is>
          <t xml:space="preserve">26/10/2020 </t>
        </is>
      </c>
      <c r="G13" s="17" t="inlineStr">
        <is>
          <t xml:space="preserve">44759120Q </t>
        </is>
      </c>
      <c r="H13" s="17" t="inlineStr">
        <is>
          <t xml:space="preserve">Codirector de tesis </t>
        </is>
      </c>
      <c r="I13" s="17" t="inlineStr">
        <is>
          <t xml:space="preserve">B158 </t>
        </is>
      </c>
      <c r="J13" s="17" t="inlineStr">
        <is>
          <t xml:space="preserve">LENGUAJES Y SISTEMAS INFORMÁTICOS </t>
        </is>
      </c>
      <c r="K13" s="19" t="n">
        <v>0.5</v>
      </c>
      <c r="L13" s="19" t="inlineStr">
        <is>
          <t>B158</t>
        </is>
      </c>
      <c r="M13" s="24" t="n">
        <v>2019</v>
      </c>
      <c r="N13" s="17" t="inlineStr">
        <is>
          <t>10.19</t>
        </is>
      </c>
      <c r="O13" s="18" t="n">
        <v>20</v>
      </c>
      <c r="P13" s="17" t="inlineStr"/>
      <c r="Q13" s="18" t="n">
        <v>0</v>
      </c>
      <c r="R13" s="17" t="n">
        <v>80</v>
      </c>
      <c r="S13" s="17" t="n">
        <v>0.4</v>
      </c>
      <c r="T13" s="17" t="n">
        <v>0.1</v>
      </c>
      <c r="U13" s="17" t="n">
        <v>0</v>
      </c>
    </row>
    <row r="14">
      <c r="A14" s="17" t="inlineStr">
        <is>
          <t xml:space="preserve">U062 </t>
        </is>
      </c>
      <c r="B14" s="17" t="inlineStr">
        <is>
          <t xml:space="preserve">ADM. I.U. DE INVESTIGACIÓN INFORMÁTICA </t>
        </is>
      </c>
      <c r="C14" s="17" t="inlineStr">
        <is>
          <t xml:space="preserve">DOCTORADO EN INFORMÁTICA </t>
        </is>
      </c>
      <c r="D14" s="17" t="inlineStr">
        <is>
          <t xml:space="preserve">Herrera Flores, Boris Enrique </t>
        </is>
      </c>
      <c r="E14" s="17" t="inlineStr">
        <is>
          <t xml:space="preserve">Propuesta metodológica para el desarrollo de sistemas automáticos de evaluación </t>
        </is>
      </c>
      <c r="F14" s="17" t="inlineStr">
        <is>
          <t xml:space="preserve">26/10/2020 </t>
        </is>
      </c>
      <c r="G14" s="17" t="inlineStr">
        <is>
          <t xml:space="preserve">02380426H </t>
        </is>
      </c>
      <c r="H14" s="17" t="inlineStr">
        <is>
          <t xml:space="preserve">Codirector de tesis </t>
        </is>
      </c>
      <c r="I14" s="17" t="inlineStr">
        <is>
          <t xml:space="preserve">B158 </t>
        </is>
      </c>
      <c r="J14" s="17" t="inlineStr">
        <is>
          <t xml:space="preserve">LENGUAJES Y SISTEMAS INFORMÁTICOS </t>
        </is>
      </c>
      <c r="K14" s="19" t="n">
        <v>0.5</v>
      </c>
      <c r="L14" s="19" t="inlineStr">
        <is>
          <t>B158</t>
        </is>
      </c>
      <c r="M14" s="24" t="n">
        <v>2019</v>
      </c>
      <c r="N14" s="17" t="inlineStr">
        <is>
          <t>10.19</t>
        </is>
      </c>
      <c r="O14" s="18" t="n">
        <v>20</v>
      </c>
      <c r="P14" s="17" t="inlineStr"/>
      <c r="Q14" s="18" t="n">
        <v>0</v>
      </c>
      <c r="R14" s="17" t="n">
        <v>80</v>
      </c>
      <c r="S14" s="17" t="n">
        <v>0.4</v>
      </c>
      <c r="T14" s="17" t="n">
        <v>0.1</v>
      </c>
      <c r="U14" s="17" t="n">
        <v>0</v>
      </c>
    </row>
    <row r="15" ht="12" customHeight="1" thickBot="1">
      <c r="A15" s="17" t="inlineStr">
        <is>
          <t xml:space="preserve">U062 </t>
        </is>
      </c>
      <c r="B15" s="17" t="inlineStr">
        <is>
          <t xml:space="preserve">ADM. I.U. DE INVESTIGACIÓN INFORMÁTICA </t>
        </is>
      </c>
      <c r="C15" s="17" t="inlineStr">
        <is>
          <t xml:space="preserve">DOCTORADO EN INFORMÁTICA </t>
        </is>
      </c>
      <c r="D15" s="17" t="inlineStr">
        <is>
          <t xml:space="preserve">Acosta Hurtado, Tania Aleyda </t>
        </is>
      </c>
      <c r="E15" s="17" t="inlineStr">
        <is>
          <t xml:space="preserve">LINEAMIENTOS PARA EL DISEÑO, PUBLICACIÓN Y EVALUACIÓN DEL CONTENIDO MULTIMEDIA ACCESIBLE EN LA WEB </t>
        </is>
      </c>
      <c r="F15" s="17" t="inlineStr">
        <is>
          <t xml:space="preserve">05/11/2020 </t>
        </is>
      </c>
      <c r="G15" s="17" t="inlineStr">
        <is>
          <t xml:space="preserve">21513360B </t>
        </is>
      </c>
      <c r="H15" s="17" t="inlineStr">
        <is>
          <t xml:space="preserve">Director de tesis </t>
        </is>
      </c>
      <c r="I15" s="17" t="inlineStr">
        <is>
          <t xml:space="preserve">B158 </t>
        </is>
      </c>
      <c r="J15" s="17" t="inlineStr">
        <is>
          <t xml:space="preserve">LENGUAJES Y SISTEMAS INFORMÁTICOS </t>
        </is>
      </c>
      <c r="K15" s="19" t="n">
        <v>1</v>
      </c>
      <c r="L15" s="19" t="inlineStr">
        <is>
          <t>B158</t>
        </is>
      </c>
      <c r="M15" s="24" t="n">
        <v>2019</v>
      </c>
      <c r="N15" s="17" t="inlineStr">
        <is>
          <t>10.19</t>
        </is>
      </c>
      <c r="O15" s="18" t="n">
        <v>20</v>
      </c>
      <c r="P15" s="17" t="inlineStr"/>
      <c r="Q15" s="18" t="n">
        <v>0</v>
      </c>
      <c r="R15" s="17" t="n">
        <v>80</v>
      </c>
      <c r="S15" s="17" t="n">
        <v>0.8</v>
      </c>
      <c r="T15" s="17" t="n">
        <v>0.2</v>
      </c>
      <c r="U15" s="17" t="n">
        <v>0</v>
      </c>
    </row>
    <row r="16" ht="12" customHeight="1" thickBot="1">
      <c r="A16" s="25" t="inlineStr">
        <is>
          <t xml:space="preserve">U044 </t>
        </is>
      </c>
      <c r="B16" s="25" t="inlineStr">
        <is>
          <t xml:space="preserve">ADM. FACULTAD DE CIENCIAS DE LA SALUD </t>
        </is>
      </c>
      <c r="C16" s="25" t="inlineStr">
        <is>
          <t xml:space="preserve">DOCTORADO EN CIENCIAS DE LA SALUD </t>
        </is>
      </c>
      <c r="D16" s="25" t="inlineStr">
        <is>
          <t xml:space="preserve">Startseva , Elena </t>
        </is>
      </c>
      <c r="E16" s="25" t="inlineStr">
        <is>
          <t xml:space="preserve">Líneas de investigación cibernética y biótica. Modelado y simulación de sistemas biológicos. Ingeniería de conocimiento para la mejora de la orientación académica. </t>
        </is>
      </c>
      <c r="F16" s="25" t="inlineStr">
        <is>
          <t xml:space="preserve">11/02/2021 </t>
        </is>
      </c>
      <c r="G16" s="26" t="inlineStr">
        <is>
          <t xml:space="preserve">21645638Q </t>
        </is>
      </c>
      <c r="H16" s="27" t="inlineStr">
        <is>
          <t xml:space="preserve">Director de tesis </t>
        </is>
      </c>
      <c r="I16" s="27" t="inlineStr">
        <is>
          <t xml:space="preserve">B158 </t>
        </is>
      </c>
      <c r="J16" s="28" t="inlineStr">
        <is>
          <t xml:space="preserve">LENGUAJES Y SISTEMAS INFORMÁTICOS </t>
        </is>
      </c>
      <c r="K16" s="19" t="n">
        <v>1</v>
      </c>
      <c r="L16" s="19" t="inlineStr">
        <is>
          <t>B158</t>
        </is>
      </c>
      <c r="M16" s="17" t="n">
        <v>2020</v>
      </c>
      <c r="N16" s="17" t="inlineStr">
        <is>
          <t>10.19</t>
        </is>
      </c>
      <c r="O16" s="18" t="n">
        <v>20</v>
      </c>
      <c r="P16" s="17" t="inlineStr"/>
      <c r="Q16" s="18" t="n">
        <v>0</v>
      </c>
      <c r="R16" s="17" t="n">
        <v>80</v>
      </c>
      <c r="S16" s="17" t="n">
        <v>0.8</v>
      </c>
      <c r="T16" s="17" t="n">
        <v>0.2</v>
      </c>
      <c r="U16" s="17" t="n">
        <v>0</v>
      </c>
    </row>
    <row r="17" ht="12" customHeight="1" thickBot="1">
      <c r="A17" s="25" t="inlineStr">
        <is>
          <t xml:space="preserve">U062 </t>
        </is>
      </c>
      <c r="B17" s="25" t="inlineStr">
        <is>
          <t xml:space="preserve">ADM. I.U. DE INVESTIGACIÓN INFORMÁTICA </t>
        </is>
      </c>
      <c r="C17" s="25" t="inlineStr">
        <is>
          <t xml:space="preserve">DOCTORADO EN INFORMÁTICA </t>
        </is>
      </c>
      <c r="D17" s="25" t="inlineStr">
        <is>
          <t xml:space="preserve">Hochstetter Diez, Jorge Alberto </t>
        </is>
      </c>
      <c r="E17" s="25" t="inlineStr">
        <is>
          <t xml:space="preserve">Impacto de la calidad del documento de requisitos sobre el proceso de licitaciones públicas de proyectos de desarrollo software </t>
        </is>
      </c>
      <c r="F17" s="25" t="inlineStr">
        <is>
          <t xml:space="preserve">14/01/2021 </t>
        </is>
      </c>
      <c r="G17" s="26" t="inlineStr">
        <is>
          <t xml:space="preserve">33481301V </t>
        </is>
      </c>
      <c r="H17" s="27" t="inlineStr">
        <is>
          <t xml:space="preserve">Codirector de tesis </t>
        </is>
      </c>
      <c r="I17" s="27" t="inlineStr">
        <is>
          <t xml:space="preserve">B158 </t>
        </is>
      </c>
      <c r="J17" s="28" t="inlineStr">
        <is>
          <t xml:space="preserve">LENGUAJES Y SISTEMAS INFORMÁTICOS </t>
        </is>
      </c>
      <c r="K17" s="19" t="n">
        <v>0.5</v>
      </c>
      <c r="L17" s="19" t="inlineStr">
        <is>
          <t>B158</t>
        </is>
      </c>
      <c r="M17" s="17" t="n">
        <v>2020</v>
      </c>
      <c r="N17" s="17" t="inlineStr">
        <is>
          <t>10.19</t>
        </is>
      </c>
      <c r="O17" s="18" t="n">
        <v>20</v>
      </c>
      <c r="P17" s="17" t="inlineStr"/>
      <c r="Q17" s="18" t="n">
        <v>0</v>
      </c>
      <c r="R17" s="17" t="n">
        <v>80</v>
      </c>
      <c r="S17" s="17" t="n">
        <v>0.4</v>
      </c>
      <c r="T17" s="17" t="n">
        <v>0.1</v>
      </c>
      <c r="U17" s="17" t="n">
        <v>0</v>
      </c>
    </row>
    <row r="18" ht="12" customHeight="1" thickBot="1">
      <c r="A18" s="25" t="inlineStr">
        <is>
          <t xml:space="preserve">U062 </t>
        </is>
      </c>
      <c r="B18" s="25" t="inlineStr">
        <is>
          <t xml:space="preserve">ADM. I.U. DE INVESTIGACIÓN INFORMÁTICA </t>
        </is>
      </c>
      <c r="C18" s="25" t="inlineStr">
        <is>
          <t xml:space="preserve">DOCTORADO EN INFORMÁTICA </t>
        </is>
      </c>
      <c r="D18" s="25" t="inlineStr">
        <is>
          <t xml:space="preserve">Naranjo Zeledón, Luis Carlos </t>
        </is>
      </c>
      <c r="E18" s="25" t="inlineStr">
        <is>
          <t xml:space="preserve">¿Arquitectura de componentes de refuerzo del aprendizaje de lengua de señas empleando proximidad fonológica¿ </t>
        </is>
      </c>
      <c r="F18" s="25" t="inlineStr">
        <is>
          <t xml:space="preserve">27/09/2021 </t>
        </is>
      </c>
      <c r="G18" s="26" t="inlineStr">
        <is>
          <t xml:space="preserve">21464202G </t>
        </is>
      </c>
      <c r="H18" s="27" t="inlineStr">
        <is>
          <t xml:space="preserve">Codirector de tesis </t>
        </is>
      </c>
      <c r="I18" s="27" t="inlineStr">
        <is>
          <t xml:space="preserve">B158 </t>
        </is>
      </c>
      <c r="J18" s="28" t="inlineStr">
        <is>
          <t xml:space="preserve">LENGUAJES Y SISTEMAS INFORMÁTICOS </t>
        </is>
      </c>
      <c r="K18" s="19" t="n">
        <v>0.5</v>
      </c>
      <c r="L18" s="19" t="inlineStr">
        <is>
          <t>B158</t>
        </is>
      </c>
      <c r="M18" s="17" t="n">
        <v>2020</v>
      </c>
      <c r="N18" s="17" t="inlineStr">
        <is>
          <t>10.19</t>
        </is>
      </c>
      <c r="O18" s="18" t="n">
        <v>20</v>
      </c>
      <c r="P18" s="17" t="inlineStr"/>
      <c r="Q18" s="18" t="n">
        <v>0</v>
      </c>
      <c r="R18" s="17" t="n">
        <v>80</v>
      </c>
      <c r="S18" s="17" t="n">
        <v>0.4</v>
      </c>
      <c r="T18" s="17" t="n">
        <v>0.1</v>
      </c>
      <c r="U18" s="17" t="n">
        <v>0</v>
      </c>
    </row>
    <row r="19" ht="12" customHeight="1" thickBot="1">
      <c r="A19" s="25" t="inlineStr">
        <is>
          <t xml:space="preserve">U062 </t>
        </is>
      </c>
      <c r="B19" s="25" t="inlineStr">
        <is>
          <t xml:space="preserve">ADM. I.U. DE INVESTIGACIÓN INFORMÁTICA </t>
        </is>
      </c>
      <c r="C19" s="25" t="inlineStr">
        <is>
          <t xml:space="preserve">DOCTORADO EN INFORMÁTICA </t>
        </is>
      </c>
      <c r="D19" s="25" t="inlineStr">
        <is>
          <t xml:space="preserve">Naranjo Zeledón, Luis Carlos </t>
        </is>
      </c>
      <c r="E19" s="25" t="inlineStr">
        <is>
          <t xml:space="preserve">¿Arquitectura de componentes de refuerzo del aprendizaje de lengua de señas empleando proximidad fonológica¿ </t>
        </is>
      </c>
      <c r="F19" s="25" t="inlineStr">
        <is>
          <t xml:space="preserve">27/09/2021 </t>
        </is>
      </c>
      <c r="G19" s="26" t="inlineStr">
        <is>
          <t xml:space="preserve">21488273V </t>
        </is>
      </c>
      <c r="H19" s="27" t="inlineStr">
        <is>
          <t xml:space="preserve">Codirector de tesis </t>
        </is>
      </c>
      <c r="I19" s="27" t="inlineStr">
        <is>
          <t xml:space="preserve">B158 </t>
        </is>
      </c>
      <c r="J19" s="28" t="inlineStr">
        <is>
          <t xml:space="preserve">LENGUAJES Y SISTEMAS INFORMÁTICOS </t>
        </is>
      </c>
      <c r="K19" s="19" t="n">
        <v>0.5</v>
      </c>
      <c r="L19" s="19" t="inlineStr">
        <is>
          <t>B158</t>
        </is>
      </c>
      <c r="M19" s="17" t="n">
        <v>2020</v>
      </c>
      <c r="N19" s="17" t="inlineStr">
        <is>
          <t>10.19</t>
        </is>
      </c>
      <c r="O19" s="18" t="n">
        <v>20</v>
      </c>
      <c r="P19" s="17" t="inlineStr"/>
      <c r="Q19" s="18" t="n">
        <v>0</v>
      </c>
      <c r="R19" s="17" t="n">
        <v>80</v>
      </c>
      <c r="S19" s="17" t="n">
        <v>0.4</v>
      </c>
      <c r="T19" s="17" t="n">
        <v>0.1</v>
      </c>
      <c r="U19" s="17" t="n">
        <v>0</v>
      </c>
    </row>
    <row r="20" ht="12" customHeight="1" thickBot="1">
      <c r="A20" s="25" t="inlineStr">
        <is>
          <t xml:space="preserve">U062 </t>
        </is>
      </c>
      <c r="B20" s="25" t="inlineStr">
        <is>
          <t xml:space="preserve">ADM. I.U. DE INVESTIGACIÓN INFORMÁTICA </t>
        </is>
      </c>
      <c r="C20" s="25" t="inlineStr">
        <is>
          <t xml:space="preserve">DOCTORADO EN INFORMÁTICA </t>
        </is>
      </c>
      <c r="D20" s="25" t="inlineStr">
        <is>
          <t xml:space="preserve">Salvador Ullauri, Luis Antonio </t>
        </is>
      </c>
      <c r="E20" s="25" t="inlineStr">
        <is>
          <t xml:space="preserve">Evaluación de la accesibilidad para personas con deficiencia visual en juegos serios basados en la web </t>
        </is>
      </c>
      <c r="F20" s="25" t="inlineStr">
        <is>
          <t xml:space="preserve">25/02/2021 </t>
        </is>
      </c>
      <c r="G20" s="26" t="inlineStr">
        <is>
          <t xml:space="preserve">21513360B </t>
        </is>
      </c>
      <c r="H20" s="27" t="inlineStr">
        <is>
          <t xml:space="preserve">Director de tesis </t>
        </is>
      </c>
      <c r="I20" s="27" t="inlineStr">
        <is>
          <t xml:space="preserve">B158 </t>
        </is>
      </c>
      <c r="J20" s="28" t="inlineStr">
        <is>
          <t xml:space="preserve">LENGUAJES Y SISTEMAS INFORMÁTICOS </t>
        </is>
      </c>
      <c r="K20" s="19" t="n">
        <v>1</v>
      </c>
      <c r="L20" s="19" t="inlineStr">
        <is>
          <t>B158</t>
        </is>
      </c>
      <c r="M20" s="17" t="n">
        <v>2020</v>
      </c>
      <c r="N20" s="17" t="inlineStr">
        <is>
          <t>10.19</t>
        </is>
      </c>
      <c r="O20" s="18" t="n">
        <v>20</v>
      </c>
      <c r="P20" s="17" t="inlineStr"/>
      <c r="Q20" s="18" t="n">
        <v>0</v>
      </c>
      <c r="R20" s="17" t="n">
        <v>80</v>
      </c>
      <c r="S20" s="17" t="n">
        <v>0.8</v>
      </c>
      <c r="T20" s="17" t="n">
        <v>0.2</v>
      </c>
      <c r="U20" s="17" t="n">
        <v>0</v>
      </c>
    </row>
    <row r="21" ht="12" customHeight="1" thickBot="1">
      <c r="A21" s="25" t="inlineStr">
        <is>
          <t xml:space="preserve">U062 </t>
        </is>
      </c>
      <c r="B21" s="25" t="inlineStr">
        <is>
          <t xml:space="preserve">ADM. I.U. DE INVESTIGACIÓN INFORMÁTICA </t>
        </is>
      </c>
      <c r="C21" s="25" t="inlineStr">
        <is>
          <t xml:space="preserve">DOCTORADO EN INFORMÁTICA </t>
        </is>
      </c>
      <c r="D21" s="25" t="inlineStr">
        <is>
          <t xml:space="preserve">Criollo Caizaguano, Luis </t>
        </is>
      </c>
      <c r="E21" s="25" t="inlineStr">
        <is>
          <t xml:space="preserve">Propuesta de un conjunto de herramientas para el análisis y evaluación de prácticas educativas innovadoras en el aprendizaje electrónico móvil </t>
        </is>
      </c>
      <c r="F21" s="25" t="inlineStr">
        <is>
          <t xml:space="preserve">08/09/2021 </t>
        </is>
      </c>
      <c r="G21" s="26" t="inlineStr">
        <is>
          <t xml:space="preserve">21513360B </t>
        </is>
      </c>
      <c r="H21" s="27" t="inlineStr">
        <is>
          <t xml:space="preserve">Director de tesis </t>
        </is>
      </c>
      <c r="I21" s="27" t="inlineStr">
        <is>
          <t xml:space="preserve">B158 </t>
        </is>
      </c>
      <c r="J21" s="28" t="inlineStr">
        <is>
          <t xml:space="preserve">LENGUAJES Y SISTEMAS INFORMÁTICOS </t>
        </is>
      </c>
      <c r="K21" s="19" t="n">
        <v>1</v>
      </c>
      <c r="L21" s="19" t="inlineStr">
        <is>
          <t>B158</t>
        </is>
      </c>
      <c r="M21" s="17" t="n">
        <v>2020</v>
      </c>
      <c r="N21" s="17" t="inlineStr">
        <is>
          <t>10.19</t>
        </is>
      </c>
      <c r="O21" s="18" t="n">
        <v>20</v>
      </c>
      <c r="P21" s="17" t="inlineStr"/>
      <c r="Q21" s="18" t="n">
        <v>0</v>
      </c>
      <c r="R21" s="17" t="n">
        <v>80</v>
      </c>
      <c r="S21" s="17" t="n">
        <v>0.8</v>
      </c>
      <c r="T21" s="17" t="n">
        <v>0.2</v>
      </c>
      <c r="U21" s="17" t="n">
        <v>0</v>
      </c>
    </row>
    <row r="22" ht="12" customHeight="1" thickBot="1">
      <c r="A22" s="25" t="inlineStr">
        <is>
          <t xml:space="preserve">U062 </t>
        </is>
      </c>
      <c r="B22" s="25" t="inlineStr">
        <is>
          <t xml:space="preserve">ADM. I.U. DE INVESTIGACIÓN INFORMÁTICA </t>
        </is>
      </c>
      <c r="C22" s="25" t="inlineStr">
        <is>
          <t xml:space="preserve">DOCTORADO EN INFORMÁTICA </t>
        </is>
      </c>
      <c r="D22" s="25" t="inlineStr">
        <is>
          <t xml:space="preserve">Lavalle López, Ana </t>
        </is>
      </c>
      <c r="E22" s="25" t="inlineStr">
        <is>
          <t xml:space="preserve">A methodology for the visual comprehension of Big Data </t>
        </is>
      </c>
      <c r="F22" s="25" t="inlineStr">
        <is>
          <t xml:space="preserve">15/07/2021 </t>
        </is>
      </c>
      <c r="G22" s="26" t="inlineStr">
        <is>
          <t xml:space="preserve">48558539L </t>
        </is>
      </c>
      <c r="H22" s="27" t="inlineStr">
        <is>
          <t xml:space="preserve">Codirector de tesis </t>
        </is>
      </c>
      <c r="I22" s="27" t="inlineStr">
        <is>
          <t xml:space="preserve">B158 </t>
        </is>
      </c>
      <c r="J22" s="28" t="inlineStr">
        <is>
          <t xml:space="preserve">LENGUAJES Y SISTEMAS INFORMÁTICOS </t>
        </is>
      </c>
      <c r="K22" s="19" t="n">
        <v>0.5</v>
      </c>
      <c r="L22" s="19" t="inlineStr">
        <is>
          <t>B158</t>
        </is>
      </c>
      <c r="M22" s="17" t="n">
        <v>2020</v>
      </c>
      <c r="N22" s="17" t="inlineStr">
        <is>
          <t>10.19</t>
        </is>
      </c>
      <c r="O22" s="18" t="n">
        <v>20</v>
      </c>
      <c r="P22" s="17" t="inlineStr"/>
      <c r="Q22" s="18" t="n">
        <v>0</v>
      </c>
      <c r="R22" s="17" t="n">
        <v>80</v>
      </c>
      <c r="S22" s="17" t="n">
        <v>0.4</v>
      </c>
      <c r="T22" s="17" t="n">
        <v>0.1</v>
      </c>
      <c r="U22" s="17" t="n">
        <v>0</v>
      </c>
    </row>
    <row r="23" ht="12" customHeight="1" thickBot="1">
      <c r="A23" s="25" t="inlineStr">
        <is>
          <t xml:space="preserve">U062 </t>
        </is>
      </c>
      <c r="B23" s="25" t="inlineStr">
        <is>
          <t xml:space="preserve">ADM. I.U. DE INVESTIGACIÓN INFORMÁTICA </t>
        </is>
      </c>
      <c r="C23" s="25" t="inlineStr">
        <is>
          <t xml:space="preserve">DOCTORADO EN INFORMÁTICA </t>
        </is>
      </c>
      <c r="D23" s="25" t="inlineStr">
        <is>
          <t xml:space="preserve">Lavalle López, Ana </t>
        </is>
      </c>
      <c r="E23" s="25" t="inlineStr">
        <is>
          <t xml:space="preserve">A methodology for the visual comprehension of Big Data </t>
        </is>
      </c>
      <c r="F23" s="25" t="inlineStr">
        <is>
          <t xml:space="preserve">15/07/2021 </t>
        </is>
      </c>
      <c r="G23" s="26" t="inlineStr">
        <is>
          <t xml:space="preserve">21494991L </t>
        </is>
      </c>
      <c r="H23" s="27" t="inlineStr">
        <is>
          <t xml:space="preserve">Codirector de tesis </t>
        </is>
      </c>
      <c r="I23" s="27" t="inlineStr">
        <is>
          <t xml:space="preserve">B158 </t>
        </is>
      </c>
      <c r="J23" s="28" t="inlineStr">
        <is>
          <t xml:space="preserve">LENGUAJES Y SISTEMAS INFORMÁTICOS </t>
        </is>
      </c>
      <c r="K23" s="19" t="n">
        <v>0.5</v>
      </c>
      <c r="L23" s="19" t="inlineStr">
        <is>
          <t>B158</t>
        </is>
      </c>
      <c r="M23" s="17" t="n">
        <v>2020</v>
      </c>
      <c r="N23" s="17" t="inlineStr">
        <is>
          <t>10.19</t>
        </is>
      </c>
      <c r="O23" s="18" t="n">
        <v>20</v>
      </c>
      <c r="P23" s="17" t="inlineStr"/>
      <c r="Q23" s="18" t="n">
        <v>0</v>
      </c>
      <c r="R23" s="17" t="n">
        <v>80</v>
      </c>
      <c r="S23" s="17" t="n">
        <v>0.4</v>
      </c>
      <c r="T23" s="17" t="n">
        <v>0.1</v>
      </c>
      <c r="U23" s="17" t="n">
        <v>0</v>
      </c>
    </row>
    <row r="24" ht="12" customHeight="1" thickBot="1">
      <c r="A24" s="25" t="inlineStr">
        <is>
          <t xml:space="preserve">U062 </t>
        </is>
      </c>
      <c r="B24" s="25" t="inlineStr">
        <is>
          <t xml:space="preserve">ADM. I.U. DE INVESTIGACIÓN INFORMÁTICA </t>
        </is>
      </c>
      <c r="C24" s="25" t="inlineStr">
        <is>
          <t xml:space="preserve">DOCTORADO EN INFORMÁTICA </t>
        </is>
      </c>
      <c r="D24" s="25" t="inlineStr">
        <is>
          <t xml:space="preserve">Ortega Bastida, Javier </t>
        </is>
      </c>
      <c r="E24" s="25" t="inlineStr">
        <is>
          <t xml:space="preserve">Aproximación de soluciones multimodales para aplicaciones Deep Learning. </t>
        </is>
      </c>
      <c r="F24" s="25" t="inlineStr">
        <is>
          <t xml:space="preserve">30/09/2021 </t>
        </is>
      </c>
      <c r="G24" s="26" t="inlineStr">
        <is>
          <t xml:space="preserve">48531956R </t>
        </is>
      </c>
      <c r="H24" s="27" t="inlineStr">
        <is>
          <t xml:space="preserve">Codirector de tesis </t>
        </is>
      </c>
      <c r="I24" s="27" t="inlineStr">
        <is>
          <t xml:space="preserve">B158 </t>
        </is>
      </c>
      <c r="J24" s="28" t="inlineStr">
        <is>
          <t xml:space="preserve">LENGUAJES Y SISTEMAS INFORMÁTICOS </t>
        </is>
      </c>
      <c r="K24" s="19" t="n">
        <v>0.5</v>
      </c>
      <c r="L24" s="19" t="inlineStr">
        <is>
          <t>B158</t>
        </is>
      </c>
      <c r="M24" s="17" t="n">
        <v>2020</v>
      </c>
      <c r="N24" s="17" t="inlineStr">
        <is>
          <t>10.19</t>
        </is>
      </c>
      <c r="O24" s="18" t="n">
        <v>20</v>
      </c>
      <c r="P24" s="17" t="inlineStr"/>
      <c r="Q24" s="18" t="n">
        <v>0</v>
      </c>
      <c r="R24" s="17" t="n">
        <v>80</v>
      </c>
      <c r="S24" s="17" t="n">
        <v>0.4</v>
      </c>
      <c r="T24" s="17" t="n">
        <v>0.1</v>
      </c>
      <c r="U24" s="17" t="n">
        <v>0</v>
      </c>
    </row>
    <row r="25" ht="12" customHeight="1" thickBot="1">
      <c r="A25" s="25" t="inlineStr">
        <is>
          <t xml:space="preserve">U062 </t>
        </is>
      </c>
      <c r="B25" s="25" t="inlineStr">
        <is>
          <t xml:space="preserve">ADM. I.U. DE INVESTIGACIÓN INFORMÁTICA </t>
        </is>
      </c>
      <c r="C25" s="25" t="inlineStr">
        <is>
          <t xml:space="preserve">DOCTORADO EN INFORMÁTICA </t>
        </is>
      </c>
      <c r="D25" s="25" t="inlineStr">
        <is>
          <t xml:space="preserve">Ortega Bastida, Javier </t>
        </is>
      </c>
      <c r="E25" s="25" t="inlineStr">
        <is>
          <t xml:space="preserve">Aproximación de soluciones multimodales para aplicaciones Deep Learning. </t>
        </is>
      </c>
      <c r="F25" s="25" t="inlineStr">
        <is>
          <t xml:space="preserve">30/09/2021 </t>
        </is>
      </c>
      <c r="G25" s="26" t="inlineStr">
        <is>
          <t xml:space="preserve">73766251F </t>
        </is>
      </c>
      <c r="H25" s="27" t="inlineStr">
        <is>
          <t xml:space="preserve">Codirector de tesis </t>
        </is>
      </c>
      <c r="I25" s="27" t="inlineStr">
        <is>
          <t xml:space="preserve">B158 </t>
        </is>
      </c>
      <c r="J25" s="28" t="inlineStr">
        <is>
          <t xml:space="preserve">LENGUAJES Y SISTEMAS INFORMÁTICOS </t>
        </is>
      </c>
      <c r="K25" s="19" t="n">
        <v>0.5</v>
      </c>
      <c r="L25" s="19" t="inlineStr">
        <is>
          <t>B158</t>
        </is>
      </c>
      <c r="M25" s="17" t="n">
        <v>2020</v>
      </c>
      <c r="N25" s="17" t="inlineStr">
        <is>
          <t>10.19</t>
        </is>
      </c>
      <c r="O25" s="18" t="n">
        <v>20</v>
      </c>
      <c r="P25" s="17" t="inlineStr"/>
      <c r="Q25" s="18" t="n">
        <v>0</v>
      </c>
      <c r="R25" s="17" t="n">
        <v>80</v>
      </c>
      <c r="S25" s="17" t="n">
        <v>0.4</v>
      </c>
      <c r="T25" s="17" t="n">
        <v>0.1</v>
      </c>
      <c r="U25" s="17" t="n">
        <v>0</v>
      </c>
    </row>
    <row r="26" ht="12" customHeight="1" thickBot="1">
      <c r="A26" s="25" t="inlineStr">
        <is>
          <t xml:space="preserve">U062 </t>
        </is>
      </c>
      <c r="B26" s="25" t="inlineStr">
        <is>
          <t xml:space="preserve">ADM. I.U. DE INVESTIGACIÓN INFORMÁTICA </t>
        </is>
      </c>
      <c r="C26" s="25" t="inlineStr">
        <is>
          <t xml:space="preserve">DOCTORADO EN INFORMÁTICA </t>
        </is>
      </c>
      <c r="D26" s="25" t="inlineStr">
        <is>
          <t xml:space="preserve">Tardio Olmos, Roberto </t>
        </is>
      </c>
      <c r="E26" s="25" t="inlineStr">
        <is>
          <t xml:space="preserve">Un método iterativo y alineado con los planes estratégicos para modelar, integrar y analizar datos en escenarios Big Data. </t>
        </is>
      </c>
      <c r="F26" s="25" t="inlineStr">
        <is>
          <t xml:space="preserve">19/07/2021 </t>
        </is>
      </c>
      <c r="G26" s="26" t="inlineStr">
        <is>
          <t xml:space="preserve">48558539L </t>
        </is>
      </c>
      <c r="H26" s="27" t="inlineStr">
        <is>
          <t xml:space="preserve">Codirector de tesis </t>
        </is>
      </c>
      <c r="I26" s="27" t="inlineStr">
        <is>
          <t xml:space="preserve">B158 </t>
        </is>
      </c>
      <c r="J26" s="28" t="inlineStr">
        <is>
          <t xml:space="preserve">LENGUAJES Y SISTEMAS INFORMÁTICOS </t>
        </is>
      </c>
      <c r="K26" s="19" t="n">
        <v>0.5</v>
      </c>
      <c r="L26" s="19" t="inlineStr">
        <is>
          <t>B158</t>
        </is>
      </c>
      <c r="M26" s="17" t="n">
        <v>2020</v>
      </c>
      <c r="N26" s="17" t="inlineStr">
        <is>
          <t>10.19</t>
        </is>
      </c>
      <c r="O26" s="18" t="n">
        <v>20</v>
      </c>
      <c r="P26" s="17" t="inlineStr"/>
      <c r="Q26" s="18" t="n">
        <v>0</v>
      </c>
      <c r="R26" s="17" t="n">
        <v>80</v>
      </c>
      <c r="S26" s="17" t="n">
        <v>0.4</v>
      </c>
      <c r="T26" s="17" t="n">
        <v>0.1</v>
      </c>
      <c r="U26" s="17" t="n">
        <v>0</v>
      </c>
    </row>
    <row r="27" ht="12" customHeight="1" thickBot="1">
      <c r="A27" s="25" t="inlineStr">
        <is>
          <t xml:space="preserve">U062 </t>
        </is>
      </c>
      <c r="B27" s="25" t="inlineStr">
        <is>
          <t xml:space="preserve">ADM. I.U. DE INVESTIGACIÓN INFORMÁTICA </t>
        </is>
      </c>
      <c r="C27" s="25" t="inlineStr">
        <is>
          <t xml:space="preserve">DOCTORADO EN INFORMÁTICA </t>
        </is>
      </c>
      <c r="D27" s="25" t="inlineStr">
        <is>
          <t xml:space="preserve">Tardio Olmos, Roberto </t>
        </is>
      </c>
      <c r="E27" s="25" t="inlineStr">
        <is>
          <t xml:space="preserve">Un método iterativo y alineado con los planes estratégicos para modelar, integrar y analizar datos en escenarios Big Data. </t>
        </is>
      </c>
      <c r="F27" s="25" t="inlineStr">
        <is>
          <t xml:space="preserve">19/07/2021 </t>
        </is>
      </c>
      <c r="G27" s="26" t="inlineStr">
        <is>
          <t xml:space="preserve">21494991L </t>
        </is>
      </c>
      <c r="H27" s="27" t="inlineStr">
        <is>
          <t xml:space="preserve">Codirector de tesis </t>
        </is>
      </c>
      <c r="I27" s="27" t="inlineStr">
        <is>
          <t xml:space="preserve">B158 </t>
        </is>
      </c>
      <c r="J27" s="28" t="inlineStr">
        <is>
          <t xml:space="preserve">LENGUAJES Y SISTEMAS INFORMÁTICOS </t>
        </is>
      </c>
      <c r="K27" s="19" t="n">
        <v>0.5</v>
      </c>
      <c r="L27" s="19" t="inlineStr">
        <is>
          <t>B158</t>
        </is>
      </c>
      <c r="M27" s="17" t="n">
        <v>2020</v>
      </c>
      <c r="N27" s="17" t="inlineStr">
        <is>
          <t>10.19</t>
        </is>
      </c>
      <c r="O27" s="18" t="n">
        <v>20</v>
      </c>
      <c r="P27" s="17" t="inlineStr"/>
      <c r="Q27" s="18" t="n">
        <v>0</v>
      </c>
      <c r="R27" s="17" t="n">
        <v>80</v>
      </c>
      <c r="S27" s="17" t="n">
        <v>0.4</v>
      </c>
      <c r="T27" s="17" t="n">
        <v>0.1</v>
      </c>
      <c r="U27" s="17" t="n">
        <v>0</v>
      </c>
    </row>
    <row r="28" ht="12" customHeight="1" thickBot="1">
      <c r="A28" s="25" t="inlineStr">
        <is>
          <t xml:space="preserve">U062 </t>
        </is>
      </c>
      <c r="B28" s="25" t="inlineStr">
        <is>
          <t xml:space="preserve">ADM. I.U. DE INVESTIGACIÓN INFORMÁTICA </t>
        </is>
      </c>
      <c r="C28" s="25" t="inlineStr">
        <is>
          <t xml:space="preserve">DOCTORADO EN INFORMÁTICA </t>
        </is>
      </c>
      <c r="D28" s="25" t="inlineStr">
        <is>
          <t xml:space="preserve">Román García, Miguel Ángel </t>
        </is>
      </c>
      <c r="E28" s="25" t="inlineStr">
        <is>
          <t xml:space="preserve">An End-to-End Framework for Audio to Score Music Transcription </t>
        </is>
      </c>
      <c r="F28" s="25" t="inlineStr">
        <is>
          <t xml:space="preserve">20/01/2021 </t>
        </is>
      </c>
      <c r="G28" s="26" t="inlineStr">
        <is>
          <t xml:space="preserve">48455569C </t>
        </is>
      </c>
      <c r="H28" s="27" t="inlineStr">
        <is>
          <t xml:space="preserve">Codirector de tesis </t>
        </is>
      </c>
      <c r="I28" s="27" t="inlineStr">
        <is>
          <t xml:space="preserve">B158 </t>
        </is>
      </c>
      <c r="J28" s="28" t="inlineStr">
        <is>
          <t xml:space="preserve">LENGUAJES Y SISTEMAS INFORMÁTICOS </t>
        </is>
      </c>
      <c r="K28" s="19" t="n">
        <v>0.5</v>
      </c>
      <c r="L28" s="19" t="inlineStr">
        <is>
          <t>B158</t>
        </is>
      </c>
      <c r="M28" s="17" t="n">
        <v>2020</v>
      </c>
      <c r="N28" s="17" t="inlineStr">
        <is>
          <t>10.19</t>
        </is>
      </c>
      <c r="O28" s="18" t="n">
        <v>50</v>
      </c>
      <c r="P28" s="17" t="inlineStr"/>
      <c r="Q28" s="18" t="n">
        <v>0</v>
      </c>
      <c r="R28" s="17" t="n">
        <v>50</v>
      </c>
      <c r="S28" s="17" t="n">
        <v>0.25</v>
      </c>
      <c r="T28" s="17" t="n">
        <v>0.25</v>
      </c>
      <c r="U28" s="17" t="n">
        <v>0</v>
      </c>
    </row>
    <row r="29" ht="12" customHeight="1" thickBot="1">
      <c r="A29" s="25" t="inlineStr">
        <is>
          <t xml:space="preserve">U062 </t>
        </is>
      </c>
      <c r="B29" s="25" t="inlineStr">
        <is>
          <t xml:space="preserve">ADM. I.U. DE INVESTIGACIÓN INFORMÁTICA </t>
        </is>
      </c>
      <c r="C29" s="25" t="inlineStr">
        <is>
          <t xml:space="preserve">DOCTORADO EN INFORMÁTICA </t>
        </is>
      </c>
      <c r="D29" s="25" t="inlineStr">
        <is>
          <t xml:space="preserve">Román García, Miguel Ángel </t>
        </is>
      </c>
      <c r="E29" s="25" t="inlineStr">
        <is>
          <t xml:space="preserve">An End-to-End Framework for Audio to Score Music Transcription </t>
        </is>
      </c>
      <c r="F29" s="25" t="inlineStr">
        <is>
          <t xml:space="preserve">20/01/2021 </t>
        </is>
      </c>
      <c r="G29" s="26" t="inlineStr">
        <is>
          <t xml:space="preserve">74004743N </t>
        </is>
      </c>
      <c r="H29" s="27" t="inlineStr">
        <is>
          <t xml:space="preserve">Codirector de tesis </t>
        </is>
      </c>
      <c r="I29" s="27" t="inlineStr">
        <is>
          <t xml:space="preserve">B158 </t>
        </is>
      </c>
      <c r="J29" s="28" t="inlineStr">
        <is>
          <t xml:space="preserve">LENGUAJES Y SISTEMAS INFORMÁTICOS </t>
        </is>
      </c>
      <c r="K29" s="19" t="n">
        <v>0.5</v>
      </c>
      <c r="L29" s="19" t="inlineStr">
        <is>
          <t>B158</t>
        </is>
      </c>
      <c r="M29" s="17" t="n">
        <v>2020</v>
      </c>
      <c r="N29" s="17" t="inlineStr">
        <is>
          <t>10.19</t>
        </is>
      </c>
      <c r="O29" s="18" t="n">
        <v>20</v>
      </c>
      <c r="P29" s="17" t="inlineStr"/>
      <c r="Q29" s="18" t="n">
        <v>0</v>
      </c>
      <c r="R29" s="17" t="n">
        <v>80</v>
      </c>
      <c r="S29" s="17" t="n">
        <v>0.4</v>
      </c>
      <c r="T29" s="17" t="n">
        <v>0.1</v>
      </c>
      <c r="U29" s="17" t="n">
        <v>0</v>
      </c>
    </row>
    <row r="30" ht="12" customHeight="1" thickBot="1">
      <c r="A30" s="25" t="inlineStr">
        <is>
          <t xml:space="preserve">U062 </t>
        </is>
      </c>
      <c r="B30" s="25" t="inlineStr">
        <is>
          <t xml:space="preserve">ADM. I.U. DE INVESTIGACIÓN INFORMÁTICA </t>
        </is>
      </c>
      <c r="C30" s="25" t="inlineStr">
        <is>
          <t xml:space="preserve">DOCTORADO EN INFORMÁTICA </t>
        </is>
      </c>
      <c r="D30" s="25" t="inlineStr">
        <is>
          <t xml:space="preserve">González Mora, César </t>
        </is>
      </c>
      <c r="E30" s="25" t="inlineStr">
        <is>
          <t xml:space="preserve">An APIfication Approach to Facilitate the Access and Reuse of Open Data </t>
        </is>
      </c>
      <c r="F30" s="25" t="inlineStr">
        <is>
          <t xml:space="preserve">10/09/2021 </t>
        </is>
      </c>
      <c r="G30" s="26" t="inlineStr">
        <is>
          <t xml:space="preserve">48351140B </t>
        </is>
      </c>
      <c r="H30" s="27" t="inlineStr">
        <is>
          <t xml:space="preserve">Codirector de tesis </t>
        </is>
      </c>
      <c r="I30" s="27" t="inlineStr">
        <is>
          <t xml:space="preserve">B158 </t>
        </is>
      </c>
      <c r="J30" s="28" t="inlineStr">
        <is>
          <t xml:space="preserve">LENGUAJES Y SISTEMAS INFORMÁTICOS </t>
        </is>
      </c>
      <c r="K30" s="19" t="n">
        <v>0.5</v>
      </c>
      <c r="L30" s="19" t="inlineStr">
        <is>
          <t>B158</t>
        </is>
      </c>
      <c r="M30" s="17" t="n">
        <v>2020</v>
      </c>
      <c r="N30" s="17" t="inlineStr">
        <is>
          <t>10.19</t>
        </is>
      </c>
      <c r="O30" s="18" t="n">
        <v>20</v>
      </c>
      <c r="P30" s="17" t="inlineStr"/>
      <c r="Q30" s="18" t="n">
        <v>0</v>
      </c>
      <c r="R30" s="17" t="n">
        <v>80</v>
      </c>
      <c r="S30" s="17" t="n">
        <v>0.4</v>
      </c>
      <c r="T30" s="17" t="n">
        <v>0.1</v>
      </c>
      <c r="U30" s="17" t="n">
        <v>0</v>
      </c>
    </row>
    <row r="31" ht="12" customHeight="1" thickBot="1">
      <c r="A31" s="25" t="inlineStr">
        <is>
          <t xml:space="preserve">U062 </t>
        </is>
      </c>
      <c r="B31" s="25" t="inlineStr">
        <is>
          <t xml:space="preserve">ADM. I.U. DE INVESTIGACIÓN INFORMÁTICA </t>
        </is>
      </c>
      <c r="C31" s="25" t="inlineStr">
        <is>
          <t xml:space="preserve">DOCTORADO EN INFORMÁTICA </t>
        </is>
      </c>
      <c r="D31" s="25" t="inlineStr">
        <is>
          <t xml:space="preserve">Ortega , John Evan </t>
        </is>
      </c>
      <c r="E31" s="25" t="inlineStr">
        <is>
          <t xml:space="preserve">Fuzzy-match repair in computer-aided translation using black-box machine translation </t>
        </is>
      </c>
      <c r="F31" s="25" t="inlineStr">
        <is>
          <t xml:space="preserve">01/03/2021 </t>
        </is>
      </c>
      <c r="G31" s="26" t="inlineStr">
        <is>
          <t xml:space="preserve">21512592W </t>
        </is>
      </c>
      <c r="H31" s="27" t="inlineStr">
        <is>
          <t xml:space="preserve">Director de tesis </t>
        </is>
      </c>
      <c r="I31" s="27" t="inlineStr">
        <is>
          <t xml:space="preserve">B158 </t>
        </is>
      </c>
      <c r="J31" s="28" t="inlineStr">
        <is>
          <t xml:space="preserve">LENGUAJES Y SISTEMAS INFORMÁTICOS </t>
        </is>
      </c>
      <c r="K31" s="19" t="n">
        <v>1</v>
      </c>
      <c r="L31" s="19" t="inlineStr">
        <is>
          <t>B158</t>
        </is>
      </c>
      <c r="M31" s="17" t="n">
        <v>2020</v>
      </c>
      <c r="N31" s="17" t="inlineStr">
        <is>
          <t>10.19</t>
        </is>
      </c>
      <c r="O31" s="18" t="n">
        <v>20</v>
      </c>
      <c r="P31" s="17" t="inlineStr"/>
      <c r="Q31" s="18" t="n">
        <v>0</v>
      </c>
      <c r="R31" s="17" t="n">
        <v>80</v>
      </c>
      <c r="S31" s="17" t="n">
        <v>0.8</v>
      </c>
      <c r="T31" s="17" t="n">
        <v>0.2</v>
      </c>
      <c r="U31" s="17" t="n">
        <v>0</v>
      </c>
    </row>
    <row r="32">
      <c r="A32" s="17" t="inlineStr">
        <is>
          <t xml:space="preserve">U062 </t>
        </is>
      </c>
      <c r="B32" s="17" t="inlineStr">
        <is>
          <t xml:space="preserve">ADM. I.U. DE INVESTIGACIÓN INFORMÁTICA </t>
        </is>
      </c>
      <c r="C32" s="17" t="inlineStr">
        <is>
          <t xml:space="preserve">DOCTORADO EN INFORMÁTICA </t>
        </is>
      </c>
      <c r="D32" s="17" t="inlineStr">
        <is>
          <t xml:space="preserve">Diéguez Rebolledo, Mauricio Rubén </t>
        </is>
      </c>
      <c r="E32" s="17" t="inlineStr">
        <is>
          <t xml:space="preserve">Enfoque metodológico para la selección de controles de seguridad de la información </t>
        </is>
      </c>
      <c r="F32" s="17" t="inlineStr">
        <is>
          <t xml:space="preserve">18/02/2022 </t>
        </is>
      </c>
      <c r="G32" s="17" t="inlineStr">
        <is>
          <t xml:space="preserve">33481301V </t>
        </is>
      </c>
      <c r="H32" s="17" t="inlineStr">
        <is>
          <t xml:space="preserve">Codirector de tesis </t>
        </is>
      </c>
      <c r="I32" s="17" t="inlineStr">
        <is>
          <t xml:space="preserve">B158 </t>
        </is>
      </c>
      <c r="J32" s="17" t="inlineStr">
        <is>
          <t xml:space="preserve">LENGUAJES Y SISTEMAS INFORMÁTICOS </t>
        </is>
      </c>
      <c r="K32" s="19" t="n">
        <v>0.5</v>
      </c>
      <c r="L32" s="19" t="inlineStr">
        <is>
          <t>B158</t>
        </is>
      </c>
      <c r="M32" s="17" t="n">
        <v>2021</v>
      </c>
      <c r="N32" s="17" t="inlineStr">
        <is>
          <t>10.19</t>
        </is>
      </c>
      <c r="O32" s="18" t="n">
        <v>20</v>
      </c>
      <c r="P32" s="17" t="inlineStr"/>
      <c r="Q32" s="18" t="n">
        <v>0</v>
      </c>
      <c r="R32" s="17" t="n">
        <v>80</v>
      </c>
      <c r="S32" s="17" t="n">
        <v>0.4</v>
      </c>
      <c r="T32" s="17" t="n">
        <v>0.1</v>
      </c>
      <c r="U32" s="17" t="n">
        <v>0</v>
      </c>
    </row>
    <row r="33">
      <c r="A33" s="17" t="inlineStr">
        <is>
          <t xml:space="preserve">U062 </t>
        </is>
      </c>
      <c r="B33" s="17" t="inlineStr">
        <is>
          <t xml:space="preserve">ADM. I.U. DE INVESTIGACIÓN INFORMÁTICA </t>
        </is>
      </c>
      <c r="C33" s="17" t="inlineStr">
        <is>
          <t xml:space="preserve">DOCTORADO EN INFORMÁTICA </t>
        </is>
      </c>
      <c r="D33" s="17" t="inlineStr">
        <is>
          <t xml:space="preserve">Larco Ampudia, Enrique Andrés </t>
        </is>
      </c>
      <c r="E33" s="17" t="inlineStr">
        <is>
          <t xml:space="preserve">Desarrollo de software basado en experiencia de usuario y prototipado para personas con discapacidad </t>
        </is>
      </c>
      <c r="F33" s="17" t="inlineStr">
        <is>
          <t xml:space="preserve">23/02/2022 </t>
        </is>
      </c>
      <c r="G33" s="17" t="inlineStr">
        <is>
          <t xml:space="preserve">21513360B </t>
        </is>
      </c>
      <c r="H33" s="17" t="inlineStr">
        <is>
          <t xml:space="preserve">Director de tesis </t>
        </is>
      </c>
      <c r="I33" s="17" t="inlineStr">
        <is>
          <t xml:space="preserve">B158 </t>
        </is>
      </c>
      <c r="J33" s="17" t="inlineStr">
        <is>
          <t xml:space="preserve">LENGUAJES Y SISTEMAS INFORMÁTICOS </t>
        </is>
      </c>
      <c r="K33" s="19" t="n">
        <v>1</v>
      </c>
      <c r="L33" s="19" t="inlineStr">
        <is>
          <t>B158</t>
        </is>
      </c>
      <c r="M33" s="17" t="n">
        <v>2021</v>
      </c>
      <c r="N33" s="17" t="inlineStr">
        <is>
          <t>10.19</t>
        </is>
      </c>
      <c r="O33" s="18" t="n">
        <v>20</v>
      </c>
      <c r="P33" s="17" t="inlineStr"/>
      <c r="Q33" s="18" t="n">
        <v>0</v>
      </c>
      <c r="R33" s="17" t="n">
        <v>80</v>
      </c>
      <c r="S33" s="17" t="n">
        <v>0.8</v>
      </c>
      <c r="T33" s="17" t="n">
        <v>0.2</v>
      </c>
      <c r="U33" s="17" t="n">
        <v>0</v>
      </c>
    </row>
    <row r="34">
      <c r="A34" s="17" t="inlineStr">
        <is>
          <t xml:space="preserve">U062 </t>
        </is>
      </c>
      <c r="B34" s="17" t="inlineStr">
        <is>
          <t xml:space="preserve">ADM. I.U. DE INVESTIGACIÓN INFORMÁTICA </t>
        </is>
      </c>
      <c r="C34" s="17" t="inlineStr">
        <is>
          <t xml:space="preserve">DOCTORADO EN INFORMÁTICA </t>
        </is>
      </c>
      <c r="D34" s="17" t="inlineStr">
        <is>
          <t xml:space="preserve">Jaramillo Alcázar, Ángel Gabriel </t>
        </is>
      </c>
      <c r="E34" s="17" t="inlineStr">
        <is>
          <t xml:space="preserve">PROPUESTA DE UN MÉTODO PARA EL DESARROLLO DE VIDEOJUEGOS SERIOS </t>
        </is>
      </c>
      <c r="F34" s="17" t="inlineStr">
        <is>
          <t xml:space="preserve">08/06/2022 </t>
        </is>
      </c>
      <c r="G34" s="17" t="inlineStr">
        <is>
          <t xml:space="preserve">21513360B </t>
        </is>
      </c>
      <c r="H34" s="17" t="inlineStr">
        <is>
          <t xml:space="preserve">Director de tesis </t>
        </is>
      </c>
      <c r="I34" s="17" t="inlineStr">
        <is>
          <t xml:space="preserve">B158 </t>
        </is>
      </c>
      <c r="J34" s="17" t="inlineStr">
        <is>
          <t xml:space="preserve">LENGUAJES Y SISTEMAS INFORMÁTICOS </t>
        </is>
      </c>
      <c r="K34" s="19" t="n">
        <v>1</v>
      </c>
      <c r="L34" s="19" t="inlineStr">
        <is>
          <t>B158</t>
        </is>
      </c>
      <c r="M34" s="17" t="n">
        <v>2021</v>
      </c>
      <c r="N34" s="17" t="inlineStr">
        <is>
          <t>10.19</t>
        </is>
      </c>
      <c r="O34" s="18" t="n">
        <v>20</v>
      </c>
      <c r="P34" s="17" t="inlineStr"/>
      <c r="Q34" s="18" t="n">
        <v>0</v>
      </c>
      <c r="R34" s="17" t="n">
        <v>80</v>
      </c>
      <c r="S34" s="17" t="n">
        <v>0.8</v>
      </c>
      <c r="T34" s="17" t="n">
        <v>0.2</v>
      </c>
      <c r="U34" s="17" t="n">
        <v>0</v>
      </c>
    </row>
    <row r="35">
      <c r="A35" s="17" t="inlineStr">
        <is>
          <t xml:space="preserve">U062 </t>
        </is>
      </c>
      <c r="B35" s="17" t="inlineStr">
        <is>
          <t xml:space="preserve">ADM. I.U. DE INVESTIGACIÓN INFORMÁTICA </t>
        </is>
      </c>
      <c r="C35" s="17" t="inlineStr">
        <is>
          <t xml:space="preserve">DOCTORADO EN INFORMÁTICA </t>
        </is>
      </c>
      <c r="D35" s="17" t="inlineStr">
        <is>
          <t xml:space="preserve">Martínez Mosquera, Silvia Diana </t>
        </is>
      </c>
      <c r="E35" s="17" t="inlineStr">
        <is>
          <t xml:space="preserve">Big data-driven optimization for performance management in mobile networks. </t>
        </is>
      </c>
      <c r="F35" s="17" t="inlineStr">
        <is>
          <t xml:space="preserve">15/11/2021 </t>
        </is>
      </c>
      <c r="G35" s="17" t="inlineStr">
        <is>
          <t xml:space="preserve">21513360B </t>
        </is>
      </c>
      <c r="H35" s="17" t="inlineStr">
        <is>
          <t xml:space="preserve">Director de tesis </t>
        </is>
      </c>
      <c r="I35" s="17" t="inlineStr">
        <is>
          <t xml:space="preserve">B158 </t>
        </is>
      </c>
      <c r="J35" s="17" t="inlineStr">
        <is>
          <t xml:space="preserve">LENGUAJES Y SISTEMAS INFORMÁTICOS </t>
        </is>
      </c>
      <c r="K35" s="19" t="n">
        <v>1</v>
      </c>
      <c r="L35" s="19" t="inlineStr">
        <is>
          <t>B158</t>
        </is>
      </c>
      <c r="M35" s="17" t="n">
        <v>2021</v>
      </c>
      <c r="N35" s="17" t="inlineStr">
        <is>
          <t>10.19</t>
        </is>
      </c>
      <c r="O35" s="18" t="n">
        <v>20</v>
      </c>
      <c r="P35" s="17" t="inlineStr"/>
      <c r="Q35" s="18" t="n">
        <v>0</v>
      </c>
      <c r="R35" s="17" t="n">
        <v>80</v>
      </c>
      <c r="S35" s="17" t="n">
        <v>0.8</v>
      </c>
      <c r="T35" s="17" t="n">
        <v>0.2</v>
      </c>
      <c r="U35" s="17" t="n">
        <v>0</v>
      </c>
    </row>
    <row r="36">
      <c r="A36" s="17" t="inlineStr">
        <is>
          <t xml:space="preserve">U062 </t>
        </is>
      </c>
      <c r="B36" s="17" t="inlineStr">
        <is>
          <t xml:space="preserve">ADM. I.U. DE INVESTIGACIÓN INFORMÁTICA </t>
        </is>
      </c>
      <c r="C36" s="17" t="inlineStr">
        <is>
          <t xml:space="preserve">DOCTORADO EN INFORMÁTICA </t>
        </is>
      </c>
      <c r="D36" s="17" t="inlineStr">
        <is>
          <t xml:space="preserve">Bernabeu Lledó, María Luisa </t>
        </is>
      </c>
      <c r="E36" s="17" t="inlineStr">
        <is>
          <t xml:space="preserve">Búsqueda de imágenes similares usando técnicas de aprendizaje automático </t>
        </is>
      </c>
      <c r="F36" s="17" t="inlineStr">
        <is>
          <t xml:space="preserve">15/07/2022 </t>
        </is>
      </c>
      <c r="G36" s="17" t="inlineStr">
        <is>
          <t xml:space="preserve">48455569C </t>
        </is>
      </c>
      <c r="H36" s="17" t="inlineStr">
        <is>
          <t xml:space="preserve">Codirector de tesis </t>
        </is>
      </c>
      <c r="I36" s="17" t="inlineStr">
        <is>
          <t xml:space="preserve">B158 </t>
        </is>
      </c>
      <c r="J36" s="17" t="inlineStr">
        <is>
          <t xml:space="preserve">LENGUAJES Y SISTEMAS INFORMÁTICOS </t>
        </is>
      </c>
      <c r="K36" s="19" t="n">
        <v>0.5</v>
      </c>
      <c r="L36" s="19" t="inlineStr">
        <is>
          <t>B158</t>
        </is>
      </c>
      <c r="M36" s="17" t="n">
        <v>2021</v>
      </c>
      <c r="N36" s="17" t="inlineStr">
        <is>
          <t>10.19</t>
        </is>
      </c>
      <c r="O36" s="18" t="n">
        <v>50</v>
      </c>
      <c r="P36" s="17" t="inlineStr"/>
      <c r="Q36" s="18" t="n">
        <v>0</v>
      </c>
      <c r="R36" s="17" t="n">
        <v>50</v>
      </c>
      <c r="S36" s="17" t="n">
        <v>0.25</v>
      </c>
      <c r="T36" s="17" t="n">
        <v>0.25</v>
      </c>
      <c r="U36" s="17" t="n">
        <v>0</v>
      </c>
    </row>
    <row r="37">
      <c r="A37" s="17" t="inlineStr">
        <is>
          <t xml:space="preserve">U062 </t>
        </is>
      </c>
      <c r="B37" s="17" t="inlineStr">
        <is>
          <t xml:space="preserve">ADM. I.U. DE INVESTIGACIÓN INFORMÁTICA </t>
        </is>
      </c>
      <c r="C37" s="17" t="inlineStr">
        <is>
          <t xml:space="preserve">DOCTORADO EN INFORMÁTICA </t>
        </is>
      </c>
      <c r="D37" s="17" t="inlineStr">
        <is>
          <t xml:space="preserve">Bernabeu Lledó, María Luisa </t>
        </is>
      </c>
      <c r="E37" s="17" t="inlineStr">
        <is>
          <t xml:space="preserve">Búsqueda de imágenes similares usando técnicas de aprendizaje automático </t>
        </is>
      </c>
      <c r="F37" s="17" t="inlineStr">
        <is>
          <t xml:space="preserve">15/07/2022 </t>
        </is>
      </c>
      <c r="G37" s="17" t="inlineStr">
        <is>
          <t xml:space="preserve">48531956R </t>
        </is>
      </c>
      <c r="H37" s="17" t="inlineStr">
        <is>
          <t xml:space="preserve">Codirector de tesis </t>
        </is>
      </c>
      <c r="I37" s="17" t="inlineStr">
        <is>
          <t xml:space="preserve">B158 </t>
        </is>
      </c>
      <c r="J37" s="17" t="inlineStr">
        <is>
          <t xml:space="preserve">LENGUAJES Y SISTEMAS INFORMÁTICOS </t>
        </is>
      </c>
      <c r="K37" s="19" t="n">
        <v>0.5</v>
      </c>
      <c r="L37" s="19" t="inlineStr">
        <is>
          <t>B158</t>
        </is>
      </c>
      <c r="M37" s="17" t="n">
        <v>2021</v>
      </c>
      <c r="N37" s="17" t="inlineStr">
        <is>
          <t>10.19</t>
        </is>
      </c>
      <c r="O37" s="18" t="n">
        <v>20</v>
      </c>
      <c r="P37" s="17" t="inlineStr"/>
      <c r="Q37" s="18" t="n">
        <v>0</v>
      </c>
      <c r="R37" s="17" t="n">
        <v>80</v>
      </c>
      <c r="S37" s="17" t="n">
        <v>0.4</v>
      </c>
      <c r="T37" s="17" t="n">
        <v>0.1</v>
      </c>
      <c r="U37" s="17" t="n">
        <v>0</v>
      </c>
    </row>
    <row r="38">
      <c r="A38" s="17" t="inlineStr">
        <is>
          <t xml:space="preserve">U062 </t>
        </is>
      </c>
      <c r="B38" s="17" t="inlineStr">
        <is>
          <t xml:space="preserve">ADM. I.U. DE INVESTIGACIÓN INFORMÁTICA </t>
        </is>
      </c>
      <c r="C38" s="17" t="inlineStr">
        <is>
          <t xml:space="preserve">DOCTORADO EN INFORMÁTICA </t>
        </is>
      </c>
      <c r="D38" s="17" t="inlineStr">
        <is>
          <t xml:space="preserve">Vicente Moreno, Esther Marta </t>
        </is>
      </c>
      <c r="E38" s="17" t="inlineStr">
        <is>
          <t xml:space="preserve">A Discourse-aware Macroplanning Approach for Text Generation and Beyond </t>
        </is>
      </c>
      <c r="F38" s="17" t="inlineStr">
        <is>
          <t xml:space="preserve">16/12/2021 </t>
        </is>
      </c>
      <c r="G38" s="17" t="inlineStr">
        <is>
          <t xml:space="preserve">53232971T </t>
        </is>
      </c>
      <c r="H38" s="17" t="inlineStr">
        <is>
          <t xml:space="preserve">Director de tesis </t>
        </is>
      </c>
      <c r="I38" s="17" t="inlineStr">
        <is>
          <t xml:space="preserve">B158 </t>
        </is>
      </c>
      <c r="J38" s="17" t="inlineStr">
        <is>
          <t xml:space="preserve">LENGUAJES Y SISTEMAS INFORMÁTICOS </t>
        </is>
      </c>
      <c r="K38" s="19" t="n">
        <v>1</v>
      </c>
      <c r="L38" s="19" t="inlineStr">
        <is>
          <t>B158</t>
        </is>
      </c>
      <c r="M38" s="17" t="n">
        <v>2021</v>
      </c>
      <c r="N38" s="17" t="inlineStr">
        <is>
          <t>10.19</t>
        </is>
      </c>
      <c r="O38" s="18" t="n">
        <v>20</v>
      </c>
      <c r="P38" s="17" t="inlineStr"/>
      <c r="Q38" s="18" t="n">
        <v>0</v>
      </c>
      <c r="R38" s="17" t="n">
        <v>80</v>
      </c>
      <c r="S38" s="17" t="n">
        <v>0.8</v>
      </c>
      <c r="T38" s="17" t="n">
        <v>0.2</v>
      </c>
      <c r="U38" s="17" t="n">
        <v>0</v>
      </c>
    </row>
    <row r="39">
      <c r="A39" s="17" t="inlineStr">
        <is>
          <t xml:space="preserve">U062 </t>
        </is>
      </c>
      <c r="B39" s="17" t="inlineStr">
        <is>
          <t xml:space="preserve">ADM. I.U. DE INVESTIGACIÓN INFORMÁTICA </t>
        </is>
      </c>
      <c r="C39" s="17" t="inlineStr">
        <is>
          <t xml:space="preserve">DOCTORADO EN INFORMÁTICA </t>
        </is>
      </c>
      <c r="D39" s="17" t="inlineStr">
        <is>
          <t xml:space="preserve">Piad Morffis, Alejandro </t>
        </is>
      </c>
      <c r="E39" s="17" t="inlineStr">
        <is>
          <t xml:space="preserve">Ecosistema para el Descubrimiento de Conocimiento en Lenguaje Natural </t>
        </is>
      </c>
      <c r="F39" s="17" t="inlineStr">
        <is>
          <t xml:space="preserve">16/12/2021 </t>
        </is>
      </c>
      <c r="G39" s="17" t="inlineStr">
        <is>
          <t xml:space="preserve">02380426H </t>
        </is>
      </c>
      <c r="H39" s="17" t="inlineStr">
        <is>
          <t xml:space="preserve">Codirector de tesis </t>
        </is>
      </c>
      <c r="I39" s="17" t="inlineStr">
        <is>
          <t xml:space="preserve">B158 </t>
        </is>
      </c>
      <c r="J39" s="17" t="inlineStr">
        <is>
          <t xml:space="preserve">LENGUAJES Y SISTEMAS INFORMÁTICOS </t>
        </is>
      </c>
      <c r="K39" s="19" t="n">
        <v>0.3333333333333333</v>
      </c>
      <c r="L39" s="19" t="inlineStr">
        <is>
          <t>B158</t>
        </is>
      </c>
      <c r="M39" s="17" t="n">
        <v>2021</v>
      </c>
      <c r="N39" s="17" t="inlineStr">
        <is>
          <t>10.19</t>
        </is>
      </c>
      <c r="O39" s="18" t="n">
        <v>20</v>
      </c>
      <c r="P39" s="17" t="inlineStr"/>
      <c r="Q39" s="18" t="n">
        <v>0</v>
      </c>
      <c r="R39" s="17" t="n">
        <v>80</v>
      </c>
      <c r="S39" s="17" t="n">
        <v>0.2666666666666667</v>
      </c>
      <c r="T39" s="17" t="n">
        <v>0.06666666666666667</v>
      </c>
      <c r="U39" s="17" t="n">
        <v>0</v>
      </c>
    </row>
    <row r="40">
      <c r="A40" s="17" t="inlineStr">
        <is>
          <t xml:space="preserve">U062 </t>
        </is>
      </c>
      <c r="B40" s="17" t="inlineStr">
        <is>
          <t xml:space="preserve">ADM. I.U. DE INVESTIGACIÓN INFORMÁTICA </t>
        </is>
      </c>
      <c r="C40" s="17" t="inlineStr">
        <is>
          <t xml:space="preserve">DOCTORADO EN INFORMÁTICA </t>
        </is>
      </c>
      <c r="D40" s="17" t="inlineStr">
        <is>
          <t xml:space="preserve">Piad Morffis, Alejandro </t>
        </is>
      </c>
      <c r="E40" s="17" t="inlineStr">
        <is>
          <t xml:space="preserve">Ecosistema para el Descubrimiento de Conocimiento en Lenguaje Natural </t>
        </is>
      </c>
      <c r="F40" s="17" t="inlineStr">
        <is>
          <t xml:space="preserve">16/12/2021 </t>
        </is>
      </c>
      <c r="G40" s="17" t="inlineStr">
        <is>
          <t xml:space="preserve">21467137H </t>
        </is>
      </c>
      <c r="H40" s="17" t="inlineStr">
        <is>
          <t xml:space="preserve">Codirector de tesis </t>
        </is>
      </c>
      <c r="I40" s="17" t="inlineStr">
        <is>
          <t xml:space="preserve">B158 </t>
        </is>
      </c>
      <c r="J40" s="17" t="inlineStr">
        <is>
          <t xml:space="preserve">LENGUAJES Y SISTEMAS INFORMÁTICOS </t>
        </is>
      </c>
      <c r="K40" s="19" t="n">
        <v>0.3333333333333333</v>
      </c>
      <c r="L40" s="19" t="inlineStr">
        <is>
          <t>B158</t>
        </is>
      </c>
      <c r="M40" s="17" t="n">
        <v>2021</v>
      </c>
      <c r="N40" s="17" t="inlineStr">
        <is>
          <t>10.19</t>
        </is>
      </c>
      <c r="O40" s="18" t="n">
        <v>20</v>
      </c>
      <c r="P40" s="17" t="inlineStr"/>
      <c r="Q40" s="18" t="n">
        <v>0</v>
      </c>
      <c r="R40" s="17" t="n">
        <v>80</v>
      </c>
      <c r="S40" s="17" t="n">
        <v>0.2666666666666667</v>
      </c>
      <c r="T40" s="17" t="n">
        <v>0.06666666666666667</v>
      </c>
      <c r="U40" s="17" t="n">
        <v>0</v>
      </c>
    </row>
    <row r="41">
      <c r="A41" s="17" t="inlineStr">
        <is>
          <t xml:space="preserve">U062 </t>
        </is>
      </c>
      <c r="B41" s="17" t="inlineStr">
        <is>
          <t xml:space="preserve">ADM. I.U. DE INVESTIGACIÓN INFORMÁTICA </t>
        </is>
      </c>
      <c r="C41" s="17" t="inlineStr">
        <is>
          <t xml:space="preserve">DOCTORADO EN INFORMÁTICA </t>
        </is>
      </c>
      <c r="D41" s="17" t="inlineStr">
        <is>
          <t xml:space="preserve">Estévez Velarde, Suilan </t>
        </is>
      </c>
      <c r="E41" s="17" t="inlineStr">
        <is>
          <t xml:space="preserve">Descubrimiento Automático de Flujos de Aprendizaje de Máquina basado en Gramáticas Probabilísticas </t>
        </is>
      </c>
      <c r="F41" s="17" t="inlineStr">
        <is>
          <t xml:space="preserve">02/12/2021 </t>
        </is>
      </c>
      <c r="G41" s="17" t="inlineStr">
        <is>
          <t xml:space="preserve">02380426H </t>
        </is>
      </c>
      <c r="H41" s="17" t="inlineStr">
        <is>
          <t xml:space="preserve">Codirector de tesis </t>
        </is>
      </c>
      <c r="I41" s="17" t="inlineStr">
        <is>
          <t xml:space="preserve">B158 </t>
        </is>
      </c>
      <c r="J41" s="17" t="inlineStr">
        <is>
          <t xml:space="preserve">LENGUAJES Y SISTEMAS INFORMÁTICOS </t>
        </is>
      </c>
      <c r="K41" s="19" t="n">
        <v>0.3333333333333333</v>
      </c>
      <c r="L41" s="19" t="inlineStr">
        <is>
          <t>B158</t>
        </is>
      </c>
      <c r="M41" s="17" t="n">
        <v>2021</v>
      </c>
      <c r="N41" s="17" t="inlineStr">
        <is>
          <t>10.19</t>
        </is>
      </c>
      <c r="O41" s="18" t="n">
        <v>20</v>
      </c>
      <c r="P41" s="17" t="inlineStr"/>
      <c r="Q41" s="18" t="n">
        <v>0</v>
      </c>
      <c r="R41" s="17" t="n">
        <v>80</v>
      </c>
      <c r="S41" s="17" t="n">
        <v>0.2666666666666667</v>
      </c>
      <c r="T41" s="17" t="n">
        <v>0.06666666666666667</v>
      </c>
      <c r="U41" s="17" t="n">
        <v>0</v>
      </c>
    </row>
    <row r="42">
      <c r="A42" s="17" t="inlineStr">
        <is>
          <t xml:space="preserve">U062 </t>
        </is>
      </c>
      <c r="B42" s="17" t="inlineStr">
        <is>
          <t xml:space="preserve">ADM. I.U. DE INVESTIGACIÓN INFORMÁTICA </t>
        </is>
      </c>
      <c r="C42" s="17" t="inlineStr">
        <is>
          <t xml:space="preserve">DOCTORADO EN INFORMÁTICA </t>
        </is>
      </c>
      <c r="D42" s="17" t="inlineStr">
        <is>
          <t xml:space="preserve">Estévez Velarde, Suilan </t>
        </is>
      </c>
      <c r="E42" s="17" t="inlineStr">
        <is>
          <t xml:space="preserve">Descubrimiento Automático de Flujos de Aprendizaje de Máquina basado en Gramáticas Probabilísticas </t>
        </is>
      </c>
      <c r="F42" s="17" t="inlineStr">
        <is>
          <t xml:space="preserve">02/12/2021 </t>
        </is>
      </c>
      <c r="G42" s="17" t="inlineStr">
        <is>
          <t xml:space="preserve">21453179K </t>
        </is>
      </c>
      <c r="H42" s="17" t="inlineStr">
        <is>
          <t xml:space="preserve">Codirector de tesis </t>
        </is>
      </c>
      <c r="I42" s="17" t="inlineStr">
        <is>
          <t xml:space="preserve">B158 </t>
        </is>
      </c>
      <c r="J42" s="17" t="inlineStr">
        <is>
          <t xml:space="preserve">LENGUAJES Y SISTEMAS INFORMÁTICOS </t>
        </is>
      </c>
      <c r="K42" s="19" t="n">
        <v>0.3333333333333333</v>
      </c>
      <c r="L42" s="19" t="inlineStr">
        <is>
          <t>B158</t>
        </is>
      </c>
      <c r="M42" s="17" t="n">
        <v>2021</v>
      </c>
      <c r="N42" s="17" t="inlineStr">
        <is>
          <t>10.19</t>
        </is>
      </c>
      <c r="O42" s="18" t="n">
        <v>20</v>
      </c>
      <c r="P42" s="17" t="inlineStr"/>
      <c r="Q42" s="18" t="n">
        <v>0</v>
      </c>
      <c r="R42" s="17" t="n">
        <v>80</v>
      </c>
      <c r="S42" s="17" t="n">
        <v>0.2666666666666667</v>
      </c>
      <c r="T42" s="17" t="n">
        <v>0.06666666666666667</v>
      </c>
      <c r="U42" s="17" t="n">
        <v>0</v>
      </c>
    </row>
    <row r="43">
      <c r="A43" s="17" t="inlineStr">
        <is>
          <t xml:space="preserve">U062 </t>
        </is>
      </c>
      <c r="B43" s="17" t="inlineStr">
        <is>
          <t xml:space="preserve">ADM. I.U. DE INVESTIGACIÓN INFORMÁTICA </t>
        </is>
      </c>
      <c r="C43" s="17" t="inlineStr">
        <is>
          <t xml:space="preserve">DOCTORADO EN INFORMÁTICA </t>
        </is>
      </c>
      <c r="D43" s="17" t="inlineStr">
        <is>
          <t xml:space="preserve">Alashhab , Samer Refat Hamzeh </t>
        </is>
      </c>
      <c r="E43" s="17" t="inlineStr">
        <is>
          <t xml:space="preserve">Aplicaciones de Visión Artificial para Ayuda a Personas con Dificultades Visuales </t>
        </is>
      </c>
      <c r="F43" s="17" t="inlineStr">
        <is>
          <t xml:space="preserve">01/07/2022 </t>
        </is>
      </c>
      <c r="G43" s="17" t="inlineStr">
        <is>
          <t xml:space="preserve">48531956R </t>
        </is>
      </c>
      <c r="H43" s="17" t="inlineStr">
        <is>
          <t xml:space="preserve">Codirector de tesis </t>
        </is>
      </c>
      <c r="I43" s="17" t="inlineStr">
        <is>
          <t xml:space="preserve">B158 </t>
        </is>
      </c>
      <c r="J43" s="17" t="inlineStr">
        <is>
          <t xml:space="preserve">LENGUAJES Y SISTEMAS INFORMÁTICOS </t>
        </is>
      </c>
      <c r="K43" s="19" t="n">
        <v>0.5</v>
      </c>
      <c r="L43" s="19" t="inlineStr">
        <is>
          <t>B158</t>
        </is>
      </c>
      <c r="M43" s="17" t="n">
        <v>2021</v>
      </c>
      <c r="N43" s="17" t="inlineStr">
        <is>
          <t>10.19</t>
        </is>
      </c>
      <c r="O43" s="18" t="n">
        <v>20</v>
      </c>
      <c r="P43" s="17" t="inlineStr"/>
      <c r="Q43" s="18" t="n">
        <v>0</v>
      </c>
      <c r="R43" s="17" t="n">
        <v>80</v>
      </c>
      <c r="S43" s="17" t="n">
        <v>0.4</v>
      </c>
      <c r="T43" s="17" t="n">
        <v>0.1</v>
      </c>
      <c r="U43" s="17" t="n">
        <v>0</v>
      </c>
    </row>
    <row r="44">
      <c r="A44" s="17" t="inlineStr">
        <is>
          <t xml:space="preserve">U062 </t>
        </is>
      </c>
      <c r="B44" s="17" t="inlineStr">
        <is>
          <t xml:space="preserve">ADM. I.U. DE INVESTIGACIÓN INFORMÁTICA </t>
        </is>
      </c>
      <c r="C44" s="17" t="inlineStr">
        <is>
          <t xml:space="preserve">DOCTORADO EN INFORMÁTICA </t>
        </is>
      </c>
      <c r="D44" s="17" t="inlineStr">
        <is>
          <t xml:space="preserve">Sepúlveda Torres, Robiert </t>
        </is>
      </c>
      <c r="E44" s="17" t="inlineStr">
        <is>
          <t xml:space="preserve">¿Detección de información engañosa mediante Tecnologías del Lenguaje Humano e Inteligencia Artificial¿ </t>
        </is>
      </c>
      <c r="F44" s="17" t="inlineStr">
        <is>
          <t xml:space="preserve">18/03/2022 </t>
        </is>
      </c>
      <c r="G44" s="17" t="inlineStr">
        <is>
          <t xml:space="preserve">52778169T </t>
        </is>
      </c>
      <c r="H44" s="17" t="inlineStr">
        <is>
          <t xml:space="preserve">Director de tesis </t>
        </is>
      </c>
      <c r="I44" s="17" t="inlineStr">
        <is>
          <t xml:space="preserve">B158 </t>
        </is>
      </c>
      <c r="J44" s="17" t="inlineStr">
        <is>
          <t xml:space="preserve">LENGUAJES Y SISTEMAS INFORMÁTICOS </t>
        </is>
      </c>
      <c r="K44" s="19" t="n">
        <v>1</v>
      </c>
      <c r="L44" s="19" t="inlineStr">
        <is>
          <t>B158</t>
        </is>
      </c>
      <c r="M44" s="17" t="n">
        <v>2021</v>
      </c>
      <c r="N44" s="17" t="inlineStr">
        <is>
          <t>10.19</t>
        </is>
      </c>
      <c r="O44" s="18" t="n">
        <v>20</v>
      </c>
      <c r="P44" s="17" t="inlineStr"/>
      <c r="Q44" s="18" t="n">
        <v>0</v>
      </c>
      <c r="R44" s="17" t="n">
        <v>80</v>
      </c>
      <c r="S44" s="17" t="n">
        <v>0.8</v>
      </c>
      <c r="T44" s="17" t="n">
        <v>0.2</v>
      </c>
      <c r="U44" s="17" t="n">
        <v>0</v>
      </c>
    </row>
    <row r="45">
      <c r="A45" s="17" t="inlineStr">
        <is>
          <t xml:space="preserve">U062 </t>
        </is>
      </c>
      <c r="B45" s="17" t="inlineStr">
        <is>
          <t xml:space="preserve">I.U. DE INVESTIGACIÓN INFORMÁTICA (10.19) </t>
        </is>
      </c>
      <c r="C45" s="17" t="inlineStr">
        <is>
          <t xml:space="preserve">DOCTORADO EN INFORMÁTICA </t>
        </is>
      </c>
      <c r="D45" s="17" t="inlineStr">
        <is>
          <t xml:space="preserve">Pilaluisa Quinatoa, Jose Ramiro </t>
        </is>
      </c>
      <c r="E45" s="17" t="inlineStr">
        <is>
          <t xml:space="preserve">Modelos de lenguaje contextuales para la búsqueda e integración de datos tabulares </t>
        </is>
      </c>
      <c r="F45" s="17" t="inlineStr">
        <is>
          <t xml:space="preserve">19/01/2023 </t>
        </is>
      </c>
      <c r="G45" s="17" t="inlineStr">
        <is>
          <t xml:space="preserve">44759120Q </t>
        </is>
      </c>
      <c r="H45" s="17" t="inlineStr">
        <is>
          <t xml:space="preserve">Director de tesis </t>
        </is>
      </c>
      <c r="I45" s="17" t="inlineStr">
        <is>
          <t xml:space="preserve">B158 </t>
        </is>
      </c>
      <c r="J45" s="17" t="inlineStr">
        <is>
          <t xml:space="preserve">LENGUAJES Y SISTEMAS INFORMÁTICOS </t>
        </is>
      </c>
      <c r="K45" s="32" t="n">
        <v>1</v>
      </c>
      <c r="L45" s="32" t="inlineStr">
        <is>
          <t>B158</t>
        </is>
      </c>
      <c r="M45" s="17" t="n">
        <v>2022</v>
      </c>
      <c r="N45" s="32" t="inlineStr">
        <is>
          <t>10.19</t>
        </is>
      </c>
      <c r="O45" s="32" t="n">
        <v>20</v>
      </c>
      <c r="P45" s="32" t="inlineStr"/>
      <c r="Q45" s="32" t="n">
        <v>0</v>
      </c>
      <c r="R45" s="32" t="n">
        <v>80</v>
      </c>
      <c r="S45" s="32" t="n">
        <v>0.8</v>
      </c>
      <c r="T45" s="32" t="n">
        <v>0.2</v>
      </c>
      <c r="U45" s="32" t="n">
        <v>0</v>
      </c>
    </row>
    <row r="46">
      <c r="A46" s="17" t="inlineStr">
        <is>
          <t xml:space="preserve">U062 </t>
        </is>
      </c>
      <c r="B46" s="17" t="inlineStr">
        <is>
          <t xml:space="preserve">I.U. DE INVESTIGACIÓN INFORMÁTICA (10.19) </t>
        </is>
      </c>
      <c r="C46" s="17" t="inlineStr">
        <is>
          <t xml:space="preserve">DOCTORADO EN INFORMÁTICA </t>
        </is>
      </c>
      <c r="D46" s="17" t="inlineStr">
        <is>
          <t xml:space="preserve">Hernández Blanco, Antonio Jesús </t>
        </is>
      </c>
      <c r="E46" s="17" t="inlineStr">
        <is>
          <t xml:space="preserve">Diseño y evaluación de un modelo de generación de secuencias de lectura para el </t>
        </is>
      </c>
      <c r="F46" s="17" t="inlineStr">
        <is>
          <t xml:space="preserve">25/09/2023 </t>
        </is>
      </c>
      <c r="G46" s="17" t="inlineStr">
        <is>
          <t xml:space="preserve">52776534K </t>
        </is>
      </c>
      <c r="H46" s="17" t="inlineStr">
        <is>
          <t xml:space="preserve">Codirector de tesis </t>
        </is>
      </c>
      <c r="I46" s="17" t="inlineStr">
        <is>
          <t xml:space="preserve">B158 </t>
        </is>
      </c>
      <c r="J46" s="17" t="inlineStr">
        <is>
          <t xml:space="preserve">LENGUAJES Y SISTEMAS INFORMÁTICOS </t>
        </is>
      </c>
      <c r="K46" s="32" t="n">
        <v>0.5</v>
      </c>
      <c r="L46" s="32" t="inlineStr">
        <is>
          <t>B158</t>
        </is>
      </c>
      <c r="M46" s="17" t="n">
        <v>2022</v>
      </c>
      <c r="N46" s="32" t="inlineStr">
        <is>
          <t>10.19</t>
        </is>
      </c>
      <c r="O46" s="32" t="n">
        <v>20</v>
      </c>
      <c r="P46" s="32" t="inlineStr"/>
      <c r="Q46" s="32" t="n">
        <v>0</v>
      </c>
      <c r="R46" s="32" t="n">
        <v>80</v>
      </c>
      <c r="S46" s="32" t="n">
        <v>0.4</v>
      </c>
      <c r="T46" s="32" t="n">
        <v>0.1</v>
      </c>
      <c r="U46" s="32" t="n">
        <v>0</v>
      </c>
    </row>
    <row r="47">
      <c r="A47" s="17" t="inlineStr">
        <is>
          <t xml:space="preserve">U062 </t>
        </is>
      </c>
      <c r="B47" s="17" t="inlineStr">
        <is>
          <t xml:space="preserve">I.U. DE INVESTIGACIÓN INFORMÁTICA (10.19) </t>
        </is>
      </c>
      <c r="C47" s="17" t="inlineStr">
        <is>
          <t xml:space="preserve">DOCTORADO EN INFORMÁTICA </t>
        </is>
      </c>
      <c r="D47" s="17" t="inlineStr">
        <is>
          <t xml:space="preserve">Hernández Blanco, Antonio Jesús </t>
        </is>
      </c>
      <c r="E47" s="17" t="inlineStr">
        <is>
          <t xml:space="preserve">Diseño y evaluación de un modelo de generación de secuencias de lectura para el </t>
        </is>
      </c>
      <c r="F47" s="17" t="inlineStr">
        <is>
          <t xml:space="preserve">25/09/2023 </t>
        </is>
      </c>
      <c r="G47" s="17" t="inlineStr">
        <is>
          <t xml:space="preserve">44759120Q </t>
        </is>
      </c>
      <c r="H47" s="17" t="inlineStr">
        <is>
          <t xml:space="preserve">Codirector de tesis </t>
        </is>
      </c>
      <c r="I47" s="17" t="inlineStr">
        <is>
          <t xml:space="preserve">B158 </t>
        </is>
      </c>
      <c r="J47" s="17" t="inlineStr">
        <is>
          <t xml:space="preserve">LENGUAJES Y SISTEMAS INFORMÁTICOS </t>
        </is>
      </c>
      <c r="K47" s="32" t="n">
        <v>0.5</v>
      </c>
      <c r="L47" s="32" t="inlineStr">
        <is>
          <t>B158</t>
        </is>
      </c>
      <c r="M47" s="17" t="n">
        <v>2022</v>
      </c>
      <c r="N47" s="32" t="inlineStr">
        <is>
          <t>10.19</t>
        </is>
      </c>
      <c r="O47" s="32" t="n">
        <v>20</v>
      </c>
      <c r="P47" s="32" t="inlineStr"/>
      <c r="Q47" s="32" t="n">
        <v>0</v>
      </c>
      <c r="R47" s="32" t="n">
        <v>80</v>
      </c>
      <c r="S47" s="32" t="n">
        <v>0.4</v>
      </c>
      <c r="T47" s="32" t="n">
        <v>0.1</v>
      </c>
      <c r="U47" s="32" t="n">
        <v>0</v>
      </c>
    </row>
    <row r="48">
      <c r="A48" s="17" t="inlineStr">
        <is>
          <t xml:space="preserve">U062 </t>
        </is>
      </c>
      <c r="B48" s="17" t="inlineStr">
        <is>
          <t xml:space="preserve">I.U. DE INVESTIGACIÓN INFORMÁTICA (10.19) </t>
        </is>
      </c>
      <c r="C48" s="17" t="inlineStr">
        <is>
          <t xml:space="preserve">DOCTORADO EN INFORMÁTICA </t>
        </is>
      </c>
      <c r="D48" s="17" t="inlineStr">
        <is>
          <t xml:space="preserve">Bonet Jover, Alba </t>
        </is>
      </c>
      <c r="E48" s="17" t="inlineStr">
        <is>
          <t xml:space="preserve">Abordando el tratamiento automático de la desinformación: modelado de la confiabilidad en noticias mediante Procesamiento del Lenguaje Natural </t>
        </is>
      </c>
      <c r="F48" s="17" t="inlineStr">
        <is>
          <t xml:space="preserve">20/03/2023 </t>
        </is>
      </c>
      <c r="G48" s="17" t="inlineStr">
        <is>
          <t xml:space="preserve">21473652R </t>
        </is>
      </c>
      <c r="H48" s="17" t="inlineStr">
        <is>
          <t xml:space="preserve">Codirector de tesis </t>
        </is>
      </c>
      <c r="I48" s="17" t="inlineStr">
        <is>
          <t xml:space="preserve">B158 </t>
        </is>
      </c>
      <c r="J48" s="17" t="inlineStr">
        <is>
          <t xml:space="preserve">LENGUAJES Y SISTEMAS INFORMÁTICOS </t>
        </is>
      </c>
      <c r="K48" s="32" t="n">
        <v>0.5</v>
      </c>
      <c r="L48" s="32" t="inlineStr">
        <is>
          <t>B158</t>
        </is>
      </c>
      <c r="M48" s="17" t="n">
        <v>2022</v>
      </c>
      <c r="N48" s="32" t="inlineStr">
        <is>
          <t>10.19</t>
        </is>
      </c>
      <c r="O48" s="32" t="n">
        <v>50</v>
      </c>
      <c r="P48" s="32" t="inlineStr"/>
      <c r="Q48" s="32" t="n">
        <v>0</v>
      </c>
      <c r="R48" s="32" t="n">
        <v>50</v>
      </c>
      <c r="S48" s="32" t="n">
        <v>0.25</v>
      </c>
      <c r="T48" s="32" t="n">
        <v>0.25</v>
      </c>
      <c r="U48" s="32" t="n">
        <v>0</v>
      </c>
    </row>
    <row r="49">
      <c r="A49" s="17" t="inlineStr">
        <is>
          <t xml:space="preserve">U062 </t>
        </is>
      </c>
      <c r="B49" s="17" t="inlineStr">
        <is>
          <t xml:space="preserve">I.U. DE INVESTIGACIÓN INFORMÁTICA (10.19) </t>
        </is>
      </c>
      <c r="C49" s="17" t="inlineStr">
        <is>
          <t xml:space="preserve">DOCTORADO EN INFORMÁTICA </t>
        </is>
      </c>
      <c r="D49" s="17" t="inlineStr">
        <is>
          <t xml:space="preserve">Bonet Jover, Alba </t>
        </is>
      </c>
      <c r="E49" s="17" t="inlineStr">
        <is>
          <t xml:space="preserve">Abordando el tratamiento automático de la desinformación: modelado de la confiabilidad en noticias mediante Procesamiento del Lenguaje Natural </t>
        </is>
      </c>
      <c r="F49" s="17" t="inlineStr">
        <is>
          <t xml:space="preserve">20/03/2023 </t>
        </is>
      </c>
      <c r="G49" s="17" t="inlineStr">
        <is>
          <t xml:space="preserve">52778169T </t>
        </is>
      </c>
      <c r="H49" s="17" t="inlineStr">
        <is>
          <t xml:space="preserve">Codirector de tesis </t>
        </is>
      </c>
      <c r="I49" s="17" t="inlineStr">
        <is>
          <t xml:space="preserve">B158 </t>
        </is>
      </c>
      <c r="J49" s="17" t="inlineStr">
        <is>
          <t xml:space="preserve">LENGUAJES Y SISTEMAS INFORMÁTICOS </t>
        </is>
      </c>
      <c r="K49" s="32" t="n">
        <v>0.5</v>
      </c>
      <c r="L49" s="32" t="inlineStr">
        <is>
          <t>B158</t>
        </is>
      </c>
      <c r="M49" s="17" t="n">
        <v>2022</v>
      </c>
      <c r="N49" s="32" t="inlineStr">
        <is>
          <t>10.19</t>
        </is>
      </c>
      <c r="O49" s="32" t="n">
        <v>20</v>
      </c>
      <c r="P49" s="32" t="inlineStr"/>
      <c r="Q49" s="32" t="n">
        <v>0</v>
      </c>
      <c r="R49" s="32" t="n">
        <v>80</v>
      </c>
      <c r="S49" s="32" t="n">
        <v>0.4</v>
      </c>
      <c r="T49" s="32" t="n">
        <v>0.1</v>
      </c>
      <c r="U49" s="32" t="n">
        <v>0</v>
      </c>
    </row>
    <row r="50">
      <c r="A50" s="17" t="inlineStr">
        <is>
          <t xml:space="preserve">U062 </t>
        </is>
      </c>
      <c r="B50" s="17" t="inlineStr">
        <is>
          <t xml:space="preserve">I.U. DE INVESTIGACIÓN INFORMÁTICA (10.19) </t>
        </is>
      </c>
      <c r="C50" s="17" t="inlineStr">
        <is>
          <t xml:space="preserve">DOCTORADO EN INFORMÁTICA </t>
        </is>
      </c>
      <c r="D50" s="17" t="inlineStr">
        <is>
          <t xml:space="preserve">Lucas Ibañez, Luis </t>
        </is>
      </c>
      <c r="E50" s="17" t="inlineStr">
        <is>
          <t xml:space="preserve">Procesamiento multimodal de datos extraídos de redes sociales mediante técnicas de inteligencia artificial. Aplicaciones al turismo </t>
        </is>
      </c>
      <c r="F50" s="17" t="inlineStr">
        <is>
          <t xml:space="preserve">19/01/2023 </t>
        </is>
      </c>
      <c r="G50" s="17" t="inlineStr">
        <is>
          <t xml:space="preserve">44759120Q </t>
        </is>
      </c>
      <c r="H50" s="17" t="inlineStr">
        <is>
          <t xml:space="preserve">Codirector de tesis </t>
        </is>
      </c>
      <c r="I50" s="17" t="inlineStr">
        <is>
          <t xml:space="preserve">B158 </t>
        </is>
      </c>
      <c r="J50" s="17" t="inlineStr">
        <is>
          <t xml:space="preserve">LENGUAJES Y SISTEMAS INFORMÁTICOS </t>
        </is>
      </c>
      <c r="K50" s="32" t="n">
        <v>0.5</v>
      </c>
      <c r="L50" s="32" t="inlineStr">
        <is>
          <t>B158</t>
        </is>
      </c>
      <c r="M50" s="17" t="n">
        <v>2022</v>
      </c>
      <c r="N50" s="32" t="inlineStr">
        <is>
          <t>10.19</t>
        </is>
      </c>
      <c r="O50" s="32" t="n">
        <v>20</v>
      </c>
      <c r="P50" s="32" t="inlineStr"/>
      <c r="Q50" s="32" t="n">
        <v>0</v>
      </c>
      <c r="R50" s="32" t="n">
        <v>80</v>
      </c>
      <c r="S50" s="32" t="n">
        <v>0.4</v>
      </c>
      <c r="T50" s="32" t="n">
        <v>0.1</v>
      </c>
      <c r="U50" s="32" t="n">
        <v>0</v>
      </c>
    </row>
    <row r="51">
      <c r="A51" s="17" t="inlineStr">
        <is>
          <t xml:space="preserve">U062 </t>
        </is>
      </c>
      <c r="B51" s="17" t="inlineStr">
        <is>
          <t xml:space="preserve">I.U. DE INVESTIGACIÓN INFORMÁTICA (10.19) </t>
        </is>
      </c>
      <c r="C51" s="17" t="inlineStr">
        <is>
          <t xml:space="preserve">DOCTORADO EN INFORMÁTICA </t>
        </is>
      </c>
      <c r="D51" s="17" t="inlineStr">
        <is>
          <t xml:space="preserve">Castellanos Regalado, Francisco José </t>
        </is>
      </c>
      <c r="E51" s="17" t="inlineStr">
        <is>
          <t xml:space="preserve">Contributions to Document Image Analysis: Application to Music Score Images </t>
        </is>
      </c>
      <c r="F51" s="17" t="inlineStr">
        <is>
          <t xml:space="preserve">25/11/2022 </t>
        </is>
      </c>
      <c r="G51" s="17" t="inlineStr">
        <is>
          <t xml:space="preserve">74004743N </t>
        </is>
      </c>
      <c r="H51" s="17" t="inlineStr">
        <is>
          <t xml:space="preserve">Codirector de tesis </t>
        </is>
      </c>
      <c r="I51" s="17" t="inlineStr">
        <is>
          <t xml:space="preserve">B158 </t>
        </is>
      </c>
      <c r="J51" s="17" t="inlineStr">
        <is>
          <t xml:space="preserve">LENGUAJES Y SISTEMAS INFORMÁTICOS </t>
        </is>
      </c>
      <c r="K51" s="32" t="n">
        <v>0.5</v>
      </c>
      <c r="L51" s="32" t="inlineStr">
        <is>
          <t>B158</t>
        </is>
      </c>
      <c r="M51" s="17" t="n">
        <v>2022</v>
      </c>
      <c r="N51" s="32" t="inlineStr">
        <is>
          <t>10.19</t>
        </is>
      </c>
      <c r="O51" s="32" t="n">
        <v>20</v>
      </c>
      <c r="P51" s="32" t="inlineStr"/>
      <c r="Q51" s="32" t="n">
        <v>0</v>
      </c>
      <c r="R51" s="32" t="n">
        <v>80</v>
      </c>
      <c r="S51" s="32" t="n">
        <v>0.4</v>
      </c>
      <c r="T51" s="32" t="n">
        <v>0.1</v>
      </c>
      <c r="U51" s="32" t="n">
        <v>0</v>
      </c>
    </row>
    <row r="52">
      <c r="A52" s="17" t="inlineStr">
        <is>
          <t xml:space="preserve">U062 </t>
        </is>
      </c>
      <c r="B52" s="17" t="inlineStr">
        <is>
          <t xml:space="preserve">I.U. DE INVESTIGACIÓN INFORMÁTICA (10.19) </t>
        </is>
      </c>
      <c r="C52" s="17" t="inlineStr">
        <is>
          <t xml:space="preserve">DOCTORADO EN INFORMÁTICA </t>
        </is>
      </c>
      <c r="D52" s="17" t="inlineStr">
        <is>
          <t xml:space="preserve">Castellanos Regalado, Francisco José </t>
        </is>
      </c>
      <c r="E52" s="17" t="inlineStr">
        <is>
          <t xml:space="preserve">Contributions to Document Image Analysis: Application to Music Score Images </t>
        </is>
      </c>
      <c r="F52" s="17" t="inlineStr">
        <is>
          <t xml:space="preserve">25/11/2022 </t>
        </is>
      </c>
      <c r="G52" s="17" t="inlineStr">
        <is>
          <t xml:space="preserve">21439614A </t>
        </is>
      </c>
      <c r="H52" s="17" t="inlineStr">
        <is>
          <t xml:space="preserve">Codirector de tesis </t>
        </is>
      </c>
      <c r="I52" s="17" t="inlineStr">
        <is>
          <t xml:space="preserve">B158 </t>
        </is>
      </c>
      <c r="J52" s="17" t="inlineStr">
        <is>
          <t xml:space="preserve">LENGUAJES Y SISTEMAS INFORMÁTICOS </t>
        </is>
      </c>
      <c r="K52" s="32" t="n">
        <v>0.5</v>
      </c>
      <c r="L52" s="32" t="inlineStr">
        <is>
          <t>B158</t>
        </is>
      </c>
      <c r="M52" s="17" t="n">
        <v>2022</v>
      </c>
      <c r="N52" s="32" t="inlineStr">
        <is>
          <t>10.19</t>
        </is>
      </c>
      <c r="O52" s="32" t="n">
        <v>20</v>
      </c>
      <c r="P52" s="32" t="inlineStr"/>
      <c r="Q52" s="32" t="n">
        <v>0</v>
      </c>
      <c r="R52" s="32" t="n">
        <v>80</v>
      </c>
      <c r="S52" s="32" t="n">
        <v>0.4</v>
      </c>
      <c r="T52" s="32" t="n">
        <v>0.1</v>
      </c>
      <c r="U52" s="32" t="n">
        <v>0</v>
      </c>
    </row>
    <row r="53">
      <c r="A53" s="17" t="inlineStr">
        <is>
          <t xml:space="preserve">U062 </t>
        </is>
      </c>
      <c r="B53" s="17" t="inlineStr">
        <is>
          <t xml:space="preserve">I.U. DE INVESTIGACIÓN INFORMÁTICA (10.19) </t>
        </is>
      </c>
      <c r="C53" s="17" t="inlineStr">
        <is>
          <t xml:space="preserve">DOCTORADO EN INFORMÁTICA </t>
        </is>
      </c>
      <c r="D53" s="17" t="inlineStr">
        <is>
          <t xml:space="preserve">Alfaro Contreras, María </t>
        </is>
      </c>
      <c r="E53" s="17" t="inlineStr">
        <is>
          <t xml:space="preserve">New Approaches to Optical Music Recognition </t>
        </is>
      </c>
      <c r="F53" s="17" t="inlineStr">
        <is>
          <t xml:space="preserve">22/09/2023 </t>
        </is>
      </c>
      <c r="G53" s="17" t="inlineStr">
        <is>
          <t xml:space="preserve">74004743N </t>
        </is>
      </c>
      <c r="H53" s="17" t="inlineStr">
        <is>
          <t xml:space="preserve">Codirector de tesis </t>
        </is>
      </c>
      <c r="I53" s="17" t="inlineStr">
        <is>
          <t xml:space="preserve">B158 </t>
        </is>
      </c>
      <c r="J53" s="17" t="inlineStr">
        <is>
          <t xml:space="preserve">LENGUAJES Y SISTEMAS INFORMÁTICOS </t>
        </is>
      </c>
      <c r="K53" s="32" t="n">
        <v>0.5</v>
      </c>
      <c r="L53" s="32" t="inlineStr">
        <is>
          <t>B158</t>
        </is>
      </c>
      <c r="M53" s="17" t="n">
        <v>2022</v>
      </c>
      <c r="N53" s="32" t="inlineStr">
        <is>
          <t>10.19</t>
        </is>
      </c>
      <c r="O53" s="32" t="n">
        <v>20</v>
      </c>
      <c r="P53" s="32" t="inlineStr"/>
      <c r="Q53" s="32" t="n">
        <v>0</v>
      </c>
      <c r="R53" s="32" t="n">
        <v>80</v>
      </c>
      <c r="S53" s="32" t="n">
        <v>0.4</v>
      </c>
      <c r="T53" s="32" t="n">
        <v>0.1</v>
      </c>
      <c r="U53" s="32" t="n">
        <v>0</v>
      </c>
    </row>
    <row r="54">
      <c r="A54" s="17" t="inlineStr">
        <is>
          <t xml:space="preserve">U062 </t>
        </is>
      </c>
      <c r="B54" s="17" t="inlineStr">
        <is>
          <t xml:space="preserve">I.U. DE INVESTIGACIÓN INFORMÁTICA (10.19) </t>
        </is>
      </c>
      <c r="C54" s="17" t="inlineStr">
        <is>
          <t xml:space="preserve">DOCTORADO EN INFORMÁTICA </t>
        </is>
      </c>
      <c r="D54" s="17" t="inlineStr">
        <is>
          <t xml:space="preserve">Alfaro Contreras, María </t>
        </is>
      </c>
      <c r="E54" s="17" t="inlineStr">
        <is>
          <t xml:space="preserve">New Approaches to Optical Music Recognition </t>
        </is>
      </c>
      <c r="F54" s="17" t="inlineStr">
        <is>
          <t xml:space="preserve">22/09/2023 </t>
        </is>
      </c>
      <c r="G54" s="17" t="inlineStr">
        <is>
          <t xml:space="preserve">21439614A </t>
        </is>
      </c>
      <c r="H54" s="17" t="inlineStr">
        <is>
          <t xml:space="preserve">Codirector de tesis </t>
        </is>
      </c>
      <c r="I54" s="17" t="inlineStr">
        <is>
          <t xml:space="preserve">B158 </t>
        </is>
      </c>
      <c r="J54" s="17" t="inlineStr">
        <is>
          <t xml:space="preserve">LENGUAJES Y SISTEMAS INFORMÁTICOS </t>
        </is>
      </c>
      <c r="K54" s="32" t="n">
        <v>0.5</v>
      </c>
      <c r="L54" s="32" t="inlineStr">
        <is>
          <t>B158</t>
        </is>
      </c>
      <c r="M54" s="17" t="n">
        <v>2022</v>
      </c>
      <c r="N54" s="32" t="inlineStr">
        <is>
          <t>10.19</t>
        </is>
      </c>
      <c r="O54" s="32" t="n">
        <v>20</v>
      </c>
      <c r="P54" s="32" t="inlineStr"/>
      <c r="Q54" s="32" t="n">
        <v>0</v>
      </c>
      <c r="R54" s="32" t="n">
        <v>80</v>
      </c>
      <c r="S54" s="32" t="n">
        <v>0.4</v>
      </c>
      <c r="T54" s="32" t="n">
        <v>0.1</v>
      </c>
      <c r="U54" s="32" t="n">
        <v>0</v>
      </c>
    </row>
    <row r="55">
      <c r="A55" s="32" t="inlineStr">
        <is>
          <t>U062</t>
        </is>
      </c>
      <c r="B55" s="32" t="inlineStr">
        <is>
          <t>I.U. DE INVESTIGACIÓN INFORMÁTICA (10.19)</t>
        </is>
      </c>
      <c r="C55" s="32" t="inlineStr">
        <is>
          <t>DOCTORADO EN INFORMÁTICA</t>
        </is>
      </c>
      <c r="D55" s="32" t="inlineStr">
        <is>
          <t>Consuegra Ayala, Juan Pablo</t>
        </is>
      </c>
      <c r="E55" s="32" t="inlineStr">
        <is>
          <t>Mitigación de Sesgos para la Automatización Justa de Tareas de Clasificación</t>
        </is>
      </c>
      <c r="F55" s="32" t="inlineStr">
        <is>
          <t>19/01/2024</t>
        </is>
      </c>
      <c r="G55" s="32" t="inlineStr">
        <is>
          <t>02380426H</t>
        </is>
      </c>
      <c r="H55" s="32" t="inlineStr">
        <is>
          <t>Codirector de tesis</t>
        </is>
      </c>
      <c r="I55" s="32" t="inlineStr">
        <is>
          <t>B158</t>
        </is>
      </c>
      <c r="J55" s="32" t="inlineStr">
        <is>
          <t>LENGUAJES Y SISTEMAS INFORMÁTICOS</t>
        </is>
      </c>
      <c r="K55" s="32" t="n">
        <v>0.3333333333333333</v>
      </c>
      <c r="L55" s="32" t="inlineStr">
        <is>
          <t>B158</t>
        </is>
      </c>
      <c r="M55" s="32" t="n">
        <v>2023</v>
      </c>
      <c r="N55" s="32" t="inlineStr">
        <is>
          <t>10.19</t>
        </is>
      </c>
      <c r="O55" s="32" t="inlineStr">
        <is>
          <t>20</t>
        </is>
      </c>
      <c r="P55" s="32" t="inlineStr"/>
      <c r="Q55" s="32" t="inlineStr"/>
      <c r="R55" s="32" t="n">
        <v>80</v>
      </c>
      <c r="S55" s="32" t="n">
        <v>0.2666666666666667</v>
      </c>
      <c r="T55" s="32" t="n">
        <v>0.06666666666666667</v>
      </c>
      <c r="U55" s="32" t="n">
        <v>0</v>
      </c>
      <c r="V55" s="6" t="inlineStr">
        <is>
          <t>S</t>
        </is>
      </c>
    </row>
    <row r="56">
      <c r="A56" s="32" t="inlineStr">
        <is>
          <t>U062</t>
        </is>
      </c>
      <c r="B56" s="32" t="inlineStr">
        <is>
          <t>I.U. DE INVESTIGACIÓN INFORMÁTICA (10.19)</t>
        </is>
      </c>
      <c r="C56" s="32" t="inlineStr">
        <is>
          <t>DOCTORADO EN INFORMÁTICA</t>
        </is>
      </c>
      <c r="D56" s="32" t="inlineStr">
        <is>
          <t>Consuegra Ayala, Juan Pablo</t>
        </is>
      </c>
      <c r="E56" s="32" t="inlineStr">
        <is>
          <t>Mitigación de Sesgos para la Automatización Justa de Tareas de Clasificación</t>
        </is>
      </c>
      <c r="F56" s="32" t="inlineStr">
        <is>
          <t>19/01/2024</t>
        </is>
      </c>
      <c r="G56" s="32" t="inlineStr">
        <is>
          <t>20413324L</t>
        </is>
      </c>
      <c r="H56" s="32" t="inlineStr">
        <is>
          <t>Codirector de tesis</t>
        </is>
      </c>
      <c r="I56" s="32" t="inlineStr">
        <is>
          <t>B158</t>
        </is>
      </c>
      <c r="J56" s="32" t="inlineStr">
        <is>
          <t>LENGUAJES Y SISTEMAS INFORMÁTICOS</t>
        </is>
      </c>
      <c r="K56" s="32" t="n">
        <v>0.3333333333333333</v>
      </c>
      <c r="L56" s="32" t="inlineStr">
        <is>
          <t>B158</t>
        </is>
      </c>
      <c r="M56" s="32" t="n">
        <v>2023</v>
      </c>
      <c r="N56" s="32" t="inlineStr">
        <is>
          <t>10.19</t>
        </is>
      </c>
      <c r="O56" s="32" t="inlineStr">
        <is>
          <t>50</t>
        </is>
      </c>
      <c r="P56" s="32" t="inlineStr"/>
      <c r="Q56" s="32" t="inlineStr"/>
      <c r="R56" s="32" t="n">
        <v>50</v>
      </c>
      <c r="S56" s="32" t="n">
        <v>0.1666666666666666</v>
      </c>
      <c r="T56" s="32" t="n">
        <v>0.1666666666666666</v>
      </c>
      <c r="U56" s="32" t="n">
        <v>0</v>
      </c>
      <c r="V56" s="6" t="inlineStr">
        <is>
          <t>S</t>
        </is>
      </c>
    </row>
    <row r="57">
      <c r="A57" s="32" t="inlineStr">
        <is>
          <t>U062</t>
        </is>
      </c>
      <c r="B57" s="32" t="inlineStr">
        <is>
          <t>I.U. DE INVESTIGACIÓN INFORMÁTICA (10.19)</t>
        </is>
      </c>
      <c r="C57" s="32" t="inlineStr">
        <is>
          <t>DOCTORADO EN INFORMÁTICA</t>
        </is>
      </c>
      <c r="D57" s="32" t="inlineStr">
        <is>
          <t>Fernández Martínez, Javier</t>
        </is>
      </c>
      <c r="E57" s="32" t="inlineStr">
        <is>
          <t>Análisis de sentimientos supervisado utilizando skipgrams y su aplicación a medios sociales</t>
        </is>
      </c>
      <c r="F57" s="32" t="inlineStr">
        <is>
          <t>28/02/2024</t>
        </is>
      </c>
      <c r="G57" s="32" t="inlineStr">
        <is>
          <t>02380426H</t>
        </is>
      </c>
      <c r="H57" s="32" t="inlineStr">
        <is>
          <t>Codirector de tesis</t>
        </is>
      </c>
      <c r="I57" s="32" t="inlineStr">
        <is>
          <t>B158</t>
        </is>
      </c>
      <c r="J57" s="32" t="inlineStr">
        <is>
          <t>LENGUAJES Y SISTEMAS INFORMÁTICOS</t>
        </is>
      </c>
      <c r="K57" s="32" t="n">
        <v>0.5</v>
      </c>
      <c r="L57" s="32" t="inlineStr">
        <is>
          <t>B158</t>
        </is>
      </c>
      <c r="M57" s="32" t="n">
        <v>2023</v>
      </c>
      <c r="N57" s="32" t="inlineStr">
        <is>
          <t>10.19</t>
        </is>
      </c>
      <c r="O57" s="32" t="inlineStr">
        <is>
          <t>20</t>
        </is>
      </c>
      <c r="P57" s="32" t="inlineStr"/>
      <c r="Q57" s="32" t="inlineStr"/>
      <c r="R57" s="32" t="n">
        <v>80</v>
      </c>
      <c r="S57" s="32" t="n">
        <v>0.4</v>
      </c>
      <c r="T57" s="32" t="n">
        <v>0.1</v>
      </c>
      <c r="U57" s="32" t="n">
        <v>0</v>
      </c>
      <c r="V57" s="6" t="inlineStr">
        <is>
          <t>S</t>
        </is>
      </c>
    </row>
    <row r="58">
      <c r="A58" s="32" t="inlineStr">
        <is>
          <t>U062</t>
        </is>
      </c>
      <c r="B58" s="32" t="inlineStr">
        <is>
          <t>I.U. DE INVESTIGACIÓN INFORMÁTICA (10.19)</t>
        </is>
      </c>
      <c r="C58" s="32" t="inlineStr">
        <is>
          <t>DOCTORADO EN INFORMÁTICA</t>
        </is>
      </c>
      <c r="D58" s="32" t="inlineStr">
        <is>
          <t>Fernández Martínez, Javier</t>
        </is>
      </c>
      <c r="E58" s="32" t="inlineStr">
        <is>
          <t>Análisis de sentimientos supervisado utilizando skipgrams y su aplicación a medios sociales</t>
        </is>
      </c>
      <c r="F58" s="32" t="inlineStr">
        <is>
          <t>28/02/2024</t>
        </is>
      </c>
      <c r="G58" s="32" t="inlineStr">
        <is>
          <t>21473652R</t>
        </is>
      </c>
      <c r="H58" s="32" t="inlineStr">
        <is>
          <t>Codirector de tesis</t>
        </is>
      </c>
      <c r="I58" s="32" t="inlineStr">
        <is>
          <t>B158</t>
        </is>
      </c>
      <c r="J58" s="32" t="inlineStr">
        <is>
          <t>LENGUAJES Y SISTEMAS INFORMÁTICOS</t>
        </is>
      </c>
      <c r="K58" s="32" t="n">
        <v>0.5</v>
      </c>
      <c r="L58" s="32" t="inlineStr">
        <is>
          <t>B158</t>
        </is>
      </c>
      <c r="M58" s="32" t="n">
        <v>2023</v>
      </c>
      <c r="N58" s="32" t="inlineStr">
        <is>
          <t>10.19</t>
        </is>
      </c>
      <c r="O58" s="32" t="inlineStr">
        <is>
          <t>50</t>
        </is>
      </c>
      <c r="P58" s="32" t="inlineStr"/>
      <c r="Q58" s="32" t="inlineStr"/>
      <c r="R58" s="32" t="n">
        <v>50</v>
      </c>
      <c r="S58" s="32" t="n">
        <v>0.25</v>
      </c>
      <c r="T58" s="32" t="n">
        <v>0.25</v>
      </c>
      <c r="U58" s="32" t="n">
        <v>0</v>
      </c>
      <c r="V58" s="6" t="inlineStr">
        <is>
          <t>S</t>
        </is>
      </c>
    </row>
    <row r="59">
      <c r="A59" s="32" t="inlineStr">
        <is>
          <t>U062</t>
        </is>
      </c>
      <c r="B59" s="32" t="inlineStr">
        <is>
          <t>I.U. DE INVESTIGACIÓN INFORMÁTICA (10.19)</t>
        </is>
      </c>
      <c r="C59" s="32" t="inlineStr">
        <is>
          <t>DOCTORADO EN INFORMÁTICA</t>
        </is>
      </c>
      <c r="D59" s="32" t="inlineStr">
        <is>
          <t>Barrera Arroyo, Jose Manuel</t>
        </is>
      </c>
      <c r="E59" s="32" t="inlineStr">
        <is>
          <t>Machine Learning: Requisitos y nuevas técnicas para la aplicación en entornos industriales e Internet of Things</t>
        </is>
      </c>
      <c r="F59" s="32" t="inlineStr">
        <is>
          <t>23/01/2024</t>
        </is>
      </c>
      <c r="G59" s="32" t="inlineStr">
        <is>
          <t>48558539L</t>
        </is>
      </c>
      <c r="H59" s="32" t="inlineStr">
        <is>
          <t>Codirector de tesis</t>
        </is>
      </c>
      <c r="I59" s="32" t="inlineStr">
        <is>
          <t>B158</t>
        </is>
      </c>
      <c r="J59" s="32" t="inlineStr">
        <is>
          <t>LENGUAJES Y SISTEMAS INFORMÁTICOS</t>
        </is>
      </c>
      <c r="K59" s="32" t="n">
        <v>0.5</v>
      </c>
      <c r="L59" s="32" t="inlineStr">
        <is>
          <t>B158</t>
        </is>
      </c>
      <c r="M59" s="32" t="n">
        <v>2023</v>
      </c>
      <c r="N59" s="32" t="inlineStr">
        <is>
          <t>10.19</t>
        </is>
      </c>
      <c r="O59" s="32" t="inlineStr">
        <is>
          <t>20</t>
        </is>
      </c>
      <c r="P59" s="32" t="inlineStr"/>
      <c r="Q59" s="32" t="inlineStr"/>
      <c r="R59" s="32" t="n">
        <v>80</v>
      </c>
      <c r="S59" s="32" t="n">
        <v>0.4</v>
      </c>
      <c r="T59" s="32" t="n">
        <v>0.1</v>
      </c>
      <c r="U59" s="32" t="n">
        <v>0</v>
      </c>
      <c r="V59" s="6" t="inlineStr">
        <is>
          <t>S</t>
        </is>
      </c>
    </row>
    <row r="60">
      <c r="A60" s="32" t="inlineStr">
        <is>
          <t>U062</t>
        </is>
      </c>
      <c r="B60" s="32" t="inlineStr">
        <is>
          <t>I.U. DE INVESTIGACIÓN INFORMÁTICA (10.19)</t>
        </is>
      </c>
      <c r="C60" s="32" t="inlineStr">
        <is>
          <t>DOCTORADO EN INFORMÁTICA</t>
        </is>
      </c>
      <c r="D60" s="32" t="inlineStr">
        <is>
          <t>Barrera Arroyo, Jose Manuel</t>
        </is>
      </c>
      <c r="E60" s="32" t="inlineStr">
        <is>
          <t>Machine Learning: Requisitos y nuevas técnicas para la aplicación en entornos industriales e Internet of Things</t>
        </is>
      </c>
      <c r="F60" s="32" t="inlineStr">
        <is>
          <t>23/01/2024</t>
        </is>
      </c>
      <c r="G60" s="32" t="inlineStr">
        <is>
          <t>21494991L</t>
        </is>
      </c>
      <c r="H60" s="32" t="inlineStr">
        <is>
          <t>Codirector de tesis</t>
        </is>
      </c>
      <c r="I60" s="32" t="inlineStr">
        <is>
          <t>B158</t>
        </is>
      </c>
      <c r="J60" s="32" t="inlineStr">
        <is>
          <t>LENGUAJES Y SISTEMAS INFORMÁTICOS</t>
        </is>
      </c>
      <c r="K60" s="32" t="n">
        <v>0.5</v>
      </c>
      <c r="L60" s="32" t="inlineStr">
        <is>
          <t>B158</t>
        </is>
      </c>
      <c r="M60" s="32" t="n">
        <v>2023</v>
      </c>
      <c r="N60" s="32" t="inlineStr">
        <is>
          <t>10.19</t>
        </is>
      </c>
      <c r="O60" s="32" t="inlineStr">
        <is>
          <t>20</t>
        </is>
      </c>
      <c r="P60" s="32" t="inlineStr"/>
      <c r="Q60" s="32" t="inlineStr"/>
      <c r="R60" s="32" t="n">
        <v>80</v>
      </c>
      <c r="S60" s="32" t="n">
        <v>0.4</v>
      </c>
      <c r="T60" s="32" t="n">
        <v>0.1</v>
      </c>
      <c r="U60" s="32" t="n">
        <v>0</v>
      </c>
      <c r="V60" s="6" t="inlineStr">
        <is>
          <t>S</t>
        </is>
      </c>
    </row>
    <row r="61">
      <c r="A61" s="32" t="inlineStr">
        <is>
          <t>U062</t>
        </is>
      </c>
      <c r="B61" s="32" t="inlineStr">
        <is>
          <t>I.U. DE INVESTIGACIÓN INFORMÁTICA (10.19)</t>
        </is>
      </c>
      <c r="C61" s="32" t="inlineStr">
        <is>
          <t>DOCTORADO EN INFORMÁTICA</t>
        </is>
      </c>
      <c r="D61" s="32" t="inlineStr">
        <is>
          <t>Francés Hernández, Olga</t>
        </is>
      </c>
      <c r="E61" s="32" t="inlineStr">
        <is>
          <t>Desarrollo de tecnologías basadas en Inteligencia Artificial para el análisis y la toma de decisiones en Parques Científicos y Tecnológicos</t>
        </is>
      </c>
      <c r="F61" s="32" t="inlineStr">
        <is>
          <t>09/02/2024</t>
        </is>
      </c>
      <c r="G61" s="32" t="inlineStr">
        <is>
          <t>02380426H</t>
        </is>
      </c>
      <c r="H61" s="32" t="inlineStr">
        <is>
          <t>Codirector de tesis</t>
        </is>
      </c>
      <c r="I61" s="32" t="inlineStr">
        <is>
          <t>B158</t>
        </is>
      </c>
      <c r="J61" s="32" t="inlineStr">
        <is>
          <t>LENGUAJES Y SISTEMAS INFORMÁTICOS</t>
        </is>
      </c>
      <c r="K61" s="32" t="n">
        <v>0.5</v>
      </c>
      <c r="L61" s="32" t="inlineStr">
        <is>
          <t>B158</t>
        </is>
      </c>
      <c r="M61" s="32" t="n">
        <v>2023</v>
      </c>
      <c r="N61" s="32" t="inlineStr">
        <is>
          <t>10.19</t>
        </is>
      </c>
      <c r="O61" s="32" t="inlineStr">
        <is>
          <t>20</t>
        </is>
      </c>
      <c r="P61" s="32" t="inlineStr"/>
      <c r="Q61" s="32" t="inlineStr"/>
      <c r="R61" s="32" t="n">
        <v>80</v>
      </c>
      <c r="S61" s="32" t="n">
        <v>0.4</v>
      </c>
      <c r="T61" s="32" t="n">
        <v>0.1</v>
      </c>
      <c r="U61" s="32" t="n">
        <v>0</v>
      </c>
      <c r="V61" s="6" t="inlineStr">
        <is>
          <t>S</t>
        </is>
      </c>
    </row>
    <row r="62">
      <c r="A62" s="32" t="inlineStr">
        <is>
          <t>U062</t>
        </is>
      </c>
      <c r="B62" s="32" t="inlineStr">
        <is>
          <t>I.U. DE INVESTIGACIÓN INFORMÁTICA (10.19)</t>
        </is>
      </c>
      <c r="C62" s="32" t="inlineStr">
        <is>
          <t>DOCTORADO EN INFORMÁTICA</t>
        </is>
      </c>
      <c r="D62" s="32" t="inlineStr">
        <is>
          <t>Francés Hernández, Olga</t>
        </is>
      </c>
      <c r="E62" s="32" t="inlineStr">
        <is>
          <t>Desarrollo de tecnologías basadas en Inteligencia Artificial para el análisis y la toma de decisiones en Parques Científicos y Tecnológicos</t>
        </is>
      </c>
      <c r="F62" s="32" t="inlineStr">
        <is>
          <t>09/02/2024</t>
        </is>
      </c>
      <c r="G62" s="32" t="inlineStr">
        <is>
          <t>20413324L</t>
        </is>
      </c>
      <c r="H62" s="32" t="inlineStr">
        <is>
          <t>Codirector de tesis</t>
        </is>
      </c>
      <c r="I62" s="32" t="inlineStr">
        <is>
          <t>B158</t>
        </is>
      </c>
      <c r="J62" s="32" t="inlineStr">
        <is>
          <t>LENGUAJES Y SISTEMAS INFORMÁTICOS</t>
        </is>
      </c>
      <c r="K62" s="32" t="n">
        <v>0.5</v>
      </c>
      <c r="L62" s="32" t="inlineStr">
        <is>
          <t>B158</t>
        </is>
      </c>
      <c r="M62" s="32" t="n">
        <v>2023</v>
      </c>
      <c r="N62" s="32" t="inlineStr">
        <is>
          <t>10.19</t>
        </is>
      </c>
      <c r="O62" s="32" t="inlineStr">
        <is>
          <t>50</t>
        </is>
      </c>
      <c r="P62" s="32" t="inlineStr"/>
      <c r="Q62" s="32" t="inlineStr"/>
      <c r="R62" s="32" t="n">
        <v>50</v>
      </c>
      <c r="S62" s="32" t="n">
        <v>0.25</v>
      </c>
      <c r="T62" s="32" t="n">
        <v>0.25</v>
      </c>
      <c r="U62" s="32" t="n">
        <v>0</v>
      </c>
      <c r="V62" s="6" t="inlineStr">
        <is>
          <t>S</t>
        </is>
      </c>
    </row>
    <row r="63">
      <c r="A63" s="32" t="inlineStr">
        <is>
          <t>U062</t>
        </is>
      </c>
      <c r="B63" s="32" t="inlineStr">
        <is>
          <t>I.U. DE INVESTIGACIÓN INFORMÁTICA (10.19)</t>
        </is>
      </c>
      <c r="C63" s="32" t="inlineStr">
        <is>
          <t>DOCTORADO EN INFORMÁTICA</t>
        </is>
      </c>
      <c r="D63" s="32" t="inlineStr">
        <is>
          <t>Botella Gil, Beatriz</t>
        </is>
      </c>
      <c r="E63" s="32" t="inlineStr">
        <is>
          <t>LAS TECNOLOGÍAS DEL LENGUAJE HUMANO COMO HERRAMIENTA DE MITIGACIÓN DE LA VIOLENCIA EN REDES SOCIALES</t>
        </is>
      </c>
      <c r="F63" s="32" t="inlineStr">
        <is>
          <t>16/02/2024</t>
        </is>
      </c>
      <c r="G63" s="32" t="inlineStr">
        <is>
          <t>21473652R</t>
        </is>
      </c>
      <c r="H63" s="32" t="inlineStr">
        <is>
          <t>Codirector de tesis</t>
        </is>
      </c>
      <c r="I63" s="32" t="inlineStr">
        <is>
          <t>B158</t>
        </is>
      </c>
      <c r="J63" s="32" t="inlineStr">
        <is>
          <t>LENGUAJES Y SISTEMAS INFORMÁTICOS</t>
        </is>
      </c>
      <c r="K63" s="32" t="n">
        <v>0.5</v>
      </c>
      <c r="L63" s="32" t="inlineStr">
        <is>
          <t>B158</t>
        </is>
      </c>
      <c r="M63" s="32" t="n">
        <v>2023</v>
      </c>
      <c r="N63" s="32" t="inlineStr">
        <is>
          <t>10.19</t>
        </is>
      </c>
      <c r="O63" s="32" t="inlineStr">
        <is>
          <t>50</t>
        </is>
      </c>
      <c r="P63" s="32" t="inlineStr"/>
      <c r="Q63" s="32" t="inlineStr"/>
      <c r="R63" s="32" t="n">
        <v>50</v>
      </c>
      <c r="S63" s="32" t="n">
        <v>0.25</v>
      </c>
      <c r="T63" s="32" t="n">
        <v>0.25</v>
      </c>
      <c r="U63" s="32" t="n">
        <v>0</v>
      </c>
      <c r="V63" s="6" t="inlineStr">
        <is>
          <t>S</t>
        </is>
      </c>
    </row>
    <row r="64">
      <c r="A64" s="32" t="inlineStr">
        <is>
          <t>U062</t>
        </is>
      </c>
      <c r="B64" s="32" t="inlineStr">
        <is>
          <t>I.U. DE INVESTIGACIÓN INFORMÁTICA (10.19)</t>
        </is>
      </c>
      <c r="C64" s="32" t="inlineStr">
        <is>
          <t>DOCTORADO EN INFORMÁTICA</t>
        </is>
      </c>
      <c r="D64" s="32" t="inlineStr">
        <is>
          <t>Botella Gil, Beatriz</t>
        </is>
      </c>
      <c r="E64" s="32" t="inlineStr">
        <is>
          <t>LAS TECNOLOGÍAS DEL LENGUAJE HUMANO COMO HERRAMIENTA DE MITIGACIÓN DE LA VIOLENCIA EN REDES SOCIALES</t>
        </is>
      </c>
      <c r="F64" s="32" t="inlineStr">
        <is>
          <t>16/02/2024</t>
        </is>
      </c>
      <c r="G64" s="32" t="inlineStr">
        <is>
          <t>52778169T</t>
        </is>
      </c>
      <c r="H64" s="32" t="inlineStr">
        <is>
          <t>Codirector de tesis</t>
        </is>
      </c>
      <c r="I64" s="32" t="inlineStr">
        <is>
          <t>B158</t>
        </is>
      </c>
      <c r="J64" s="32" t="inlineStr">
        <is>
          <t>LENGUAJES Y SISTEMAS INFORMÁTICOS</t>
        </is>
      </c>
      <c r="K64" s="32" t="n">
        <v>0.5</v>
      </c>
      <c r="L64" s="32" t="inlineStr">
        <is>
          <t>B158</t>
        </is>
      </c>
      <c r="M64" s="32" t="n">
        <v>2023</v>
      </c>
      <c r="N64" s="32" t="inlineStr">
        <is>
          <t>10.19</t>
        </is>
      </c>
      <c r="O64" s="32" t="inlineStr">
        <is>
          <t>20</t>
        </is>
      </c>
      <c r="P64" s="32" t="inlineStr"/>
      <c r="Q64" s="32" t="inlineStr"/>
      <c r="R64" s="32" t="n">
        <v>80</v>
      </c>
      <c r="S64" s="32" t="n">
        <v>0.4</v>
      </c>
      <c r="T64" s="32" t="n">
        <v>0.1</v>
      </c>
      <c r="U64" s="32" t="n">
        <v>0</v>
      </c>
      <c r="V64" s="6" t="inlineStr">
        <is>
          <t>S</t>
        </is>
      </c>
    </row>
    <row r="65">
      <c r="A65" s="32" t="inlineStr">
        <is>
          <t>U062</t>
        </is>
      </c>
      <c r="B65" s="32" t="inlineStr">
        <is>
          <t>I.U. DE INVESTIGACIÓN INFORMÁTICA (10.19)</t>
        </is>
      </c>
      <c r="C65" s="32" t="inlineStr">
        <is>
          <t>DOCTORADO EN INFORMÁTICA</t>
        </is>
      </c>
      <c r="D65" s="32" t="inlineStr">
        <is>
          <t>Reina Reina, Alejandro</t>
        </is>
      </c>
      <c r="E65" s="32" t="inlineStr">
        <is>
          <t>Requirements Analysis and Machine Learning for Diagnosis in eHealth</t>
        </is>
      </c>
      <c r="F65" s="32" t="inlineStr">
        <is>
          <t>16/01/2024</t>
        </is>
      </c>
      <c r="G65" s="32" t="inlineStr">
        <is>
          <t>48558539L</t>
        </is>
      </c>
      <c r="H65" s="32" t="inlineStr">
        <is>
          <t>Codirector de tesis</t>
        </is>
      </c>
      <c r="I65" s="32" t="inlineStr">
        <is>
          <t>B158</t>
        </is>
      </c>
      <c r="J65" s="32" t="inlineStr">
        <is>
          <t>LENGUAJES Y SISTEMAS INFORMÁTICOS</t>
        </is>
      </c>
      <c r="K65" s="32" t="n">
        <v>0.5</v>
      </c>
      <c r="L65" s="32" t="inlineStr">
        <is>
          <t>B158</t>
        </is>
      </c>
      <c r="M65" s="32" t="n">
        <v>2023</v>
      </c>
      <c r="N65" s="32" t="inlineStr">
        <is>
          <t>10.19</t>
        </is>
      </c>
      <c r="O65" s="32" t="inlineStr">
        <is>
          <t>20</t>
        </is>
      </c>
      <c r="P65" s="32" t="inlineStr"/>
      <c r="Q65" s="32" t="inlineStr"/>
      <c r="R65" s="32" t="n">
        <v>80</v>
      </c>
      <c r="S65" s="32" t="n">
        <v>0.4</v>
      </c>
      <c r="T65" s="32" t="n">
        <v>0.1</v>
      </c>
      <c r="U65" s="32" t="n">
        <v>0</v>
      </c>
      <c r="V65" s="6" t="inlineStr">
        <is>
          <t>S</t>
        </is>
      </c>
    </row>
    <row r="66">
      <c r="A66" s="32" t="inlineStr">
        <is>
          <t>U062</t>
        </is>
      </c>
      <c r="B66" s="32" t="inlineStr">
        <is>
          <t>I.U. DE INVESTIGACIÓN INFORMÁTICA (10.19)</t>
        </is>
      </c>
      <c r="C66" s="32" t="inlineStr">
        <is>
          <t>DOCTORADO EN INFORMÁTICA</t>
        </is>
      </c>
      <c r="D66" s="32" t="inlineStr">
        <is>
          <t>Reina Reina, Alejandro</t>
        </is>
      </c>
      <c r="E66" s="32" t="inlineStr">
        <is>
          <t>Requirements Analysis and Machine Learning for Diagnosis in eHealth</t>
        </is>
      </c>
      <c r="F66" s="32" t="inlineStr">
        <is>
          <t>16/01/2024</t>
        </is>
      </c>
      <c r="G66" s="32" t="inlineStr">
        <is>
          <t>21494991L</t>
        </is>
      </c>
      <c r="H66" s="32" t="inlineStr">
        <is>
          <t>Codirector de tesis</t>
        </is>
      </c>
      <c r="I66" s="32" t="inlineStr">
        <is>
          <t>B158</t>
        </is>
      </c>
      <c r="J66" s="32" t="inlineStr">
        <is>
          <t>LENGUAJES Y SISTEMAS INFORMÁTICOS</t>
        </is>
      </c>
      <c r="K66" s="32" t="n">
        <v>0.5</v>
      </c>
      <c r="L66" s="32" t="inlineStr">
        <is>
          <t>B158</t>
        </is>
      </c>
      <c r="M66" s="32" t="n">
        <v>2023</v>
      </c>
      <c r="N66" s="32" t="inlineStr">
        <is>
          <t>10.19</t>
        </is>
      </c>
      <c r="O66" s="32" t="inlineStr">
        <is>
          <t>20</t>
        </is>
      </c>
      <c r="P66" s="32" t="inlineStr"/>
      <c r="Q66" s="32" t="inlineStr"/>
      <c r="R66" s="32" t="n">
        <v>80</v>
      </c>
      <c r="S66" s="32" t="n">
        <v>0.4</v>
      </c>
      <c r="T66" s="32" t="n">
        <v>0.1</v>
      </c>
      <c r="U66" s="32" t="n">
        <v>0</v>
      </c>
      <c r="V66" s="6" t="inlineStr">
        <is>
          <t>S</t>
        </is>
      </c>
    </row>
    <row r="67" customFormat="1" s="97">
      <c r="A67" s="95" t="inlineStr">
        <is>
          <t>U062</t>
        </is>
      </c>
      <c r="B67" s="95" t="inlineStr">
        <is>
          <t>I.U. DE INVESTIGACIÓN INFORMÁTICA (10.19)</t>
        </is>
      </c>
      <c r="C67" s="95" t="inlineStr">
        <is>
          <t>DOCTORADO EN INFORMÁTICA</t>
        </is>
      </c>
      <c r="D67" s="95" t="inlineStr">
        <is>
          <t>Ríos Vila, Antonio</t>
        </is>
      </c>
      <c r="E67" s="95" t="inlineStr">
        <is>
          <t>End-to-end Optical Music Recognition Beyond Staff-Level Transcription</t>
        </is>
      </c>
      <c r="F67" s="95" t="inlineStr">
        <is>
          <t>04/07/2024</t>
        </is>
      </c>
      <c r="G67" s="95" t="inlineStr">
        <is>
          <t>74004743N</t>
        </is>
      </c>
      <c r="H67" s="95" t="inlineStr">
        <is>
          <t>Codirector de tesis</t>
        </is>
      </c>
      <c r="I67" s="95" t="inlineStr">
        <is>
          <t>B158</t>
        </is>
      </c>
      <c r="J67" s="95" t="inlineStr">
        <is>
          <t>LENGUAJES Y SISTEMAS INFORMÁTICOS</t>
        </is>
      </c>
      <c r="K67" s="95" t="n">
        <v>0.5</v>
      </c>
      <c r="L67" s="95" t="inlineStr">
        <is>
          <t>B158</t>
        </is>
      </c>
      <c r="M67" s="95" t="n">
        <v>2023</v>
      </c>
      <c r="N67" s="95" t="inlineStr">
        <is>
          <t>10.19</t>
        </is>
      </c>
      <c r="O67" s="96" t="n">
        <v>50</v>
      </c>
      <c r="P67" s="95" t="inlineStr"/>
      <c r="Q67" s="95" t="inlineStr"/>
      <c r="R67" s="95" t="n">
        <v>50</v>
      </c>
      <c r="S67" s="95" t="n">
        <v>0.25</v>
      </c>
      <c r="T67" s="95" t="n">
        <v>0.25</v>
      </c>
      <c r="U67" s="95" t="n">
        <v>0</v>
      </c>
    </row>
    <row r="68">
      <c r="A68" s="32" t="inlineStr">
        <is>
          <t>U062</t>
        </is>
      </c>
      <c r="B68" s="32" t="inlineStr">
        <is>
          <t>I.U. DE INVESTIGACIÓN INFORMÁTICA (10.19)</t>
        </is>
      </c>
      <c r="C68" s="32" t="inlineStr">
        <is>
          <t>DOCTORADO EN INFORMÁTICA</t>
        </is>
      </c>
      <c r="D68" s="32" t="inlineStr">
        <is>
          <t>Ríos Vila, Antonio</t>
        </is>
      </c>
      <c r="E68" s="32" t="inlineStr">
        <is>
          <t>End-to-end Optical Music Recognition Beyond Staff-Level Transcription</t>
        </is>
      </c>
      <c r="F68" s="32" t="inlineStr">
        <is>
          <t>04/07/2024</t>
        </is>
      </c>
      <c r="G68" s="32" t="inlineStr">
        <is>
          <t>21439614A</t>
        </is>
      </c>
      <c r="H68" s="32" t="inlineStr">
        <is>
          <t>Codirector de tesis</t>
        </is>
      </c>
      <c r="I68" s="32" t="inlineStr">
        <is>
          <t>B158</t>
        </is>
      </c>
      <c r="J68" s="32" t="inlineStr">
        <is>
          <t>LENGUAJES Y SISTEMAS INFORMÁTICOS</t>
        </is>
      </c>
      <c r="K68" s="32" t="n">
        <v>0.5</v>
      </c>
      <c r="L68" s="32" t="inlineStr">
        <is>
          <t>B158</t>
        </is>
      </c>
      <c r="M68" s="32" t="n">
        <v>2023</v>
      </c>
      <c r="N68" s="32" t="inlineStr">
        <is>
          <t>10.19</t>
        </is>
      </c>
      <c r="O68" s="32" t="inlineStr">
        <is>
          <t>20</t>
        </is>
      </c>
      <c r="P68" s="32" t="inlineStr"/>
      <c r="Q68" s="32" t="inlineStr"/>
      <c r="R68" s="32" t="n">
        <v>80</v>
      </c>
      <c r="S68" s="32" t="n">
        <v>0.4</v>
      </c>
      <c r="T68" s="32" t="n">
        <v>0.1</v>
      </c>
      <c r="U68" s="32" t="n">
        <v>0</v>
      </c>
    </row>
    <row r="69">
      <c r="A69" s="32" t="inlineStr">
        <is>
          <t>U062</t>
        </is>
      </c>
      <c r="B69" s="32" t="inlineStr">
        <is>
          <t>Instituto Universitario de Investigación Informática (10.19)</t>
        </is>
      </c>
      <c r="C69" s="32" t="inlineStr">
        <is>
          <t>DOCTORADO EN INFORMÁTICA</t>
        </is>
      </c>
      <c r="D69" s="32" t="inlineStr">
        <is>
          <t>Sanchis Bernabeu, Francisco Javier</t>
        </is>
      </c>
      <c r="E69" s="32" t="inlineStr">
        <is>
          <t>Computer-Aided Diagnostic Tools based on Encephalography and Deep Learning for the detection of mental issues: case of Attention Deficit Hyperactivity Disorder</t>
        </is>
      </c>
      <c r="F69" s="32" t="inlineStr">
        <is>
          <t>19/11/2024</t>
        </is>
      </c>
      <c r="G69" s="32" t="inlineStr">
        <is>
          <t>21494991L</t>
        </is>
      </c>
      <c r="H69" s="32" t="inlineStr">
        <is>
          <t>Codirector de tesis</t>
        </is>
      </c>
      <c r="I69" s="32" t="inlineStr">
        <is>
          <t>B158</t>
        </is>
      </c>
      <c r="J69" s="32" t="inlineStr">
        <is>
          <t>Lenguajes y Sistemas Informáticos</t>
        </is>
      </c>
      <c r="K69" s="32" t="n">
        <v>0.5</v>
      </c>
      <c r="L69" s="32" t="inlineStr">
        <is>
          <t>B158</t>
        </is>
      </c>
      <c r="M69" s="32" t="n">
        <v>2024</v>
      </c>
      <c r="N69" s="32" t="inlineStr">
        <is>
          <t>10.19</t>
        </is>
      </c>
      <c r="O69" s="32" t="inlineStr">
        <is>
          <t>50</t>
        </is>
      </c>
      <c r="P69" s="32" t="inlineStr"/>
      <c r="Q69" s="32" t="inlineStr"/>
      <c r="R69" s="32" t="n">
        <v>50</v>
      </c>
      <c r="S69" s="32" t="n">
        <v>0.25</v>
      </c>
      <c r="T69" s="32" t="n">
        <v>0.25</v>
      </c>
      <c r="U69" s="32" t="n">
        <v>0</v>
      </c>
    </row>
    <row r="70">
      <c r="A70" s="32" t="inlineStr">
        <is>
          <t>U062</t>
        </is>
      </c>
      <c r="B70" s="32" t="inlineStr">
        <is>
          <t>Instituto Universitario de Investigación Informática (10.19)</t>
        </is>
      </c>
      <c r="C70" s="32" t="inlineStr">
        <is>
          <t>DOCTORADO EN INFORMÁTICA</t>
        </is>
      </c>
      <c r="D70" s="32" t="inlineStr">
        <is>
          <t>Sanchis Bernabeu, Francisco Javier</t>
        </is>
      </c>
      <c r="E70" s="32" t="inlineStr">
        <is>
          <t>Computer-Aided Diagnostic Tools based on Encephalography and Deep Learning for the detection of mental issues: case of Attention Deficit Hyperactivity Disorder</t>
        </is>
      </c>
      <c r="F70" s="32" t="inlineStr">
        <is>
          <t>19/11/2024</t>
        </is>
      </c>
      <c r="G70" s="32" t="inlineStr">
        <is>
          <t>47075279Y</t>
        </is>
      </c>
      <c r="H70" s="32" t="inlineStr">
        <is>
          <t>Codirector de tesis</t>
        </is>
      </c>
      <c r="I70" s="32" t="inlineStr">
        <is>
          <t>B158</t>
        </is>
      </c>
      <c r="J70" s="32" t="inlineStr">
        <is>
          <t>Lenguajes y Sistemas Informáticos</t>
        </is>
      </c>
      <c r="K70" s="32" t="n">
        <v>0.5</v>
      </c>
      <c r="L70" s="32" t="inlineStr">
        <is>
          <t>B158</t>
        </is>
      </c>
      <c r="M70" s="32" t="n">
        <v>2024</v>
      </c>
      <c r="N70" s="32" t="inlineStr">
        <is>
          <t>10.19</t>
        </is>
      </c>
      <c r="O70" s="32" t="inlineStr">
        <is>
          <t>20</t>
        </is>
      </c>
      <c r="P70" s="32" t="inlineStr"/>
      <c r="Q70" s="32" t="inlineStr"/>
      <c r="R70" s="32" t="n">
        <v>80</v>
      </c>
      <c r="S70" s="32" t="n">
        <v>0.4</v>
      </c>
      <c r="T70" s="32" t="n">
        <v>0.1</v>
      </c>
      <c r="U70" s="32" t="n">
        <v>0</v>
      </c>
    </row>
    <row r="71">
      <c r="A71" s="32" t="inlineStr">
        <is>
          <t>U062</t>
        </is>
      </c>
      <c r="B71" s="32" t="inlineStr">
        <is>
          <t>Instituto Universitario de Investigación Informática (10.19)</t>
        </is>
      </c>
      <c r="C71" s="32" t="inlineStr">
        <is>
          <t>DOCTORADO EN INFORMÁTICA</t>
        </is>
      </c>
      <c r="D71" s="32" t="inlineStr">
        <is>
          <t>Miró Maestre, María</t>
        </is>
      </c>
      <c r="E71" s="32" t="inlineStr">
        <is>
          <t>Procesamiento automático de la pragmática en español a partir de las intenciones
comunicativas</t>
        </is>
      </c>
      <c r="F71" s="32" t="inlineStr">
        <is>
          <t>11/06/2025</t>
        </is>
      </c>
      <c r="G71" s="32" t="inlineStr">
        <is>
          <t>21457966R</t>
        </is>
      </c>
      <c r="H71" s="32" t="inlineStr">
        <is>
          <t>Director de tesis</t>
        </is>
      </c>
      <c r="I71" s="32" t="inlineStr">
        <is>
          <t>B158</t>
        </is>
      </c>
      <c r="J71" s="32" t="inlineStr">
        <is>
          <t>Lenguajes y Sistemas Informáticos</t>
        </is>
      </c>
      <c r="K71" s="32" t="n">
        <v>1</v>
      </c>
      <c r="L71" s="32" t="inlineStr">
        <is>
          <t>B158</t>
        </is>
      </c>
      <c r="M71" s="32" t="n">
        <v>2024</v>
      </c>
      <c r="N71" s="32" t="inlineStr">
        <is>
          <t>10.19</t>
        </is>
      </c>
      <c r="O71" s="32" t="inlineStr">
        <is>
          <t>20</t>
        </is>
      </c>
      <c r="P71" s="32" t="inlineStr"/>
      <c r="Q71" s="32" t="inlineStr"/>
      <c r="R71" s="32" t="n">
        <v>80</v>
      </c>
      <c r="S71" s="32" t="n">
        <v>0.8</v>
      </c>
      <c r="T71" s="32" t="n">
        <v>0.2</v>
      </c>
      <c r="U71" s="32" t="n">
        <v>0</v>
      </c>
    </row>
    <row r="72">
      <c r="A72" s="32" t="inlineStr">
        <is>
          <t>U062</t>
        </is>
      </c>
      <c r="B72" s="32" t="inlineStr">
        <is>
          <t>Instituto Universitario de Investigación Informática (10.19)</t>
        </is>
      </c>
      <c r="C72" s="32" t="inlineStr">
        <is>
          <t>DOCTORADO EN INFORMÁTICA</t>
        </is>
      </c>
      <c r="D72" s="32" t="inlineStr">
        <is>
          <t>Ortiz Pérez, David</t>
        </is>
      </c>
      <c r="E72" s="32" t="inlineStr">
        <is>
          <t>Multimodal Deep Learning Techniques for Cognitive Decline Detection and Emotional
Insights</t>
        </is>
      </c>
      <c r="F72" s="32" t="inlineStr">
        <is>
          <t>12/05/2025</t>
        </is>
      </c>
      <c r="G72" s="32" t="inlineStr">
        <is>
          <t>44759120Q</t>
        </is>
      </c>
      <c r="H72" s="32" t="inlineStr">
        <is>
          <t>Codirector de tesis</t>
        </is>
      </c>
      <c r="I72" s="32" t="inlineStr">
        <is>
          <t>B158</t>
        </is>
      </c>
      <c r="J72" s="32" t="inlineStr">
        <is>
          <t>Lenguajes y Sistemas Informáticos</t>
        </is>
      </c>
      <c r="K72" s="32" t="n">
        <v>0.5</v>
      </c>
      <c r="L72" s="32" t="inlineStr">
        <is>
          <t>B158</t>
        </is>
      </c>
      <c r="M72" s="32" t="n">
        <v>2024</v>
      </c>
      <c r="N72" s="32" t="inlineStr">
        <is>
          <t>10.19</t>
        </is>
      </c>
      <c r="O72" s="32" t="inlineStr">
        <is>
          <t>20</t>
        </is>
      </c>
      <c r="P72" s="32" t="inlineStr"/>
      <c r="Q72" s="32" t="inlineStr"/>
      <c r="R72" s="32" t="n">
        <v>80</v>
      </c>
      <c r="S72" s="32" t="n">
        <v>0.4</v>
      </c>
      <c r="T72" s="32" t="n">
        <v>0.1</v>
      </c>
      <c r="U72" s="32" t="n">
        <v>0</v>
      </c>
    </row>
    <row r="73">
      <c r="A73" s="32" t="inlineStr">
        <is>
          <t>U062</t>
        </is>
      </c>
      <c r="B73" s="32" t="inlineStr">
        <is>
          <t>Instituto Universitario de Investigación Informática (10.19)</t>
        </is>
      </c>
      <c r="C73" s="32" t="inlineStr">
        <is>
          <t>DOCTORADO EN INFORMÁTICA</t>
        </is>
      </c>
      <c r="D73" s="32" t="inlineStr">
        <is>
          <t>Berenguer Pastor, Alberto</t>
        </is>
      </c>
      <c r="E73" s="32" t="inlineStr">
        <is>
          <t>Búsqueda de datos estructurados mediante técnicas de procesamiento del lenguaje natural</t>
        </is>
      </c>
      <c r="F73" s="32" t="inlineStr">
        <is>
          <t>10/03/2025</t>
        </is>
      </c>
      <c r="G73" s="32" t="inlineStr">
        <is>
          <t>44759120Q</t>
        </is>
      </c>
      <c r="H73" s="32" t="inlineStr">
        <is>
          <t>Codirector de tesis</t>
        </is>
      </c>
      <c r="I73" s="32" t="inlineStr">
        <is>
          <t>B158</t>
        </is>
      </c>
      <c r="J73" s="32" t="inlineStr">
        <is>
          <t>Lenguajes y Sistemas Informáticos</t>
        </is>
      </c>
      <c r="K73" s="32" t="n">
        <v>0.5</v>
      </c>
      <c r="L73" s="32" t="inlineStr">
        <is>
          <t>B158</t>
        </is>
      </c>
      <c r="M73" s="32" t="n">
        <v>2024</v>
      </c>
      <c r="N73" s="32" t="inlineStr">
        <is>
          <t>10.19</t>
        </is>
      </c>
      <c r="O73" s="32" t="inlineStr">
        <is>
          <t>20</t>
        </is>
      </c>
      <c r="P73" s="32" t="inlineStr"/>
      <c r="Q73" s="32" t="inlineStr"/>
      <c r="R73" s="32" t="n">
        <v>80</v>
      </c>
      <c r="S73" s="32" t="n">
        <v>0.4</v>
      </c>
      <c r="T73" s="32" t="n">
        <v>0.1</v>
      </c>
      <c r="U73" s="32" t="n">
        <v>0</v>
      </c>
    </row>
    <row r="74">
      <c r="A74" s="32" t="inlineStr">
        <is>
          <t>U062</t>
        </is>
      </c>
      <c r="B74" s="32" t="inlineStr">
        <is>
          <t>Instituto Universitario de Investigación Informática (10.19)</t>
        </is>
      </c>
      <c r="C74" s="32" t="inlineStr">
        <is>
          <t>DOCTORADO EN INFORMÁTICA</t>
        </is>
      </c>
      <c r="D74" s="32" t="inlineStr">
        <is>
          <t>Berenguer Pastor, Alberto</t>
        </is>
      </c>
      <c r="E74" s="32" t="inlineStr">
        <is>
          <t>Búsqueda de datos estructurados mediante técnicas de procesamiento del lenguaje natural</t>
        </is>
      </c>
      <c r="F74" s="32" t="inlineStr">
        <is>
          <t>10/03/2025</t>
        </is>
      </c>
      <c r="G74" s="32" t="inlineStr">
        <is>
          <t>73993969W</t>
        </is>
      </c>
      <c r="H74" s="32" t="inlineStr">
        <is>
          <t>Codirector de tesis</t>
        </is>
      </c>
      <c r="I74" s="32" t="inlineStr">
        <is>
          <t>B158</t>
        </is>
      </c>
      <c r="J74" s="32" t="inlineStr">
        <is>
          <t>Lenguajes y Sistemas Informáticos</t>
        </is>
      </c>
      <c r="K74" s="32" t="n">
        <v>0.5</v>
      </c>
      <c r="L74" s="32" t="inlineStr">
        <is>
          <t>B158</t>
        </is>
      </c>
      <c r="M74" s="32" t="n">
        <v>2024</v>
      </c>
      <c r="N74" s="32" t="inlineStr">
        <is>
          <t>10.17</t>
        </is>
      </c>
      <c r="O74" s="32" t="inlineStr">
        <is>
          <t>10</t>
        </is>
      </c>
      <c r="P74" s="32" t="inlineStr">
        <is>
          <t>10.19</t>
        </is>
      </c>
      <c r="Q74" s="32" t="inlineStr">
        <is>
          <t>20</t>
        </is>
      </c>
      <c r="R74" s="32" t="n">
        <v>70</v>
      </c>
      <c r="S74" s="32" t="n">
        <v>0.35</v>
      </c>
      <c r="T74" s="32" t="n">
        <v>0.05</v>
      </c>
      <c r="U74" s="32" t="n">
        <v>0.1</v>
      </c>
    </row>
    <row r="75">
      <c r="A75" s="32" t="inlineStr">
        <is>
          <t>U062</t>
        </is>
      </c>
      <c r="B75" s="32" t="inlineStr">
        <is>
          <t>Instituto Universitario de Investigación Informática (10.19)</t>
        </is>
      </c>
      <c r="C75" s="32" t="inlineStr">
        <is>
          <t>DOCTORADO EN INFORMÁTICA</t>
        </is>
      </c>
      <c r="D75" s="32" t="inlineStr">
        <is>
          <t>Navarro López-Menchero, Álvaro</t>
        </is>
      </c>
      <c r="E75" s="32" t="inlineStr">
        <is>
          <t>Una propuesta para la captura e implementación de requisitos para eXplainable Artificial
Intelligence alineada con la Arquitectura Dirigida por Modelos</t>
        </is>
      </c>
      <c r="F75" s="32" t="inlineStr">
        <is>
          <t>04/02/2025</t>
        </is>
      </c>
      <c r="G75" s="32" t="inlineStr">
        <is>
          <t>48558539L</t>
        </is>
      </c>
      <c r="H75" s="32" t="inlineStr">
        <is>
          <t>Codirector de tesis</t>
        </is>
      </c>
      <c r="I75" s="32" t="inlineStr">
        <is>
          <t>B158</t>
        </is>
      </c>
      <c r="J75" s="32" t="inlineStr">
        <is>
          <t>Lenguajes y Sistemas Informáticos</t>
        </is>
      </c>
      <c r="K75" s="32" t="n">
        <v>0.5</v>
      </c>
      <c r="L75" s="32" t="inlineStr">
        <is>
          <t>B158</t>
        </is>
      </c>
      <c r="M75" s="32" t="n">
        <v>2024</v>
      </c>
      <c r="N75" s="32" t="inlineStr">
        <is>
          <t>10.19</t>
        </is>
      </c>
      <c r="O75" s="32" t="inlineStr">
        <is>
          <t>50</t>
        </is>
      </c>
      <c r="P75" s="32" t="inlineStr"/>
      <c r="Q75" s="32" t="inlineStr"/>
      <c r="R75" s="32" t="n">
        <v>50</v>
      </c>
      <c r="S75" s="32" t="n">
        <v>0.25</v>
      </c>
      <c r="T75" s="32" t="n">
        <v>0.25</v>
      </c>
      <c r="U75" s="32" t="n">
        <v>0</v>
      </c>
    </row>
    <row r="76">
      <c r="A76" s="32" t="inlineStr">
        <is>
          <t>U062</t>
        </is>
      </c>
      <c r="B76" s="32" t="inlineStr">
        <is>
          <t>Instituto Universitario de Investigación Informática (10.19)</t>
        </is>
      </c>
      <c r="C76" s="32" t="inlineStr">
        <is>
          <t>DOCTORADO EN INFORMÁTICA</t>
        </is>
      </c>
      <c r="D76" s="32" t="inlineStr">
        <is>
          <t>Navarro López-Menchero, Álvaro</t>
        </is>
      </c>
      <c r="E76" s="32" t="inlineStr">
        <is>
          <t>Una propuesta para la captura e implementación de requisitos para eXplainable Artificial
Intelligence alineada con la Arquitectura Dirigida por Modelos</t>
        </is>
      </c>
      <c r="F76" s="32" t="inlineStr">
        <is>
          <t>04/02/2025</t>
        </is>
      </c>
      <c r="G76" s="32" t="inlineStr">
        <is>
          <t>21494991L</t>
        </is>
      </c>
      <c r="H76" s="32" t="inlineStr">
        <is>
          <t>Codirector de tesis</t>
        </is>
      </c>
      <c r="I76" s="32" t="inlineStr">
        <is>
          <t>B158</t>
        </is>
      </c>
      <c r="J76" s="32" t="inlineStr">
        <is>
          <t>Lenguajes y Sistemas Informáticos</t>
        </is>
      </c>
      <c r="K76" s="32" t="n">
        <v>0.5</v>
      </c>
      <c r="L76" s="32" t="inlineStr">
        <is>
          <t>B158</t>
        </is>
      </c>
      <c r="M76" s="32" t="n">
        <v>2024</v>
      </c>
      <c r="N76" s="32" t="inlineStr">
        <is>
          <t>10.19</t>
        </is>
      </c>
      <c r="O76" s="32" t="inlineStr">
        <is>
          <t>50</t>
        </is>
      </c>
      <c r="P76" s="32" t="inlineStr"/>
      <c r="Q76" s="32" t="inlineStr"/>
      <c r="R76" s="32" t="n">
        <v>50</v>
      </c>
      <c r="S76" s="32" t="n">
        <v>0.25</v>
      </c>
      <c r="T76" s="32" t="n">
        <v>0.25</v>
      </c>
      <c r="U76" s="32" t="n">
        <v>0</v>
      </c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5" t="n"/>
      <c r="P77" s="44" t="n"/>
      <c r="Q77" s="45" t="n"/>
      <c r="R77" s="44" t="n"/>
      <c r="S77" s="100">
        <f>SUM(S2:S76)</f>
        <v/>
      </c>
      <c r="T77" s="44" t="n"/>
      <c r="U77" s="44" t="n"/>
    </row>
  </sheetData>
  <autoFilter ref="A1:U1">
    <sortState ref="A2:T1722">
      <sortCondition ref="K2:K1722"/>
      <sortCondition ref="L2:L1722"/>
      <sortCondition ref="D2:D172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topLeftCell="A15" zoomScaleNormal="100" workbookViewId="0">
      <selection activeCell="W20" sqref="W20"/>
    </sheetView>
  </sheetViews>
  <sheetFormatPr baseColWidth="10" defaultColWidth="11.42578125" defaultRowHeight="12.75"/>
  <cols>
    <col width="10.85546875" bestFit="1" customWidth="1" style="10" min="1" max="1"/>
    <col width="39.7109375" bestFit="1" customWidth="1" style="10" min="2" max="2"/>
    <col width="17" bestFit="1" customWidth="1" style="10" min="3" max="3"/>
    <col width="3.28515625" bestFit="1" customWidth="1" style="10" min="4" max="9"/>
    <col width="13.140625" bestFit="1" customWidth="1" style="10" min="10" max="10"/>
    <col width="5.28515625" bestFit="1" customWidth="1" style="10" min="11" max="11"/>
    <col width="5.7109375" bestFit="1" customWidth="1" style="10" min="12" max="13"/>
    <col width="5.7109375" bestFit="1" customWidth="1" style="11" min="14" max="14"/>
    <col width="5.7109375" bestFit="1" customWidth="1" style="10" min="15" max="15"/>
    <col width="5.7109375" bestFit="1" customWidth="1" style="11" min="16" max="16"/>
    <col width="5.7109375" bestFit="1" customWidth="1" style="10" min="17" max="19"/>
    <col width="11.42578125" customWidth="1" style="10" min="20" max="16384"/>
  </cols>
  <sheetData>
    <row r="1" ht="30" customHeight="1">
      <c r="A1" s="12" t="inlineStr">
        <is>
          <t>NIF</t>
        </is>
      </c>
      <c r="B1" s="12" t="inlineStr">
        <is>
          <t>NOMBRE_COMPLETO</t>
        </is>
      </c>
      <c r="C1" s="12" t="inlineStr">
        <is>
          <t>TIPO_SEXENIO</t>
        </is>
      </c>
      <c r="D1" s="13" t="inlineStr">
        <is>
          <t>2020</t>
        </is>
      </c>
      <c r="E1" s="13" t="inlineStr">
        <is>
          <t>2021</t>
        </is>
      </c>
      <c r="F1" s="13" t="inlineStr">
        <is>
          <t>2022</t>
        </is>
      </c>
      <c r="G1" s="13" t="inlineStr">
        <is>
          <t>2023</t>
        </is>
      </c>
      <c r="H1" s="13" t="inlineStr">
        <is>
          <t>2024</t>
        </is>
      </c>
      <c r="I1" s="13" t="inlineStr">
        <is>
          <t>2025</t>
        </is>
      </c>
      <c r="J1" s="12" t="inlineStr">
        <is>
          <t>Total general</t>
        </is>
      </c>
      <c r="K1" s="14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5" customHeight="1">
      <c r="A2" s="15" t="inlineStr">
        <is>
          <t>02380426H</t>
        </is>
      </c>
      <c r="B2" s="15" t="inlineStr">
        <is>
          <t>Gutiérrez Vázquez, Yoan</t>
        </is>
      </c>
      <c r="C2" s="15" t="inlineStr">
        <is>
          <t>FUNCIONARIO</t>
        </is>
      </c>
      <c r="D2" s="15" t="n"/>
      <c r="E2" s="15" t="n"/>
      <c r="F2" s="15" t="n"/>
      <c r="G2" s="15" t="n">
        <v>1</v>
      </c>
      <c r="H2" s="15" t="n"/>
      <c r="I2" s="15" t="n">
        <v>1</v>
      </c>
      <c r="J2" s="15" t="n">
        <v>2</v>
      </c>
      <c r="K2" s="15" t="inlineStr">
        <is>
          <t>B158</t>
        </is>
      </c>
      <c r="L2" s="16" t="inlineStr">
        <is>
          <t>10.19</t>
        </is>
      </c>
      <c r="M2" s="16" t="inlineStr">
        <is>
          <t>20</t>
        </is>
      </c>
      <c r="N2" s="16" t="inlineStr"/>
      <c r="O2" s="16" t="inlineStr"/>
      <c r="P2" s="16" t="n">
        <v>80</v>
      </c>
      <c r="Q2" s="16" t="n">
        <v>0.4</v>
      </c>
      <c r="R2" s="16" t="n">
        <v>0</v>
      </c>
      <c r="S2" s="16" t="n">
        <v>1.6</v>
      </c>
    </row>
    <row r="3" ht="15" customHeight="1">
      <c r="A3" s="15" t="inlineStr">
        <is>
          <t>04722711Y</t>
        </is>
      </c>
      <c r="B3" s="15" t="inlineStr">
        <is>
          <t>Consuegra Ayala, Juan Pablo</t>
        </is>
      </c>
      <c r="C3" s="15" t="inlineStr">
        <is>
          <t>NO FUNCIONARIO</t>
        </is>
      </c>
      <c r="D3" s="15" t="n"/>
      <c r="E3" s="15" t="n"/>
      <c r="F3" s="15" t="n"/>
      <c r="G3" s="15" t="n"/>
      <c r="H3" s="15" t="n"/>
      <c r="I3" s="15" t="n">
        <v>1</v>
      </c>
      <c r="J3" s="15" t="n">
        <v>1</v>
      </c>
      <c r="K3" s="15" t="inlineStr">
        <is>
          <t>B158</t>
        </is>
      </c>
      <c r="L3" s="16" t="n">
        <v>0</v>
      </c>
      <c r="M3" s="16" t="n">
        <v>0</v>
      </c>
      <c r="N3" s="16" t="inlineStr"/>
      <c r="O3" s="16" t="inlineStr"/>
      <c r="P3" s="16" t="n">
        <v>100</v>
      </c>
      <c r="Q3" s="16" t="n">
        <v>0</v>
      </c>
      <c r="R3" s="16" t="n">
        <v>0</v>
      </c>
      <c r="S3" s="16" t="n">
        <v>1</v>
      </c>
    </row>
    <row r="4" ht="15" customHeight="1">
      <c r="A4" s="38" t="inlineStr">
        <is>
          <t>14075477Y</t>
        </is>
      </c>
      <c r="B4" s="38" t="inlineStr">
        <is>
          <t>Abreu Salas, José Ignacio</t>
        </is>
      </c>
      <c r="C4" s="39" t="inlineStr">
        <is>
          <t>FUNCIONARIO</t>
        </is>
      </c>
      <c r="D4" s="38" t="n"/>
      <c r="E4" s="38" t="n"/>
      <c r="F4" s="38" t="n"/>
      <c r="G4" s="38" t="n"/>
      <c r="H4" s="38" t="n">
        <v>2</v>
      </c>
      <c r="I4" s="38" t="n"/>
      <c r="J4" s="15" t="n">
        <v>2</v>
      </c>
      <c r="K4" s="15" t="inlineStr">
        <is>
          <t>B158</t>
        </is>
      </c>
      <c r="L4" s="16" t="inlineStr">
        <is>
          <t>10.19</t>
        </is>
      </c>
      <c r="M4" s="16" t="inlineStr">
        <is>
          <t>20</t>
        </is>
      </c>
      <c r="N4" s="16" t="inlineStr"/>
      <c r="O4" s="16" t="inlineStr"/>
      <c r="P4" s="16" t="n">
        <v>80</v>
      </c>
      <c r="Q4" s="16" t="n">
        <v>0.4</v>
      </c>
      <c r="R4" s="16" t="n">
        <v>0</v>
      </c>
      <c r="S4" s="16" t="n">
        <v>1.6</v>
      </c>
    </row>
    <row r="5" ht="15" customHeight="1">
      <c r="A5" s="15" t="inlineStr">
        <is>
          <t>20413324L</t>
        </is>
      </c>
      <c r="B5" s="15" t="inlineStr">
        <is>
          <t>Palomar Sanz, Manuel Javier</t>
        </is>
      </c>
      <c r="C5" s="15" t="inlineStr">
        <is>
          <t>FUNCIONARIO</t>
        </is>
      </c>
      <c r="D5" s="15" t="n"/>
      <c r="E5" s="15" t="n"/>
      <c r="F5" s="15" t="n"/>
      <c r="G5" s="15" t="n"/>
      <c r="H5" s="15" t="n"/>
      <c r="I5" s="15" t="n">
        <v>1</v>
      </c>
      <c r="J5" s="15" t="n">
        <v>1</v>
      </c>
      <c r="K5" s="15" t="inlineStr">
        <is>
          <t>B158</t>
        </is>
      </c>
      <c r="L5" s="16" t="inlineStr">
        <is>
          <t>10.19</t>
        </is>
      </c>
      <c r="M5" s="16" t="inlineStr">
        <is>
          <t>50</t>
        </is>
      </c>
      <c r="N5" s="16" t="inlineStr"/>
      <c r="O5" s="16" t="inlineStr"/>
      <c r="P5" s="16" t="n">
        <v>50</v>
      </c>
      <c r="Q5" s="16" t="n">
        <v>0.5</v>
      </c>
      <c r="R5" s="16" t="n">
        <v>0</v>
      </c>
      <c r="S5" s="16" t="n">
        <v>0.5</v>
      </c>
    </row>
    <row r="6" ht="15" customHeight="1">
      <c r="A6" s="15" t="inlineStr">
        <is>
          <t>21395951V</t>
        </is>
      </c>
      <c r="B6" s="15" t="inlineStr">
        <is>
          <t>Marco Such, Manuel</t>
        </is>
      </c>
      <c r="C6" s="15" t="inlineStr">
        <is>
          <t>Vivos</t>
        </is>
      </c>
      <c r="D6" s="15" t="n"/>
      <c r="E6" s="15" t="n"/>
      <c r="F6" s="15" t="n"/>
      <c r="G6" s="15" t="n"/>
      <c r="H6" s="15" t="n"/>
      <c r="I6" s="15" t="n">
        <v>1</v>
      </c>
      <c r="J6" s="15" t="n">
        <v>1</v>
      </c>
      <c r="K6" s="15" t="inlineStr">
        <is>
          <t>B158</t>
        </is>
      </c>
      <c r="L6" s="16" t="inlineStr">
        <is>
          <t>10.19</t>
        </is>
      </c>
      <c r="M6" s="16" t="inlineStr">
        <is>
          <t>10</t>
        </is>
      </c>
      <c r="N6" s="16" t="inlineStr">
        <is>
          <t>10.06</t>
        </is>
      </c>
      <c r="O6" s="16" t="inlineStr">
        <is>
          <t>10</t>
        </is>
      </c>
      <c r="P6" s="16" t="n">
        <v>80</v>
      </c>
      <c r="Q6" s="16" t="n">
        <v>0.1</v>
      </c>
      <c r="R6" s="16" t="n">
        <v>0.1</v>
      </c>
      <c r="S6" s="16" t="n">
        <v>0.8</v>
      </c>
    </row>
    <row r="7" ht="15" customHeight="1">
      <c r="A7" s="15" t="inlineStr">
        <is>
          <t>21439614A</t>
        </is>
      </c>
      <c r="B7" s="15" t="inlineStr">
        <is>
          <t>Iñesta Quereda, José Manuel</t>
        </is>
      </c>
      <c r="C7" s="15" t="inlineStr">
        <is>
          <t>FUNCIONARIO</t>
        </is>
      </c>
      <c r="D7" s="15" t="n"/>
      <c r="E7" s="15" t="n"/>
      <c r="F7" s="15" t="n"/>
      <c r="G7" s="15" t="n">
        <v>1</v>
      </c>
      <c r="H7" s="15" t="n"/>
      <c r="I7" s="15" t="n"/>
      <c r="J7" s="15" t="n">
        <v>1</v>
      </c>
      <c r="K7" s="15" t="inlineStr">
        <is>
          <t>B158</t>
        </is>
      </c>
      <c r="L7" s="16" t="inlineStr">
        <is>
          <t>10.19</t>
        </is>
      </c>
      <c r="M7" s="16" t="inlineStr">
        <is>
          <t>20</t>
        </is>
      </c>
      <c r="N7" s="16" t="inlineStr"/>
      <c r="O7" s="16" t="inlineStr"/>
      <c r="P7" s="16" t="n">
        <v>80</v>
      </c>
      <c r="Q7" s="16" t="n">
        <v>0.2</v>
      </c>
      <c r="R7" s="16" t="n">
        <v>0</v>
      </c>
      <c r="S7" s="16" t="n">
        <v>0.8</v>
      </c>
    </row>
    <row r="8" ht="15" customHeight="1">
      <c r="A8" s="15" t="inlineStr">
        <is>
          <t>21453179K</t>
        </is>
      </c>
      <c r="B8" s="15" t="inlineStr">
        <is>
          <t>Montoyo Guijarro, Juan Andrés</t>
        </is>
      </c>
      <c r="C8" s="15" t="inlineStr">
        <is>
          <t>FUNCIONARIO</t>
        </is>
      </c>
      <c r="D8" s="15" t="n"/>
      <c r="E8" s="15" t="n">
        <v>1</v>
      </c>
      <c r="F8" s="15" t="n"/>
      <c r="G8" s="15" t="n"/>
      <c r="H8" s="15" t="n"/>
      <c r="I8" s="15" t="n"/>
      <c r="J8" s="15" t="n">
        <v>1</v>
      </c>
      <c r="K8" s="15" t="inlineStr">
        <is>
          <t>B158</t>
        </is>
      </c>
      <c r="L8" s="16" t="inlineStr">
        <is>
          <t>10.19</t>
        </is>
      </c>
      <c r="M8" s="16" t="inlineStr">
        <is>
          <t>20</t>
        </is>
      </c>
      <c r="N8" s="16" t="inlineStr"/>
      <c r="O8" s="16" t="inlineStr"/>
      <c r="P8" s="16" t="n">
        <v>80</v>
      </c>
      <c r="Q8" s="16" t="n">
        <v>0.2</v>
      </c>
      <c r="R8" s="16" t="n">
        <v>0</v>
      </c>
      <c r="S8" s="16" t="n">
        <v>0.8</v>
      </c>
    </row>
    <row r="9" ht="15" customHeight="1">
      <c r="A9" s="15" t="inlineStr">
        <is>
          <t>21464202G</t>
        </is>
      </c>
      <c r="B9" s="15" t="inlineStr">
        <is>
          <t>Ferrández Rodríguez, Antonio</t>
        </is>
      </c>
      <c r="C9" s="15" t="inlineStr">
        <is>
          <t>FUNCIONARIO</t>
        </is>
      </c>
      <c r="D9" s="15" t="n"/>
      <c r="E9" s="15" t="n"/>
      <c r="F9" s="15" t="n"/>
      <c r="G9" s="15" t="n"/>
      <c r="H9" s="15" t="n"/>
      <c r="I9" s="15" t="n">
        <v>1</v>
      </c>
      <c r="J9" s="15" t="n">
        <v>1</v>
      </c>
      <c r="K9" s="15" t="inlineStr">
        <is>
          <t>B158</t>
        </is>
      </c>
      <c r="L9" s="16" t="inlineStr">
        <is>
          <t>10.19</t>
        </is>
      </c>
      <c r="M9" s="16" t="inlineStr">
        <is>
          <t>20</t>
        </is>
      </c>
      <c r="N9" s="16" t="inlineStr"/>
      <c r="O9" s="16" t="inlineStr"/>
      <c r="P9" s="16" t="n">
        <v>80</v>
      </c>
      <c r="Q9" s="16" t="n">
        <v>0.2</v>
      </c>
      <c r="R9" s="16" t="n">
        <v>0</v>
      </c>
      <c r="S9" s="16" t="n">
        <v>0.8</v>
      </c>
    </row>
    <row r="10" ht="15" customHeight="1">
      <c r="A10" s="15" t="inlineStr">
        <is>
          <t>21467137H</t>
        </is>
      </c>
      <c r="B10" s="15" t="inlineStr">
        <is>
          <t>Muñoz Guillena, Rafael</t>
        </is>
      </c>
      <c r="C10" s="15" t="inlineStr">
        <is>
          <t>FUNCIONARIO</t>
        </is>
      </c>
      <c r="D10" s="15" t="n">
        <v>1</v>
      </c>
      <c r="E10" s="15" t="n"/>
      <c r="F10" s="15" t="n"/>
      <c r="G10" s="15" t="n"/>
      <c r="H10" s="15" t="n"/>
      <c r="I10" s="15" t="n"/>
      <c r="J10" s="15" t="n">
        <v>1</v>
      </c>
      <c r="K10" s="15" t="inlineStr">
        <is>
          <t>B158</t>
        </is>
      </c>
      <c r="L10" s="16" t="inlineStr">
        <is>
          <t>10.19</t>
        </is>
      </c>
      <c r="M10" s="16" t="inlineStr">
        <is>
          <t>20</t>
        </is>
      </c>
      <c r="N10" s="16" t="inlineStr"/>
      <c r="O10" s="16" t="inlineStr"/>
      <c r="P10" s="16" t="n">
        <v>80</v>
      </c>
      <c r="Q10" s="16" t="n">
        <v>0.2</v>
      </c>
      <c r="R10" s="16" t="n">
        <v>0</v>
      </c>
      <c r="S10" s="16" t="n">
        <v>0.8</v>
      </c>
    </row>
    <row r="11" ht="15" customHeight="1">
      <c r="A11" s="15" t="inlineStr">
        <is>
          <t>21473652R</t>
        </is>
      </c>
      <c r="B11" s="15" t="inlineStr">
        <is>
          <t>Martínez Barco, Patricio Manuel</t>
        </is>
      </c>
      <c r="C11" s="15" t="inlineStr">
        <is>
          <t>FUNCIONARIO</t>
        </is>
      </c>
      <c r="D11" s="15" t="n"/>
      <c r="E11" s="15" t="n">
        <v>1</v>
      </c>
      <c r="F11" s="15" t="n"/>
      <c r="G11" s="15" t="n"/>
      <c r="H11" s="15" t="n"/>
      <c r="I11" s="15" t="n"/>
      <c r="J11" s="15" t="n">
        <v>1</v>
      </c>
      <c r="K11" s="15" t="inlineStr">
        <is>
          <t>B158</t>
        </is>
      </c>
      <c r="L11" s="16" t="inlineStr">
        <is>
          <t>10.19</t>
        </is>
      </c>
      <c r="M11" s="16" t="inlineStr">
        <is>
          <t>50</t>
        </is>
      </c>
      <c r="N11" s="16" t="inlineStr"/>
      <c r="O11" s="16" t="inlineStr"/>
      <c r="P11" s="16" t="n">
        <v>50</v>
      </c>
      <c r="Q11" s="16" t="n">
        <v>0.5</v>
      </c>
      <c r="R11" s="16" t="n">
        <v>0</v>
      </c>
      <c r="S11" s="16" t="n">
        <v>0.5</v>
      </c>
    </row>
    <row r="12" ht="15" customHeight="1">
      <c r="A12" s="15" t="inlineStr">
        <is>
          <t>21475880K</t>
        </is>
      </c>
      <c r="B12" s="15" t="inlineStr">
        <is>
          <t>Gómez Ortega, Jaime</t>
        </is>
      </c>
      <c r="C12" s="15" t="inlineStr">
        <is>
          <t>Vivos</t>
        </is>
      </c>
      <c r="D12" s="15" t="n"/>
      <c r="E12" s="15" t="n"/>
      <c r="F12" s="15" t="n"/>
      <c r="G12" s="15" t="n"/>
      <c r="H12" s="15" t="n"/>
      <c r="I12" s="15" t="n">
        <v>1</v>
      </c>
      <c r="J12" s="15" t="n">
        <v>1</v>
      </c>
      <c r="K12" s="15" t="inlineStr">
        <is>
          <t>B158</t>
        </is>
      </c>
      <c r="L12" s="16" t="inlineStr">
        <is>
          <t>10.19</t>
        </is>
      </c>
      <c r="M12" s="16" t="inlineStr">
        <is>
          <t>20</t>
        </is>
      </c>
      <c r="N12" s="16" t="inlineStr"/>
      <c r="O12" s="16" t="inlineStr"/>
      <c r="P12" s="16" t="n">
        <v>80</v>
      </c>
      <c r="Q12" s="16" t="n">
        <v>0.2</v>
      </c>
      <c r="R12" s="16" t="n">
        <v>0</v>
      </c>
      <c r="S12" s="16" t="n">
        <v>0.8</v>
      </c>
    </row>
    <row r="13" ht="15" customHeight="1">
      <c r="A13" s="15" t="inlineStr">
        <is>
          <t>21482756C</t>
        </is>
      </c>
      <c r="B13" s="15" t="inlineStr">
        <is>
          <t>Moreda Pozo, María Paloma</t>
        </is>
      </c>
      <c r="C13" s="15" t="inlineStr">
        <is>
          <t>Vivos</t>
        </is>
      </c>
      <c r="D13" s="15" t="n"/>
      <c r="E13" s="15" t="n"/>
      <c r="F13" s="15" t="n"/>
      <c r="G13" s="15" t="n"/>
      <c r="H13" s="15" t="n"/>
      <c r="I13" s="15" t="n">
        <v>1</v>
      </c>
      <c r="J13" s="15" t="n">
        <v>1</v>
      </c>
      <c r="K13" s="15" t="inlineStr">
        <is>
          <t>B158</t>
        </is>
      </c>
      <c r="L13" s="16" t="inlineStr">
        <is>
          <t>10.19</t>
        </is>
      </c>
      <c r="M13" s="16" t="inlineStr">
        <is>
          <t>20</t>
        </is>
      </c>
      <c r="N13" s="16" t="inlineStr"/>
      <c r="O13" s="16" t="inlineStr"/>
      <c r="P13" s="16" t="n">
        <v>80</v>
      </c>
      <c r="Q13" s="16" t="n">
        <v>0.2</v>
      </c>
      <c r="R13" s="16" t="n">
        <v>0</v>
      </c>
      <c r="S13" s="16" t="n">
        <v>0.8</v>
      </c>
    </row>
    <row r="14" ht="15" customHeight="1">
      <c r="A14" s="15" t="inlineStr">
        <is>
          <t>21488273V</t>
        </is>
      </c>
      <c r="B14" s="15" t="inlineStr">
        <is>
          <t>Peral Cortés, Jesús</t>
        </is>
      </c>
      <c r="C14" s="15" t="inlineStr">
        <is>
          <t>FUNCIONARIO</t>
        </is>
      </c>
      <c r="D14" s="15" t="n"/>
      <c r="E14" s="15" t="n"/>
      <c r="F14" s="15" t="n"/>
      <c r="G14" s="15" t="n">
        <v>1</v>
      </c>
      <c r="H14" s="15" t="n"/>
      <c r="I14" s="15" t="n"/>
      <c r="J14" s="15" t="n">
        <v>1</v>
      </c>
      <c r="K14" s="15" t="inlineStr">
        <is>
          <t>B158</t>
        </is>
      </c>
      <c r="L14" s="16" t="inlineStr">
        <is>
          <t>10.19</t>
        </is>
      </c>
      <c r="M14" s="16" t="inlineStr">
        <is>
          <t>20</t>
        </is>
      </c>
      <c r="N14" s="16" t="inlineStr"/>
      <c r="O14" s="16" t="inlineStr"/>
      <c r="P14" s="16" t="n">
        <v>80</v>
      </c>
      <c r="Q14" s="16" t="n">
        <v>0.2</v>
      </c>
      <c r="R14" s="16" t="n">
        <v>0</v>
      </c>
      <c r="S14" s="16" t="n">
        <v>0.8</v>
      </c>
    </row>
    <row r="15" ht="15" customHeight="1">
      <c r="A15" s="15" t="inlineStr">
        <is>
          <t>21494991L</t>
        </is>
      </c>
      <c r="B15" s="15" t="inlineStr">
        <is>
          <t>Trujillo Mondejar, Juan Carlos</t>
        </is>
      </c>
      <c r="C15" s="15" t="inlineStr">
        <is>
          <t>FUNCIONARIO</t>
        </is>
      </c>
      <c r="D15" s="15" t="n"/>
      <c r="E15" s="15" t="n">
        <v>1</v>
      </c>
      <c r="F15" s="15" t="n"/>
      <c r="G15" s="15" t="n"/>
      <c r="H15" s="15" t="n"/>
      <c r="I15" s="15" t="n"/>
      <c r="J15" s="15" t="n">
        <v>1</v>
      </c>
      <c r="K15" s="15" t="inlineStr">
        <is>
          <t>B158</t>
        </is>
      </c>
      <c r="L15" s="16" t="inlineStr">
        <is>
          <t>10.19</t>
        </is>
      </c>
      <c r="M15" s="16" t="inlineStr">
        <is>
          <t>50</t>
        </is>
      </c>
      <c r="N15" s="16" t="inlineStr"/>
      <c r="O15" s="16" t="inlineStr"/>
      <c r="P15" s="16" t="n">
        <v>50</v>
      </c>
      <c r="Q15" s="16" t="n">
        <v>0.5</v>
      </c>
      <c r="R15" s="16" t="n">
        <v>0</v>
      </c>
      <c r="S15" s="16" t="n">
        <v>0.5</v>
      </c>
    </row>
    <row r="16" ht="15" customHeight="1">
      <c r="A16" s="15" t="inlineStr">
        <is>
          <t>21510960A</t>
        </is>
      </c>
      <c r="B16" s="15" t="inlineStr">
        <is>
          <t>Escobar Esteban, María Pilar</t>
        </is>
      </c>
      <c r="C16" s="15" t="inlineStr">
        <is>
          <t>NO FUNCIONARIO</t>
        </is>
      </c>
      <c r="D16" s="15" t="n"/>
      <c r="E16" s="15" t="n"/>
      <c r="F16" s="15" t="n"/>
      <c r="G16" s="15" t="n"/>
      <c r="H16" s="15" t="n"/>
      <c r="I16" s="15" t="n">
        <v>1</v>
      </c>
      <c r="J16" s="15" t="n">
        <v>1</v>
      </c>
      <c r="K16" s="15" t="inlineStr">
        <is>
          <t>B158</t>
        </is>
      </c>
      <c r="L16" s="16" t="inlineStr">
        <is>
          <t>10.19</t>
        </is>
      </c>
      <c r="M16" s="16" t="inlineStr">
        <is>
          <t>20</t>
        </is>
      </c>
      <c r="N16" s="16" t="inlineStr"/>
      <c r="O16" s="16" t="inlineStr"/>
      <c r="P16" s="16" t="n">
        <v>80</v>
      </c>
      <c r="Q16" s="16" t="n">
        <v>0.2</v>
      </c>
      <c r="R16" s="16" t="n">
        <v>0</v>
      </c>
      <c r="S16" s="16" t="n">
        <v>0.8</v>
      </c>
    </row>
    <row r="17" ht="15" customHeight="1">
      <c r="A17" s="15" t="inlineStr">
        <is>
          <t>21512592W</t>
        </is>
      </c>
      <c r="B17" s="15" t="inlineStr">
        <is>
          <t>Sánchez Martínez, Felipe</t>
        </is>
      </c>
      <c r="C17" s="15" t="inlineStr">
        <is>
          <t>FUNCIONARIO</t>
        </is>
      </c>
      <c r="D17" s="15" t="n"/>
      <c r="E17" s="15" t="n">
        <v>1</v>
      </c>
      <c r="F17" s="15" t="n">
        <v>1</v>
      </c>
      <c r="G17" s="15" t="n"/>
      <c r="H17" s="15" t="n"/>
      <c r="I17" s="15" t="n"/>
      <c r="J17" s="15" t="n">
        <v>2</v>
      </c>
      <c r="K17" s="15" t="inlineStr">
        <is>
          <t>B158</t>
        </is>
      </c>
      <c r="L17" s="16" t="inlineStr">
        <is>
          <t>10.19</t>
        </is>
      </c>
      <c r="M17" s="16" t="inlineStr">
        <is>
          <t>20</t>
        </is>
      </c>
      <c r="N17" s="16" t="inlineStr"/>
      <c r="O17" s="16" t="inlineStr"/>
      <c r="P17" s="16" t="n">
        <v>80</v>
      </c>
      <c r="Q17" s="16" t="n">
        <v>0.4</v>
      </c>
      <c r="R17" s="16" t="n">
        <v>0</v>
      </c>
      <c r="S17" s="16" t="n">
        <v>1.6</v>
      </c>
    </row>
    <row r="18" ht="15" customHeight="1">
      <c r="A18" s="15" t="inlineStr">
        <is>
          <t>21513360B</t>
        </is>
      </c>
      <c r="B18" s="15" t="inlineStr">
        <is>
          <t>Luján Mora, Sergio</t>
        </is>
      </c>
      <c r="C18" s="15" t="inlineStr">
        <is>
          <t>FUNCIONARIO</t>
        </is>
      </c>
      <c r="D18" s="15" t="n"/>
      <c r="E18" s="15" t="n"/>
      <c r="F18" s="15" t="n"/>
      <c r="G18" s="15" t="n"/>
      <c r="H18" s="15" t="n"/>
      <c r="I18" s="15" t="n">
        <v>1</v>
      </c>
      <c r="J18" s="15" t="n">
        <v>1</v>
      </c>
      <c r="K18" s="15" t="inlineStr">
        <is>
          <t>B158</t>
        </is>
      </c>
      <c r="L18" s="16" t="inlineStr">
        <is>
          <t>10.19</t>
        </is>
      </c>
      <c r="M18" s="16" t="inlineStr">
        <is>
          <t>20</t>
        </is>
      </c>
      <c r="N18" s="16" t="inlineStr"/>
      <c r="O18" s="16" t="inlineStr"/>
      <c r="P18" s="16" t="n">
        <v>80</v>
      </c>
      <c r="Q18" s="16" t="n">
        <v>0.2</v>
      </c>
      <c r="R18" s="16" t="n">
        <v>0</v>
      </c>
      <c r="S18" s="16" t="n">
        <v>0.8</v>
      </c>
    </row>
    <row r="19" ht="15" customHeight="1">
      <c r="A19" s="15" t="inlineStr">
        <is>
          <t>22597223E</t>
        </is>
      </c>
      <c r="B19" s="15" t="inlineStr">
        <is>
          <t>Fuentes Hurtado, Felix Jose</t>
        </is>
      </c>
      <c r="C19" s="15" t="inlineStr">
        <is>
          <t>NO FUNCIONARIO</t>
        </is>
      </c>
      <c r="D19" s="15" t="n"/>
      <c r="E19" s="15" t="n"/>
      <c r="F19" s="15" t="n"/>
      <c r="G19" s="15" t="n"/>
      <c r="H19" s="15" t="n"/>
      <c r="I19" s="15" t="n">
        <v>1</v>
      </c>
      <c r="J19" s="15" t="n">
        <v>1</v>
      </c>
      <c r="K19" s="15" t="inlineStr">
        <is>
          <t>B158</t>
        </is>
      </c>
      <c r="L19" s="16" t="n">
        <v>0</v>
      </c>
      <c r="M19" s="16" t="n">
        <v>0</v>
      </c>
      <c r="N19" s="16" t="inlineStr"/>
      <c r="O19" s="16" t="inlineStr"/>
      <c r="P19" s="16" t="n">
        <v>100</v>
      </c>
      <c r="Q19" s="16" t="n">
        <v>0</v>
      </c>
      <c r="R19" s="16" t="n">
        <v>0</v>
      </c>
      <c r="S19" s="16" t="n">
        <v>1</v>
      </c>
    </row>
    <row r="20" ht="15" customHeight="1">
      <c r="A20" s="15" t="inlineStr">
        <is>
          <t>33481301V</t>
        </is>
      </c>
      <c r="B20" s="15" t="inlineStr">
        <is>
          <t>Cachero Castro, Cristina</t>
        </is>
      </c>
      <c r="C20" s="15" t="inlineStr">
        <is>
          <t>FUNCIONARIO</t>
        </is>
      </c>
      <c r="D20" s="15" t="n">
        <v>1</v>
      </c>
      <c r="E20" s="15" t="n"/>
      <c r="F20" s="15" t="n"/>
      <c r="G20" s="15" t="n"/>
      <c r="H20" s="15" t="n"/>
      <c r="I20" s="15" t="n"/>
      <c r="J20" s="15" t="n">
        <v>1</v>
      </c>
      <c r="K20" s="15" t="inlineStr">
        <is>
          <t>B158</t>
        </is>
      </c>
      <c r="L20" s="16" t="inlineStr">
        <is>
          <t>10.25</t>
        </is>
      </c>
      <c r="M20" s="16" t="inlineStr">
        <is>
          <t>20</t>
        </is>
      </c>
      <c r="N20" s="16" t="inlineStr"/>
      <c r="O20" s="16" t="inlineStr"/>
      <c r="P20" s="16" t="n">
        <v>80</v>
      </c>
      <c r="Q20" s="16" t="n">
        <v>0.2</v>
      </c>
      <c r="R20" s="16" t="n">
        <v>0</v>
      </c>
      <c r="S20" s="16" t="n">
        <v>0.8</v>
      </c>
    </row>
    <row r="21" ht="15" customHeight="1">
      <c r="A21" s="15" t="inlineStr">
        <is>
          <t>44759120Q</t>
        </is>
      </c>
      <c r="B21" s="15" t="inlineStr">
        <is>
          <t>Tomás Díaz, David</t>
        </is>
      </c>
      <c r="C21" s="15" t="inlineStr">
        <is>
          <t>FUNCIONARIO</t>
        </is>
      </c>
      <c r="D21" s="15" t="n"/>
      <c r="E21" s="15" t="n"/>
      <c r="F21" s="15" t="n"/>
      <c r="G21" s="15" t="n">
        <v>2</v>
      </c>
      <c r="H21" s="15" t="n"/>
      <c r="I21" s="15" t="n"/>
      <c r="J21" s="15" t="n">
        <v>2</v>
      </c>
      <c r="K21" s="15" t="inlineStr">
        <is>
          <t>B158</t>
        </is>
      </c>
      <c r="L21" s="16" t="inlineStr">
        <is>
          <t>10.19</t>
        </is>
      </c>
      <c r="M21" s="16" t="inlineStr">
        <is>
          <t>20</t>
        </is>
      </c>
      <c r="N21" s="16" t="inlineStr"/>
      <c r="O21" s="16" t="inlineStr"/>
      <c r="P21" s="16" t="n">
        <v>80</v>
      </c>
      <c r="Q21" s="16" t="n">
        <v>0.4</v>
      </c>
      <c r="R21" s="16" t="n">
        <v>0</v>
      </c>
      <c r="S21" s="16" t="n">
        <v>1.6</v>
      </c>
    </row>
    <row r="22" ht="15" customHeight="1">
      <c r="A22" s="15" t="inlineStr">
        <is>
          <t>44762540D</t>
        </is>
      </c>
      <c r="B22" s="15" t="inlineStr">
        <is>
          <t>Vázquez Pérez, Sonia</t>
        </is>
      </c>
      <c r="C22" s="15" t="inlineStr">
        <is>
          <t>NO FUNCIONARIO</t>
        </is>
      </c>
      <c r="D22" s="15" t="n">
        <v>1</v>
      </c>
      <c r="E22" s="15" t="n"/>
      <c r="F22" s="15" t="n"/>
      <c r="G22" s="15" t="n"/>
      <c r="H22" s="15" t="n"/>
      <c r="I22" s="15" t="n"/>
      <c r="J22" s="15" t="n">
        <v>1</v>
      </c>
      <c r="K22" s="15" t="inlineStr">
        <is>
          <t>B158</t>
        </is>
      </c>
      <c r="L22" s="16" t="inlineStr">
        <is>
          <t>10.19</t>
        </is>
      </c>
      <c r="M22" s="16" t="inlineStr">
        <is>
          <t>20</t>
        </is>
      </c>
      <c r="N22" s="16" t="inlineStr"/>
      <c r="O22" s="16" t="inlineStr"/>
      <c r="P22" s="16" t="n">
        <v>80</v>
      </c>
      <c r="Q22" s="16" t="n">
        <v>0.2</v>
      </c>
      <c r="R22" s="16" t="n">
        <v>0</v>
      </c>
      <c r="S22" s="16" t="n">
        <v>0.8</v>
      </c>
    </row>
    <row r="23" ht="15" customHeight="1">
      <c r="A23" s="15" t="inlineStr">
        <is>
          <t>44769416P</t>
        </is>
      </c>
      <c r="B23" s="15" t="inlineStr">
        <is>
          <t>Candela Romero, Gustavo</t>
        </is>
      </c>
      <c r="C23" s="71" t="inlineStr">
        <is>
          <t>NO FUNCIONARIO</t>
        </is>
      </c>
      <c r="D23" s="71" t="n"/>
      <c r="E23" s="71" t="n"/>
      <c r="F23" s="71" t="n"/>
      <c r="G23" s="71" t="n"/>
      <c r="H23" s="71" t="n"/>
      <c r="I23" s="71" t="n">
        <v>1</v>
      </c>
      <c r="J23" s="71" t="n">
        <v>1</v>
      </c>
      <c r="K23" s="71" t="inlineStr">
        <is>
          <t>B158</t>
        </is>
      </c>
      <c r="L23" s="72" t="inlineStr">
        <is>
          <t>10.19</t>
        </is>
      </c>
      <c r="M23" s="72" t="inlineStr">
        <is>
          <t>50</t>
        </is>
      </c>
      <c r="N23" s="72" t="inlineStr"/>
      <c r="O23" s="72" t="inlineStr"/>
      <c r="P23" s="72" t="n">
        <v>50</v>
      </c>
      <c r="Q23" s="72" t="n">
        <v>0.5</v>
      </c>
      <c r="R23" s="72" t="n">
        <v>0</v>
      </c>
      <c r="S23" s="72" t="n">
        <v>0.5</v>
      </c>
    </row>
    <row r="24" ht="15" customHeight="1">
      <c r="A24" s="15" t="inlineStr">
        <is>
          <t>47075279Y</t>
        </is>
      </c>
      <c r="B24" s="15" t="inlineStr">
        <is>
          <t>Teruel Martínez, Miguel Ángel</t>
        </is>
      </c>
      <c r="C24" s="71" t="inlineStr">
        <is>
          <t>FUNCIONARIO</t>
        </is>
      </c>
      <c r="D24" s="71" t="n"/>
      <c r="E24" s="71" t="n"/>
      <c r="F24" s="71" t="n"/>
      <c r="G24" s="71" t="n"/>
      <c r="H24" s="71" t="n">
        <v>2</v>
      </c>
      <c r="I24" s="71" t="n"/>
      <c r="J24" s="71" t="n">
        <v>2</v>
      </c>
      <c r="K24" s="71" t="inlineStr">
        <is>
          <t>B158</t>
        </is>
      </c>
      <c r="L24" s="72" t="inlineStr">
        <is>
          <t>10.19</t>
        </is>
      </c>
      <c r="M24" s="72" t="inlineStr">
        <is>
          <t>20</t>
        </is>
      </c>
      <c r="N24" s="72" t="inlineStr"/>
      <c r="O24" s="72" t="inlineStr"/>
      <c r="P24" s="72" t="n">
        <v>80</v>
      </c>
      <c r="Q24" s="72" t="n">
        <v>0.4</v>
      </c>
      <c r="R24" s="72" t="n">
        <v>0</v>
      </c>
      <c r="S24" s="72" t="n">
        <v>1.6</v>
      </c>
    </row>
    <row r="25" ht="15" customHeight="1">
      <c r="A25" s="15" t="inlineStr">
        <is>
          <t>48351140B</t>
        </is>
      </c>
      <c r="B25" s="15" t="inlineStr">
        <is>
          <t>Garrigós Fernández, Irene</t>
        </is>
      </c>
      <c r="C25" s="71" t="inlineStr">
        <is>
          <t>FUNCIONARIO</t>
        </is>
      </c>
      <c r="D25" s="71" t="n"/>
      <c r="E25" s="71" t="n"/>
      <c r="F25" s="71" t="n"/>
      <c r="G25" s="71" t="n">
        <v>1</v>
      </c>
      <c r="H25" s="71" t="n"/>
      <c r="I25" s="71" t="n"/>
      <c r="J25" s="71" t="n">
        <v>1</v>
      </c>
      <c r="K25" s="71" t="inlineStr">
        <is>
          <t>B158</t>
        </is>
      </c>
      <c r="L25" s="72" t="inlineStr">
        <is>
          <t>10.19</t>
        </is>
      </c>
      <c r="M25" s="72" t="inlineStr">
        <is>
          <t>20</t>
        </is>
      </c>
      <c r="N25" s="72" t="inlineStr"/>
      <c r="O25" s="72" t="inlineStr"/>
      <c r="P25" s="72" t="n">
        <v>80</v>
      </c>
      <c r="Q25" s="72" t="n">
        <v>0.2</v>
      </c>
      <c r="R25" s="72" t="n">
        <v>0</v>
      </c>
      <c r="S25" s="72" t="n">
        <v>0.8</v>
      </c>
    </row>
    <row r="26" ht="15" customHeight="1">
      <c r="A26" s="15" t="inlineStr">
        <is>
          <t>48378635K</t>
        </is>
      </c>
      <c r="B26" s="15" t="inlineStr">
        <is>
          <t>Pérez Sancho, Carlos</t>
        </is>
      </c>
      <c r="C26" s="71" t="inlineStr">
        <is>
          <t>NO FUNCIONARIO</t>
        </is>
      </c>
      <c r="D26" s="71" t="n"/>
      <c r="E26" s="71" t="n"/>
      <c r="F26" s="71" t="n"/>
      <c r="G26" s="71" t="n"/>
      <c r="H26" s="71" t="n">
        <v>1</v>
      </c>
      <c r="I26" s="71" t="n"/>
      <c r="J26" s="71" t="n">
        <v>1</v>
      </c>
      <c r="K26" s="71" t="inlineStr">
        <is>
          <t>B158</t>
        </is>
      </c>
      <c r="L26" s="72" t="inlineStr">
        <is>
          <t>10.19</t>
        </is>
      </c>
      <c r="M26" s="72" t="inlineStr">
        <is>
          <t>20</t>
        </is>
      </c>
      <c r="N26" s="72" t="inlineStr"/>
      <c r="O26" s="72" t="inlineStr"/>
      <c r="P26" s="72" t="n">
        <v>80</v>
      </c>
      <c r="Q26" s="72" t="n">
        <v>0.2</v>
      </c>
      <c r="R26" s="72" t="n">
        <v>0</v>
      </c>
      <c r="S26" s="72" t="n">
        <v>0.8</v>
      </c>
    </row>
    <row r="27" ht="15" customHeight="1">
      <c r="A27" s="15" t="inlineStr">
        <is>
          <t>48455569C</t>
        </is>
      </c>
      <c r="B27" s="15" t="inlineStr">
        <is>
          <t>Pertusa Ibáñez, Antonio Jorge</t>
        </is>
      </c>
      <c r="C27" s="71" t="inlineStr">
        <is>
          <t>FUNCIONARIO</t>
        </is>
      </c>
      <c r="D27" s="71" t="n">
        <v>2</v>
      </c>
      <c r="E27" s="71" t="n"/>
      <c r="F27" s="71" t="n"/>
      <c r="G27" s="71" t="n"/>
      <c r="H27" s="71" t="n"/>
      <c r="I27" s="71" t="n"/>
      <c r="J27" s="71" t="n">
        <v>2</v>
      </c>
      <c r="K27" s="71" t="inlineStr">
        <is>
          <t>B158</t>
        </is>
      </c>
      <c r="L27" s="72" t="inlineStr">
        <is>
          <t>10.19</t>
        </is>
      </c>
      <c r="M27" s="72" t="inlineStr">
        <is>
          <t>50</t>
        </is>
      </c>
      <c r="N27" s="72" t="inlineStr"/>
      <c r="O27" s="72" t="inlineStr"/>
      <c r="P27" s="72" t="n">
        <v>50</v>
      </c>
      <c r="Q27" s="72" t="n">
        <v>1</v>
      </c>
      <c r="R27" s="72" t="n">
        <v>0</v>
      </c>
      <c r="S27" s="72" t="n">
        <v>1</v>
      </c>
    </row>
    <row r="28" ht="15" customHeight="1">
      <c r="A28" s="15" t="inlineStr">
        <is>
          <t>48531956R</t>
        </is>
      </c>
      <c r="B28" s="15" t="inlineStr">
        <is>
          <t>Gallego Sánchez, Antonio Javier</t>
        </is>
      </c>
      <c r="C28" s="71" t="inlineStr">
        <is>
          <t>FUNCIONARIO</t>
        </is>
      </c>
      <c r="D28" s="71" t="n"/>
      <c r="E28" s="71" t="n"/>
      <c r="F28" s="71" t="n">
        <v>1</v>
      </c>
      <c r="G28" s="71" t="n"/>
      <c r="H28" s="71" t="n"/>
      <c r="I28" s="71" t="n"/>
      <c r="J28" s="71" t="n">
        <v>1</v>
      </c>
      <c r="K28" s="71" t="inlineStr">
        <is>
          <t>B158</t>
        </is>
      </c>
      <c r="L28" s="72" t="inlineStr">
        <is>
          <t>10.19</t>
        </is>
      </c>
      <c r="M28" s="72" t="inlineStr">
        <is>
          <t>50</t>
        </is>
      </c>
      <c r="N28" s="72" t="inlineStr"/>
      <c r="O28" s="72" t="inlineStr"/>
      <c r="P28" s="72" t="n">
        <v>50</v>
      </c>
      <c r="Q28" s="72" t="n">
        <v>0.5</v>
      </c>
      <c r="R28" s="72" t="n">
        <v>0</v>
      </c>
      <c r="S28" s="72" t="n">
        <v>0.5</v>
      </c>
    </row>
    <row r="29" ht="15" customHeight="1">
      <c r="A29" s="15" t="inlineStr">
        <is>
          <t>48534266B</t>
        </is>
      </c>
      <c r="B29" s="15" t="inlineStr">
        <is>
          <t>Esplà Gomis, Miquel</t>
        </is>
      </c>
      <c r="C29" s="71" t="inlineStr">
        <is>
          <t>FUNCIONARIO</t>
        </is>
      </c>
      <c r="D29" s="71" t="n"/>
      <c r="E29" s="71" t="n"/>
      <c r="F29" s="71" t="n"/>
      <c r="G29" s="71" t="n"/>
      <c r="H29" s="71" t="n"/>
      <c r="I29" s="71" t="n">
        <v>1</v>
      </c>
      <c r="J29" s="71" t="n">
        <v>1</v>
      </c>
      <c r="K29" s="71" t="inlineStr">
        <is>
          <t>B158</t>
        </is>
      </c>
      <c r="L29" s="72" t="inlineStr">
        <is>
          <t>10.19</t>
        </is>
      </c>
      <c r="M29" s="72" t="inlineStr">
        <is>
          <t>20</t>
        </is>
      </c>
      <c r="N29" s="72" t="inlineStr"/>
      <c r="O29" s="72" t="inlineStr"/>
      <c r="P29" s="72" t="n">
        <v>80</v>
      </c>
      <c r="Q29" s="72" t="n">
        <v>0.2</v>
      </c>
      <c r="R29" s="72" t="n">
        <v>0</v>
      </c>
      <c r="S29" s="72" t="n">
        <v>0.8</v>
      </c>
    </row>
    <row r="30" ht="15" customHeight="1">
      <c r="A30" s="15" t="inlineStr">
        <is>
          <t>48558539L</t>
        </is>
      </c>
      <c r="B30" s="15" t="inlineStr">
        <is>
          <t>Mate Morga, Alejandro</t>
        </is>
      </c>
      <c r="C30" s="71" t="inlineStr">
        <is>
          <t>FUNCIONARIO</t>
        </is>
      </c>
      <c r="D30" s="71" t="n">
        <v>1</v>
      </c>
      <c r="E30" s="71" t="n"/>
      <c r="F30" s="71" t="n">
        <v>1</v>
      </c>
      <c r="G30" s="71" t="n"/>
      <c r="H30" s="71" t="n"/>
      <c r="I30" s="71" t="n"/>
      <c r="J30" s="71" t="n">
        <v>2</v>
      </c>
      <c r="K30" s="71" t="inlineStr">
        <is>
          <t>B158</t>
        </is>
      </c>
      <c r="L30" s="72" t="inlineStr">
        <is>
          <t>10.19</t>
        </is>
      </c>
      <c r="M30" s="72" t="inlineStr">
        <is>
          <t>50</t>
        </is>
      </c>
      <c r="N30" s="72" t="inlineStr"/>
      <c r="O30" s="72" t="inlineStr"/>
      <c r="P30" s="72" t="n">
        <v>50</v>
      </c>
      <c r="Q30" s="72" t="n">
        <v>1</v>
      </c>
      <c r="R30" s="72" t="n">
        <v>0</v>
      </c>
      <c r="S30" s="72" t="n">
        <v>1</v>
      </c>
    </row>
    <row r="31" ht="15" customHeight="1">
      <c r="A31" s="15" t="inlineStr">
        <is>
          <t>48575347Z</t>
        </is>
      </c>
      <c r="B31" s="15" t="inlineStr">
        <is>
          <t>Lavalle López, Ana</t>
        </is>
      </c>
      <c r="C31" s="73" t="inlineStr">
        <is>
          <t>NO FUNCIONARIO</t>
        </is>
      </c>
      <c r="D31" s="71" t="n"/>
      <c r="E31" s="71" t="n"/>
      <c r="F31" s="71" t="n"/>
      <c r="G31" s="71" t="n"/>
      <c r="H31" s="71" t="n"/>
      <c r="I31" s="71" t="n">
        <v>1</v>
      </c>
      <c r="J31" s="71" t="n">
        <v>1</v>
      </c>
      <c r="K31" s="71" t="inlineStr">
        <is>
          <t>B158</t>
        </is>
      </c>
      <c r="L31" s="72" t="n">
        <v>0</v>
      </c>
      <c r="M31" s="72" t="n">
        <v>0</v>
      </c>
      <c r="N31" s="72" t="inlineStr"/>
      <c r="O31" s="72" t="inlineStr"/>
      <c r="P31" s="72" t="n">
        <v>100</v>
      </c>
      <c r="Q31" s="72" t="n">
        <v>0</v>
      </c>
      <c r="R31" s="72" t="n">
        <v>0</v>
      </c>
      <c r="S31" s="72" t="n">
        <v>1</v>
      </c>
    </row>
    <row r="32" ht="15" customHeight="1">
      <c r="A32" s="15" t="inlineStr">
        <is>
          <t>48644211Q</t>
        </is>
      </c>
      <c r="B32" s="15" t="inlineStr">
        <is>
          <t>Reina Reina, Alejandro</t>
        </is>
      </c>
      <c r="C32" s="73" t="inlineStr">
        <is>
          <t>NO FUNCIONARIO</t>
        </is>
      </c>
      <c r="D32" s="71" t="n"/>
      <c r="E32" s="71" t="n"/>
      <c r="F32" s="71" t="n"/>
      <c r="G32" s="71" t="n"/>
      <c r="H32" s="71" t="n"/>
      <c r="I32" s="71" t="n">
        <v>1</v>
      </c>
      <c r="J32" s="71" t="n">
        <v>1</v>
      </c>
      <c r="K32" s="71" t="inlineStr">
        <is>
          <t>B158</t>
        </is>
      </c>
      <c r="L32" s="72" t="n">
        <v>0</v>
      </c>
      <c r="M32" s="72" t="n">
        <v>0</v>
      </c>
      <c r="N32" s="72" t="inlineStr"/>
      <c r="O32" s="72" t="inlineStr"/>
      <c r="P32" s="72" t="n">
        <v>100</v>
      </c>
      <c r="Q32" s="72" t="n">
        <v>0</v>
      </c>
      <c r="R32" s="72" t="n">
        <v>0</v>
      </c>
      <c r="S32" s="72" t="n">
        <v>1</v>
      </c>
    </row>
    <row r="33" ht="15" customHeight="1">
      <c r="A33" s="15" t="inlineStr">
        <is>
          <t>52771535J</t>
        </is>
      </c>
      <c r="B33" s="15" t="inlineStr">
        <is>
          <t>Pérez Ortiz, Juan Antonio</t>
        </is>
      </c>
      <c r="C33" s="73" t="inlineStr">
        <is>
          <t>FUNCIONARIO</t>
        </is>
      </c>
      <c r="D33" s="71" t="n"/>
      <c r="E33" s="71" t="n"/>
      <c r="F33" s="71" t="n">
        <v>1</v>
      </c>
      <c r="G33" s="71" t="n"/>
      <c r="H33" s="71" t="n"/>
      <c r="I33" s="71" t="n"/>
      <c r="J33" s="71" t="n">
        <v>1</v>
      </c>
      <c r="K33" s="71" t="inlineStr">
        <is>
          <t>B158</t>
        </is>
      </c>
      <c r="L33" s="72" t="inlineStr">
        <is>
          <t>10.19</t>
        </is>
      </c>
      <c r="M33" s="72" t="inlineStr">
        <is>
          <t>20</t>
        </is>
      </c>
      <c r="N33" s="72" t="inlineStr"/>
      <c r="O33" s="72" t="inlineStr"/>
      <c r="P33" s="72" t="n">
        <v>80</v>
      </c>
      <c r="Q33" s="72" t="n">
        <v>0.2</v>
      </c>
      <c r="R33" s="72" t="n">
        <v>0</v>
      </c>
      <c r="S33" s="72" t="n">
        <v>0.8</v>
      </c>
    </row>
    <row r="34" ht="15" customHeight="1">
      <c r="A34" s="15" t="inlineStr">
        <is>
          <t>52776534K</t>
        </is>
      </c>
      <c r="B34" s="15" t="inlineStr">
        <is>
          <t>Navarro Colorado, Francisco de Borja</t>
        </is>
      </c>
      <c r="C34" s="73" t="inlineStr">
        <is>
          <t>FUNCIONARIO</t>
        </is>
      </c>
      <c r="D34" s="71" t="n"/>
      <c r="E34" s="71" t="n"/>
      <c r="F34" s="71" t="n"/>
      <c r="G34" s="71" t="n"/>
      <c r="H34" s="71" t="n">
        <v>2</v>
      </c>
      <c r="I34" s="71" t="n"/>
      <c r="J34" s="71" t="n">
        <v>2</v>
      </c>
      <c r="K34" s="71" t="inlineStr">
        <is>
          <t>B158</t>
        </is>
      </c>
      <c r="L34" s="72" t="inlineStr">
        <is>
          <t>10.19</t>
        </is>
      </c>
      <c r="M34" s="72" t="inlineStr">
        <is>
          <t>20</t>
        </is>
      </c>
      <c r="N34" s="72" t="inlineStr"/>
      <c r="O34" s="72" t="inlineStr"/>
      <c r="P34" s="72" t="n">
        <v>80</v>
      </c>
      <c r="Q34" s="72" t="n">
        <v>0.4</v>
      </c>
      <c r="R34" s="72" t="n">
        <v>0</v>
      </c>
      <c r="S34" s="72" t="n">
        <v>1.6</v>
      </c>
    </row>
    <row r="35" ht="15" customHeight="1">
      <c r="A35" s="15" t="inlineStr">
        <is>
          <t>52777349P</t>
        </is>
      </c>
      <c r="B35" s="15" t="inlineStr">
        <is>
          <t>Melia Beigbeder, Santiago</t>
        </is>
      </c>
      <c r="C35" s="73" t="inlineStr">
        <is>
          <t>FUNCIONARIO</t>
        </is>
      </c>
      <c r="D35" s="71" t="n"/>
      <c r="E35" s="71" t="n"/>
      <c r="F35" s="71" t="n"/>
      <c r="G35" s="71" t="n"/>
      <c r="H35" s="71" t="n">
        <v>1</v>
      </c>
      <c r="I35" s="71" t="n"/>
      <c r="J35" s="71" t="n">
        <v>1</v>
      </c>
      <c r="K35" s="71" t="inlineStr">
        <is>
          <t>B158</t>
        </is>
      </c>
      <c r="L35" s="72" t="inlineStr">
        <is>
          <t>10.19</t>
        </is>
      </c>
      <c r="M35" s="72" t="inlineStr">
        <is>
          <t>20</t>
        </is>
      </c>
      <c r="N35" s="72" t="inlineStr"/>
      <c r="O35" s="72" t="inlineStr"/>
      <c r="P35" s="72" t="n">
        <v>80</v>
      </c>
      <c r="Q35" s="72" t="n">
        <v>0.2</v>
      </c>
      <c r="R35" s="72" t="n">
        <v>0</v>
      </c>
      <c r="S35" s="72" t="n">
        <v>0.8</v>
      </c>
    </row>
    <row r="36" ht="15" customHeight="1">
      <c r="A36" s="38" t="inlineStr">
        <is>
          <t>52778169T</t>
        </is>
      </c>
      <c r="B36" s="38" t="inlineStr">
        <is>
          <t>Saquete Boró, María Estela</t>
        </is>
      </c>
      <c r="C36" s="39" t="inlineStr">
        <is>
          <t>FUNCIONARIO</t>
        </is>
      </c>
      <c r="D36" s="38" t="n"/>
      <c r="E36" s="38" t="n"/>
      <c r="F36" s="38" t="n">
        <v>1</v>
      </c>
      <c r="G36" s="38" t="n"/>
      <c r="H36" s="38" t="n"/>
      <c r="I36" s="38" t="n"/>
      <c r="J36" s="38" t="n">
        <v>1</v>
      </c>
      <c r="K36" s="71" t="inlineStr">
        <is>
          <t>B158</t>
        </is>
      </c>
      <c r="L36" s="40" t="inlineStr">
        <is>
          <t>10.19</t>
        </is>
      </c>
      <c r="M36" s="40" t="inlineStr">
        <is>
          <t>20</t>
        </is>
      </c>
      <c r="N36" s="40" t="inlineStr"/>
      <c r="O36" s="40" t="inlineStr"/>
      <c r="P36" s="40" t="n">
        <v>80</v>
      </c>
      <c r="Q36" s="40" t="n">
        <v>0.2</v>
      </c>
      <c r="R36" s="40" t="n">
        <v>0</v>
      </c>
      <c r="S36" s="40" t="n">
        <v>0.8</v>
      </c>
    </row>
    <row r="37" ht="15" customHeight="1">
      <c r="A37" s="38" t="inlineStr">
        <is>
          <t>53230124M</t>
        </is>
      </c>
      <c r="B37" s="38" t="inlineStr">
        <is>
          <t>Muñoz Terol, Rafael</t>
        </is>
      </c>
      <c r="C37" s="39" t="inlineStr">
        <is>
          <t>Vivos</t>
        </is>
      </c>
      <c r="D37" s="38" t="n"/>
      <c r="E37" s="38" t="n"/>
      <c r="F37" s="38" t="n"/>
      <c r="G37" s="38" t="n"/>
      <c r="H37" s="38" t="n"/>
      <c r="I37" s="38" t="n">
        <v>1</v>
      </c>
      <c r="J37" s="38" t="n">
        <v>1</v>
      </c>
      <c r="K37" s="71" t="inlineStr">
        <is>
          <t>B158</t>
        </is>
      </c>
      <c r="L37" s="40" t="inlineStr">
        <is>
          <t>10.19</t>
        </is>
      </c>
      <c r="M37" s="40" t="inlineStr">
        <is>
          <t>20</t>
        </is>
      </c>
      <c r="N37" s="40" t="inlineStr"/>
      <c r="O37" s="40" t="inlineStr"/>
      <c r="P37" s="40" t="n">
        <v>80</v>
      </c>
      <c r="Q37" s="40" t="n">
        <v>0.2</v>
      </c>
      <c r="R37" s="40" t="n">
        <v>0</v>
      </c>
      <c r="S37" s="40" t="n">
        <v>0.8</v>
      </c>
    </row>
    <row r="38" ht="15" customHeight="1">
      <c r="A38" s="38" t="inlineStr">
        <is>
          <t>53232971T</t>
        </is>
      </c>
      <c r="B38" s="38" t="inlineStr">
        <is>
          <t>Lloret Pastor, Elena</t>
        </is>
      </c>
      <c r="C38" s="39" t="inlineStr">
        <is>
          <t>FUNCIONARIO</t>
        </is>
      </c>
      <c r="D38" s="38" t="n">
        <v>2</v>
      </c>
      <c r="E38" s="38" t="n"/>
      <c r="F38" s="38" t="n"/>
      <c r="G38" s="38" t="n"/>
      <c r="H38" s="38" t="n"/>
      <c r="I38" s="38" t="n"/>
      <c r="J38" s="38" t="n">
        <v>2</v>
      </c>
      <c r="K38" s="71" t="inlineStr">
        <is>
          <t>B158</t>
        </is>
      </c>
      <c r="L38" s="40" t="inlineStr">
        <is>
          <t>10.19</t>
        </is>
      </c>
      <c r="M38" s="40" t="inlineStr">
        <is>
          <t>20</t>
        </is>
      </c>
      <c r="N38" s="40" t="inlineStr"/>
      <c r="O38" s="40" t="inlineStr"/>
      <c r="P38" s="40" t="n">
        <v>80</v>
      </c>
      <c r="Q38" s="40" t="n">
        <v>0.4</v>
      </c>
      <c r="R38" s="40" t="n">
        <v>0</v>
      </c>
      <c r="S38" s="40" t="n">
        <v>1.6</v>
      </c>
    </row>
    <row r="39" ht="15" customHeight="1">
      <c r="A39" s="38" t="inlineStr">
        <is>
          <t>73766251F</t>
        </is>
      </c>
      <c r="B39" s="38" t="inlineStr">
        <is>
          <t>Rico Juan, Juan Ramón</t>
        </is>
      </c>
      <c r="C39" s="39" t="inlineStr">
        <is>
          <t>FUNCIONARIO</t>
        </is>
      </c>
      <c r="D39" s="38" t="n"/>
      <c r="E39" s="38" t="n"/>
      <c r="F39" s="38" t="n"/>
      <c r="G39" s="38" t="n"/>
      <c r="H39" s="38" t="n">
        <v>1</v>
      </c>
      <c r="I39" s="38" t="n"/>
      <c r="J39" s="38" t="n">
        <v>1</v>
      </c>
      <c r="K39" s="71" t="inlineStr">
        <is>
          <t>B158</t>
        </is>
      </c>
      <c r="L39" s="40" t="inlineStr">
        <is>
          <t>10.19</t>
        </is>
      </c>
      <c r="M39" s="40" t="inlineStr">
        <is>
          <t>20</t>
        </is>
      </c>
      <c r="N39" s="40" t="inlineStr"/>
      <c r="O39" s="40" t="inlineStr"/>
      <c r="P39" s="40" t="n">
        <v>80</v>
      </c>
      <c r="Q39" s="40" t="n">
        <v>0.2</v>
      </c>
      <c r="R39" s="40" t="n">
        <v>0</v>
      </c>
      <c r="S39" s="40" t="n">
        <v>0.8</v>
      </c>
    </row>
    <row r="40" ht="15" customHeight="1">
      <c r="A40" s="38" t="inlineStr">
        <is>
          <t>73993969W</t>
        </is>
      </c>
      <c r="B40" s="38" t="inlineStr">
        <is>
          <t>Mazón López, Jose Norberto</t>
        </is>
      </c>
      <c r="C40" s="39" t="inlineStr">
        <is>
          <t>FUNCIONARIO</t>
        </is>
      </c>
      <c r="D40" s="38" t="n"/>
      <c r="E40" s="38" t="n"/>
      <c r="F40" s="38" t="n"/>
      <c r="G40" s="38" t="n">
        <v>1</v>
      </c>
      <c r="H40" s="38" t="n"/>
      <c r="I40" s="38" t="n"/>
      <c r="J40" s="38" t="n">
        <v>1</v>
      </c>
      <c r="K40" s="71" t="inlineStr">
        <is>
          <t>B158</t>
        </is>
      </c>
      <c r="L40" s="40" t="inlineStr">
        <is>
          <t>10.17</t>
        </is>
      </c>
      <c r="M40" s="40" t="inlineStr">
        <is>
          <t>10</t>
        </is>
      </c>
      <c r="N40" s="40" t="inlineStr">
        <is>
          <t>10.19</t>
        </is>
      </c>
      <c r="O40" s="40" t="inlineStr">
        <is>
          <t>20</t>
        </is>
      </c>
      <c r="P40" s="40" t="n">
        <v>70</v>
      </c>
      <c r="Q40" s="40" t="n">
        <v>0.1</v>
      </c>
      <c r="R40" s="40" t="n">
        <v>0.2</v>
      </c>
      <c r="S40" s="40" t="n">
        <v>0.7</v>
      </c>
    </row>
    <row r="41" ht="15" customHeight="1">
      <c r="A41" s="38" t="inlineStr">
        <is>
          <t>74004743N</t>
        </is>
      </c>
      <c r="B41" s="38" t="inlineStr">
        <is>
          <t>Calvo Zaragoza, Jorge</t>
        </is>
      </c>
      <c r="C41" s="39" t="inlineStr">
        <is>
          <t>FUNCIONARIO</t>
        </is>
      </c>
      <c r="D41" s="38" t="n"/>
      <c r="E41" s="38" t="n"/>
      <c r="F41" s="38" t="n">
        <v>1</v>
      </c>
      <c r="G41" s="38" t="n"/>
      <c r="H41" s="38" t="n"/>
      <c r="I41" s="38" t="n">
        <v>1</v>
      </c>
      <c r="J41" s="38" t="n">
        <v>2</v>
      </c>
      <c r="K41" s="71" t="inlineStr">
        <is>
          <t>B158</t>
        </is>
      </c>
      <c r="L41" s="40" t="inlineStr">
        <is>
          <t>10.19</t>
        </is>
      </c>
      <c r="M41" s="40" t="inlineStr">
        <is>
          <t>50</t>
        </is>
      </c>
      <c r="N41" s="40" t="inlineStr"/>
      <c r="O41" s="40" t="inlineStr"/>
      <c r="P41" s="40" t="n">
        <v>50</v>
      </c>
      <c r="Q41" s="40" t="n">
        <v>1</v>
      </c>
      <c r="R41" s="40" t="n">
        <v>0</v>
      </c>
      <c r="S41" s="40" t="n">
        <v>1</v>
      </c>
    </row>
    <row r="42" ht="15" customHeight="1">
      <c r="A42" s="38" t="inlineStr">
        <is>
          <t>74363844Z</t>
        </is>
      </c>
      <c r="B42" s="38" t="inlineStr">
        <is>
          <t>Sánchez Cartagena, Víctor Manuel</t>
        </is>
      </c>
      <c r="C42" s="39" t="inlineStr">
        <is>
          <t>FUNCIONARIO</t>
        </is>
      </c>
      <c r="D42" s="38" t="n"/>
      <c r="E42" s="38" t="n"/>
      <c r="F42" s="38" t="n"/>
      <c r="G42" s="38" t="n"/>
      <c r="H42" s="38" t="n"/>
      <c r="I42" s="38" t="n">
        <v>1</v>
      </c>
      <c r="J42" s="38" t="n">
        <v>1</v>
      </c>
      <c r="K42" s="71" t="inlineStr">
        <is>
          <t>B158</t>
        </is>
      </c>
      <c r="L42" s="40" t="inlineStr">
        <is>
          <t>10.19</t>
        </is>
      </c>
      <c r="M42" s="40" t="inlineStr">
        <is>
          <t>20</t>
        </is>
      </c>
      <c r="N42" s="40" t="inlineStr"/>
      <c r="O42" s="40" t="inlineStr"/>
      <c r="P42" s="40" t="n">
        <v>80</v>
      </c>
      <c r="Q42" s="40" t="n">
        <v>0.2</v>
      </c>
      <c r="R42" s="40" t="n">
        <v>0</v>
      </c>
      <c r="S42" s="40" t="n">
        <v>0.8</v>
      </c>
    </row>
    <row r="43" ht="15" customHeight="1">
      <c r="A43" s="38" t="inlineStr">
        <is>
          <t>74372523E</t>
        </is>
      </c>
      <c r="B43" s="38" t="inlineStr">
        <is>
          <t>Valero Mas, José Javier</t>
        </is>
      </c>
      <c r="C43" s="39" t="inlineStr">
        <is>
          <t>NO FUNCIONARIO</t>
        </is>
      </c>
      <c r="D43" s="38" t="n"/>
      <c r="E43" s="38" t="n"/>
      <c r="F43" s="38" t="n"/>
      <c r="G43" s="38" t="n"/>
      <c r="H43" s="38" t="n">
        <v>1</v>
      </c>
      <c r="I43" s="38" t="n"/>
      <c r="J43" s="38" t="n">
        <v>1</v>
      </c>
      <c r="K43" s="15" t="inlineStr">
        <is>
          <t>B158</t>
        </is>
      </c>
      <c r="L43" s="40" t="inlineStr">
        <is>
          <t>10.19</t>
        </is>
      </c>
      <c r="M43" s="40" t="inlineStr">
        <is>
          <t>50</t>
        </is>
      </c>
      <c r="N43" s="40" t="inlineStr"/>
      <c r="O43" s="40" t="inlineStr"/>
      <c r="P43" s="40" t="n">
        <v>50</v>
      </c>
      <c r="Q43" s="40" t="n">
        <v>0.5</v>
      </c>
      <c r="R43" s="40" t="n">
        <v>0</v>
      </c>
      <c r="S43" s="40" t="n">
        <v>0.5</v>
      </c>
    </row>
    <row r="44" ht="15" customHeight="1">
      <c r="A44" s="41" t="n"/>
      <c r="B44" s="41" t="n"/>
      <c r="C44" s="42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3">
        <f>SUM(S2:S43)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27" sqref="C27"/>
    </sheetView>
  </sheetViews>
  <sheetFormatPr baseColWidth="10" defaultRowHeight="15"/>
  <cols>
    <col width="17" customWidth="1" min="1" max="1"/>
    <col width="65.85546875" customWidth="1" min="2" max="2"/>
    <col width="16" customWidth="1" min="3" max="3"/>
  </cols>
  <sheetData>
    <row r="1">
      <c r="A1" s="47" t="inlineStr">
        <is>
          <t>Cód. org. aplic.</t>
        </is>
      </c>
      <c r="B1" s="47" t="inlineStr">
        <is>
          <t>Descripción justificante</t>
        </is>
      </c>
      <c r="C1" s="47" t="inlineStr">
        <is>
          <t>Imp.cob.aplic.</t>
        </is>
      </c>
    </row>
    <row r="2">
      <c r="A2" s="33" t="inlineStr">
        <is>
          <t>35.70.6C.00.35</t>
        </is>
      </c>
      <c r="B2" s="33" t="inlineStr">
        <is>
          <t>SEXTO PAGO CONTRATO DE ASESORAMIENTO Y ASISTENCIA CIENTÍFICO-TÉCNICA FIRMADO ENTRE ODILO TID, S.L. Y  LA UNIVERSIDAD DE ALICANTE.</t>
        </is>
      </c>
      <c r="C2" s="101" t="n">
        <v>2640</v>
      </c>
    </row>
    <row r="3">
      <c r="A3" s="35" t="inlineStr">
        <is>
          <t>35.70.6C.00.35</t>
        </is>
      </c>
      <c r="B3" s="35" t="inlineStr">
        <is>
          <t>CUARTO PAGO CONTRATO DE ASESORAMIENTO Y ASISTENCIA CIENTÍFICO-TÉCNICA FIRMADO ENTRE ODILO TID, S.L. Y LA UNIVERSIDAD DE ALICANTE.</t>
        </is>
      </c>
      <c r="C3" s="102" t="n">
        <v>2640</v>
      </c>
    </row>
    <row r="4">
      <c r="A4" s="33" t="inlineStr">
        <is>
          <t>35.70.6C.00.35</t>
        </is>
      </c>
      <c r="B4" s="33" t="inlineStr">
        <is>
          <t>QUINTO PAGO CONTRATO DE ASESORAMIENTO Y ASISTENCIA CIENTÍFICO-TÉCNICA FIRMADO ENTRE ODILO TID, S.L. Y  LA UNIVERSIDAD DE ALICANTE.</t>
        </is>
      </c>
      <c r="C4" s="101" t="n">
        <v>2640</v>
      </c>
    </row>
    <row r="5">
      <c r="A5" s="35" t="inlineStr">
        <is>
          <t>35.70.6C.00.38</t>
        </is>
      </c>
      <c r="B5" s="35" t="inlineStr">
        <is>
          <t>Número de pedido VP007356. The National Librarian's Research Fellowship in Digital Scholarship Invoice 3</t>
        </is>
      </c>
      <c r="C5" s="102" t="n">
        <v>2513.06</v>
      </c>
    </row>
    <row r="6">
      <c r="A6" s="33" t="inlineStr">
        <is>
          <t>35.70.6C.00.39</t>
        </is>
      </c>
      <c r="B6" s="33" t="inlineStr">
        <is>
          <t>Auditoría de accesibilidad y generación de informes de cursos sobre plataforma MOODLE - referencia  PRODIGIOSO-VOLCAN1-23TPA - código de proyecto 2022/1390</t>
        </is>
      </c>
      <c r="C6" s="101" t="n">
        <v>7216</v>
      </c>
    </row>
    <row r="7">
      <c r="A7" s="35" t="inlineStr">
        <is>
          <t>35.70.6P.00.26</t>
        </is>
      </c>
      <c r="B7" s="35" t="inlineStr">
        <is>
          <t xml:space="preserve">PID2020-112540RB-C43/112611RB-I00/112930GB-I00/113343GB-I00/113472RB-I00/114381GB-I00/114517GB-I00/114896RB-I00/115140RB-I00/115735GB-I00  </t>
        </is>
      </c>
      <c r="C7" s="102" t="n">
        <v>33179.6</v>
      </c>
    </row>
    <row r="8">
      <c r="A8" s="33" t="inlineStr">
        <is>
          <t>35.70.6P.00.31</t>
        </is>
      </c>
      <c r="B8" s="33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8" s="101" t="n">
        <v>48363</v>
      </c>
    </row>
    <row r="9">
      <c r="A9" s="35" t="inlineStr">
        <is>
          <t>35.70.6P.00.32</t>
        </is>
      </c>
      <c r="B9" s="35" t="inlineStr">
        <is>
          <t>PDC2022-133146-C22PDC-2022-1 - ANUALIDAD LIBERADOS</t>
        </is>
      </c>
      <c r="C9" s="102" t="n">
        <v>11925</v>
      </c>
    </row>
    <row r="10">
      <c r="A10" s="33" t="inlineStr">
        <is>
          <t>35.70.6P.00.35</t>
        </is>
      </c>
      <c r="B10" s="33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10" s="101" t="n">
        <v>30000</v>
      </c>
    </row>
    <row r="11">
      <c r="A11" s="35" t="inlineStr">
        <is>
          <t>35.70.6X.00.06</t>
        </is>
      </c>
      <c r="B11" s="35" t="inlineStr">
        <is>
          <t>ÚLTIMO COBRO DEL PROYECTO MultiTranNMT</t>
        </is>
      </c>
      <c r="C11" s="102" t="n">
        <v>1891.86</v>
      </c>
    </row>
    <row r="12">
      <c r="A12" s="33" t="inlineStr">
        <is>
          <t>35.70.6X.00.06</t>
        </is>
      </c>
      <c r="B12" s="33" t="inlineStr">
        <is>
          <t>Penúltimo cobro del Proyecto Multi-Traint</t>
        </is>
      </c>
      <c r="C12" s="101" t="n">
        <v>3803.7</v>
      </c>
    </row>
    <row r="13">
      <c r="A13" s="35" t="inlineStr">
        <is>
          <t>35.70.6X.00.07</t>
        </is>
      </c>
      <c r="B13" s="35" t="inlineStr">
        <is>
          <t>6º INGRESO PERCIBIDO PARA PROYECTO EDU TECH.</t>
        </is>
      </c>
      <c r="C13" s="102" t="n">
        <v>1145</v>
      </c>
    </row>
    <row r="14">
      <c r="A14" s="50" t="inlineStr">
        <is>
          <t>35.70.6X.00.09</t>
        </is>
      </c>
      <c r="B14" s="50" t="inlineStr">
        <is>
          <t>Abono total del justificante 2022/000000034632 de Viajes El Corte Inglés con factura de abono A/631/2022 , compensado en el justificante 6739/2023 y ADO 9288/2023</t>
        </is>
      </c>
      <c r="C14" s="103" t="n">
        <v>345.8</v>
      </c>
    </row>
    <row r="15" customFormat="1" s="54">
      <c r="A15" s="52" t="inlineStr">
        <is>
          <t>Total</t>
        </is>
      </c>
      <c r="B15" s="52" t="n"/>
      <c r="C15" s="104">
        <f>SUBTOTAL(109,Tabla2[Imp.cob.aplic.])</f>
        <v/>
      </c>
    </row>
    <row r="16">
      <c r="C16" s="10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B26" sqref="B26:C26"/>
    </sheetView>
  </sheetViews>
  <sheetFormatPr baseColWidth="10" defaultRowHeight="15"/>
  <cols>
    <col width="16.5703125" customWidth="1" min="1" max="1"/>
    <col width="60.140625" customWidth="1" min="2" max="2"/>
    <col width="22.5703125" customWidth="1" min="3" max="3"/>
  </cols>
  <sheetData>
    <row r="1">
      <c r="A1" s="57" t="inlineStr">
        <is>
          <t>Org. aplic.</t>
        </is>
      </c>
      <c r="B1" s="57" t="inlineStr">
        <is>
          <t>Descripción justificante</t>
        </is>
      </c>
      <c r="C1" s="106" t="inlineStr">
        <is>
          <t>Imp. aplic.</t>
        </is>
      </c>
    </row>
    <row r="2">
      <c r="A2" s="55" t="inlineStr">
        <is>
          <t>35.70.6C.00.35</t>
        </is>
      </c>
      <c r="B2" s="55" t="inlineStr">
        <is>
          <t>SÉPTIMO PAGO CONTRATO DE ASESORAMIENTO Y ASISTENCIA CIENTÍFICO-TÉCNICA FIRMADO ENTRE ODILO TID, S.L. Y  LA UNIVERSIDAD DE ALICANTE.</t>
        </is>
      </c>
      <c r="C2" s="107" t="n">
        <v>2640</v>
      </c>
    </row>
    <row r="3">
      <c r="A3" s="56" t="inlineStr">
        <is>
          <t>35.70.6C.00.40</t>
        </is>
      </c>
      <c r="B3" s="56" t="inlineStr">
        <is>
          <t>Auditoría de accesibilidad y generación de dos informes del portal Web del servicio público de empleo estatal (SEPE). A la firma del contrato se debe facturar el 30% (882 €) más el IVA aplicable. CODIGO INTERNO 2023/0576 PRODIGIOSOVOLCAN1-24T</t>
        </is>
      </c>
      <c r="C3" s="108" t="n">
        <v>776.16</v>
      </c>
    </row>
    <row r="4">
      <c r="A4" s="55" t="inlineStr">
        <is>
          <t>35.70.6C.00.40</t>
        </is>
      </c>
      <c r="B4" s="55" t="inlineStr">
        <is>
          <t>Código Interno del proyecto 2023/0576. CONTRATO: ANEJO DE MODIFICACIÓN AL CONTRATO PARA ACTIVIDADES DE ASESORAMIENTO Y ASISTENCIA CIENTÍFICO- TÉCNICA ENTRE PRODIGIOSO VOLCÁN, S.L Y LA UNIVERSIDAD DE ALICANTE» PRODIGIOSOVOLCAN1-24T</t>
        </is>
      </c>
      <c r="C4" s="107" t="n">
        <v>517.4400000000001</v>
      </c>
    </row>
    <row r="5">
      <c r="A5" s="56" t="inlineStr">
        <is>
          <t>35.70.6C.00.41</t>
        </is>
      </c>
      <c r="B5" s="56" t="inlineStr">
        <is>
          <t>Finalización de los trabajos establecidos en el contrato AUDITORIA IN SITU DEL EXPEDIENTE EI/883A1, EI/883S1 Y ESTUDIO DOCUMENTACION DEL EXPEDIENTE EI/883A1»</t>
        </is>
      </c>
      <c r="C5" s="108" t="n">
        <v>1075.8</v>
      </c>
    </row>
    <row r="6">
      <c r="A6" s="55" t="inlineStr">
        <is>
          <t>35.70.6C.00.42</t>
        </is>
      </c>
      <c r="B6" s="55" t="inlineStr">
        <is>
          <t>SERVICIOS DE AUDITORIA IN SITU DEL EXPEDIENTE EI/936I1 (ACCESIBILIDAD DE WEBS Y APPS). ESTUDIO DOCUMENTACION DEL EXPEDIENTE EI/936I1 (ACCESIBILIDAD DE WEBS Y APPS)</t>
        </is>
      </c>
      <c r="C6" s="107" t="n">
        <v>1271.6</v>
      </c>
    </row>
    <row r="7">
      <c r="A7" s="56" t="inlineStr">
        <is>
          <t>35.70.6C.00.44</t>
        </is>
      </c>
      <c r="B7" s="56" t="inlineStr">
        <is>
          <t>LICENCIA DE USO DEL PROGRAMA DE ORDENADOR "HERRAMIENTA DIRIGIDA POR DOMINIO PARA LA OBTENCION DE ARQUITECTURAS CLEAN" NO EXCLUSIVA Y NO TRANSFERIBLE</t>
        </is>
      </c>
      <c r="C7" s="108" t="n">
        <v>480</v>
      </c>
    </row>
    <row r="8">
      <c r="A8" s="55" t="inlineStr">
        <is>
          <t>35.70.6C.00.45</t>
        </is>
      </c>
      <c r="B8" s="55" t="inlineStr">
        <is>
          <t>Desarrollo flujos transaccionales  Nº pedido:    457000545800010 Importe 11.931,82€ TÍTULO DEL PROYECTO: "Investigación y asesoramiento/coordinación en el desarrollo de un asistente conversacional basado en tecnologías del lenguaje humano para la ejecución de transacciones bancarias" Investigador Principal: D Eduardo Grande Ruíz</t>
        </is>
      </c>
      <c r="C8" s="107" t="n">
        <v>10500</v>
      </c>
    </row>
    <row r="9">
      <c r="A9" s="56" t="inlineStr">
        <is>
          <t>35.70.6M.00.13</t>
        </is>
      </c>
      <c r="B9" s="56" t="inlineStr">
        <is>
          <t xml:space="preserve">IMPARTICIÓN DEL CURSO: INTRODUCCION A LA INTELIGENCIA ARTIFICIAL EN EL AMBITO EDUCATIVO ORIENTADO A PROFESORADO DE EDUCACION PRIMARIA Y ESO </t>
        </is>
      </c>
      <c r="C9" s="108" t="n">
        <v>880</v>
      </c>
    </row>
    <row r="10">
      <c r="A10" s="55" t="inlineStr">
        <is>
          <t>35.70.6P.00.26</t>
        </is>
      </c>
      <c r="B10" s="55" t="inlineStr">
        <is>
          <t>PID2020-112540RB-C43-112930GB-I00-115735GB-I00-115956GB-I00-119383GB-I00-119734RB-I00</t>
        </is>
      </c>
      <c r="C10" s="107" t="n">
        <v>76863.78999999999</v>
      </c>
    </row>
    <row r="11">
      <c r="A11" s="56" t="inlineStr">
        <is>
          <t>35.70.6P.00.28</t>
        </is>
      </c>
      <c r="B11" s="56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11" s="108" t="n">
        <v>7060</v>
      </c>
    </row>
    <row r="12">
      <c r="A12" s="55" t="inlineStr">
        <is>
          <t>35.70.6P.00.29</t>
        </is>
      </c>
      <c r="B12" s="55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12" s="107" t="n">
        <v>4808</v>
      </c>
    </row>
    <row r="13">
      <c r="A13" s="56" t="inlineStr">
        <is>
          <t>35.70.6P.00.30</t>
        </is>
      </c>
      <c r="B13" s="56" t="inlineStr">
        <is>
          <t>PID2021-126485OB-I00-126858NB-I00-126990NB-I00-127332NB-I00-127426OB-C22-127566NB-I00-127967NB-I00-127999NB-I00-128381NB-I00-128761OB-C21-128766OB-I00-128805NA-I00-128876OB-I00</t>
        </is>
      </c>
      <c r="C13" s="108" t="n">
        <v>8660</v>
      </c>
    </row>
    <row r="14">
      <c r="A14" s="55" t="inlineStr">
        <is>
          <t>35.70.6P.00.35</t>
        </is>
      </c>
      <c r="B14" s="55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14" s="107" t="n">
        <v>30000</v>
      </c>
    </row>
    <row r="15">
      <c r="A15" s="56" t="inlineStr">
        <is>
          <t>35.70.6P.00.35</t>
        </is>
      </c>
      <c r="B15" s="56" t="inlineStr">
        <is>
          <t>DEVOLUCIÓN DE INGRESOS_MODELO 047_ REFERENCIA: CIACO 2022 EN 2023.</t>
        </is>
      </c>
      <c r="C15" s="108" t="n">
        <v>-1328.8</v>
      </c>
    </row>
    <row r="16">
      <c r="A16" s="55" t="inlineStr">
        <is>
          <t>35.70.6X.00.04</t>
        </is>
      </c>
      <c r="B16" s="55" t="inlineStr">
        <is>
          <t>DEVOLUCIÓN DE INGRESOS REFERENTE AL PROYECTO GOURMET .</t>
        </is>
      </c>
      <c r="C16" s="107" t="n">
        <v>-10959.06</v>
      </c>
    </row>
    <row r="17">
      <c r="A17" s="56" t="inlineStr">
        <is>
          <t>35.70.6X.00.09</t>
        </is>
      </c>
      <c r="B17" s="56" t="inlineStr">
        <is>
          <t>ÚLTIMO COBRO DEL PROYECTO SKOPS</t>
        </is>
      </c>
      <c r="C17" s="108" t="n">
        <v>5259.15</v>
      </c>
    </row>
    <row r="18">
      <c r="A18" s="55" t="inlineStr">
        <is>
          <t>35.70.6X.00.10</t>
        </is>
      </c>
      <c r="B18" s="55" t="inlineStr">
        <is>
          <t>PRIMER COBRO DEL PROYECTO DeMINT</t>
        </is>
      </c>
      <c r="C18" s="107" t="n">
        <v>25329.7</v>
      </c>
    </row>
    <row r="19">
      <c r="A19" s="56" t="inlineStr">
        <is>
          <t>35.70.6X.00.10</t>
        </is>
      </c>
      <c r="B19" s="56" t="inlineStr">
        <is>
          <t>Segundo (y último cobro) del proyecto DeMINT</t>
        </is>
      </c>
      <c r="C19" s="108" t="n">
        <v>25329.7</v>
      </c>
    </row>
    <row r="20">
      <c r="A20" s="55" t="inlineStr">
        <is>
          <t>35.70.6X.00.11</t>
        </is>
      </c>
      <c r="B20" s="55" t="inlineStr">
        <is>
          <t>RTD PERFORMER FIRST PAYMENT - "R&amp;D Agreement related to the participation of Gustavo Candela in work package 3 of DS4CH signed on 09.04.2024"</t>
        </is>
      </c>
      <c r="C20" s="107" t="n">
        <v>5535</v>
      </c>
    </row>
    <row r="21">
      <c r="A21" s="56" t="inlineStr">
        <is>
          <t>35.70.6X.00.11</t>
        </is>
      </c>
      <c r="B21" s="56" t="inlineStr">
        <is>
          <t>R&amp;D Agreement related to the participation of Gustavo Candela in work package 3 of DS4CH signed on 09.04.2024 - LAST INVOICE</t>
        </is>
      </c>
      <c r="C21" s="108" t="n">
        <v>3690</v>
      </c>
    </row>
    <row r="22">
      <c r="A22" s="59" t="inlineStr">
        <is>
          <t>35.70.6X.00.12</t>
        </is>
      </c>
      <c r="B22" s="59" t="inlineStr">
        <is>
          <t>Ingreso correspondiente al proyecto "Generating textual resources to foster the development of language technologies for Mayan languages"</t>
        </is>
      </c>
      <c r="C22" s="109" t="n">
        <v>70623.25999999999</v>
      </c>
    </row>
    <row r="23" customFormat="1" s="54">
      <c r="A23" s="61" t="inlineStr">
        <is>
          <t>Total</t>
        </is>
      </c>
      <c r="B23" s="61" t="n"/>
      <c r="C23" s="110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7" workbookViewId="0">
      <selection activeCell="C30" sqref="C30"/>
    </sheetView>
  </sheetViews>
  <sheetFormatPr baseColWidth="10" defaultRowHeight="15"/>
  <cols>
    <col width="19" customWidth="1" min="1" max="1"/>
    <col width="53.7109375" customWidth="1" min="2" max="2"/>
    <col width="21.28515625" customWidth="1" min="3" max="3"/>
  </cols>
  <sheetData>
    <row r="1">
      <c r="A1" s="74" t="inlineStr">
        <is>
          <t>Org. aplic.</t>
        </is>
      </c>
      <c r="B1" s="75" t="inlineStr">
        <is>
          <t>Descripción justificante</t>
        </is>
      </c>
      <c r="C1" s="75" t="inlineStr">
        <is>
          <t>Imp. aplic.</t>
        </is>
      </c>
    </row>
    <row r="2">
      <c r="A2" s="76" t="inlineStr">
        <is>
          <t>35.70.6C.00.45</t>
        </is>
      </c>
      <c r="B2" s="77" t="inlineStr">
        <is>
          <t>PJ-16026 Desarrollo flujos conversacionales Número de pedido 4570006892  00010 - Investigador principal Eduardo Grande Ruiz TÍTULO DEL PROYECTO: "Investigación y asesoramiento/coordinación en el desarrollo de un asistente conversacional basado en tecnologías del lenguaje humano para la ejecución de transacciones bancarias"</t>
        </is>
      </c>
      <c r="C2" s="111" t="n">
        <v>10500</v>
      </c>
    </row>
    <row r="3">
      <c r="A3" s="79" t="inlineStr">
        <is>
          <t>35.70.6C.00.46</t>
        </is>
      </c>
      <c r="B3" s="80" t="inlineStr">
        <is>
          <t>Conforme a lo estipulado en la hoja de encargo aceptada por ambas partes, el objeto de la prestación de servicios consistía en: Asesoría para la elaboración del plan estratégico y de actuación para el uso de la Inteligencia Artificial Generativa por parte de AIJU. Plan de trabajo: Diez sesiones de cuatro horas (40 horas en total). Elaboración y entrega de documentos: Plan Estratégico Plan de Actuación a corto y medio plazo</t>
        </is>
      </c>
      <c r="C3" s="112" t="n">
        <v>3273.6</v>
      </c>
    </row>
    <row r="4">
      <c r="A4" s="76" t="inlineStr">
        <is>
          <t>35.70.6C.00.49</t>
        </is>
      </c>
      <c r="B4" s="77" t="inlineStr">
        <is>
          <t xml:space="preserve">AUDITORIA EN REMOTO DEL EXPEDIENTE EI/883S2, (ACCESIBILIDAD DE WEBS Y APPS) </t>
        </is>
      </c>
      <c r="C4" s="111" t="n">
        <v>462</v>
      </c>
    </row>
    <row r="5">
      <c r="A5" s="79" t="inlineStr">
        <is>
          <t>35.70.6C.00.51</t>
        </is>
      </c>
      <c r="B5" s="80" t="inlineStr">
        <is>
          <t>AUDITORÍA IN SITU DEL EXPEDIENTE EI/940I1, (ACCESIBILIDAD DE WEBS Y APPS) Y ESTUDIO DOCUMENTACIÓN DEL EXPEDIENTE EI/940I1 (ACCESIBILIDAD DE WEBS Y APPS)</t>
        </is>
      </c>
      <c r="C5" s="112" t="n">
        <v>1315.6</v>
      </c>
    </row>
    <row r="6">
      <c r="A6" s="76" t="inlineStr">
        <is>
          <t>35.70.6C.00.52</t>
        </is>
      </c>
      <c r="B6" s="77" t="inlineStr">
        <is>
          <t xml:space="preserve">AUDITORÍA EN REMOTO DEL EXPEDIENTE EI/923S1, (ACCESIBILIDAD DE WEBS Y APPS) </t>
        </is>
      </c>
      <c r="C6" s="111" t="n">
        <v>462</v>
      </c>
    </row>
    <row r="7">
      <c r="A7" s="79" t="inlineStr">
        <is>
          <t>35.70.6C.00.53</t>
        </is>
      </c>
      <c r="B7" s="80" t="inlineStr">
        <is>
          <t>Estudio documentación y auditoria en remoto del expediente EI/958I 1 (ACCESIBILIDAD DE WEBS, APPS Y TERMINALES DE AUTOSERVICIO)  Nº de evaluación 67138 - (ENAC5-25TPA)</t>
        </is>
      </c>
      <c r="C7" s="112" t="n">
        <v>1324.4</v>
      </c>
    </row>
    <row r="8">
      <c r="A8" s="76" t="inlineStr">
        <is>
          <t>35.70.6C.00.55</t>
        </is>
      </c>
      <c r="B8" s="77" t="inlineStr">
        <is>
          <t>Revisión y validación páginas Web Master en un informe de accesibilidad y soluciones previstas para prototipo en HTML y revisión Web en un informe de accesibilidad para Web de Pharmagrip</t>
        </is>
      </c>
      <c r="C8" s="111" t="n">
        <v>2112</v>
      </c>
    </row>
    <row r="9">
      <c r="A9" s="79" t="inlineStr">
        <is>
          <t>35.70.6M.00.12</t>
        </is>
      </c>
      <c r="B9" s="80" t="inlineStr">
        <is>
          <t>Docencia en curso sobre Inteligencia Artificial Generativa aplicada a la Empresa, combinando sesiones presenciales y por videoconferencia. Las tareas realizadas fueron: Preparación del curso en los formatos previamente acordados. Elaboración de la documentación docente. Impartición de las clases (6 horas lectivas). Evaluación del aprovechamiento de los alumnos</t>
        </is>
      </c>
      <c r="C9" s="112" t="n">
        <v>369.6</v>
      </c>
    </row>
    <row r="10">
      <c r="A10" s="76" t="inlineStr">
        <is>
          <t>35.70.6M.00.14</t>
        </is>
      </c>
      <c r="B10" s="77" t="inlineStr">
        <is>
          <t>De acuerdo con la hoja de encargo firmada, el objeto de la actividad formativa consistía en: Docencia en curso sobre Inteligencia Artificial Generativa aplicada a la empresa. Modalidad: mixta, presencial y e-learning. Actividades incluidas: Preparación del curso en los formatos acordados. Elaboración de documentación didáctica. Impartición de clases presenciales y/o por videoconferencia. Evaluación de los alumnos participantes. La estimación de carga lectiva fue de 6 h</t>
        </is>
      </c>
      <c r="C10" s="111" t="n">
        <v>422.4</v>
      </c>
    </row>
    <row r="11">
      <c r="A11" s="79" t="inlineStr">
        <is>
          <t>35.70.6M.00.15</t>
        </is>
      </c>
      <c r="B11" s="80" t="inlineStr">
        <is>
          <t xml:space="preserve">Número de orden de compra 101129289. Impartición del curso "Accesibilidad de los sitios Web", dirigido al equipo de contenidos, diseño y desarrollo de la entidad, con una duración de 18 horas lectivas, distribuídas en 3 días y 6 horas por día. </t>
        </is>
      </c>
      <c r="C11" s="112" t="n">
        <v>2516.8</v>
      </c>
    </row>
    <row r="12">
      <c r="A12" s="76" t="inlineStr">
        <is>
          <t>35.70.6M.00.16</t>
        </is>
      </c>
      <c r="B12" s="77" t="inlineStr">
        <is>
          <t>HOJA DE ENCARGO PARA LA REALIZACIÓN DE ACTIVIDADES FORMATIVAS POR EL PROCEDIMIENTO SIMPLIFICADO. Formación personalizada para el uso de la IA en proyectos propios de la institución y en los procesos administrativos de gestión. Las tareas consistirán en: -Preparación del curso en los formatos acordados.  -Elaboración de documentación -Impartición de clases (sesiones formativas presenciales o por VC) -Evaluación de los alumnos</t>
        </is>
      </c>
      <c r="C12" s="111" t="n">
        <v>4910.4</v>
      </c>
    </row>
    <row r="13">
      <c r="A13" s="79" t="inlineStr">
        <is>
          <t>35.70.6M.00.17</t>
        </is>
      </c>
      <c r="B13" s="80" t="inlineStr">
        <is>
          <t>Curso introducción a la Inteligencia Artificial y su aplicación en la gestión cultural, modalidad virtual, programa ACERCA  Centro Cultural de España-Embajada de España en Costa Rica 3-005-045162 Calle 31, barrio Escalante, distrito Carmen, San José, Costa Rica</t>
        </is>
      </c>
      <c r="C13" s="112" t="n">
        <v>1320</v>
      </c>
    </row>
    <row r="14">
      <c r="A14" s="76" t="inlineStr">
        <is>
          <t>35.70.6P.00.31</t>
        </is>
      </c>
      <c r="B14" s="77" t="inlineStr">
        <is>
          <t>DEVOLUCIÓN DE INGRESOS_CARTA DE PAGO_REFERENCIA: TED2021-130776A-I00, ANUALIDAD: 2023</t>
        </is>
      </c>
      <c r="C14" s="111" t="n">
        <v>-1494.26</v>
      </c>
    </row>
    <row r="15">
      <c r="A15" s="79" t="inlineStr">
        <is>
          <t>35.70.6P.00.35</t>
        </is>
      </c>
      <c r="B15" s="80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15" s="112" t="n">
        <v>30000</v>
      </c>
    </row>
    <row r="16">
      <c r="A16" s="76" t="inlineStr">
        <is>
          <t>35.70.6P.00.35</t>
        </is>
      </c>
      <c r="B16" s="77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16" s="111" t="n">
        <v>-660.88</v>
      </c>
    </row>
    <row r="17">
      <c r="A17" s="79" t="inlineStr">
        <is>
          <t>35.70.6P.00.42</t>
        </is>
      </c>
      <c r="B17" s="80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7" s="112" t="n">
        <v>102600</v>
      </c>
    </row>
    <row r="18">
      <c r="A18" s="76" t="inlineStr">
        <is>
          <t>35.70.6P.00.42</t>
        </is>
      </c>
      <c r="B18" s="7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8" s="111" t="n">
        <v>58140</v>
      </c>
    </row>
    <row r="19">
      <c r="A19" s="79" t="inlineStr">
        <is>
          <t>35.70.6P.00.43</t>
        </is>
      </c>
      <c r="B19" s="80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9" s="112" t="n">
        <v>141000</v>
      </c>
    </row>
    <row r="20">
      <c r="A20" s="76" t="inlineStr">
        <is>
          <t>35.70.6P.00.43</t>
        </is>
      </c>
      <c r="B20" s="7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0" s="111" t="n">
        <v>79900</v>
      </c>
    </row>
    <row r="21">
      <c r="A21" s="79" t="inlineStr">
        <is>
          <t>35.70.6P.00.44</t>
        </is>
      </c>
      <c r="B21" s="80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1" s="112" t="n">
        <v>131437.5</v>
      </c>
    </row>
    <row r="22">
      <c r="A22" s="76" t="inlineStr">
        <is>
          <t>35.70.6P.00.45</t>
        </is>
      </c>
      <c r="B22" s="77" t="inlineStr">
        <is>
          <t>Ingreso ayudas CIGE/2024/56/95/108/145/178/184/194/199/200/201/202/203/204/205/208/209/212/213</t>
        </is>
      </c>
      <c r="C22" s="111" t="n">
        <v>2000</v>
      </c>
    </row>
    <row r="23">
      <c r="A23" s="79" t="inlineStr">
        <is>
          <t>35.70.6X.00.11</t>
        </is>
      </c>
      <c r="B23" s="80" t="inlineStr">
        <is>
          <t>RTD PERFORMER. R&amp;D Agreement related to the participation of Gustavo Candela in DS4CH signed on 26/08/2025.</t>
        </is>
      </c>
      <c r="C23" s="112" t="n">
        <v>7380</v>
      </c>
    </row>
    <row r="24">
      <c r="A24" s="76" t="inlineStr">
        <is>
          <t>35.70.6X.00.13</t>
        </is>
      </c>
      <c r="B24" s="77" t="inlineStr">
        <is>
          <t>Proyecto: AI4PROSA AI-Driven Training System on Product Safety for Professionals. Programa: ERASMUS+  K220. REF PROY: 2024-1-ES01-KA220-VET-000245782</t>
        </is>
      </c>
      <c r="C24" s="111" t="n">
        <v>15000</v>
      </c>
    </row>
    <row r="25" ht="15.75" customHeight="1" thickBot="1">
      <c r="A25" s="79" t="inlineStr">
        <is>
          <t>35.70.6X.00.13</t>
        </is>
      </c>
      <c r="B25" s="80" t="inlineStr">
        <is>
          <t xml:space="preserve">Proyecto: AI4PROSA - AI-Driven Training System on Product Safety for Professionals. Programa: E+KA220-VET. Ref. Proyecto: 2024-1-ES01-KA220-VET-000245782 </t>
        </is>
      </c>
      <c r="C25" s="112" t="n">
        <v>10000</v>
      </c>
    </row>
    <row r="26" ht="15.75" customHeight="1" thickTop="1">
      <c r="A26" s="82" t="inlineStr">
        <is>
          <t>Total</t>
        </is>
      </c>
      <c r="B26" s="83" t="n"/>
      <c r="C26" s="113" t="n">
        <v>604291.16</v>
      </c>
    </row>
    <row r="29">
      <c r="B29" s="67" t="inlineStr">
        <is>
          <t>Total ingresos investigación 2023-25</t>
        </is>
      </c>
      <c r="C29" s="114">
        <f>C26+Tabla2[[#Totals],[Imp.cob.aplic.]]+Tabla3[[#Totals],[Imp.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17" sqref="D17"/>
    </sheetView>
  </sheetViews>
  <sheetFormatPr baseColWidth="10" defaultRowHeight="15"/>
  <cols>
    <col width="13.28515625" bestFit="1" customWidth="1" min="1" max="1"/>
    <col width="64.42578125" customWidth="1" min="2" max="2"/>
    <col width="12.28515625" customWidth="1" min="3" max="3"/>
  </cols>
  <sheetData>
    <row r="1">
      <c r="A1" s="57" t="inlineStr">
        <is>
          <t>Org. aplic.</t>
        </is>
      </c>
      <c r="B1" s="57" t="inlineStr">
        <is>
          <t>Descripción justificante</t>
        </is>
      </c>
      <c r="C1" s="57" t="inlineStr">
        <is>
          <t>Imp. aplic.</t>
        </is>
      </c>
    </row>
    <row r="2">
      <c r="A2" s="55" t="inlineStr">
        <is>
          <t>10.91.2T.00.03</t>
        </is>
      </c>
      <c r="B2" s="55" t="inlineStr">
        <is>
          <t xml:space="preserve">Plan_GH69 Curso_2022-23 Emitido_2022-23 - VIDEOCURSO DE PHOTOSHOP I: TÉCNICAS CREATIVAS 1ª PARTE </t>
        </is>
      </c>
      <c r="C2" s="107" t="n">
        <v>270</v>
      </c>
    </row>
    <row r="3">
      <c r="A3" s="65" t="inlineStr">
        <is>
          <t>10.91.2T.00.03</t>
        </is>
      </c>
      <c r="B3" s="65" t="inlineStr">
        <is>
          <t xml:space="preserve">Plan_GH70 Curso_2022-23 Emitido_2022-23 - VIDEOCURSO DE PHOTOSHOP II: TÉCNICAS CREATIVAS 2ª PARTE </t>
        </is>
      </c>
      <c r="C3" s="115" t="n">
        <v>162</v>
      </c>
    </row>
    <row r="4">
      <c r="A4" s="55" t="inlineStr">
        <is>
          <t>10.91.2T.00.03</t>
        </is>
      </c>
      <c r="B4" s="55" t="inlineStr">
        <is>
          <t xml:space="preserve">LIQ-TitProp_GI92-1 Curso_2023-24_AñoCont_2023 - VIDEOCURSO DE PHOTOSHOP I: TÉCNICAS CREATIVAS 1ª PARTE </t>
        </is>
      </c>
      <c r="C4" s="107" t="n">
        <v>540</v>
      </c>
    </row>
    <row r="5">
      <c r="A5" s="55" t="inlineStr">
        <is>
          <t>10.91.2T.00.03</t>
        </is>
      </c>
      <c r="B5" s="55" t="inlineStr">
        <is>
          <t xml:space="preserve">LIQ-TitProp_GI93-1 Curso_2023-24 AñoCont_2023 - VIDEOCURSO DE PHOTOSHOP II: TÉCNICAS CREATIVAS 2ª PARTE </t>
        </is>
      </c>
      <c r="C5" s="107" t="n">
        <v>54</v>
      </c>
    </row>
    <row r="6">
      <c r="A6" s="65" t="inlineStr">
        <is>
          <t>Total</t>
        </is>
      </c>
      <c r="B6" s="65" t="n"/>
      <c r="C6" s="116">
        <f>SUBTOTAL(109,Tabla46[Imp. aplic.])</f>
        <v/>
      </c>
    </row>
    <row r="7">
      <c r="B7" s="64" t="n"/>
      <c r="C7" s="1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B15" sqref="B15:C15"/>
    </sheetView>
  </sheetViews>
  <sheetFormatPr baseColWidth="10" defaultRowHeight="15"/>
  <cols>
    <col width="13.28515625" bestFit="1" customWidth="1" min="1" max="1"/>
    <col width="64.42578125" customWidth="1" min="2" max="2"/>
    <col width="12.28515625" customWidth="1" min="3" max="3"/>
  </cols>
  <sheetData>
    <row r="1">
      <c r="A1" s="57" t="inlineStr">
        <is>
          <t>Org. aplic.</t>
        </is>
      </c>
      <c r="B1" s="57" t="inlineStr">
        <is>
          <t>Descripción justificante</t>
        </is>
      </c>
      <c r="C1" s="57" t="inlineStr">
        <is>
          <t>Imp. aplic.</t>
        </is>
      </c>
    </row>
    <row r="2">
      <c r="A2" s="55" t="inlineStr">
        <is>
          <t>35.70.2T.00.03</t>
        </is>
      </c>
      <c r="B2" s="55" t="inlineStr">
        <is>
          <t>Inscripción alumnos Curso Estrategia Política en la Era Digital: ANA SALA FERNÁNDEZ- JUAN MANUEL DEL PINO LÓPEZ- REBECA MERCHÁN DIAZ - MARIOLA MULET RONDA - FRANCISCA SOLIVELLES SENDRA - PEDRO MOLL LEUCHTER - ASCENSION NAVARRO LÓPEZ -  IRUNE AGUIRRE GIL</t>
        </is>
      </c>
      <c r="C2" s="107" t="n">
        <v>760</v>
      </c>
    </row>
    <row r="3" customFormat="1" s="54">
      <c r="A3" s="69" t="inlineStr">
        <is>
          <t>35.70.2T.00.03</t>
        </is>
      </c>
      <c r="B3" s="69" t="inlineStr">
        <is>
          <t xml:space="preserve">LIQ-TitProp_GK42-1 Curso_2023-24 AñoCont_2024 - ESTRATEGIA POLÍTICA EN LA ERA DIGITAL </t>
        </is>
      </c>
      <c r="C3" s="118" t="n">
        <v>1701</v>
      </c>
    </row>
    <row r="4">
      <c r="A4" s="55" t="inlineStr">
        <is>
          <t>10.91.2T.00.03</t>
        </is>
      </c>
      <c r="B4" s="55" t="inlineStr">
        <is>
          <t xml:space="preserve">LIQ-TitProp_GI92-1 Curso_2023-24 AñoCont_2024 - VIDEOCURSO DE PHOTOSHOP I: TÉCNICAS CREATIVAS 1ª PARTE </t>
        </is>
      </c>
      <c r="C4" s="107" t="n">
        <v>204</v>
      </c>
    </row>
    <row r="5" customFormat="1" s="54">
      <c r="A5" s="69" t="inlineStr">
        <is>
          <t>10.91.2T.00.03</t>
        </is>
      </c>
      <c r="B5" s="69" t="inlineStr">
        <is>
          <t xml:space="preserve">LIQ-TitProp_GI93-1 Curso_2023-24 AñoCont_2024 - VIDEOCURSO DE PHOTOSHOP II: TÉCNICAS CREATIVAS 2ª PARTE </t>
        </is>
      </c>
      <c r="C5" s="118" t="n">
        <v>153</v>
      </c>
    </row>
    <row r="6">
      <c r="A6" s="55" t="inlineStr">
        <is>
          <t>10.91.2T.00.03</t>
        </is>
      </c>
      <c r="B6" s="55" t="inlineStr">
        <is>
          <t xml:space="preserve">LIQ-TitProp_GK72-1 Curso_2024-25 AñoCont_2024 - VIDEOCURSO DE PHOTOSHOP I: TÉCNICAS CREATIVAS 1ª PARTE </t>
        </is>
      </c>
      <c r="C6" s="107" t="n">
        <v>1224</v>
      </c>
    </row>
    <row r="7" customFormat="1" s="54">
      <c r="A7" s="69" t="inlineStr">
        <is>
          <t>10.91.2T.00.03</t>
        </is>
      </c>
      <c r="B7" s="69" t="inlineStr">
        <is>
          <t xml:space="preserve">LIQ-TitProp_GK73-1 Curso_2024-25 AñoCont_2024 - VIDEOCURSO DE PHOTOSHOP II: TÉCNICAS CREATIVAS 2ª PARTE </t>
        </is>
      </c>
      <c r="C7" s="118" t="n">
        <v>459</v>
      </c>
    </row>
    <row r="8">
      <c r="A8" s="55" t="inlineStr">
        <is>
          <t>10.91.2T.00.03</t>
        </is>
      </c>
      <c r="B8" s="55" t="inlineStr">
        <is>
          <t xml:space="preserve">LIQ-TitProp_GK74-1 Curso_2024-25 AñoCont_2024 - VIDEOCURSO DE PHOTOSHOP III: TALLER CREATIVO </t>
        </is>
      </c>
      <c r="C8" s="107" t="n">
        <v>51</v>
      </c>
    </row>
    <row r="9" customFormat="1" s="54">
      <c r="A9" s="69" t="inlineStr">
        <is>
          <t>10.91.2T.00.22</t>
        </is>
      </c>
      <c r="B9" s="69" t="inlineStr">
        <is>
          <t>INGRESO PERCIBIDO POR LA UNIVERSIDAD DE ALICANTE EN CONCEPTO DE TASAS MATRÍCULA DEL TÍTULO DE EXPERTO EN PROCESAMIENTO DE LENGUAJE NATURAL.</t>
        </is>
      </c>
      <c r="C9" s="118" t="n">
        <v>10440</v>
      </c>
    </row>
    <row r="10">
      <c r="A10" s="55" t="inlineStr">
        <is>
          <t>10.91.2T.00.84</t>
        </is>
      </c>
      <c r="B10" s="55" t="inlineStr">
        <is>
          <t xml:space="preserve">CÓD: GM15. Microcredencial. INTRODUCCIÓN AL PROCESAMIENTO DEL LENGUAJE NATURAL_Plan_GM15-N Curso_2024-25_AñoCont_2024  </t>
        </is>
      </c>
      <c r="C10" s="107" t="n">
        <v>930.24</v>
      </c>
    </row>
    <row r="11">
      <c r="A11" s="65" t="inlineStr">
        <is>
          <t>Total</t>
        </is>
      </c>
      <c r="B11" s="65" t="n"/>
      <c r="C11" s="116">
        <f>SUBTOTAL(109,Tabla4[Imp.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topLeftCell="A34" workbookViewId="0">
      <selection activeCell="C49" sqref="C49"/>
    </sheetView>
  </sheetViews>
  <sheetFormatPr baseColWidth="10" defaultRowHeight="15"/>
  <cols>
    <col width="19.7109375" customWidth="1" min="1" max="1"/>
    <col width="54" customWidth="1" min="2" max="2"/>
    <col width="16.85546875" customWidth="1" min="3" max="3"/>
  </cols>
  <sheetData>
    <row r="1">
      <c r="A1" s="85" t="inlineStr">
        <is>
          <t>Org. aplic.</t>
        </is>
      </c>
      <c r="B1" s="86" t="inlineStr">
        <is>
          <t>Descripción justificante</t>
        </is>
      </c>
      <c r="C1" s="119" t="inlineStr">
        <is>
          <t>Imp. aplic.</t>
        </is>
      </c>
    </row>
    <row r="2">
      <c r="A2" s="88" t="inlineStr">
        <is>
          <t>10.91.2T.00.03</t>
        </is>
      </c>
      <c r="B2" s="89" t="inlineStr">
        <is>
          <t xml:space="preserve">LIQ-TitProp_GK72-N Curso_2024-25 AñoCont_2025 - VIDEOCURSO DE PHOTOSHOP I: TÉCNICAS CREATIVAS 1ª PARTE </t>
        </is>
      </c>
      <c r="C2" s="120" t="n">
        <v>2295</v>
      </c>
    </row>
    <row r="3">
      <c r="A3" s="91" t="inlineStr">
        <is>
          <t>10.91.2T.00.03</t>
        </is>
      </c>
      <c r="B3" s="92" t="inlineStr">
        <is>
          <t>LIQ-TitProp_GK73-N Curso_2024-25 AñoCont_2025 - VIDEOCURSO DE PHOTOSHOP II: TÉCNICAS CREATIVAS 2ª PARTE</t>
        </is>
      </c>
      <c r="C3" s="121" t="n">
        <v>714</v>
      </c>
    </row>
    <row r="4">
      <c r="A4" s="88" t="inlineStr">
        <is>
          <t>10.91.2T.00.03</t>
        </is>
      </c>
      <c r="B4" s="89" t="inlineStr">
        <is>
          <t>LIQ-TitProp_GN62-N Curso_2025-26 AñoCont_2025 - VIDEOCURSO DE PHOTOSHOP I: TÉCNICAS CREATIVAS 1ª PARTE  (CIERRE 25 APLAZADO)</t>
        </is>
      </c>
      <c r="C4" s="120" t="n">
        <v>51</v>
      </c>
    </row>
    <row r="5">
      <c r="A5" s="91" t="inlineStr">
        <is>
          <t>10.91.2T.00.03</t>
        </is>
      </c>
      <c r="B5" s="92" t="inlineStr">
        <is>
          <t>LIQ-TitProp_GN62-N Curso_2025-26 AñoCont_2025 - VIDEOCURSO DE PHOTOSHOP I: TÉCNICAS CREATIVAS 1ª PARTE  (CIERRE 25 APLAZADO)</t>
        </is>
      </c>
      <c r="C5" s="121" t="n">
        <v>-51</v>
      </c>
    </row>
    <row r="6">
      <c r="A6" s="88" t="inlineStr">
        <is>
          <t>10.91.2T.00.03</t>
        </is>
      </c>
      <c r="B6" s="89" t="inlineStr">
        <is>
          <t xml:space="preserve">LIQ-TitProp_GN62-N Curso_2025-26 AñoCont_2025 - VIDEOCURSO DE PHOTOSHOP I: TÉCNICAS CREATIVAS 1ª PARTE _ (Cierre-25)_EMITIDO 25 COBRADO 25 </t>
        </is>
      </c>
      <c r="C6" s="120" t="n">
        <v>306</v>
      </c>
    </row>
    <row r="7">
      <c r="A7" s="91" t="inlineStr">
        <is>
          <t>10.91.2T.00.03</t>
        </is>
      </c>
      <c r="B7" s="92" t="inlineStr">
        <is>
          <t xml:space="preserve">LIQ-TitProp_GN63-N Curso_2025-26 AñoCont_2025 - VIDEOCURSO DE PHOTOSHOP II: TÉCNICAS CREATIVAS 2ª PARTE _ (Cierre-25) emitido-25 cobrado-25 no-rdt </t>
        </is>
      </c>
      <c r="C7" s="121" t="n">
        <v>306</v>
      </c>
    </row>
    <row r="8">
      <c r="A8" s="88" t="inlineStr">
        <is>
          <t>10.91.2T.00.03</t>
        </is>
      </c>
      <c r="B8" s="89" t="inlineStr">
        <is>
          <t xml:space="preserve">LIQ-TitProp_GN64-N Curso_2025-26 AñoCont_2025 - VIDEOCURSO DE PHOTOSHOP III: TALLER CREATIVO _ (Cierre-25) EMITIDO-25 COBRADO-25 NO-RDT </t>
        </is>
      </c>
      <c r="C8" s="120" t="n">
        <v>51</v>
      </c>
    </row>
    <row r="9">
      <c r="A9" s="91" t="inlineStr">
        <is>
          <t>10.91.2T.00.84</t>
        </is>
      </c>
      <c r="B9" s="92" t="inlineStr">
        <is>
          <t>BELÉN ÁLAVA PASTOR - MICROCREDENCIAL GM15 INTRODUCCIÓN AL PROCESAMIENTO DEL LENGUAJE NATURAL</t>
        </is>
      </c>
      <c r="C9" s="121" t="n">
        <v>68.40000000000001</v>
      </c>
    </row>
    <row r="10">
      <c r="A10" s="88" t="inlineStr">
        <is>
          <t>10.91.2T.00.84</t>
        </is>
      </c>
      <c r="B10" s="89" t="inlineStr">
        <is>
          <t>ANNA ILINA -MICROCREDENCIAL GM15 - INTRODUCCIÓN AL PROCESAMIENTO DEL LENGUAJE NATURAL</t>
        </is>
      </c>
      <c r="C10" s="120" t="n">
        <v>68.40000000000001</v>
      </c>
    </row>
    <row r="11">
      <c r="A11" s="91" t="inlineStr">
        <is>
          <t>10.91.2T.00.84</t>
        </is>
      </c>
      <c r="B11" s="92" t="inlineStr">
        <is>
          <t xml:space="preserve">SANTIAGO CALAFORRA RAMADA - MICROCREDENCIAL GM15 INTRODUCCIÓN AL PROCESAMIENTO DEL LENGUAJE NATURAL </t>
        </is>
      </c>
      <c r="C11" s="121" t="n">
        <v>68.40000000000001</v>
      </c>
    </row>
    <row r="12">
      <c r="A12" s="88" t="inlineStr">
        <is>
          <t>10.91.2T.00.84</t>
        </is>
      </c>
      <c r="B12" s="89" t="inlineStr">
        <is>
          <t xml:space="preserve">CÓD: GM15. Microcredencial. INTRODUCCIÓN AL PROCESAMIENTO DEL LENGUAJE NATURAL_GM15-1 Curso_2024-25 AñoCont_2025  </t>
        </is>
      </c>
      <c r="C12" s="120" t="n">
        <v>988.38</v>
      </c>
    </row>
    <row r="13">
      <c r="A13" s="91" t="inlineStr">
        <is>
          <t>10.91.2T.00.84</t>
        </is>
      </c>
      <c r="B13" s="92" t="inlineStr">
        <is>
          <t xml:space="preserve">ANA BELÉN MARTÍN ORTEGA - GM15 - INTRODUCCIÓN AL PROCESAMIENTO DEL LENGUAJE NATURAL </t>
        </is>
      </c>
      <c r="C13" s="121" t="n">
        <v>68.40000000000001</v>
      </c>
    </row>
    <row r="14">
      <c r="A14" s="88" t="inlineStr">
        <is>
          <t>10.91.2T.00.84</t>
        </is>
      </c>
      <c r="B14" s="89" t="inlineStr">
        <is>
          <t>Alumna Ana María García Bernabeu Microcredencial Universitaria GM15 Introducción al Procesamiento del Lenguaje Natural</t>
        </is>
      </c>
      <c r="C14" s="120" t="n">
        <v>68.40000000000001</v>
      </c>
    </row>
    <row r="15">
      <c r="A15" s="91" t="inlineStr">
        <is>
          <t>10.91.2T.00.85</t>
        </is>
      </c>
      <c r="B15" s="92" t="inlineStr">
        <is>
          <t>IRENE MARÍN RADOSZYNSKI - GM12 - APRENDIZAJE AUTOMÁTICO EN EL PROCESAMIENTO DEL LENGUAJE NATURAL</t>
        </is>
      </c>
      <c r="C15" s="121" t="n">
        <v>136.8</v>
      </c>
    </row>
    <row r="16">
      <c r="A16" s="88" t="inlineStr">
        <is>
          <t>10.91.2T.00.85</t>
        </is>
      </c>
      <c r="B16" s="89" t="inlineStr">
        <is>
          <t>ANNA ILINA - GM12-APRENDIZAJE AUTOMÁTICO EN EL PROCESAMIENTO DE LENGUAJE NATURAL</t>
        </is>
      </c>
      <c r="C16" s="120" t="n">
        <v>136.8</v>
      </c>
    </row>
    <row r="17">
      <c r="A17" s="91" t="inlineStr">
        <is>
          <t>10.91.2T.00.85</t>
        </is>
      </c>
      <c r="B17" s="92" t="inlineStr">
        <is>
          <t>DEVOLUCIÓN DE PRECIOS PÚBLICOS INCLUIDOS EN LA REMESA DE DEVOLUCIÓN  Nº 2025DTR080718</t>
        </is>
      </c>
      <c r="C17" s="121" t="n">
        <v>-116.28</v>
      </c>
    </row>
    <row r="18">
      <c r="A18" s="88" t="inlineStr">
        <is>
          <t>10.91.2T.00.85</t>
        </is>
      </c>
      <c r="B18" s="89" t="inlineStr">
        <is>
          <t xml:space="preserve">LIQ-TitProp_GM12-N Curso_2024-25 AñoCont_2025 - APRENDIZAJE AUTOMÁTICO EN EL PROCESAMIENTO DEL LENGUAJE NATURAL Hay una parte (1504,80) del JI -24-6928 que no tenía orgánica </t>
        </is>
      </c>
      <c r="C18" s="120" t="n">
        <v>3953.52</v>
      </c>
    </row>
    <row r="19">
      <c r="A19" s="91" t="inlineStr">
        <is>
          <t>10.91.2T.00.85</t>
        </is>
      </c>
      <c r="B19" s="92" t="inlineStr">
        <is>
          <t>SANTIAGO CALAFORRA RAMADA - MICROCREDENCIAL GM12 -  APRENDIZAJE AUTOMÁTICO EN EL PROCESAMIENTO DEL LENGUAJE NATURAL</t>
        </is>
      </c>
      <c r="C19" s="121" t="n">
        <v>136.8</v>
      </c>
    </row>
    <row r="20">
      <c r="A20" s="88" t="inlineStr">
        <is>
          <t>10.91.2T.00.85</t>
        </is>
      </c>
      <c r="B20" s="89" t="inlineStr">
        <is>
          <t>ANA BELÉN MARTÍN ORTEGA - GM12 - APRENDIZAJE AUTOMÁTICO EN EL PROCESAMIENTO DEL LENGUAJE NATURAL.</t>
        </is>
      </c>
      <c r="C20" s="120" t="n">
        <v>136.8</v>
      </c>
    </row>
    <row r="21">
      <c r="A21" s="91" t="inlineStr">
        <is>
          <t>10.91.2T.00.85</t>
        </is>
      </c>
      <c r="B21" s="92" t="inlineStr">
        <is>
          <t>Alumna Ana María García Bernabeu. Microcredencial  Universitaria GM12 Aprendizaje Automático en el Procesamiento del Lenguaje Natural</t>
        </is>
      </c>
      <c r="C21" s="121" t="n">
        <v>136.8</v>
      </c>
    </row>
    <row r="22">
      <c r="A22" s="88" t="inlineStr">
        <is>
          <t>10.91.2T.00.86</t>
        </is>
      </c>
      <c r="B22" s="89" t="inlineStr">
        <is>
          <t>ANNA ILINA - GM13 - DESAFÍOS SOCIALES DE LAS TECNOLOGÍAS DEL LENGUAJE</t>
        </is>
      </c>
      <c r="C22" s="120" t="n">
        <v>68.40000000000001</v>
      </c>
    </row>
    <row r="23">
      <c r="A23" s="91" t="inlineStr">
        <is>
          <t>10.91.2T.00.86</t>
        </is>
      </c>
      <c r="B23" s="92" t="inlineStr">
        <is>
          <t>CÓD: GM13. MICROCREDENCIAL-N Curso_2024-25 AñoCont_2025 - DESAFÍOS SOCIALES DE LAS TECNOLOGÍAS DEL LENGUAJE</t>
        </is>
      </c>
      <c r="C23" s="121" t="n">
        <v>1108.08</v>
      </c>
    </row>
    <row r="24">
      <c r="A24" s="88" t="inlineStr">
        <is>
          <t>10.91.2T.00.86</t>
        </is>
      </c>
      <c r="B24" s="89" t="inlineStr">
        <is>
          <t>CÓD: GM13. MICROCREDENCIAL Curso_2024-25 AñoCont_2025 - DESAFÍOS SOCIALES DE LAS TECNOLOGÍAS DEL LENGUAJE (PARTE DEL 24 DEL JI 24-6929 QUE NO TENÍA LA ORGÁNICA)</t>
        </is>
      </c>
      <c r="C24" s="120" t="n">
        <v>639.54</v>
      </c>
    </row>
    <row r="25">
      <c r="A25" s="91" t="inlineStr">
        <is>
          <t>10.91.2T.00.86</t>
        </is>
      </c>
      <c r="B25" s="92" t="inlineStr">
        <is>
          <t>ANA BELÉN MARTÍN ORTEGA -  GM13 -  DESAFÍOS SOCIALES DE LAS TECNOLOGÍAS DEL LENGUAJE.</t>
        </is>
      </c>
      <c r="C25" s="121" t="n">
        <v>68.40000000000001</v>
      </c>
    </row>
    <row r="26">
      <c r="A26" s="88" t="inlineStr">
        <is>
          <t>10.91.2T.00.86</t>
        </is>
      </c>
      <c r="B26" s="89" t="inlineStr">
        <is>
          <t>SANTIAGO CALAFORRA RAMADA - MICROCREDENCIAL GM13 -  DESAFÍOS SOCIALES DE LAS TECNOLOGÍAS DEL LENGUAJE.</t>
        </is>
      </c>
      <c r="C26" s="120" t="n">
        <v>68.40000000000001</v>
      </c>
    </row>
    <row r="27">
      <c r="A27" s="91" t="inlineStr">
        <is>
          <t>10.91.2T.00.86</t>
        </is>
      </c>
      <c r="B27" s="92" t="inlineStr">
        <is>
          <t xml:space="preserve">Almuna Ana María García Bernabeu. Microcredencial Universitaria GM13 Desafíos Sociales de las Tecnologías del Lenguaje </t>
        </is>
      </c>
      <c r="C27" s="121" t="n">
        <v>68.40000000000001</v>
      </c>
    </row>
    <row r="28">
      <c r="A28" s="88" t="inlineStr">
        <is>
          <t>10.91.2T.00.87</t>
        </is>
      </c>
      <c r="B28" s="89" t="inlineStr">
        <is>
          <t>SANTIAGO CALAFORRA RAMADA - MICROCREDENCIAL GM14 - INTELIGENCIA ARTIFICIAL GENERATIVA Y LENGUAJE</t>
        </is>
      </c>
      <c r="C28" s="120" t="n">
        <v>68.40000000000001</v>
      </c>
    </row>
    <row r="29">
      <c r="A29" s="91" t="inlineStr">
        <is>
          <t>10.91.2T.00.87</t>
        </is>
      </c>
      <c r="B29" s="92" t="inlineStr">
        <is>
          <t>IRENE MARÍN RADOSZYNSKI - GM14 - INTELIGENCIA ARTIFICIAL GENERATIVA Y LENGUAJE.</t>
        </is>
      </c>
      <c r="C29" s="121" t="n">
        <v>68.40000000000001</v>
      </c>
    </row>
    <row r="30">
      <c r="A30" s="88" t="inlineStr">
        <is>
          <t>10.91.2T.00.87</t>
        </is>
      </c>
      <c r="B30" s="89" t="inlineStr">
        <is>
          <t>CÓD: GM14. Microcredencial. INTELIGENCIA ARTIFICIAL GENERATIVA Y LENGUAJE_Plan_GM14-N Curso_2024-25_AñoCont_2024 (JI-24-6930)</t>
        </is>
      </c>
      <c r="C30" s="120" t="n">
        <v>581.4</v>
      </c>
    </row>
    <row r="31">
      <c r="A31" s="91" t="inlineStr">
        <is>
          <t>10.91.2T.00.87</t>
        </is>
      </c>
      <c r="B31" s="92" t="inlineStr">
        <is>
          <t>CÓD: GM14. Microcredencial. Curso_2024-25 AñoCont_2025 - INTELIGENCIA ARTIFICIAL GENERATIVA Y LENGUAJE (PARTE DEL 25)</t>
        </is>
      </c>
      <c r="C31" s="121" t="n">
        <v>1763.58</v>
      </c>
    </row>
    <row r="32">
      <c r="A32" s="88" t="inlineStr">
        <is>
          <t>10.91.2T.00.87</t>
        </is>
      </c>
      <c r="B32" s="89" t="inlineStr">
        <is>
          <t xml:space="preserve">ANA BELÉN MARTÍN ORTEGA - GM14 - INTELIGENCIA ARTIFICIAL GENERATIVA Y LENGUAJE. </t>
        </is>
      </c>
      <c r="C32" s="120" t="n">
        <v>68.40000000000001</v>
      </c>
    </row>
    <row r="33">
      <c r="A33" s="91" t="inlineStr">
        <is>
          <t>10.91.2T.00.87</t>
        </is>
      </c>
      <c r="B33" s="92" t="inlineStr">
        <is>
          <t>ANNA ILINA - GM14 - INTELIGENCIA ARTIFICIAL GENERATIVA Y LENGUAJE</t>
        </is>
      </c>
      <c r="C33" s="121" t="n">
        <v>68.40000000000001</v>
      </c>
    </row>
    <row r="34">
      <c r="A34" s="88" t="inlineStr">
        <is>
          <t>10.91.2T.00.87</t>
        </is>
      </c>
      <c r="B34" s="89" t="inlineStr">
        <is>
          <t>Alumna Ana María García Bernabeu Microcredencial Universitaria GM 14 Inteligencia Artificial Generativa y Lenguaje</t>
        </is>
      </c>
      <c r="C34" s="120" t="n">
        <v>68.40000000000001</v>
      </c>
    </row>
    <row r="35">
      <c r="A35" s="91" t="inlineStr">
        <is>
          <t>10.91.2T.01.06</t>
        </is>
      </c>
      <c r="B35" s="92" t="inlineStr">
        <is>
          <t>CÓD: GM15. Microcredencial: Introducción al Procesamiento del Lenguaje Natural</t>
        </is>
      </c>
      <c r="C35" s="121" t="n">
        <v>5135.7</v>
      </c>
    </row>
    <row r="36">
      <c r="A36" s="88" t="inlineStr">
        <is>
          <t>10.91.2T.01.07</t>
        </is>
      </c>
      <c r="B36" s="89" t="inlineStr">
        <is>
          <t>CÓD: GM12. Microcredencial. LIQ-TitProp_GM12-N Curso_2024-25 AñoCont_2025 - APRENDIZAJE AUTOMÁTICO EN EL PROCESAMIENTO DEL LENGUAJE NATURAL [Fondos NextG]</t>
        </is>
      </c>
      <c r="C36" s="120" t="n">
        <v>10814.04</v>
      </c>
    </row>
    <row r="37">
      <c r="A37" s="91" t="inlineStr">
        <is>
          <t>10.91.2T.01.37</t>
        </is>
      </c>
      <c r="B37" s="92" t="inlineStr">
        <is>
          <t xml:space="preserve">CÓD:GM14. Microcredencial. Inteligencia Artificial Generativa y Lenguaje. (NEXT) </t>
        </is>
      </c>
      <c r="C37" s="121" t="n">
        <v>6201.6</v>
      </c>
    </row>
    <row r="38">
      <c r="A38" s="88" t="inlineStr">
        <is>
          <t>10.91.2T.01.44</t>
        </is>
      </c>
      <c r="B38" s="89" t="inlineStr">
        <is>
          <t>CÓD: GM13. MICROCREDENCIAL. DESAFÍOS SOCIALES DE LAS TECNOLOGÍAS DEL LENGUAJE</t>
        </is>
      </c>
      <c r="C38" s="120" t="n">
        <v>4728.72</v>
      </c>
    </row>
    <row r="39">
      <c r="A39" s="91" t="inlineStr">
        <is>
          <t>10.91.2T.01.83</t>
        </is>
      </c>
      <c r="B39" s="92" t="inlineStr">
        <is>
          <t xml:space="preserve">CÓD: GN29. MICROCREDENCIAL. LIQ-TitProp_GN29-N Curso_2025-26 AñoCont_2025 - INTELIGENCIA ARTIFICIAL GENERATIVA APLICADA A LA SALUD: INNOVACIÓN Y TRANSF </t>
        </is>
      </c>
      <c r="C39" s="121" t="n">
        <v>1035.3</v>
      </c>
    </row>
    <row r="40">
      <c r="A40" s="88" t="inlineStr">
        <is>
          <t>10.91.2T.01.83</t>
        </is>
      </c>
      <c r="B40" s="89" t="inlineStr">
        <is>
          <t xml:space="preserve">LIQ-TitProp_GL30-N Curso_2025-26 AñoCont_2025 - CINE ÁRABE (CIERRE 25 APLAZADO) </t>
        </is>
      </c>
      <c r="C40" s="120" t="n">
        <v>90.09999999999999</v>
      </c>
    </row>
    <row r="41">
      <c r="A41" s="91" t="inlineStr">
        <is>
          <t>10.91.2T.01.83</t>
        </is>
      </c>
      <c r="B41" s="92" t="inlineStr">
        <is>
          <t xml:space="preserve">LIQ-TitProp_GL30-N Curso_2025-26 AñoCont_2025 - CINE ÁRABE (CIERRE 25 APLAZADO) </t>
        </is>
      </c>
      <c r="C41" s="121" t="n">
        <v>-90.09999999999999</v>
      </c>
    </row>
    <row r="42">
      <c r="A42" s="88" t="inlineStr">
        <is>
          <t>10.91.2T.01.83</t>
        </is>
      </c>
      <c r="B42" s="89" t="inlineStr">
        <is>
          <t xml:space="preserve">LIQ-TitProp_GL30-N Curso_2025-26 AñoCont_2025 - CINE ÁRABE _ (Cierre-25) (EMITIDO25 COBRADO25) </t>
        </is>
      </c>
      <c r="C42" s="120" t="n">
        <v>45.05</v>
      </c>
    </row>
    <row r="43">
      <c r="A43" s="91" t="inlineStr">
        <is>
          <t>10.91.2T.01.84</t>
        </is>
      </c>
      <c r="B43" s="92" t="inlineStr">
        <is>
          <t xml:space="preserve">LIQ-TitProp_GN29-N Curso_2025-26 AñoCont_2025 - INTELIGENCIA ARTIFICIAL GENERATIVA APLICADA A LA SALUD: INNOVACIÓN Y TRANSF </t>
        </is>
      </c>
      <c r="C43" s="121" t="n">
        <v>1463.7</v>
      </c>
    </row>
    <row r="44" ht="15.75" customHeight="1" thickBot="1">
      <c r="A44" s="88" t="inlineStr">
        <is>
          <t>10.91.2T.01.84</t>
        </is>
      </c>
      <c r="B44" s="89" t="inlineStr">
        <is>
          <t>LIQ-TitProp_GN29-N Curso_2025-26 AñoCont_2025 - INTELIGENCIA ARTIFICIAL GENERATIVA APLICADA A LA SALUD: INNOVACIÓN Y TRANSF _ (Cierre-25)_EMITIDO 25</t>
        </is>
      </c>
      <c r="C44" s="120" t="n">
        <v>464.1</v>
      </c>
    </row>
    <row r="45" ht="15.75" customHeight="1" thickTop="1">
      <c r="A45" s="82" t="inlineStr">
        <is>
          <t>Total</t>
        </is>
      </c>
      <c r="B45" s="83" t="n"/>
      <c r="C45" s="122" t="n">
        <v>44120.03</v>
      </c>
    </row>
    <row r="48">
      <c r="B48" s="67" t="inlineStr">
        <is>
          <t>Total ingresos de formación 2023-25</t>
        </is>
      </c>
      <c r="C48" s="114">
        <f>Tabla46[[#Totals],[Imp. aplic.]]+Tabla4[[#Totals],[Imp. aplic.]]+C45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difd@ua.es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2026-05-28T21:59:15Z</dcterms:modified>
  <cp:lastModifiedBy>mayte.pujalte</cp:lastModifiedBy>
</cp:coreProperties>
</file>