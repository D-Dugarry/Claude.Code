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13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0" fillId="0" borderId="0"/>
  </cellStyleXfs>
  <cellXfs count="44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164" fontId="0" fillId="7" borderId="2" pivotButton="0" quotePrefix="0" xfId="6"/>
    <xf numFmtId="164" fontId="0" fillId="0" borderId="2" pivotButton="0" quotePrefix="0" xfId="6"/>
    <xf numFmtId="0" fontId="2" fillId="8" borderId="0" pivotButton="0" quotePrefix="0" xfId="1"/>
    <xf numFmtId="0" fontId="2" fillId="8" borderId="0" applyAlignment="1" pivotButton="0" quotePrefix="0" xfId="1">
      <alignment horizontal="right"/>
    </xf>
    <xf numFmtId="0" fontId="0" fillId="0" borderId="1" applyAlignment="1" pivotButton="0" quotePrefix="0" xfId="0">
      <alignment horizontal="lef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165" fontId="11" fillId="8" borderId="0" pivotButton="0" quotePrefix="0" xfId="0"/>
    <xf numFmtId="165" fontId="3" fillId="8" borderId="0" pivotButton="0" quotePrefix="0" xfId="1"/>
    <xf numFmtId="0" fontId="0" fillId="0" borderId="4" pivotButton="0" quotePrefix="0" xfId="0"/>
    <xf numFmtId="164" fontId="0" fillId="0" borderId="4" pivotButton="0" quotePrefix="0" xfId="0"/>
    <xf numFmtId="0" fontId="0" fillId="7" borderId="2" pivotButton="0" quotePrefix="0" xfId="0"/>
    <xf numFmtId="0" fontId="0" fillId="0" borderId="2" pivotButton="0" quotePrefix="0" xfId="0"/>
    <xf numFmtId="0" fontId="12" fillId="6" borderId="3" pivotButton="0" quotePrefix="0" xfId="0"/>
    <xf numFmtId="164" fontId="12" fillId="6" borderId="3" pivotButton="0" quotePrefix="0" xfId="6"/>
    <xf numFmtId="0" fontId="0" fillId="7" borderId="4" pivotButton="0" quotePrefix="0" xfId="0"/>
    <xf numFmtId="164" fontId="0" fillId="7" borderId="4" pivotButton="0" quotePrefix="0" xfId="6"/>
    <xf numFmtId="0" fontId="11" fillId="0" borderId="1" pivotButton="0" quotePrefix="0" xfId="0"/>
    <xf numFmtId="164" fontId="11" fillId="0" borderId="1" pivotButton="0" quotePrefix="0" xfId="0"/>
    <xf numFmtId="164" fontId="12" fillId="6" borderId="3" pivotButton="0" quotePrefix="0" xfId="6"/>
    <xf numFmtId="164" fontId="0" fillId="7" borderId="2" pivotButton="0" quotePrefix="0" xfId="6"/>
    <xf numFmtId="164" fontId="0" fillId="0" borderId="2" pivotButton="0" quotePrefix="0" xfId="6"/>
    <xf numFmtId="164" fontId="0" fillId="7" borderId="4" pivotButton="0" quotePrefix="0" xfId="6"/>
    <xf numFmtId="164" fontId="0" fillId="0" borderId="4" pivotButton="0" quotePrefix="0" xfId="0"/>
    <xf numFmtId="164" fontId="11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5" headerRowCount="1" totalsRowCount="1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8" sqref="F28"/>
    </sheetView>
  </sheetViews>
  <sheetFormatPr baseColWidth="10" defaultColWidth="10.33203125" defaultRowHeight="10.2"/>
  <cols>
    <col width="5" customWidth="1" style="6" min="1" max="1"/>
    <col width="29.6640625" customWidth="1" style="6" min="2" max="2"/>
    <col width="15" customWidth="1" style="6" min="3" max="3"/>
    <col width="21.5546875" customWidth="1" style="6" min="4" max="4"/>
    <col width="19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U023 </t>
        </is>
      </c>
      <c r="B2" s="18" t="inlineStr">
        <is>
          <t xml:space="preserve">ADM. FACULTAD DE FILOSOFIA Y LETRAS </t>
        </is>
      </c>
      <c r="C2" s="18" t="inlineStr">
        <is>
          <t xml:space="preserve">DOCTORADO EN FILOSOFÍA Y LETRAS </t>
        </is>
      </c>
      <c r="D2" s="18" t="inlineStr">
        <is>
          <t xml:space="preserve">Die Maculet, María del Rosario </t>
        </is>
      </c>
      <c r="E2" s="18" t="inlineStr">
        <is>
          <t xml:space="preserve">LA CORRESPONDENCIA ERUDITA DE ANTONIO VALCÁRCEL PIO DE SABOYA, CONDE DE LUMIARES (1748-1808) </t>
        </is>
      </c>
      <c r="F2" s="18" t="inlineStr">
        <is>
          <t xml:space="preserve">15/09/2020 </t>
        </is>
      </c>
      <c r="G2" s="18" t="inlineStr">
        <is>
          <t xml:space="preserve">74171221Q </t>
        </is>
      </c>
      <c r="H2" s="18" t="inlineStr">
        <is>
          <t xml:space="preserve">Codirector de tesis </t>
        </is>
      </c>
      <c r="I2" s="18" t="inlineStr">
        <is>
          <t xml:space="preserve">B174 </t>
        </is>
      </c>
      <c r="J2" s="18" t="inlineStr">
        <is>
          <t xml:space="preserve">HISTORIA MEDIEVAL, HISTORIA MODERNA Y CIENCIAS Y TÉCNICAS HISTORIOGRÀFICAS </t>
        </is>
      </c>
      <c r="K2" s="18" t="n">
        <v>0.5</v>
      </c>
      <c r="L2" s="18" t="inlineStr">
        <is>
          <t>B174</t>
        </is>
      </c>
      <c r="M2" s="18" t="n">
        <v>2019</v>
      </c>
      <c r="N2" s="18" t="inlineStr"/>
      <c r="O2" s="18" t="inlineStr"/>
      <c r="P2" s="18" t="inlineStr"/>
      <c r="Q2" s="18" t="inlineStr"/>
      <c r="R2" s="18" t="n">
        <v>100</v>
      </c>
      <c r="S2" s="18" t="n">
        <v>0.5</v>
      </c>
      <c r="T2" s="18" t="n">
        <v>0</v>
      </c>
      <c r="U2" s="18" t="n">
        <v>0</v>
      </c>
    </row>
    <row r="3">
      <c r="A3" s="18" t="inlineStr">
        <is>
          <t xml:space="preserve">U023 </t>
        </is>
      </c>
      <c r="B3" s="18" t="inlineStr">
        <is>
          <t xml:space="preserve">ADM. FACULTAD DE FILOSOFIA Y LETRAS </t>
        </is>
      </c>
      <c r="C3" s="18" t="inlineStr">
        <is>
          <t xml:space="preserve">DOCTORADO EN FILOSOFÍA Y LETRAS </t>
        </is>
      </c>
      <c r="D3" s="18" t="inlineStr">
        <is>
          <t xml:space="preserve">Pometti Benítez, Kevin Albert </t>
        </is>
      </c>
      <c r="E3" s="18" t="inlineStr">
        <is>
          <t xml:space="preserve">INESTABILIDAD AMBIENTAL Y SALUD PÚBLICA EN UNA CIUDAD MEDITERRÁNEA DEL ANTIGUO RÉGIMEN, BARCELONA ENTRE EL PALUDISMO Y LA FIEBRE AMARILLA (1780-1821) </t>
        </is>
      </c>
      <c r="F3" s="18" t="inlineStr">
        <is>
          <t xml:space="preserve">04/12/2019 </t>
        </is>
      </c>
      <c r="G3" s="18" t="inlineStr">
        <is>
          <t xml:space="preserve">21395777G </t>
        </is>
      </c>
      <c r="H3" s="18" t="inlineStr">
        <is>
          <t xml:space="preserve">Codirector de tesis </t>
        </is>
      </c>
      <c r="I3" s="18" t="inlineStr">
        <is>
          <t xml:space="preserve">B174 </t>
        </is>
      </c>
      <c r="J3" s="18" t="inlineStr">
        <is>
          <t xml:space="preserve">HISTORIA MEDIEVAL, HISTORIA MODERNA Y CIENCIAS Y TÉCNICAS HISTORIOGRÀFICAS </t>
        </is>
      </c>
      <c r="K3" s="18" t="n">
        <v>0.5</v>
      </c>
      <c r="L3" s="18" t="inlineStr">
        <is>
          <t>B174</t>
        </is>
      </c>
      <c r="M3" s="18" t="n">
        <v>2019</v>
      </c>
      <c r="N3" s="18" t="inlineStr"/>
      <c r="O3" s="18" t="inlineStr"/>
      <c r="P3" s="18" t="inlineStr"/>
      <c r="Q3" s="18" t="inlineStr"/>
      <c r="R3" s="18" t="n">
        <v>100</v>
      </c>
      <c r="S3" s="18" t="n">
        <v>0.5</v>
      </c>
      <c r="T3" s="18" t="n">
        <v>0</v>
      </c>
      <c r="U3" s="18" t="n">
        <v>0</v>
      </c>
    </row>
    <row r="4">
      <c r="A4" s="18" t="inlineStr">
        <is>
          <t xml:space="preserve">U023 </t>
        </is>
      </c>
      <c r="B4" s="18" t="inlineStr">
        <is>
          <t xml:space="preserve">ADM. FACULTAD DE FILOSOFIA Y LETRAS </t>
        </is>
      </c>
      <c r="C4" s="18" t="inlineStr">
        <is>
          <t xml:space="preserve">DOCTORADO EN FILOSOFÍA Y LETRAS </t>
        </is>
      </c>
      <c r="D4" s="18" t="inlineStr">
        <is>
          <t xml:space="preserve">Castro Carbonell, Ana Isabel </t>
        </is>
      </c>
      <c r="E4" s="18" t="inlineStr">
        <is>
          <t xml:space="preserve">MUERTE, ESPIRITUALIDAD Y MATERIALIDAD EN EL SUR DEL REINO DE VALENCIA (SIGLOS XIV-XVI) </t>
        </is>
      </c>
      <c r="F4" s="18" t="inlineStr">
        <is>
          <t xml:space="preserve">31/01/2020 </t>
        </is>
      </c>
      <c r="G4" s="18" t="inlineStr">
        <is>
          <t xml:space="preserve">22126836P </t>
        </is>
      </c>
      <c r="H4" s="18" t="inlineStr">
        <is>
          <t xml:space="preserve">Director de tesis </t>
        </is>
      </c>
      <c r="I4" s="18" t="inlineStr">
        <is>
          <t xml:space="preserve">B174 </t>
        </is>
      </c>
      <c r="J4" s="18" t="inlineStr">
        <is>
          <t xml:space="preserve">HISTORIA MEDIEVAL, HISTORIA MODERNA Y CIENCIAS Y TÉCNICAS HISTORIOGRÀFICAS </t>
        </is>
      </c>
      <c r="K4" s="18" t="n">
        <v>1</v>
      </c>
      <c r="L4" s="18" t="inlineStr">
        <is>
          <t>B174</t>
        </is>
      </c>
      <c r="M4" s="18" t="n">
        <v>2019</v>
      </c>
      <c r="N4" s="18" t="inlineStr">
        <is>
          <t>10.25</t>
        </is>
      </c>
      <c r="O4" s="18" t="inlineStr">
        <is>
          <t>50</t>
        </is>
      </c>
      <c r="P4" s="18" t="inlineStr"/>
      <c r="Q4" s="18" t="inlineStr"/>
      <c r="R4" s="18" t="n">
        <v>50</v>
      </c>
      <c r="S4" s="18" t="n">
        <v>0.5</v>
      </c>
      <c r="T4" s="18" t="n">
        <v>0.5</v>
      </c>
      <c r="U4" s="18" t="n">
        <v>0</v>
      </c>
    </row>
    <row r="5">
      <c r="A5" s="18" t="inlineStr">
        <is>
          <t xml:space="preserve">U073 </t>
        </is>
      </c>
      <c r="B5" s="18" t="inlineStr">
        <is>
          <t xml:space="preserve">ADM. I.U. INVESTIGACIÓN DE ESTUDIOS DE GÉNERO </t>
        </is>
      </c>
      <c r="C5" s="18" t="inlineStr">
        <is>
          <t xml:space="preserve">DOCTORADO EN ESTUDIOS INTERDISCIPLINARES DE GÉNERO </t>
        </is>
      </c>
      <c r="D5" s="18" t="inlineStr">
        <is>
          <t xml:space="preserve">Pérez Pérez, Lucía Del Mar </t>
        </is>
      </c>
      <c r="E5" s="18" t="inlineStr">
        <is>
          <t xml:space="preserve">LA VOZ DE LA PROFECÍA FEMENINA DE LOS JESUITAS ESPAÑOLES (1767-1814) </t>
        </is>
      </c>
      <c r="F5" s="18" t="inlineStr">
        <is>
          <t xml:space="preserve">28/11/2019 </t>
        </is>
      </c>
      <c r="G5" s="18" t="inlineStr">
        <is>
          <t xml:space="preserve">50283950Q </t>
        </is>
      </c>
      <c r="H5" s="18" t="inlineStr">
        <is>
          <t xml:space="preserve">Codirector de tesis </t>
        </is>
      </c>
      <c r="I5" s="18" t="inlineStr">
        <is>
          <t xml:space="preserve">B174 </t>
        </is>
      </c>
      <c r="J5" s="18" t="inlineStr">
        <is>
          <t xml:space="preserve">HISTORIA MEDIEVAL, HISTORIA MODERNA Y CIENCIAS Y TÉCNICAS HISTORIOGRÀFICAS </t>
        </is>
      </c>
      <c r="K5" s="18" t="n">
        <v>0.5</v>
      </c>
      <c r="L5" s="18" t="inlineStr">
        <is>
          <t>B174</t>
        </is>
      </c>
      <c r="M5" s="18" t="n">
        <v>2019</v>
      </c>
      <c r="N5" s="18" t="inlineStr">
        <is>
          <t>10.23</t>
        </is>
      </c>
      <c r="O5" s="18" t="inlineStr">
        <is>
          <t>60</t>
        </is>
      </c>
      <c r="P5" s="18" t="inlineStr"/>
      <c r="Q5" s="18" t="inlineStr"/>
      <c r="R5" s="18" t="n">
        <v>40</v>
      </c>
      <c r="S5" s="18" t="n">
        <v>0.2</v>
      </c>
      <c r="T5" s="18" t="n">
        <v>0.3</v>
      </c>
      <c r="U5" s="18" t="n">
        <v>0</v>
      </c>
    </row>
    <row r="6">
      <c r="A6" s="18" t="inlineStr">
        <is>
          <t xml:space="preserve">B112 </t>
        </is>
      </c>
      <c r="B6" s="18" t="inlineStr">
        <is>
          <t xml:space="preserve">DIDACTICA GENERAL Y DIDÁCTICAS ESPECÍFICAS </t>
        </is>
      </c>
      <c r="C6" s="18" t="inlineStr">
        <is>
          <t xml:space="preserve">DOCTORADO EN INVESTIGACIÓN EDUCATIVA </t>
        </is>
      </c>
      <c r="D6" s="18" t="inlineStr">
        <is>
          <t xml:space="preserve">Ventura Romero, José Modesto </t>
        </is>
      </c>
      <c r="E6" s="18" t="inlineStr">
        <is>
          <t xml:space="preserve">Factores asociados a las causas de deserción estudiantil en instituciones de educación superior de El Salvador </t>
        </is>
      </c>
      <c r="F6" s="18" t="inlineStr">
        <is>
          <t xml:space="preserve">31/05/2021 </t>
        </is>
      </c>
      <c r="G6" s="18" t="inlineStr">
        <is>
          <t xml:space="preserve">22126836P </t>
        </is>
      </c>
      <c r="H6" s="18" t="inlineStr">
        <is>
          <t xml:space="preserve">Director de tesis </t>
        </is>
      </c>
      <c r="I6" s="18" t="inlineStr">
        <is>
          <t xml:space="preserve">B174 </t>
        </is>
      </c>
      <c r="J6" s="18" t="inlineStr">
        <is>
          <t xml:space="preserve">HISTORIA MEDIEVAL, HISTORIA MODERNA Y CIENCIAS Y TÉCNICAS HISTORIOGRÀFICAS </t>
        </is>
      </c>
      <c r="K6" s="18" t="n">
        <v>1</v>
      </c>
      <c r="L6" s="18" t="inlineStr">
        <is>
          <t>B174</t>
        </is>
      </c>
      <c r="M6" s="18" t="n">
        <v>2020</v>
      </c>
      <c r="N6" s="18" t="inlineStr">
        <is>
          <t>10.25</t>
        </is>
      </c>
      <c r="O6" s="18" t="n">
        <v>50</v>
      </c>
      <c r="P6" s="18" t="inlineStr"/>
      <c r="Q6" s="18" t="n">
        <v>0</v>
      </c>
      <c r="R6" s="18" t="n">
        <v>50</v>
      </c>
      <c r="S6" s="18" t="n">
        <v>0.5</v>
      </c>
      <c r="T6" s="18" t="n">
        <v>0.5</v>
      </c>
      <c r="U6" s="18" t="n">
        <v>0</v>
      </c>
    </row>
    <row r="7">
      <c r="A7" s="18" t="inlineStr">
        <is>
          <t xml:space="preserve">U023 </t>
        </is>
      </c>
      <c r="B7" s="18" t="inlineStr">
        <is>
          <t xml:space="preserve">ADM. FACULTAD DE FILOSOFIA Y LETRAS </t>
        </is>
      </c>
      <c r="C7" s="18" t="inlineStr">
        <is>
          <t xml:space="preserve">DOCTORADO EN FILOSOFÍA Y LETRAS </t>
        </is>
      </c>
      <c r="D7" s="18" t="inlineStr">
        <is>
          <t xml:space="preserve">Crespo Amat, Carlos </t>
        </is>
      </c>
      <c r="E7" s="18" t="inlineStr">
        <is>
          <t xml:space="preserve">Entre Castilla, la Corona de Aragón y el Mediterráneo: la formación de un mercado transnacional en el reino de Valencia durante la Baja Edad Media (1370-1430) </t>
        </is>
      </c>
      <c r="F7" s="18" t="inlineStr">
        <is>
          <t xml:space="preserve">30/09/2021 </t>
        </is>
      </c>
      <c r="G7" s="18" t="inlineStr">
        <is>
          <t xml:space="preserve">22126836P </t>
        </is>
      </c>
      <c r="H7" s="18" t="inlineStr">
        <is>
          <t xml:space="preserve">Codirector de tesis </t>
        </is>
      </c>
      <c r="I7" s="18" t="inlineStr">
        <is>
          <t xml:space="preserve">B174 </t>
        </is>
      </c>
      <c r="J7" s="18" t="inlineStr">
        <is>
          <t xml:space="preserve">HISTORIA MEDIEVAL, HISTORIA MODERNA Y CIENCIAS Y TÉCNICAS HISTORIOGRÀFICAS </t>
        </is>
      </c>
      <c r="K7" s="18" t="n">
        <v>0.5</v>
      </c>
      <c r="L7" s="18" t="inlineStr">
        <is>
          <t>B174</t>
        </is>
      </c>
      <c r="M7" s="18" t="n">
        <v>2020</v>
      </c>
      <c r="N7" s="18" t="inlineStr">
        <is>
          <t>10.25</t>
        </is>
      </c>
      <c r="O7" s="18" t="n">
        <v>50</v>
      </c>
      <c r="P7" s="18" t="inlineStr"/>
      <c r="Q7" s="18" t="n">
        <v>0</v>
      </c>
      <c r="R7" s="18" t="n">
        <v>50</v>
      </c>
      <c r="S7" s="18" t="n">
        <v>0.25</v>
      </c>
      <c r="T7" s="18" t="n">
        <v>0.25</v>
      </c>
      <c r="U7" s="18" t="n">
        <v>0</v>
      </c>
    </row>
    <row r="8">
      <c r="A8" s="18" t="inlineStr">
        <is>
          <t xml:space="preserve">U023 </t>
        </is>
      </c>
      <c r="B8" s="18" t="inlineStr">
        <is>
          <t xml:space="preserve">ADM. FACULTAD DE FILOSOFIA Y LETRAS </t>
        </is>
      </c>
      <c r="C8" s="18" t="inlineStr">
        <is>
          <t xml:space="preserve">DOCTORADO EN FILOSOFÍA Y LETRAS </t>
        </is>
      </c>
      <c r="D8" s="18" t="inlineStr">
        <is>
          <t xml:space="preserve">Cañizares Gómez, María José </t>
        </is>
      </c>
      <c r="E8" s="18" t="inlineStr">
        <is>
          <t xml:space="preserve">Iglesia, frontera y poder: el pleito del obispado de Orihuela entre la Corona de Castilla y la Corona de Aragón (siglos XIII y XVI) </t>
        </is>
      </c>
      <c r="F8" s="18" t="inlineStr">
        <is>
          <t xml:space="preserve">29/09/2021 </t>
        </is>
      </c>
      <c r="G8" s="18" t="inlineStr">
        <is>
          <t xml:space="preserve">21436046T </t>
        </is>
      </c>
      <c r="H8" s="18" t="inlineStr">
        <is>
          <t xml:space="preserve">Codirector de tesis </t>
        </is>
      </c>
      <c r="I8" s="18" t="inlineStr">
        <is>
          <t xml:space="preserve">B174 </t>
        </is>
      </c>
      <c r="J8" s="18" t="inlineStr">
        <is>
          <t xml:space="preserve">HISTORIA MEDIEVAL, HISTORIA MODERNA Y CIENCIAS Y TÉCNICAS HISTORIOGRÀFICAS </t>
        </is>
      </c>
      <c r="K8" s="18" t="n">
        <v>0.5</v>
      </c>
      <c r="L8" s="18" t="inlineStr">
        <is>
          <t>B174</t>
        </is>
      </c>
      <c r="M8" s="18" t="n">
        <v>2020</v>
      </c>
      <c r="N8" s="18" t="inlineStr">
        <is>
          <t>10.23</t>
        </is>
      </c>
      <c r="O8" s="18" t="n">
        <v>10</v>
      </c>
      <c r="P8" s="18" t="inlineStr">
        <is>
          <t>10.25</t>
        </is>
      </c>
      <c r="Q8" s="18" t="n">
        <v>25</v>
      </c>
      <c r="R8" s="18" t="n">
        <v>65</v>
      </c>
      <c r="S8" s="18" t="n">
        <v>0.325</v>
      </c>
      <c r="T8" s="18" t="n">
        <v>0.05</v>
      </c>
      <c r="U8" s="18" t="n">
        <v>0.125</v>
      </c>
    </row>
    <row r="9">
      <c r="A9" s="18" t="inlineStr">
        <is>
          <t xml:space="preserve">U023 </t>
        </is>
      </c>
      <c r="B9" s="18" t="inlineStr">
        <is>
          <t xml:space="preserve">ADM. FACULTAD DE FILOSOFIA Y LETRAS </t>
        </is>
      </c>
      <c r="C9" s="18" t="inlineStr">
        <is>
          <t xml:space="preserve">DOCTORADO EN FILOSOFÍA Y LETRAS </t>
        </is>
      </c>
      <c r="D9" s="18" t="inlineStr">
        <is>
          <t xml:space="preserve">Cañizares Gómez, María José </t>
        </is>
      </c>
      <c r="E9" s="18" t="inlineStr">
        <is>
          <t xml:space="preserve">Iglesia, frontera y poder: el pleito del obispado de Orihuela entre la Corona de Castilla y la Corona de Aragón (siglos XIII y XVI) </t>
        </is>
      </c>
      <c r="F9" s="18" t="inlineStr">
        <is>
          <t xml:space="preserve">29/09/2021 </t>
        </is>
      </c>
      <c r="G9" s="18" t="inlineStr">
        <is>
          <t xml:space="preserve">22126836P </t>
        </is>
      </c>
      <c r="H9" s="18" t="inlineStr">
        <is>
          <t xml:space="preserve">Codirector de tesis </t>
        </is>
      </c>
      <c r="I9" s="18" t="inlineStr">
        <is>
          <t xml:space="preserve">B174 </t>
        </is>
      </c>
      <c r="J9" s="18" t="inlineStr">
        <is>
          <t xml:space="preserve">HISTORIA MEDIEVAL, HISTORIA MODERNA Y CIENCIAS Y TÉCNICAS HISTORIOGRÀFICAS </t>
        </is>
      </c>
      <c r="K9" s="18" t="n">
        <v>0.5</v>
      </c>
      <c r="L9" s="18" t="inlineStr">
        <is>
          <t>B174</t>
        </is>
      </c>
      <c r="M9" s="18" t="n">
        <v>2020</v>
      </c>
      <c r="N9" s="18" t="inlineStr">
        <is>
          <t>10.25</t>
        </is>
      </c>
      <c r="O9" s="18" t="n">
        <v>50</v>
      </c>
      <c r="P9" s="18" t="inlineStr"/>
      <c r="Q9" s="18" t="n">
        <v>0</v>
      </c>
      <c r="R9" s="18" t="n">
        <v>50</v>
      </c>
      <c r="S9" s="18" t="n">
        <v>0.25</v>
      </c>
      <c r="T9" s="18" t="n">
        <v>0.25</v>
      </c>
      <c r="U9" s="18" t="n">
        <v>0</v>
      </c>
    </row>
    <row r="10">
      <c r="A10" s="18" t="inlineStr">
        <is>
          <t xml:space="preserve">U023 </t>
        </is>
      </c>
      <c r="B10" s="18" t="inlineStr">
        <is>
          <t xml:space="preserve">ADM. FACULTAD DE FILOSOFIA Y LETRAS </t>
        </is>
      </c>
      <c r="C10" s="18" t="inlineStr">
        <is>
          <t xml:space="preserve">DOCTORADO EN TRANSFERENCIAS INTERCULTURALES E HISTÓRICAS EN LA EUROPA MEDIE </t>
        </is>
      </c>
      <c r="D10" s="18" t="inlineStr">
        <is>
          <t xml:space="preserve">Soler Molina, Joan Abel </t>
        </is>
      </c>
      <c r="E10" s="18" t="inlineStr">
        <is>
          <t xml:space="preserve">Intervenció senyorial i transformacions locals a la baronia de Rebollet-Comtat d'Oliva (segles XIII-XVI). Els Carròs i el Centelles </t>
        </is>
      </c>
      <c r="F10" s="18" t="inlineStr">
        <is>
          <t xml:space="preserve">04/03/2021 </t>
        </is>
      </c>
      <c r="G10" s="18" t="inlineStr">
        <is>
          <t xml:space="preserve">22126836P </t>
        </is>
      </c>
      <c r="H10" s="18" t="inlineStr">
        <is>
          <t xml:space="preserve">Codirector de tesis </t>
        </is>
      </c>
      <c r="I10" s="18" t="inlineStr">
        <is>
          <t xml:space="preserve">B174 </t>
        </is>
      </c>
      <c r="J10" s="18" t="inlineStr">
        <is>
          <t xml:space="preserve">HISTORIA MEDIEVAL, HISTORIA MODERNA Y CIENCIAS Y TÉCNICAS HISTORIOGRÀFICAS </t>
        </is>
      </c>
      <c r="K10" s="18" t="n">
        <v>0.5</v>
      </c>
      <c r="L10" s="18" t="inlineStr">
        <is>
          <t>B174</t>
        </is>
      </c>
      <c r="M10" s="18" t="n">
        <v>2020</v>
      </c>
      <c r="N10" s="18" t="inlineStr">
        <is>
          <t>10.25</t>
        </is>
      </c>
      <c r="O10" s="18" t="n">
        <v>50</v>
      </c>
      <c r="P10" s="18" t="inlineStr"/>
      <c r="Q10" s="18" t="n">
        <v>0</v>
      </c>
      <c r="R10" s="18" t="n">
        <v>50</v>
      </c>
      <c r="S10" s="18" t="n">
        <v>0.25</v>
      </c>
      <c r="T10" s="18" t="n">
        <v>0.25</v>
      </c>
      <c r="U10" s="18" t="n">
        <v>0</v>
      </c>
    </row>
    <row r="11">
      <c r="A11" s="18" t="inlineStr">
        <is>
          <t xml:space="preserve">U073 </t>
        </is>
      </c>
      <c r="B11" s="18" t="inlineStr">
        <is>
          <t xml:space="preserve">ADM. I.U. INVESTIGACIÓN DE ESTUDIOS DE GÉNERO </t>
        </is>
      </c>
      <c r="C11" s="18" t="inlineStr">
        <is>
          <t xml:space="preserve">DOCTORADO EN ESTUDIOS INTERDISCIPLINARES DE GÉNERO </t>
        </is>
      </c>
      <c r="D11" s="18" t="inlineStr">
        <is>
          <t xml:space="preserve">Blanco Fernández, Marta Susana </t>
        </is>
      </c>
      <c r="E11" s="18" t="inlineStr">
        <is>
          <t xml:space="preserve">Origen, demonización y pervivencia de lo divino femenino en la península ibérica. Una aproximación desde la tealogía y el ecofeminismo </t>
        </is>
      </c>
      <c r="F11" s="18" t="inlineStr">
        <is>
          <t xml:space="preserve">28/05/2021 </t>
        </is>
      </c>
      <c r="G11" s="18" t="inlineStr">
        <is>
          <t xml:space="preserve">50283950Q </t>
        </is>
      </c>
      <c r="H11" s="18" t="inlineStr">
        <is>
          <t xml:space="preserve">Director de tesis </t>
        </is>
      </c>
      <c r="I11" s="18" t="inlineStr">
        <is>
          <t xml:space="preserve">B174 </t>
        </is>
      </c>
      <c r="J11" s="18" t="inlineStr">
        <is>
          <t xml:space="preserve">HISTORIA MEDIEVAL, HISTORIA MODERNA Y CIENCIAS Y TÉCNICAS HISTORIOGRÀFICAS </t>
        </is>
      </c>
      <c r="K11" s="18" t="n">
        <v>1</v>
      </c>
      <c r="L11" s="18" t="inlineStr">
        <is>
          <t>B174</t>
        </is>
      </c>
      <c r="M11" s="18" t="n">
        <v>2020</v>
      </c>
      <c r="N11" s="18" t="inlineStr">
        <is>
          <t>10.23</t>
        </is>
      </c>
      <c r="O11" s="18" t="n">
        <v>60</v>
      </c>
      <c r="P11" s="18" t="inlineStr"/>
      <c r="Q11" s="18" t="n">
        <v>0</v>
      </c>
      <c r="R11" s="18" t="n">
        <v>40</v>
      </c>
      <c r="S11" s="18" t="n">
        <v>0.4</v>
      </c>
      <c r="T11" s="18" t="n">
        <v>0.6</v>
      </c>
      <c r="U11" s="18" t="n">
        <v>0</v>
      </c>
    </row>
    <row r="12">
      <c r="A12" s="18" t="inlineStr">
        <is>
          <t xml:space="preserve">U073 </t>
        </is>
      </c>
      <c r="B12" s="18" t="inlineStr">
        <is>
          <t xml:space="preserve">ADM. I.U. INVESTIGACIÓN DE ESTUDIOS DE GÉNERO </t>
        </is>
      </c>
      <c r="C12" s="18" t="inlineStr">
        <is>
          <t xml:space="preserve">DOCTORADO EN ESTUDIOS INTERDISCIPLINARES DE GÉNERO </t>
        </is>
      </c>
      <c r="D12" s="18" t="inlineStr">
        <is>
          <t xml:space="preserve">Ávila Martínez, María Teresa </t>
        </is>
      </c>
      <c r="E12" s="18" t="inlineStr">
        <is>
          <t xml:space="preserve">Una viajera con nombre propio: Lady Elizabeth Holland y sus cuadernos hispanos </t>
        </is>
      </c>
      <c r="F12" s="18" t="inlineStr">
        <is>
          <t xml:space="preserve">27/05/2022 </t>
        </is>
      </c>
      <c r="G12" s="18" t="inlineStr">
        <is>
          <t xml:space="preserve">50283950Q </t>
        </is>
      </c>
      <c r="H12" s="18" t="inlineStr">
        <is>
          <t xml:space="preserve">Director de tesis </t>
        </is>
      </c>
      <c r="I12" s="18" t="inlineStr">
        <is>
          <t xml:space="preserve">B174 </t>
        </is>
      </c>
      <c r="J12" s="18" t="inlineStr">
        <is>
          <t xml:space="preserve">HISTORIA MEDIEVAL, HISTORIA MODERNA Y CIENCIAS Y TÉCNICAS HISTORIOGRÀFICAS </t>
        </is>
      </c>
      <c r="K12" s="18" t="n">
        <v>1</v>
      </c>
      <c r="L12" s="18" t="inlineStr">
        <is>
          <t>B174</t>
        </is>
      </c>
      <c r="M12" s="18" t="n">
        <v>2021</v>
      </c>
      <c r="N12" s="18" t="inlineStr">
        <is>
          <t>10.23</t>
        </is>
      </c>
      <c r="O12" s="18" t="n">
        <v>60</v>
      </c>
      <c r="P12" s="18" t="inlineStr"/>
      <c r="Q12" s="18" t="n">
        <v>0</v>
      </c>
      <c r="R12" s="18" t="n">
        <v>40</v>
      </c>
      <c r="S12" s="18" t="n">
        <v>0.4</v>
      </c>
      <c r="T12" s="18" t="n">
        <v>0.6</v>
      </c>
      <c r="U12" s="18" t="n">
        <v>0</v>
      </c>
    </row>
    <row r="13">
      <c r="A13" s="18" t="inlineStr">
        <is>
          <t xml:space="preserve">U073 </t>
        </is>
      </c>
      <c r="B13" s="18" t="inlineStr">
        <is>
          <t xml:space="preserve">ADM. I.U. INVESTIGACIÓN DE ESTUDIOS DE GÉNERO </t>
        </is>
      </c>
      <c r="C13" s="18" t="inlineStr">
        <is>
          <t xml:space="preserve">DOCTORADO EN ESTUDIOS INTERDISCIPLINARES DE GÉNERO </t>
        </is>
      </c>
      <c r="D13" s="18" t="inlineStr">
        <is>
          <t xml:space="preserve">Corona Verdú, Rafael </t>
        </is>
      </c>
      <c r="E13" s="18" t="inlineStr">
        <is>
          <t xml:space="preserve">Viri ac mulieres ludentes. Los hábitos higiénicos y los juegos recreativos como elementos articuladores del hecho deportivo en la España Moderna (1700-1812) </t>
        </is>
      </c>
      <c r="F13" s="18" t="inlineStr">
        <is>
          <t xml:space="preserve">25/07/2022 </t>
        </is>
      </c>
      <c r="G13" s="18" t="inlineStr">
        <is>
          <t xml:space="preserve">50283950Q </t>
        </is>
      </c>
      <c r="H13" s="18" t="inlineStr">
        <is>
          <t xml:space="preserve">Director de tesis </t>
        </is>
      </c>
      <c r="I13" s="18" t="inlineStr">
        <is>
          <t xml:space="preserve">B174 </t>
        </is>
      </c>
      <c r="J13" s="18" t="inlineStr">
        <is>
          <t xml:space="preserve">HISTORIA MEDIEVAL, HISTORIA MODERNA Y CIENCIAS Y TÉCNICAS HISTORIOGRÀFICAS </t>
        </is>
      </c>
      <c r="K13" s="18" t="n">
        <v>1</v>
      </c>
      <c r="L13" s="18" t="inlineStr">
        <is>
          <t>B174</t>
        </is>
      </c>
      <c r="M13" s="18" t="n">
        <v>2021</v>
      </c>
      <c r="N13" s="18" t="inlineStr">
        <is>
          <t>10.23</t>
        </is>
      </c>
      <c r="O13" s="18" t="n">
        <v>60</v>
      </c>
      <c r="P13" s="18" t="inlineStr"/>
      <c r="Q13" s="18" t="n">
        <v>0</v>
      </c>
      <c r="R13" s="18" t="n">
        <v>40</v>
      </c>
      <c r="S13" s="18" t="n">
        <v>0.4</v>
      </c>
      <c r="T13" s="18" t="n">
        <v>0.6</v>
      </c>
      <c r="U13" s="18" t="n">
        <v>0</v>
      </c>
    </row>
    <row r="14">
      <c r="A14" s="18" t="inlineStr">
        <is>
          <t xml:space="preserve">U023 </t>
        </is>
      </c>
      <c r="B14" s="18" t="inlineStr">
        <is>
          <t xml:space="preserve">ADM. FACULTAD DE FILOSOFIA Y LETRAS </t>
        </is>
      </c>
      <c r="C14" s="18" t="inlineStr">
        <is>
          <t xml:space="preserve">DOCTORADO EN FILOSOFÍA Y LETRAS </t>
        </is>
      </c>
      <c r="D14" s="18" t="inlineStr">
        <is>
          <t>Ropero Mérida, Antonio</t>
        </is>
      </c>
      <c r="E14" s="18" t="inlineStr">
        <is>
          <t xml:space="preserve">"Y si valer no pudiere por testamento, valga por codicilo". La cultura de la muerte en Alicante durante el Setecientos. </t>
        </is>
      </c>
      <c r="F14" s="18" t="inlineStr">
        <is>
          <t xml:space="preserve">27/01/2023 </t>
        </is>
      </c>
      <c r="G14" s="18" t="inlineStr">
        <is>
          <t xml:space="preserve">21466262V </t>
        </is>
      </c>
      <c r="H14" s="18" t="inlineStr">
        <is>
          <t xml:space="preserve">Director de tesis </t>
        </is>
      </c>
      <c r="I14" s="18" t="inlineStr">
        <is>
          <t xml:space="preserve">B174 </t>
        </is>
      </c>
      <c r="J14" s="18" t="inlineStr">
        <is>
          <t xml:space="preserve">HISTORIA MEDIEVAL, HISTORIA MODERNA Y CIENCIAS Y TÉCNICAS HISTORIOGRÀFICAS </t>
        </is>
      </c>
      <c r="K14" s="18" t="n">
        <v>1</v>
      </c>
      <c r="L14" s="18" t="inlineStr">
        <is>
          <t>B174</t>
        </is>
      </c>
      <c r="M14" s="18" t="n">
        <v>2022</v>
      </c>
      <c r="N14" s="18" t="inlineStr">
        <is>
          <t>10.23</t>
        </is>
      </c>
      <c r="O14" s="18" t="n">
        <v>20</v>
      </c>
      <c r="P14" s="18" t="inlineStr"/>
      <c r="Q14" s="18" t="n">
        <v>0</v>
      </c>
      <c r="R14" s="18" t="n">
        <v>80</v>
      </c>
      <c r="S14" s="18" t="n">
        <v>0.8</v>
      </c>
      <c r="T14" s="18" t="n">
        <v>0.2</v>
      </c>
      <c r="U14" s="18" t="n">
        <v>0</v>
      </c>
    </row>
    <row r="15">
      <c r="A15" s="18" t="inlineStr">
        <is>
          <t xml:space="preserve">U023 </t>
        </is>
      </c>
      <c r="B15" s="18" t="inlineStr">
        <is>
          <t xml:space="preserve">ADM. FACULTAD DE FILOSOFIA Y LETRAS </t>
        </is>
      </c>
      <c r="C15" s="18" t="inlineStr">
        <is>
          <t xml:space="preserve">DOCTORADO EN FILOSOFÍA Y LETRAS </t>
        </is>
      </c>
      <c r="D15" s="18" t="inlineStr">
        <is>
          <t>Andreu Candela, Irene</t>
        </is>
      </c>
      <c r="E15" s="18" t="inlineStr">
        <is>
          <t xml:space="preserve">La percepción de la naturaleza, el clima y las catástrofes en los epistolarios españoles del siglo XVIII. La correspondencia de los Borbones españoles como fuente climática. </t>
        </is>
      </c>
      <c r="F15" s="18" t="inlineStr">
        <is>
          <t xml:space="preserve">05/06/2023 </t>
        </is>
      </c>
      <c r="G15" s="18" t="inlineStr">
        <is>
          <t xml:space="preserve">21395777G </t>
        </is>
      </c>
      <c r="H15" s="18" t="inlineStr">
        <is>
          <t xml:space="preserve">Codirector de tesis </t>
        </is>
      </c>
      <c r="I15" s="18" t="inlineStr">
        <is>
          <t xml:space="preserve">B174 </t>
        </is>
      </c>
      <c r="J15" s="18" t="inlineStr">
        <is>
          <t xml:space="preserve">HISTORIA MEDIEVAL, HISTORIA MODERNA Y CIENCIAS Y TÉCNICAS HISTORIOGRÀFICAS </t>
        </is>
      </c>
      <c r="K15" s="18" t="n">
        <v>0.5</v>
      </c>
      <c r="L15" s="18" t="inlineStr">
        <is>
          <t>B174</t>
        </is>
      </c>
      <c r="M15" s="18" t="n">
        <v>2022</v>
      </c>
      <c r="N15" s="18" t="inlineStr"/>
      <c r="O15" s="18" t="inlineStr"/>
      <c r="P15" s="18" t="inlineStr"/>
      <c r="Q15" s="18" t="inlineStr"/>
      <c r="R15" s="18" t="n">
        <v>100</v>
      </c>
      <c r="S15" s="18" t="n">
        <v>0.5</v>
      </c>
      <c r="T15" s="18" t="n">
        <v>0</v>
      </c>
      <c r="U15" s="18" t="n">
        <v>0</v>
      </c>
    </row>
    <row r="16">
      <c r="A16" s="18" t="inlineStr">
        <is>
          <t xml:space="preserve">U023 </t>
        </is>
      </c>
      <c r="B16" s="18" t="inlineStr">
        <is>
          <t xml:space="preserve">ADM. FACULTAD DE FILOSOFIA Y LETRAS </t>
        </is>
      </c>
      <c r="C16" s="18" t="inlineStr">
        <is>
          <t xml:space="preserve">DOCTORADO EN FILOSOFÍA Y LETRAS </t>
        </is>
      </c>
      <c r="D16" s="18" t="inlineStr">
        <is>
          <t>Andreu Candela, Irene</t>
        </is>
      </c>
      <c r="E16" s="18" t="inlineStr">
        <is>
          <t xml:space="preserve">La percepción de la naturaleza, el clima y las catástrofes en los epistolarios españoles del siglo XVIII. La correspondencia de los Borbones españoles como fuente climática. </t>
        </is>
      </c>
      <c r="F16" s="18" t="inlineStr">
        <is>
          <t xml:space="preserve">05/06/2023 </t>
        </is>
      </c>
      <c r="G16" s="18" t="inlineStr">
        <is>
          <t xml:space="preserve">74171221Q </t>
        </is>
      </c>
      <c r="H16" s="18" t="inlineStr">
        <is>
          <t xml:space="preserve">Codirector de tesis </t>
        </is>
      </c>
      <c r="I16" s="18" t="inlineStr">
        <is>
          <t xml:space="preserve">B174 </t>
        </is>
      </c>
      <c r="J16" s="18" t="inlineStr">
        <is>
          <t xml:space="preserve">HISTORIA MEDIEVAL, HISTORIA MODERNA Y CIENCIAS Y TÉCNICAS HISTORIOGRÀFICAS </t>
        </is>
      </c>
      <c r="K16" s="18" t="n">
        <v>0.5</v>
      </c>
      <c r="L16" s="18" t="inlineStr">
        <is>
          <t>B174</t>
        </is>
      </c>
      <c r="M16" s="18" t="n">
        <v>2022</v>
      </c>
      <c r="N16" s="18" t="inlineStr"/>
      <c r="O16" s="18" t="inlineStr"/>
      <c r="P16" s="18" t="inlineStr"/>
      <c r="Q16" s="18" t="inlineStr"/>
      <c r="R16" s="18" t="n">
        <v>100</v>
      </c>
      <c r="S16" s="18" t="n">
        <v>0.5</v>
      </c>
      <c r="T16" s="18" t="n">
        <v>0</v>
      </c>
      <c r="U16" s="18" t="n">
        <v>0</v>
      </c>
    </row>
    <row r="17">
      <c r="A17" s="18" t="inlineStr">
        <is>
          <t xml:space="preserve">U073 </t>
        </is>
      </c>
      <c r="B17" s="18" t="inlineStr">
        <is>
          <t xml:space="preserve">I.U. INVESTIGACIÓN DE ESTUDIOS DE GÉNERO (10.23) </t>
        </is>
      </c>
      <c r="C17" s="18" t="inlineStr">
        <is>
          <t xml:space="preserve">DOCTORADO EN ESTUDIOS INTERDISCIPLINARES DE GÉNERO </t>
        </is>
      </c>
      <c r="D17" s="18" t="inlineStr">
        <is>
          <t>Herranz Velázquez, Fernando</t>
        </is>
      </c>
      <c r="E17" s="18" t="inlineStr">
        <is>
          <t xml:space="preserve">Aprendiendo a ser hombre. La construcción de la masculinidad hegemónica en la modernidad </t>
        </is>
      </c>
      <c r="F17" s="18" t="inlineStr">
        <is>
          <t xml:space="preserve">16/12/2022 </t>
        </is>
      </c>
      <c r="G17" s="18" t="inlineStr">
        <is>
          <t xml:space="preserve">50283950Q </t>
        </is>
      </c>
      <c r="H17" s="18" t="inlineStr">
        <is>
          <t xml:space="preserve">Director de tesis </t>
        </is>
      </c>
      <c r="I17" s="18" t="inlineStr">
        <is>
          <t xml:space="preserve">B174 </t>
        </is>
      </c>
      <c r="J17" s="18" t="inlineStr">
        <is>
          <t xml:space="preserve">HISTORIA MEDIEVAL, HISTORIA MODERNA Y CIENCIAS Y TÉCNICAS HISTORIOGRÀFICAS </t>
        </is>
      </c>
      <c r="K17" s="18" t="n">
        <v>1</v>
      </c>
      <c r="L17" s="18" t="inlineStr">
        <is>
          <t>B174</t>
        </is>
      </c>
      <c r="M17" s="18" t="n">
        <v>2022</v>
      </c>
      <c r="N17" s="18" t="inlineStr">
        <is>
          <t>10.23</t>
        </is>
      </c>
      <c r="O17" s="18" t="n">
        <v>60</v>
      </c>
      <c r="P17" s="18" t="inlineStr"/>
      <c r="Q17" s="18" t="n">
        <v>0</v>
      </c>
      <c r="R17" s="18" t="n">
        <v>40</v>
      </c>
      <c r="S17" s="18" t="n">
        <v>0.4</v>
      </c>
      <c r="T17" s="18" t="n">
        <v>0.6</v>
      </c>
      <c r="U17" s="18" t="n">
        <v>0</v>
      </c>
    </row>
    <row r="18">
      <c r="A18" s="18" t="inlineStr">
        <is>
          <t xml:space="preserve">U023 </t>
        </is>
      </c>
      <c r="B18" s="18" t="inlineStr">
        <is>
          <t>ADM. FACULTAD DE FILOSOFIA Y LETRAS</t>
        </is>
      </c>
      <c r="C18" s="18" t="inlineStr">
        <is>
          <t>DOCTORADO EN FILOSOFÍA Y LETRAS</t>
        </is>
      </c>
      <c r="D18" s="18" t="inlineStr">
        <is>
          <t>Robles Delgado, Alberto</t>
        </is>
      </c>
      <c r="E18" s="18" t="inlineStr">
        <is>
          <t>Épica y barbarie en la pantalla: Representación de la cultura vikinga a través de las ficciones del cine y la televisión</t>
        </is>
      </c>
      <c r="F18" s="18" t="inlineStr">
        <is>
          <t>21/09/2023</t>
        </is>
      </c>
      <c r="G18" s="18" t="inlineStr">
        <is>
          <t xml:space="preserve">21436046T </t>
        </is>
      </c>
      <c r="H18" s="18" t="inlineStr">
        <is>
          <t>Codirector de tesis</t>
        </is>
      </c>
      <c r="I18" s="18" t="inlineStr">
        <is>
          <t>B174</t>
        </is>
      </c>
      <c r="J18" s="18" t="inlineStr">
        <is>
          <t>HISTORIA MEDIEVAL, HISTORIA MODERNA Y CIENCIAS Y TÉCNICAS HISTORIOGRÀFICAS</t>
        </is>
      </c>
      <c r="K18" s="18" t="n">
        <v>0.5</v>
      </c>
      <c r="L18" s="18" t="inlineStr">
        <is>
          <t>B174</t>
        </is>
      </c>
      <c r="M18" s="18" t="n">
        <v>2022</v>
      </c>
      <c r="N18" s="18" t="inlineStr">
        <is>
          <t>10.23</t>
        </is>
      </c>
      <c r="O18" s="18" t="n">
        <v>10</v>
      </c>
      <c r="P18" s="18" t="inlineStr">
        <is>
          <t>10.25</t>
        </is>
      </c>
      <c r="Q18" s="18" t="n">
        <v>25</v>
      </c>
      <c r="R18" s="18" t="n">
        <v>65</v>
      </c>
      <c r="S18" s="18" t="n">
        <v>0.325</v>
      </c>
      <c r="T18" s="18" t="n">
        <v>0.05</v>
      </c>
      <c r="U18" s="18" t="n">
        <v>0.125</v>
      </c>
    </row>
    <row r="19">
      <c r="A19" s="18" t="inlineStr">
        <is>
          <t>U023</t>
        </is>
      </c>
      <c r="B19" s="18" t="inlineStr">
        <is>
          <t>ADM. FACULTAD DE FILOSOFIA Y LETRAS</t>
        </is>
      </c>
      <c r="C19" s="18" t="inlineStr">
        <is>
          <t>DOCTORADO EN FILOSOFÍA Y LETRAS</t>
        </is>
      </c>
      <c r="D19" s="18" t="inlineStr">
        <is>
          <t>Berná Ortigosa, Antonio Manuel</t>
        </is>
      </c>
      <c r="E19" s="18" t="inlineStr">
        <is>
          <t>Prensa y desastres en el Mercurio Histórico Político-Mercurio de España (1738-1830)</t>
        </is>
      </c>
      <c r="F19" s="18" t="inlineStr">
        <is>
          <t>16/01/2024</t>
        </is>
      </c>
      <c r="G19" s="18" t="inlineStr">
        <is>
          <t>21395777G</t>
        </is>
      </c>
      <c r="H19" s="18" t="inlineStr">
        <is>
          <t>Codirector de tesis</t>
        </is>
      </c>
      <c r="I19" s="18" t="inlineStr">
        <is>
          <t>B174</t>
        </is>
      </c>
      <c r="J19" s="18" t="inlineStr">
        <is>
          <t>HISTORIA MEDIEVAL, HISTORIA MODERNA Y CIENCIAS Y TÉCNICAS HISTORIOGRÀFICAS</t>
        </is>
      </c>
      <c r="K19" s="18" t="n">
        <v>0.5</v>
      </c>
      <c r="L19" s="18" t="inlineStr">
        <is>
          <t>B174</t>
        </is>
      </c>
      <c r="M19" s="18" t="n">
        <v>2023</v>
      </c>
      <c r="N19" s="18" t="inlineStr"/>
      <c r="O19" s="18" t="inlineStr"/>
      <c r="P19" s="18" t="inlineStr"/>
      <c r="Q19" s="18" t="inlineStr"/>
      <c r="R19" s="18" t="n">
        <v>100</v>
      </c>
      <c r="S19" s="18" t="n">
        <v>0.5</v>
      </c>
      <c r="T19" s="18" t="n">
        <v>0</v>
      </c>
      <c r="U19" s="18" t="n">
        <v>0</v>
      </c>
      <c r="V19" s="6" t="inlineStr">
        <is>
          <t>S</t>
        </is>
      </c>
    </row>
    <row r="20">
      <c r="A20" s="18" t="inlineStr">
        <is>
          <t>U023</t>
        </is>
      </c>
      <c r="B20" s="18" t="inlineStr">
        <is>
          <t>ADM. FACULTAD DE FILOSOFIA Y LETRAS</t>
        </is>
      </c>
      <c r="C20" s="18" t="inlineStr">
        <is>
          <t>DOCTORADO EN FILOSOFÍA Y LETRAS</t>
        </is>
      </c>
      <c r="D20" s="18" t="inlineStr">
        <is>
          <t>Lozano Díaz, José Daniel</t>
        </is>
      </c>
      <c r="E20" s="18" t="inlineStr">
        <is>
          <t>La percepción del clima, la naturaleza y los desastres a partir de la Gazeta de Madrid durante el siglo XVIII</t>
        </is>
      </c>
      <c r="F20" s="18" t="inlineStr">
        <is>
          <t>02/07/2024</t>
        </is>
      </c>
      <c r="G20" s="18" t="inlineStr">
        <is>
          <t>74171221Q</t>
        </is>
      </c>
      <c r="H20" s="18" t="inlineStr">
        <is>
          <t>Director de tesis</t>
        </is>
      </c>
      <c r="I20" s="18" t="inlineStr">
        <is>
          <t>B174</t>
        </is>
      </c>
      <c r="J20" s="18" t="inlineStr">
        <is>
          <t>HISTORIA MEDIEVAL, HISTORIA MODERNA Y CIENCIAS Y TÉCNICAS HISTORIOGRÀFICAS</t>
        </is>
      </c>
      <c r="K20" s="18" t="n">
        <v>1</v>
      </c>
      <c r="L20" s="18" t="inlineStr">
        <is>
          <t>B174</t>
        </is>
      </c>
      <c r="M20" s="18" t="n">
        <v>2023</v>
      </c>
      <c r="N20" s="18" t="inlineStr"/>
      <c r="O20" s="18" t="inlineStr"/>
      <c r="P20" s="18" t="inlineStr"/>
      <c r="Q20" s="18" t="inlineStr"/>
      <c r="R20" s="18" t="n">
        <v>100</v>
      </c>
      <c r="S20" s="18" t="n">
        <v>1</v>
      </c>
      <c r="T20" s="18" t="n">
        <v>0</v>
      </c>
      <c r="U20" s="18" t="n">
        <v>0</v>
      </c>
      <c r="V20" s="6" t="inlineStr">
        <is>
          <t>S</t>
        </is>
      </c>
    </row>
    <row r="21">
      <c r="A21" s="18" t="inlineStr">
        <is>
          <t>U075</t>
        </is>
      </c>
      <c r="B21" s="18" t="inlineStr">
        <is>
          <t>I.U.INVESTIGACIÓN DE ESTUDIOS SOCIALES DE AMÉRICA LATINA (10.25)</t>
        </is>
      </c>
      <c r="C21" s="18" t="inlineStr">
        <is>
          <t>DOCTORADO EN HUMANIDADES Y ESTUDIOS SOCIALES DE AMÉRICA LATINA</t>
        </is>
      </c>
      <c r="D21" s="18" t="inlineStr">
        <is>
          <t>Parada Giraldo, Daryeny</t>
        </is>
      </c>
      <c r="E21" s="18" t="inlineStr">
        <is>
          <t>CARTOGRAFÍA TEATRAL-CULTURAL A PARTIR DEL ANÁLISIS DE LA DANZA RITUAL</t>
        </is>
      </c>
      <c r="F21" s="18" t="inlineStr">
        <is>
          <t>14/11/2023</t>
        </is>
      </c>
      <c r="G21" s="18" t="inlineStr">
        <is>
          <t>22126836P</t>
        </is>
      </c>
      <c r="H21" s="18" t="inlineStr">
        <is>
          <t>Director de tesis</t>
        </is>
      </c>
      <c r="I21" s="18" t="inlineStr">
        <is>
          <t>B174</t>
        </is>
      </c>
      <c r="J21" s="18" t="inlineStr">
        <is>
          <t>HISTORIA MEDIEVAL, HISTORIA MODERNA Y CIENCIAS Y TÉCNICAS HISTORIOGRÀFICAS</t>
        </is>
      </c>
      <c r="K21" s="18" t="n">
        <v>1</v>
      </c>
      <c r="L21" s="18" t="inlineStr">
        <is>
          <t>B174</t>
        </is>
      </c>
      <c r="M21" s="18" t="n">
        <v>2023</v>
      </c>
      <c r="N21" s="18" t="inlineStr">
        <is>
          <t>10.25</t>
        </is>
      </c>
      <c r="O21" s="18" t="inlineStr">
        <is>
          <t>50</t>
        </is>
      </c>
      <c r="P21" s="18" t="inlineStr"/>
      <c r="Q21" s="18" t="inlineStr"/>
      <c r="R21" s="18" t="n">
        <v>50</v>
      </c>
      <c r="S21" s="18" t="n">
        <v>0.5</v>
      </c>
      <c r="T21" s="18" t="n">
        <v>0.5</v>
      </c>
      <c r="U21" s="18" t="n">
        <v>0</v>
      </c>
      <c r="V21" s="6" t="inlineStr">
        <is>
          <t>S</t>
        </is>
      </c>
    </row>
    <row r="22">
      <c r="A22" s="18" t="inlineStr">
        <is>
          <t>U023</t>
        </is>
      </c>
      <c r="B22" s="18" t="inlineStr">
        <is>
          <t>Administración Facultad de Filosofía y Letras</t>
        </is>
      </c>
      <c r="C22" s="18" t="inlineStr">
        <is>
          <t>DOCTORADO EN FILOSOFÍA Y LETRAS</t>
        </is>
      </c>
      <c r="D22" s="18" t="inlineStr">
        <is>
          <t>Angelino Pardo, Maria Alejandra</t>
        </is>
      </c>
      <c r="E22" s="18" t="inlineStr">
        <is>
          <t>Leonor Francès ante el Tribunal de la Inquisición de Valencia. La biografía de una conversa valenciana entre finales del siglo XV y principios del siglo XVI</t>
        </is>
      </c>
      <c r="F22" s="18" t="inlineStr">
        <is>
          <t>24/01/2025</t>
        </is>
      </c>
      <c r="G22" s="18" t="inlineStr">
        <is>
          <t>21436046T</t>
        </is>
      </c>
      <c r="H22" s="18" t="inlineStr">
        <is>
          <t>Director de tesis</t>
        </is>
      </c>
      <c r="I22" s="18" t="inlineStr">
        <is>
          <t>B174</t>
        </is>
      </c>
      <c r="J22" s="18" t="inlineStr">
        <is>
          <t>Historia Medieval, Historia Moderna y Ciencias y Técnicas Historiográficas</t>
        </is>
      </c>
      <c r="K22" s="18" t="n">
        <v>1</v>
      </c>
      <c r="L22" s="18" t="inlineStr">
        <is>
          <t>B174</t>
        </is>
      </c>
      <c r="M22" s="18" t="n">
        <v>2024</v>
      </c>
      <c r="N22" s="18" t="inlineStr">
        <is>
          <t>10.25</t>
        </is>
      </c>
      <c r="O22" s="18" t="inlineStr">
        <is>
          <t>25</t>
        </is>
      </c>
      <c r="P22" s="18" t="inlineStr">
        <is>
          <t>10.23</t>
        </is>
      </c>
      <c r="Q22" s="18" t="inlineStr">
        <is>
          <t>10</t>
        </is>
      </c>
      <c r="R22" s="18" t="n">
        <v>65</v>
      </c>
      <c r="S22" s="18" t="n">
        <v>0.65</v>
      </c>
      <c r="T22" s="18" t="n">
        <v>0.25</v>
      </c>
      <c r="U22" s="18" t="n">
        <v>0.1</v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2" t="n"/>
      <c r="P23" s="21" t="n"/>
      <c r="Q23" s="22" t="n"/>
      <c r="R23" s="21" t="n"/>
      <c r="S23" s="27">
        <f>SUM(S2:S22)</f>
        <v/>
      </c>
      <c r="T23" s="21" t="n"/>
      <c r="U23" s="21" t="n"/>
    </row>
  </sheetData>
  <autoFilter ref="A1:U1">
    <sortState ref="A2:T1885">
      <sortCondition ref="K2:K1885"/>
      <sortCondition ref="L2:L1885"/>
      <sortCondition ref="D2:D188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zoomScaleNormal="100" workbookViewId="0">
      <selection activeCell="E20" sqref="E20"/>
    </sheetView>
  </sheetViews>
  <sheetFormatPr baseColWidth="10" defaultColWidth="11.44140625" defaultRowHeight="13.2"/>
  <cols>
    <col width="10.44140625" bestFit="1" customWidth="1" style="11" min="1" max="1"/>
    <col width="56.5546875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21395777G</t>
        </is>
      </c>
      <c r="B2" s="16" t="inlineStr">
        <is>
          <t>Alberola Romá, Armando</t>
        </is>
      </c>
      <c r="C2" s="16" t="n">
        <v>6</v>
      </c>
      <c r="D2" s="16" t="n"/>
      <c r="E2" s="16" t="n"/>
      <c r="F2" s="16" t="n"/>
      <c r="G2" s="16" t="n"/>
      <c r="H2" s="16" t="n"/>
      <c r="I2" s="16" t="n">
        <v>1</v>
      </c>
      <c r="J2" s="16" t="n">
        <v>1</v>
      </c>
      <c r="K2" s="16" t="inlineStr">
        <is>
          <t>B174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 ht="14.4" customHeight="1">
      <c r="A3" s="16" t="inlineStr">
        <is>
          <t>21413644T</t>
        </is>
      </c>
      <c r="B3" s="16" t="inlineStr">
        <is>
          <t>Bernabé Gil, David</t>
        </is>
      </c>
      <c r="C3" s="16" t="n">
        <v>6</v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B174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6" t="inlineStr">
        <is>
          <t>21436046T</t>
        </is>
      </c>
      <c r="B4" s="16" t="inlineStr">
        <is>
          <t>Barrio Barrio, Juan Antonio</t>
        </is>
      </c>
      <c r="C4" s="16" t="inlineStr">
        <is>
          <t>FUNCIONARIO</t>
        </is>
      </c>
      <c r="D4" s="16" t="n"/>
      <c r="E4" s="16" t="n"/>
      <c r="F4" s="16" t="n"/>
      <c r="G4" s="16" t="n">
        <v>1</v>
      </c>
      <c r="H4" s="16" t="n"/>
      <c r="I4" s="16" t="n"/>
      <c r="J4" s="16" t="n">
        <v>1</v>
      </c>
      <c r="K4" s="16" t="inlineStr">
        <is>
          <t>B174</t>
        </is>
      </c>
      <c r="L4" s="17" t="inlineStr">
        <is>
          <t>10.25</t>
        </is>
      </c>
      <c r="M4" s="17" t="inlineStr">
        <is>
          <t>25</t>
        </is>
      </c>
      <c r="N4" s="17" t="inlineStr">
        <is>
          <t>10.23</t>
        </is>
      </c>
      <c r="O4" s="17" t="inlineStr">
        <is>
          <t>10</t>
        </is>
      </c>
      <c r="P4" s="17" t="n">
        <v>65</v>
      </c>
      <c r="Q4" s="17" t="n">
        <v>0.25</v>
      </c>
      <c r="R4" s="17" t="n">
        <v>0.1</v>
      </c>
      <c r="S4" s="17" t="n">
        <v>0.65</v>
      </c>
    </row>
    <row r="5" ht="14.4" customHeight="1">
      <c r="A5" s="16" t="inlineStr">
        <is>
          <t>21491656L</t>
        </is>
      </c>
      <c r="B5" s="16" t="inlineStr">
        <is>
          <t>Carrasco Rodríguez, Antonio</t>
        </is>
      </c>
      <c r="C5" s="16" t="inlineStr">
        <is>
          <t>NO FUNCIONARIO</t>
        </is>
      </c>
      <c r="D5" s="16" t="n"/>
      <c r="E5" s="16" t="n"/>
      <c r="F5" s="16" t="n"/>
      <c r="G5" s="16" t="n"/>
      <c r="H5" s="16" t="n">
        <v>1</v>
      </c>
      <c r="I5" s="16" t="n"/>
      <c r="J5" s="16" t="n">
        <v>1</v>
      </c>
      <c r="K5" s="16" t="inlineStr">
        <is>
          <t>B174</t>
        </is>
      </c>
      <c r="L5" s="17" t="inlineStr">
        <is>
          <t>10.23</t>
        </is>
      </c>
      <c r="M5" s="17" t="inlineStr">
        <is>
          <t>20</t>
        </is>
      </c>
      <c r="N5" s="17" t="inlineStr"/>
      <c r="O5" s="17" t="inlineStr"/>
      <c r="P5" s="17" t="n">
        <v>80</v>
      </c>
      <c r="Q5" s="17" t="n">
        <v>0.2</v>
      </c>
      <c r="R5" s="17" t="n">
        <v>0</v>
      </c>
      <c r="S5" s="17" t="n">
        <v>0.8</v>
      </c>
    </row>
    <row r="6" ht="14.4" customHeight="1">
      <c r="A6" s="16" t="inlineStr">
        <is>
          <t>21978192J</t>
        </is>
      </c>
      <c r="B6" s="16" t="inlineStr">
        <is>
          <t>Irles Vicente, María del Carmen</t>
        </is>
      </c>
      <c r="C6" s="16" t="inlineStr">
        <is>
          <t>FUNCIONARIO</t>
        </is>
      </c>
      <c r="D6" s="16" t="n">
        <v>1</v>
      </c>
      <c r="E6" s="16" t="n"/>
      <c r="F6" s="16" t="n"/>
      <c r="G6" s="16" t="n"/>
      <c r="H6" s="16" t="n"/>
      <c r="I6" s="16" t="n"/>
      <c r="J6" s="16" t="n">
        <v>1</v>
      </c>
      <c r="K6" s="16" t="inlineStr">
        <is>
          <t>B174</t>
        </is>
      </c>
      <c r="L6" s="17" t="n">
        <v>0</v>
      </c>
      <c r="M6" s="17" t="n">
        <v>0</v>
      </c>
      <c r="N6" s="17" t="inlineStr"/>
      <c r="O6" s="17" t="inlineStr"/>
      <c r="P6" s="17" t="n">
        <v>100</v>
      </c>
      <c r="Q6" s="17" t="n">
        <v>0</v>
      </c>
      <c r="R6" s="17" t="n">
        <v>0</v>
      </c>
      <c r="S6" s="17" t="n">
        <v>1</v>
      </c>
    </row>
    <row r="7" ht="14.4" customHeight="1">
      <c r="A7" s="16" t="inlineStr">
        <is>
          <t>22126836P</t>
        </is>
      </c>
      <c r="B7" s="16" t="inlineStr">
        <is>
          <t>Cabezuelo Pliego, José Vicente</t>
        </is>
      </c>
      <c r="C7" s="16" t="inlineStr">
        <is>
          <t>FUNCIONARIO</t>
        </is>
      </c>
      <c r="D7" s="16" t="n">
        <v>1</v>
      </c>
      <c r="E7" s="16" t="n"/>
      <c r="F7" s="16" t="n"/>
      <c r="G7" s="16" t="n"/>
      <c r="H7" s="16" t="n"/>
      <c r="I7" s="16" t="n"/>
      <c r="J7" s="16" t="n">
        <v>1</v>
      </c>
      <c r="K7" s="16" t="inlineStr">
        <is>
          <t>B174</t>
        </is>
      </c>
      <c r="L7" s="17" t="inlineStr">
        <is>
          <t>10.25</t>
        </is>
      </c>
      <c r="M7" s="17" t="inlineStr">
        <is>
          <t>50</t>
        </is>
      </c>
      <c r="N7" s="17" t="inlineStr"/>
      <c r="O7" s="17" t="inlineStr"/>
      <c r="P7" s="17" t="n">
        <v>50</v>
      </c>
      <c r="Q7" s="17" t="n">
        <v>0.5</v>
      </c>
      <c r="R7" s="17" t="n">
        <v>0</v>
      </c>
      <c r="S7" s="17" t="n">
        <v>0.5</v>
      </c>
    </row>
    <row r="8" ht="14.4" customHeight="1">
      <c r="A8" s="16" t="inlineStr">
        <is>
          <t>44765640G</t>
        </is>
      </c>
      <c r="B8" s="16" t="inlineStr">
        <is>
          <t>Soler Milla, Juan Leonardo</t>
        </is>
      </c>
      <c r="C8" s="16" t="inlineStr">
        <is>
          <t>NO FUNCIONARIO</t>
        </is>
      </c>
      <c r="D8" s="16" t="n"/>
      <c r="E8" s="16" t="n"/>
      <c r="F8" s="16" t="n">
        <v>1</v>
      </c>
      <c r="G8" s="16" t="n"/>
      <c r="H8" s="16" t="n"/>
      <c r="I8" s="16" t="n"/>
      <c r="J8" s="16" t="n">
        <v>1</v>
      </c>
      <c r="K8" s="16" t="inlineStr">
        <is>
          <t>B174</t>
        </is>
      </c>
      <c r="L8" s="17" t="inlineStr">
        <is>
          <t>10.25</t>
        </is>
      </c>
      <c r="M8" s="17" t="inlineStr">
        <is>
          <t>30</t>
        </is>
      </c>
      <c r="N8" s="17" t="inlineStr"/>
      <c r="O8" s="17" t="inlineStr"/>
      <c r="P8" s="17" t="n">
        <v>70</v>
      </c>
      <c r="Q8" s="17" t="n">
        <v>0.3</v>
      </c>
      <c r="R8" s="17" t="n">
        <v>0</v>
      </c>
      <c r="S8" s="17" t="n">
        <v>0.7</v>
      </c>
    </row>
    <row r="9" ht="14.4" customHeight="1">
      <c r="A9" s="16" t="inlineStr">
        <is>
          <t>48315462Y</t>
        </is>
      </c>
      <c r="B9" s="16" t="inlineStr">
        <is>
          <t>García Arenas, María del Mar</t>
        </is>
      </c>
      <c r="C9" s="16" t="inlineStr">
        <is>
          <t>NO FUNCIONARIO</t>
        </is>
      </c>
      <c r="D9" s="16" t="n"/>
      <c r="E9" s="16" t="n"/>
      <c r="F9" s="16" t="n"/>
      <c r="G9" s="16" t="n"/>
      <c r="H9" s="16" t="n">
        <v>1</v>
      </c>
      <c r="I9" s="16" t="n">
        <v>1</v>
      </c>
      <c r="J9" s="16" t="n">
        <v>2</v>
      </c>
      <c r="K9" s="16" t="inlineStr">
        <is>
          <t>B174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2</v>
      </c>
    </row>
    <row r="10" ht="14.4" customHeight="1">
      <c r="A10" s="16" t="inlineStr">
        <is>
          <t>50283950Q</t>
        </is>
      </c>
      <c r="B10" s="16" t="inlineStr">
        <is>
          <t>Fernández Arrillaga, María Inmaculada Concepcion</t>
        </is>
      </c>
      <c r="C10" s="16" t="inlineStr">
        <is>
          <t>FUNCIONARIO</t>
        </is>
      </c>
      <c r="D10" s="16" t="n"/>
      <c r="E10" s="16" t="n"/>
      <c r="F10" s="16" t="n"/>
      <c r="G10" s="16" t="n">
        <v>1</v>
      </c>
      <c r="H10" s="16" t="n"/>
      <c r="I10" s="16" t="n"/>
      <c r="J10" s="16" t="n">
        <v>1</v>
      </c>
      <c r="K10" s="16" t="inlineStr">
        <is>
          <t>B174</t>
        </is>
      </c>
      <c r="L10" s="17" t="inlineStr">
        <is>
          <t>10.23</t>
        </is>
      </c>
      <c r="M10" s="17" t="inlineStr">
        <is>
          <t>60</t>
        </is>
      </c>
      <c r="N10" s="17" t="inlineStr"/>
      <c r="O10" s="17" t="inlineStr"/>
      <c r="P10" s="17" t="n">
        <v>40</v>
      </c>
      <c r="Q10" s="17" t="n">
        <v>0.6</v>
      </c>
      <c r="R10" s="17" t="n">
        <v>0</v>
      </c>
      <c r="S10" s="17" t="n">
        <v>0.4</v>
      </c>
    </row>
    <row r="11" ht="14.4" customHeight="1">
      <c r="A11" s="16" t="inlineStr">
        <is>
          <t>74009417V</t>
        </is>
      </c>
      <c r="B11" s="16" t="inlineStr">
        <is>
          <t>García Torres, Adrián</t>
        </is>
      </c>
      <c r="C11" s="23" t="inlineStr">
        <is>
          <t>NO FUNCIONARIO</t>
        </is>
      </c>
      <c r="D11" s="16" t="n"/>
      <c r="E11" s="16" t="n"/>
      <c r="F11" s="16" t="n"/>
      <c r="G11" s="16" t="n"/>
      <c r="H11" s="16" t="n"/>
      <c r="I11" s="16" t="n">
        <v>1</v>
      </c>
      <c r="J11" s="16" t="n">
        <v>1</v>
      </c>
      <c r="K11" s="16" t="inlineStr">
        <is>
          <t>B174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4.4" customHeight="1">
      <c r="A12" s="16" t="inlineStr">
        <is>
          <t>74171221Q</t>
        </is>
      </c>
      <c r="B12" s="16" t="inlineStr">
        <is>
          <t>Mas Galvañ, Cayetano Enrique</t>
        </is>
      </c>
      <c r="C12" s="23" t="inlineStr">
        <is>
          <t>FUNCIONARIO</t>
        </is>
      </c>
      <c r="D12" s="16" t="n"/>
      <c r="E12" s="16" t="n"/>
      <c r="F12" s="16" t="n"/>
      <c r="G12" s="16" t="n">
        <v>1</v>
      </c>
      <c r="H12" s="16" t="n"/>
      <c r="I12" s="16" t="n"/>
      <c r="J12" s="16" t="n">
        <v>1</v>
      </c>
      <c r="K12" s="16" t="inlineStr">
        <is>
          <t>B174</t>
        </is>
      </c>
      <c r="L12" s="17" t="n">
        <v>0</v>
      </c>
      <c r="M12" s="17" t="n">
        <v>0</v>
      </c>
      <c r="N12" s="17" t="inlineStr"/>
      <c r="O12" s="17" t="inlineStr"/>
      <c r="P12" s="17" t="n">
        <v>100</v>
      </c>
      <c r="Q12" s="17" t="n">
        <v>0</v>
      </c>
      <c r="R12" s="17" t="n">
        <v>0</v>
      </c>
      <c r="S12" s="17" t="n">
        <v>1</v>
      </c>
    </row>
    <row r="13" ht="14.4" customHeight="1">
      <c r="A13" s="24" t="n"/>
      <c r="B13" s="24" t="n"/>
      <c r="C13" s="25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6">
        <f>SUM(S2:S12)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B1" sqref="B1"/>
    </sheetView>
  </sheetViews>
  <sheetFormatPr baseColWidth="10" defaultRowHeight="14.4"/>
  <cols>
    <col width="35.88671875" bestFit="1" customWidth="1" min="2" max="2"/>
  </cols>
  <sheetData>
    <row r="1">
      <c r="B1" t="inlineStr">
        <is>
          <t>sin ingresos investigación 2023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16.6640625" customWidth="1" min="1" max="1"/>
    <col width="53.44140625" customWidth="1" min="2" max="2"/>
    <col width="13" customWidth="1" min="3" max="3"/>
  </cols>
  <sheetData>
    <row r="1">
      <c r="A1" s="32" t="inlineStr">
        <is>
          <t>Org. aplic.</t>
        </is>
      </c>
      <c r="B1" s="32" t="inlineStr">
        <is>
          <t>Descripción justificante</t>
        </is>
      </c>
      <c r="C1" s="38" t="inlineStr">
        <is>
          <t>Imp. aplic.</t>
        </is>
      </c>
    </row>
    <row r="2">
      <c r="A2" s="30" t="inlineStr">
        <is>
          <t>30.30.6C.00.03</t>
        </is>
      </c>
      <c r="B2" s="30" t="inlineStr">
        <is>
          <t>Transcripción de protocolos notariales medievales de Castalla en Archivo Mpal. de Jijona. Protocolo de Joan Pérez (1460-1461). Un volumen.</t>
        </is>
      </c>
      <c r="C2" s="39" t="n">
        <v>880</v>
      </c>
    </row>
    <row r="3">
      <c r="A3" s="31" t="inlineStr">
        <is>
          <t>30.30.6C.00.04</t>
        </is>
      </c>
      <c r="B3" s="31" t="inlineStr">
        <is>
          <t>Transcripción de documentación medieval. Años 1456, 1457 y 1458. Expte.: 2010/2024</t>
        </is>
      </c>
      <c r="C3" s="40" t="n">
        <v>880</v>
      </c>
    </row>
    <row r="4">
      <c r="A4" s="34" t="inlineStr">
        <is>
          <t>30.30.6P.00.11</t>
        </is>
      </c>
      <c r="B4" s="34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4" s="41" t="n">
        <v>4100</v>
      </c>
    </row>
    <row r="5">
      <c r="A5" s="28" t="inlineStr">
        <is>
          <t>Total</t>
        </is>
      </c>
      <c r="B5" s="28" t="n"/>
      <c r="C5" s="42">
        <f>SUBTOTAL(109,Tabla2[Imp. aplic.])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6"/>
  <sheetViews>
    <sheetView tabSelected="1" workbookViewId="0">
      <selection activeCell="B12" sqref="B12"/>
    </sheetView>
  </sheetViews>
  <sheetFormatPr baseColWidth="10" defaultRowHeight="14.4"/>
  <cols>
    <col width="35.5546875" customWidth="1" min="2" max="2"/>
  </cols>
  <sheetData>
    <row r="2">
      <c r="B2" t="inlineStr">
        <is>
          <t>sin ingresos investigación 2025</t>
        </is>
      </c>
    </row>
    <row r="6">
      <c r="B6" s="36" t="inlineStr">
        <is>
          <t>Total ingresos investigación 2023-25</t>
        </is>
      </c>
      <c r="C6" s="43">
        <f>Tabla2[[#Totals],[Imp.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dghum@ua.es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2026-05-28T21:59:14Z</dcterms:modified>
  <cp:lastModifiedBy>MARIA TERESA PUJALTE DEVIS</cp:lastModifiedBy>
</cp:coreProperties>
</file>