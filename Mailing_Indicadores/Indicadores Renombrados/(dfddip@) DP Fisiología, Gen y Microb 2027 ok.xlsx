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name="Cr.23" sheetId="1" state="visible" r:id="rId1"/>
    <sheet name="Cr.24" sheetId="2" state="visible" r:id="rId2"/>
    <sheet name="Cr. 25" sheetId="3" state="visible" r:id="rId3"/>
    <sheet name="Tesis" sheetId="4" state="visible" r:id="rId4"/>
    <sheet name="Sexenios" sheetId="5" state="visible" r:id="rId5"/>
    <sheet name="Ingresos investigación 2023" sheetId="6" state="visible" r:id="rId6"/>
    <sheet name="Ingresos investigación 2024" sheetId="7" state="visible" r:id="rId7"/>
    <sheet name="Ingresos investigación 2025" sheetId="8" state="visible" r:id="rId8"/>
    <sheet name="Correo" sheetId="9" state="veryHidden" r:id="rId9"/>
  </sheets>
  <definedNames>
    <definedName name="_xlnm._FilterDatabase" localSheetId="3" hidden="1">'Tesis'!$A$1:$U$1</definedName>
    <definedName name="_xlnm.Print_Titles" localSheetId="3">'Tesis'!$1:$1,'Tesis'!$D:$D</definedName>
    <definedName name="_xlnm.Print_Titles" localSheetId="4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_-* #,##0.00_-;\-* #,##0.00_-;_-* &quot;-&quot;??_-;_-@_-"/>
    <numFmt numFmtId="167" formatCode="_-* #,##0.00\ _€_-;\-* #,##0.00\ _€_-;_-* &quot;-&quot;??\ _€_-;_-@_-"/>
  </numFmts>
  <fonts count="24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rgb="FF000000"/>
      <sz val="8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/>
      <bottom style="medium">
        <color rgb="FF878787"/>
      </bottom>
      <diagonal/>
    </border>
    <border>
      <left/>
      <right/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 style="medium">
        <color rgb="FF878787"/>
      </right>
      <top/>
      <bottom/>
      <diagonal/>
    </border>
    <border>
      <left style="thin">
        <color rgb="FF878787"/>
      </left>
      <right style="medium">
        <color rgb="FF878787"/>
      </right>
      <top style="medium">
        <color rgb="FF878787"/>
      </top>
      <bottom style="thin">
        <color rgb="FF878787"/>
      </bottom>
      <diagonal/>
    </border>
    <border>
      <left/>
      <right style="medium">
        <color rgb="FF878787"/>
      </right>
      <top/>
      <bottom style="medium">
        <color rgb="FF878787"/>
      </bottom>
      <diagonal/>
    </border>
    <border>
      <left style="medium">
        <color rgb="FF878787"/>
      </left>
      <right/>
      <top/>
      <bottom style="medium">
        <color rgb="FF878787"/>
      </bottom>
      <diagonal/>
    </border>
    <border>
      <left/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/>
      <top style="medium">
        <color rgb="FF878787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878787"/>
      </left>
      <right/>
      <top/>
      <bottom/>
      <diagonal/>
    </border>
    <border>
      <left/>
      <right style="medium">
        <color rgb="FF878787"/>
      </right>
      <top/>
      <bottom/>
      <diagonal/>
    </border>
    <border>
      <left/>
      <right/>
      <top/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 style="thin">
        <color rgb="FF878787"/>
      </left>
      <right style="medium">
        <color rgb="FF878787"/>
      </right>
      <top style="medium">
        <color rgb="FF878787"/>
      </top>
      <bottom/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10">
    <xf numFmtId="0" fontId="1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10" fillId="0" borderId="0"/>
    <xf numFmtId="0" fontId="10" fillId="0" borderId="0"/>
    <xf numFmtId="43" fontId="10" fillId="0" borderId="0"/>
    <xf numFmtId="0" fontId="10" fillId="0" borderId="0"/>
  </cellStyleXfs>
  <cellXfs count="120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10" fillId="0" borderId="0" pivotButton="0" quotePrefix="0" xfId="6"/>
    <xf numFmtId="0" fontId="12" fillId="7" borderId="4" applyAlignment="1" pivotButton="0" quotePrefix="0" xfId="6">
      <alignment horizontal="left" vertical="center"/>
    </xf>
    <xf numFmtId="0" fontId="12" fillId="7" borderId="2" applyAlignment="1" pivotButton="0" quotePrefix="0" xfId="6">
      <alignment horizontal="left" vertical="center"/>
    </xf>
    <xf numFmtId="0" fontId="12" fillId="7" borderId="5" applyAlignment="1" pivotButton="0" quotePrefix="0" xfId="6">
      <alignment horizontal="left" vertical="center"/>
    </xf>
    <xf numFmtId="0" fontId="12" fillId="7" borderId="7" applyAlignment="1" pivotButton="0" quotePrefix="0" xfId="6">
      <alignment horizontal="left" vertical="center"/>
    </xf>
    <xf numFmtId="0" fontId="12" fillId="7" borderId="8" applyAlignment="1" pivotButton="0" quotePrefix="0" xfId="6">
      <alignment horizontal="left" vertical="center"/>
    </xf>
    <xf numFmtId="0" fontId="11" fillId="8" borderId="10" pivotButton="0" quotePrefix="0" xfId="6"/>
    <xf numFmtId="0" fontId="11" fillId="8" borderId="11" pivotButton="0" quotePrefix="0" xfId="6"/>
    <xf numFmtId="0" fontId="11" fillId="8" borderId="12" pivotButton="0" quotePrefix="0" xfId="6"/>
    <xf numFmtId="0" fontId="11" fillId="8" borderId="13" pivotButton="0" quotePrefix="0" xfId="6"/>
    <xf numFmtId="0" fontId="14" fillId="0" borderId="0" pivotButton="0" quotePrefix="0" xfId="6"/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14" pivotButton="0" quotePrefix="0" xfId="1"/>
    <xf numFmtId="164" fontId="2" fillId="4" borderId="14" pivotButton="0" quotePrefix="0" xfId="1"/>
    <xf numFmtId="0" fontId="2" fillId="4" borderId="14" applyAlignment="1" pivotButton="0" quotePrefix="0" xfId="1">
      <alignment horizontal="right"/>
    </xf>
    <xf numFmtId="1" fontId="2" fillId="4" borderId="14" pivotButton="0" quotePrefix="0" xfId="1"/>
    <xf numFmtId="165" fontId="2" fillId="4" borderId="14" pivotButton="0" quotePrefix="0" xfId="1"/>
    <xf numFmtId="0" fontId="12" fillId="7" borderId="1" applyAlignment="1" pivotButton="0" quotePrefix="0" xfId="0">
      <alignment horizontal="left" vertical="center"/>
    </xf>
    <xf numFmtId="0" fontId="12" fillId="7" borderId="3" applyAlignment="1" pivotButton="0" quotePrefix="0" xfId="0">
      <alignment horizontal="left" vertical="center"/>
    </xf>
    <xf numFmtId="0" fontId="12" fillId="7" borderId="2" applyAlignment="1" pivotButton="0" quotePrefix="0" xfId="0">
      <alignment horizontal="left" vertical="center"/>
    </xf>
    <xf numFmtId="0" fontId="12" fillId="7" borderId="4" applyAlignment="1" pivotButton="0" quotePrefix="0" xfId="0">
      <alignment horizontal="left" vertical="center"/>
    </xf>
    <xf numFmtId="0" fontId="2" fillId="0" borderId="1" pivotButton="0" quotePrefix="0" xfId="1"/>
    <xf numFmtId="0" fontId="11" fillId="8" borderId="15" pivotButton="0" quotePrefix="0" xfId="6"/>
    <xf numFmtId="0" fontId="11" fillId="8" borderId="16" pivotButton="0" quotePrefix="0" xfId="6"/>
    <xf numFmtId="0" fontId="11" fillId="8" borderId="17" pivotButton="0" quotePrefix="0" xfId="6"/>
    <xf numFmtId="166" fontId="0" fillId="10" borderId="18" pivotButton="0" quotePrefix="0" xfId="8"/>
    <xf numFmtId="166" fontId="0" fillId="0" borderId="18" pivotButton="0" quotePrefix="0" xfId="8"/>
    <xf numFmtId="0" fontId="2" fillId="0" borderId="1" pivotButton="0" quotePrefix="0" xfId="0"/>
    <xf numFmtId="0" fontId="11" fillId="8" borderId="19" applyAlignment="1" pivotButton="0" quotePrefix="0" xfId="6">
      <alignment horizontal="right" vertical="top"/>
    </xf>
    <xf numFmtId="0" fontId="11" fillId="8" borderId="7" applyAlignment="1" pivotButton="0" quotePrefix="0" xfId="6">
      <alignment horizontal="center"/>
    </xf>
    <xf numFmtId="0" fontId="12" fillId="8" borderId="9" applyAlignment="1" pivotButton="0" quotePrefix="0" xfId="9">
      <alignment horizontal="right" vertical="top" wrapText="1"/>
    </xf>
    <xf numFmtId="0" fontId="11" fillId="8" borderId="4" applyAlignment="1" pivotButton="0" quotePrefix="0" xfId="9">
      <alignment horizontal="center" wrapText="1"/>
    </xf>
    <xf numFmtId="0" fontId="11" fillId="8" borderId="6" applyAlignment="1" pivotButton="0" quotePrefix="0" xfId="6">
      <alignment horizontal="center" wrapText="1"/>
    </xf>
    <xf numFmtId="0" fontId="11" fillId="8" borderId="3" applyAlignment="1" pivotButton="0" quotePrefix="0" xfId="6">
      <alignment horizontal="center" wrapText="1"/>
    </xf>
    <xf numFmtId="0" fontId="11" fillId="8" borderId="10" applyAlignment="1" pivotButton="0" quotePrefix="0" xfId="6">
      <alignment horizontal="right"/>
    </xf>
    <xf numFmtId="166" fontId="11" fillId="8" borderId="1" applyAlignment="1" pivotButton="0" quotePrefix="0" xfId="8">
      <alignment horizontal="right" vertical="top"/>
    </xf>
    <xf numFmtId="166" fontId="12" fillId="7" borderId="1" applyAlignment="1" pivotButton="0" quotePrefix="0" xfId="8">
      <alignment horizontal="right" vertical="center"/>
    </xf>
    <xf numFmtId="166" fontId="11" fillId="8" borderId="1" applyAlignment="1" pivotButton="0" quotePrefix="0" xfId="8">
      <alignment horizontal="right"/>
    </xf>
    <xf numFmtId="166" fontId="12" fillId="7" borderId="1" applyAlignment="1" pivotButton="0" quotePrefix="0" xfId="8">
      <alignment horizontal="right"/>
    </xf>
    <xf numFmtId="166" fontId="11" fillId="6" borderId="1" applyAlignment="1" pivotButton="0" quotePrefix="0" xfId="8">
      <alignment horizontal="right" vertical="center"/>
    </xf>
    <xf numFmtId="0" fontId="18" fillId="10" borderId="18" pivotButton="0" quotePrefix="0" xfId="0"/>
    <xf numFmtId="0" fontId="18" fillId="0" borderId="18" pivotButton="0" quotePrefix="0" xfId="0"/>
    <xf numFmtId="166" fontId="0" fillId="0" borderId="0" pivotButton="0" quotePrefix="0" xfId="0"/>
    <xf numFmtId="0" fontId="2" fillId="11" borderId="0" pivotButton="0" quotePrefix="0" xfId="1"/>
    <xf numFmtId="0" fontId="2" fillId="11" borderId="0" applyAlignment="1" pivotButton="0" quotePrefix="0" xfId="1">
      <alignment horizontal="right"/>
    </xf>
    <xf numFmtId="0" fontId="0" fillId="11" borderId="0" pivotButton="0" quotePrefix="0" xfId="0"/>
    <xf numFmtId="0" fontId="0" fillId="11" borderId="0" applyAlignment="1" pivotButton="0" quotePrefix="0" xfId="0">
      <alignment horizontal="left"/>
    </xf>
    <xf numFmtId="165" fontId="16" fillId="11" borderId="0" pivotButton="0" quotePrefix="0" xfId="0"/>
    <xf numFmtId="0" fontId="2" fillId="4" borderId="1" pivotButton="0" quotePrefix="0" xfId="1"/>
    <xf numFmtId="0" fontId="2" fillId="0" borderId="1" pivotButton="0" quotePrefix="0" xfId="1"/>
    <xf numFmtId="0" fontId="2" fillId="0" borderId="0" pivotButton="0" quotePrefix="0" xfId="0"/>
    <xf numFmtId="0" fontId="19" fillId="0" borderId="0" pivotButton="0" quotePrefix="0" xfId="0"/>
    <xf numFmtId="0" fontId="2" fillId="4" borderId="0" pivotButton="0" quotePrefix="0" xfId="1"/>
    <xf numFmtId="165" fontId="3" fillId="11" borderId="0" pivotButton="0" quotePrefix="0" xfId="1"/>
    <xf numFmtId="166" fontId="0" fillId="0" borderId="21" pivotButton="0" quotePrefix="0" xfId="8"/>
    <xf numFmtId="0" fontId="9" fillId="0" borderId="21" pivotButton="0" quotePrefix="0" xfId="0"/>
    <xf numFmtId="166" fontId="10" fillId="0" borderId="21" pivotButton="0" quotePrefix="0" xfId="0"/>
    <xf numFmtId="0" fontId="17" fillId="9" borderId="20" pivotButton="0" quotePrefix="0" xfId="0"/>
    <xf numFmtId="0" fontId="18" fillId="0" borderId="21" pivotButton="0" quotePrefix="0" xfId="0"/>
    <xf numFmtId="0" fontId="0" fillId="10" borderId="18" pivotButton="0" quotePrefix="0" xfId="0"/>
    <xf numFmtId="166" fontId="0" fillId="10" borderId="18" pivotButton="0" quotePrefix="0" xfId="8"/>
    <xf numFmtId="0" fontId="0" fillId="0" borderId="18" pivotButton="0" quotePrefix="0" xfId="0"/>
    <xf numFmtId="166" fontId="0" fillId="0" borderId="18" pivotButton="0" quotePrefix="0" xfId="8"/>
    <xf numFmtId="0" fontId="20" fillId="9" borderId="20" pivotButton="0" quotePrefix="0" xfId="0"/>
    <xf numFmtId="166" fontId="20" fillId="9" borderId="20" pivotButton="0" quotePrefix="0" xfId="8"/>
    <xf numFmtId="0" fontId="0" fillId="0" borderId="21" pivotButton="0" quotePrefix="0" xfId="0"/>
    <xf numFmtId="166" fontId="0" fillId="0" borderId="21" pivotButton="0" quotePrefix="0" xfId="8"/>
    <xf numFmtId="0" fontId="0" fillId="0" borderId="21" pivotButton="0" quotePrefix="0" xfId="0"/>
    <xf numFmtId="0" fontId="16" fillId="0" borderId="1" pivotButton="0" quotePrefix="0" xfId="0"/>
    <xf numFmtId="166" fontId="16" fillId="0" borderId="1" pivotButton="0" quotePrefix="0" xfId="8"/>
    <xf numFmtId="0" fontId="21" fillId="12" borderId="22" pivotButton="0" quotePrefix="0" xfId="0"/>
    <xf numFmtId="0" fontId="21" fillId="12" borderId="23" pivotButton="0" quotePrefix="0" xfId="0"/>
    <xf numFmtId="0" fontId="22" fillId="13" borderId="22" pivotButton="0" quotePrefix="0" xfId="0"/>
    <xf numFmtId="0" fontId="22" fillId="13" borderId="23" pivotButton="0" quotePrefix="0" xfId="0"/>
    <xf numFmtId="167" fontId="22" fillId="13" borderId="23" pivotButton="0" quotePrefix="0" xfId="8"/>
    <xf numFmtId="0" fontId="22" fillId="0" borderId="22" pivotButton="0" quotePrefix="0" xfId="0"/>
    <xf numFmtId="0" fontId="22" fillId="0" borderId="23" pivotButton="0" quotePrefix="0" xfId="0"/>
    <xf numFmtId="167" fontId="22" fillId="0" borderId="23" pivotButton="0" quotePrefix="0" xfId="8"/>
    <xf numFmtId="0" fontId="23" fillId="0" borderId="24" pivotButton="0" quotePrefix="0" xfId="0"/>
    <xf numFmtId="0" fontId="23" fillId="0" borderId="25" pivotButton="0" quotePrefix="0" xfId="0"/>
    <xf numFmtId="167" fontId="23" fillId="0" borderId="25" pivotButton="0" quotePrefix="0" xfId="8"/>
    <xf numFmtId="166" fontId="11" fillId="8" borderId="1" applyAlignment="1" pivotButton="0" quotePrefix="0" xfId="8">
      <alignment horizontal="right" vertical="top"/>
    </xf>
    <xf numFmtId="166" fontId="11" fillId="8" borderId="1" applyAlignment="1" pivotButton="0" quotePrefix="0" xfId="8">
      <alignment horizontal="right"/>
    </xf>
    <xf numFmtId="166" fontId="12" fillId="7" borderId="1" applyAlignment="1" pivotButton="0" quotePrefix="0" xfId="8">
      <alignment horizontal="right" vertical="center"/>
    </xf>
    <xf numFmtId="166" fontId="12" fillId="7" borderId="1" applyAlignment="1" pivotButton="0" quotePrefix="0" xfId="8">
      <alignment horizontal="right"/>
    </xf>
    <xf numFmtId="166" fontId="11" fillId="6" borderId="1" applyAlignment="1" pivotButton="0" quotePrefix="0" xfId="8">
      <alignment horizontal="right" vertical="center"/>
    </xf>
    <xf numFmtId="164" fontId="2" fillId="4" borderId="14" pivotButton="0" quotePrefix="0" xfId="1"/>
    <xf numFmtId="165" fontId="2" fillId="4" borderId="14" pivotButton="0" quotePrefix="0" xfId="1"/>
    <xf numFmtId="165" fontId="3" fillId="11" borderId="0" pivotButton="0" quotePrefix="0" xfId="1"/>
    <xf numFmtId="165" fontId="16" fillId="11" borderId="0" pivotButton="0" quotePrefix="0" xfId="0"/>
    <xf numFmtId="166" fontId="0" fillId="0" borderId="18" pivotButton="0" quotePrefix="0" xfId="8"/>
    <xf numFmtId="166" fontId="0" fillId="10" borderId="18" pivotButton="0" quotePrefix="0" xfId="8"/>
    <xf numFmtId="166" fontId="0" fillId="0" borderId="21" pivotButton="0" quotePrefix="0" xfId="8"/>
    <xf numFmtId="166" fontId="10" fillId="0" borderId="21" pivotButton="0" quotePrefix="0" xfId="0"/>
    <xf numFmtId="166" fontId="0" fillId="0" borderId="0" pivotButton="0" quotePrefix="0" xfId="0"/>
    <xf numFmtId="166" fontId="20" fillId="9" borderId="20" pivotButton="0" quotePrefix="0" xfId="8"/>
    <xf numFmtId="167" fontId="22" fillId="13" borderId="23" pivotButton="0" quotePrefix="0" xfId="8"/>
    <xf numFmtId="167" fontId="22" fillId="0" borderId="23" pivotButton="0" quotePrefix="0" xfId="8"/>
    <xf numFmtId="167" fontId="23" fillId="0" borderId="25" pivotButton="0" quotePrefix="0" xfId="8"/>
    <xf numFmtId="166" fontId="16" fillId="0" borderId="1" pivotButton="0" quotePrefix="0" xfId="8"/>
  </cellXfs>
  <cellStyles count="10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Normal 17" xfId="6"/>
    <cellStyle name="Normal 19" xfId="7"/>
    <cellStyle name="Millares" xfId="8" builtinId="3"/>
    <cellStyle name="Normal 25" xfId="9"/>
  </cellStyles>
  <dxfs count="19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15" headerRowCount="1" totalsRowCount="1" headerRowDxfId="18" headerRowBorderDxfId="17" tableBorderDxfId="16" totalsRowBorderDxfId="15">
  <autoFilter ref="A1:C14"/>
  <tableColumns count="3">
    <tableColumn id="1" name="Cód. org. aplic." totalsRowLabel="Total" dataDxfId="14" totalsRowDxfId="13"/>
    <tableColumn id="2" name="Descripción justificante" dataDxfId="12" totalsRowDxfId="11"/>
    <tableColumn id="3" name="Imp.cob.aplic." totalsRowFunction="sum" dataDxfId="10" totalsRowDxfId="9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24" headerRowCount="1" totalsRowCount="1" headerRowBorderDxfId="8" tableBorderDxfId="7" totalsRowBorderDxfId="6">
  <autoFilter ref="A1:C23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topLeftCell="C1" workbookViewId="0">
      <selection activeCell="I7" sqref="I7"/>
    </sheetView>
  </sheetViews>
  <sheetFormatPr baseColWidth="10" defaultColWidth="11.44140625" defaultRowHeight="14.4"/>
  <cols>
    <col width="62" customWidth="1" style="13" min="1" max="1"/>
    <col width="6.6640625" customWidth="1" style="13" min="2" max="2"/>
    <col width="5.44140625" customWidth="1" style="13" min="3" max="3"/>
    <col width="32" customWidth="1" style="13" min="4" max="4"/>
    <col width="41" customWidth="1" style="13" min="5" max="5"/>
    <col width="24.5546875" customWidth="1" style="13" min="6" max="6"/>
    <col width="30" customWidth="1" style="13" min="7" max="7"/>
    <col width="13.5546875" customWidth="1" style="13" min="8" max="8"/>
    <col width="31" customWidth="1" style="13" min="9" max="9"/>
    <col width="14" customWidth="1" style="13" min="10" max="10"/>
    <col width="11.44140625" customWidth="1" style="13" min="11" max="16384"/>
  </cols>
  <sheetData>
    <row r="1" ht="15" customHeight="1" thickBot="1">
      <c r="A1" s="23" t="inlineStr">
        <is>
          <t>Departamentos / Alumnos / Créditos matriculados 1ª matricula ,Aptos y presentados en asignaturas por Departamento Responsable y Área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</row>
    <row r="2" ht="22.2" customHeight="1" thickBot="1">
      <c r="A2" s="22" t="inlineStr">
        <is>
          <t xml:space="preserve">Departamento </t>
        </is>
      </c>
      <c r="B2" s="21" t="n"/>
      <c r="C2" s="22" t="inlineStr">
        <is>
          <t xml:space="preserve">Área </t>
        </is>
      </c>
      <c r="D2" s="21" t="n"/>
      <c r="E2" s="50" t="n"/>
      <c r="F2" s="51" t="inlineStr">
        <is>
          <t xml:space="preserve">Créditos dedicación Dept. por nº de alumnos en cada asig. </t>
        </is>
      </c>
      <c r="G2" s="52" t="n"/>
      <c r="H2" s="52" t="n"/>
      <c r="I2" s="52" t="inlineStr">
        <is>
          <t xml:space="preserve">Créditos dedicación Dept. por nº de alumnos por 1ª VEZ en cada asig. </t>
        </is>
      </c>
      <c r="J2" s="53" t="n"/>
    </row>
    <row r="3" ht="15" customHeight="1" thickBot="1">
      <c r="A3" s="20" t="inlineStr">
        <is>
          <t>Dep</t>
        </is>
      </c>
      <c r="B3" s="19" t="inlineStr">
        <is>
          <t>Cod. Dep</t>
        </is>
      </c>
      <c r="C3" s="20" t="inlineStr">
        <is>
          <t>Nom. Área</t>
        </is>
      </c>
      <c r="D3" s="54" t="inlineStr">
        <is>
          <t xml:space="preserve">Tipo Titulacion Asig </t>
        </is>
      </c>
      <c r="E3" s="48" t="inlineStr">
        <is>
          <t xml:space="preserve">Grado </t>
        </is>
      </c>
      <c r="F3" s="49" t="inlineStr">
        <is>
          <t xml:space="preserve">Máster Universitario Oficial </t>
        </is>
      </c>
      <c r="G3" s="49" t="inlineStr">
        <is>
          <t xml:space="preserve">Total </t>
        </is>
      </c>
      <c r="H3" s="49" t="inlineStr">
        <is>
          <t xml:space="preserve">Grado </t>
        </is>
      </c>
      <c r="I3" s="49" t="inlineStr">
        <is>
          <t xml:space="preserve">Máster Universitario Oficial </t>
        </is>
      </c>
      <c r="J3" s="49" t="inlineStr">
        <is>
          <t xml:space="preserve">Total </t>
        </is>
      </c>
    </row>
    <row r="4" ht="15" customHeight="1" thickBot="1">
      <c r="A4" s="42" t="n"/>
      <c r="B4" s="43" t="n"/>
      <c r="C4" s="20" t="inlineStr">
        <is>
          <t>Total</t>
        </is>
      </c>
      <c r="D4" s="44" t="n"/>
      <c r="E4" s="101" t="n">
        <v>17643.75</v>
      </c>
      <c r="F4" s="102" t="n">
        <v>693.225</v>
      </c>
      <c r="G4" s="102" t="n">
        <v>18336.975</v>
      </c>
      <c r="H4" s="102" t="n">
        <v>14902.65</v>
      </c>
      <c r="I4" s="102" t="n">
        <v>674.925</v>
      </c>
      <c r="J4" s="102" t="n">
        <v>15577.575</v>
      </c>
    </row>
    <row r="5" ht="15" customHeight="1" thickBot="1">
      <c r="A5" s="17" t="inlineStr">
        <is>
          <t xml:space="preserve">FISIOLOGÍA, GENÉTICA Y MICROBIOLOGÍA </t>
        </is>
      </c>
      <c r="B5" s="17" t="inlineStr">
        <is>
          <t>B164</t>
        </is>
      </c>
      <c r="C5" s="15" t="inlineStr">
        <is>
          <t xml:space="preserve">050 </t>
        </is>
      </c>
      <c r="D5" s="14" t="inlineStr">
        <is>
          <t xml:space="preserve">BIOLOGIA CELULAR </t>
        </is>
      </c>
      <c r="E5" s="103" t="n">
        <v>362.2</v>
      </c>
      <c r="F5" s="104" t="n">
        <v>139.625</v>
      </c>
      <c r="G5" s="104" t="n">
        <v>501.825</v>
      </c>
      <c r="H5" s="104" t="n">
        <v>301.25</v>
      </c>
      <c r="I5" s="104" t="n">
        <v>135.725</v>
      </c>
      <c r="J5" s="105" t="n">
        <v>436.975</v>
      </c>
    </row>
    <row r="6" ht="15" customHeight="1" thickBot="1">
      <c r="A6" s="18" t="n"/>
      <c r="B6" s="18" t="inlineStr">
        <is>
          <t>B164</t>
        </is>
      </c>
      <c r="C6" s="15" t="inlineStr">
        <is>
          <t xml:space="preserve">410 </t>
        </is>
      </c>
      <c r="D6" s="14" t="inlineStr">
        <is>
          <t xml:space="preserve">FISIOLOGIA </t>
        </is>
      </c>
      <c r="E6" s="103" t="n">
        <v>8353.075000000001</v>
      </c>
      <c r="F6" s="104" t="n">
        <v>160.1</v>
      </c>
      <c r="G6" s="104" t="n">
        <v>8513.174999999999</v>
      </c>
      <c r="H6" s="104" t="n">
        <v>7047.425</v>
      </c>
      <c r="I6" s="104" t="n">
        <v>157.125</v>
      </c>
      <c r="J6" s="105" t="n">
        <v>7204.55</v>
      </c>
    </row>
    <row r="7" ht="15" customHeight="1" thickBot="1">
      <c r="A7" s="18" t="n"/>
      <c r="B7" s="18" t="inlineStr">
        <is>
          <t>B164</t>
        </is>
      </c>
      <c r="C7" s="15" t="inlineStr">
        <is>
          <t xml:space="preserve">420 </t>
        </is>
      </c>
      <c r="D7" s="14" t="inlineStr">
        <is>
          <t xml:space="preserve">GENETICA </t>
        </is>
      </c>
      <c r="E7" s="103" t="n">
        <v>3457.225</v>
      </c>
      <c r="F7" s="104" t="n">
        <v>154.125</v>
      </c>
      <c r="G7" s="104" t="n">
        <v>3611.35</v>
      </c>
      <c r="H7" s="104" t="n">
        <v>2891.425</v>
      </c>
      <c r="I7" s="104" t="n">
        <v>150.475</v>
      </c>
      <c r="J7" s="105" t="n">
        <v>3041.9</v>
      </c>
    </row>
    <row r="8" ht="15" customHeight="1" thickBot="1">
      <c r="A8" s="16" t="n"/>
      <c r="B8" s="16" t="inlineStr">
        <is>
          <t>B164</t>
        </is>
      </c>
      <c r="C8" s="15" t="inlineStr">
        <is>
          <t xml:space="preserve">630 </t>
        </is>
      </c>
      <c r="D8" s="14" t="inlineStr">
        <is>
          <t xml:space="preserve">MICROBIOLOGIA </t>
        </is>
      </c>
      <c r="E8" s="103" t="n">
        <v>5471.25</v>
      </c>
      <c r="F8" s="104" t="n">
        <v>239.375</v>
      </c>
      <c r="G8" s="104" t="n">
        <v>5710.625</v>
      </c>
      <c r="H8" s="104" t="n">
        <v>4662.55</v>
      </c>
      <c r="I8" s="104" t="n">
        <v>231.6</v>
      </c>
      <c r="J8" s="105" t="n">
        <v>4894.15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:XFD1048576"/>
    </sheetView>
  </sheetViews>
  <sheetFormatPr baseColWidth="10" defaultColWidth="11.44140625" defaultRowHeight="14.4"/>
  <cols>
    <col width="62" customWidth="1" style="13" min="1" max="1"/>
    <col width="6.6640625" customWidth="1" style="13" min="2" max="2"/>
    <col width="5.44140625" customWidth="1" style="13" min="3" max="3"/>
    <col width="32" customWidth="1" style="13" min="4" max="4"/>
    <col width="41" customWidth="1" style="13" min="5" max="5"/>
    <col width="24.5546875" customWidth="1" style="13" min="6" max="6"/>
    <col width="30" customWidth="1" style="13" min="7" max="7"/>
    <col width="13.5546875" customWidth="1" style="13" min="8" max="8"/>
    <col width="31" customWidth="1" style="13" min="9" max="9"/>
    <col width="14" customWidth="1" style="13" min="10" max="10"/>
    <col width="11.44140625" customWidth="1" style="13" min="11" max="16384"/>
  </cols>
  <sheetData>
    <row r="1" ht="15" customHeight="1" thickBot="1">
      <c r="A1" s="23" t="inlineStr">
        <is>
          <t>Departamentos / Alumnos / Créditos matriculados 1ª matricula ,Aptos y presentados en asignaturas por Departamento Responsable y Área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</row>
    <row r="2" ht="22.2" customHeight="1" thickBot="1">
      <c r="A2" s="22" t="inlineStr">
        <is>
          <t xml:space="preserve">Departamento </t>
        </is>
      </c>
      <c r="B2" s="21" t="n"/>
      <c r="C2" s="22" t="inlineStr">
        <is>
          <t xml:space="preserve">Área </t>
        </is>
      </c>
      <c r="D2" s="21" t="n"/>
      <c r="E2" s="50" t="n"/>
      <c r="F2" s="51" t="inlineStr">
        <is>
          <t xml:space="preserve">Créditos dedicación Dept. por nº de alumnos en cada asig. </t>
        </is>
      </c>
      <c r="G2" s="52" t="n"/>
      <c r="H2" s="52" t="n"/>
      <c r="I2" s="52" t="inlineStr">
        <is>
          <t xml:space="preserve">Créditos dedicación Dept. por nº de alumnos por 1ª VEZ en cada asig. </t>
        </is>
      </c>
      <c r="J2" s="53" t="n"/>
    </row>
    <row r="3" ht="15" customHeight="1" thickBot="1">
      <c r="A3" s="20" t="inlineStr">
        <is>
          <t>Dep</t>
        </is>
      </c>
      <c r="B3" s="19" t="inlineStr">
        <is>
          <t>Cod. Dep</t>
        </is>
      </c>
      <c r="C3" s="20" t="inlineStr">
        <is>
          <t>Nom. Área</t>
        </is>
      </c>
      <c r="D3" s="54" t="inlineStr">
        <is>
          <t xml:space="preserve">Tipo Titulacion Asig </t>
        </is>
      </c>
      <c r="E3" s="48" t="inlineStr">
        <is>
          <t xml:space="preserve">Grado </t>
        </is>
      </c>
      <c r="F3" s="49" t="inlineStr">
        <is>
          <t xml:space="preserve">Máster Universitario Oficial </t>
        </is>
      </c>
      <c r="G3" s="49" t="inlineStr">
        <is>
          <t xml:space="preserve">Total </t>
        </is>
      </c>
      <c r="H3" s="49" t="inlineStr">
        <is>
          <t xml:space="preserve">Grado </t>
        </is>
      </c>
      <c r="I3" s="49" t="inlineStr">
        <is>
          <t xml:space="preserve">Máster Universitario Oficial </t>
        </is>
      </c>
      <c r="J3" s="49" t="inlineStr">
        <is>
          <t xml:space="preserve">Total </t>
        </is>
      </c>
    </row>
    <row r="4" ht="15" customHeight="1" thickBot="1">
      <c r="A4" s="42" t="n"/>
      <c r="B4" s="43" t="n"/>
      <c r="C4" s="20" t="inlineStr">
        <is>
          <t>Total</t>
        </is>
      </c>
      <c r="D4" s="44" t="n"/>
      <c r="E4" s="101" t="n">
        <v>20842.825</v>
      </c>
      <c r="F4" s="102" t="n">
        <v>792.85</v>
      </c>
      <c r="G4" s="102" t="n">
        <v>21635.675</v>
      </c>
      <c r="H4" s="102" t="n">
        <v>18232.2</v>
      </c>
      <c r="I4" s="102" t="n">
        <v>777.25</v>
      </c>
      <c r="J4" s="102" t="n">
        <v>19009.45</v>
      </c>
    </row>
    <row r="5" ht="15" customHeight="1" thickBot="1">
      <c r="A5" s="17" t="inlineStr">
        <is>
          <t xml:space="preserve">FISIOLOGÍA, GENÉTICA Y MICROBIOLOGÍA </t>
        </is>
      </c>
      <c r="B5" s="17" t="inlineStr">
        <is>
          <t>B164</t>
        </is>
      </c>
      <c r="C5" s="15" t="inlineStr">
        <is>
          <t xml:space="preserve">050 </t>
        </is>
      </c>
      <c r="D5" s="14" t="inlineStr">
        <is>
          <t xml:space="preserve">BIOLOGIA CELULAR </t>
        </is>
      </c>
      <c r="E5" s="103" t="n">
        <v>400.225</v>
      </c>
      <c r="F5" s="104" t="n">
        <v>138.825</v>
      </c>
      <c r="G5" s="104" t="n">
        <v>539.05</v>
      </c>
      <c r="H5" s="104" t="n">
        <v>347.875</v>
      </c>
      <c r="I5" s="104" t="n">
        <v>136.95</v>
      </c>
      <c r="J5" s="105" t="n">
        <v>484.825</v>
      </c>
    </row>
    <row r="6" ht="15" customHeight="1" thickBot="1">
      <c r="A6" s="18" t="n"/>
      <c r="B6" s="18" t="inlineStr">
        <is>
          <t>B164</t>
        </is>
      </c>
      <c r="C6" s="15" t="inlineStr">
        <is>
          <t xml:space="preserve">410 </t>
        </is>
      </c>
      <c r="D6" s="14" t="inlineStr">
        <is>
          <t xml:space="preserve">FISIOLOGIA </t>
        </is>
      </c>
      <c r="E6" s="103" t="n">
        <v>10140.6</v>
      </c>
      <c r="F6" s="104" t="n">
        <v>133.7</v>
      </c>
      <c r="G6" s="104" t="n">
        <v>10274.3</v>
      </c>
      <c r="H6" s="104" t="n">
        <v>8919.450000000001</v>
      </c>
      <c r="I6" s="104" t="n">
        <v>131.75</v>
      </c>
      <c r="J6" s="105" t="n">
        <v>9051.200000000001</v>
      </c>
    </row>
    <row r="7" ht="15" customHeight="1" thickBot="1">
      <c r="A7" s="18" t="n"/>
      <c r="B7" s="18" t="inlineStr">
        <is>
          <t>B164</t>
        </is>
      </c>
      <c r="C7" s="15" t="inlineStr">
        <is>
          <t xml:space="preserve">420 </t>
        </is>
      </c>
      <c r="D7" s="14" t="inlineStr">
        <is>
          <t xml:space="preserve">GENETICA </t>
        </is>
      </c>
      <c r="E7" s="103" t="n">
        <v>4336.425</v>
      </c>
      <c r="F7" s="104" t="n">
        <v>211.3</v>
      </c>
      <c r="G7" s="104" t="n">
        <v>4547.725</v>
      </c>
      <c r="H7" s="104" t="n">
        <v>3565.2</v>
      </c>
      <c r="I7" s="104" t="n">
        <v>205.7</v>
      </c>
      <c r="J7" s="105" t="n">
        <v>3770.9</v>
      </c>
    </row>
    <row r="8" ht="15" customHeight="1" thickBot="1">
      <c r="A8" s="16" t="n"/>
      <c r="B8" s="16" t="inlineStr">
        <is>
          <t>B164</t>
        </is>
      </c>
      <c r="C8" s="15" t="inlineStr">
        <is>
          <t xml:space="preserve">630 </t>
        </is>
      </c>
      <c r="D8" s="14" t="inlineStr">
        <is>
          <t xml:space="preserve">MICROBIOLOGIA </t>
        </is>
      </c>
      <c r="E8" s="103" t="n">
        <v>5965.575</v>
      </c>
      <c r="F8" s="104" t="n">
        <v>309.025</v>
      </c>
      <c r="G8" s="104" t="n">
        <v>6274.6</v>
      </c>
      <c r="H8" s="104" t="n">
        <v>5399.675</v>
      </c>
      <c r="I8" s="104" t="n">
        <v>302.85</v>
      </c>
      <c r="J8" s="105" t="n">
        <v>5702.525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topLeftCell="B1" workbookViewId="0">
      <selection activeCell="F17" sqref="F17"/>
    </sheetView>
  </sheetViews>
  <sheetFormatPr baseColWidth="10" defaultColWidth="11.44140625" defaultRowHeight="14.4"/>
  <cols>
    <col width="62" customWidth="1" style="13" min="1" max="1"/>
    <col width="6.6640625" customWidth="1" style="13" min="2" max="2"/>
    <col width="5.44140625" customWidth="1" style="13" min="3" max="3"/>
    <col width="32" customWidth="1" style="13" min="4" max="4"/>
    <col width="41" customWidth="1" style="13" min="5" max="5"/>
    <col width="24.5546875" customWidth="1" style="13" min="6" max="6"/>
    <col width="30" customWidth="1" style="13" min="7" max="7"/>
    <col width="13.5546875" customWidth="1" style="13" min="8" max="8"/>
    <col width="31" customWidth="1" style="13" min="9" max="9"/>
    <col width="14" customWidth="1" style="13" min="10" max="10"/>
    <col width="11.44140625" customWidth="1" style="13" min="11" max="16384"/>
  </cols>
  <sheetData>
    <row r="1" ht="15" customHeight="1" thickBot="1">
      <c r="A1" s="23" t="inlineStr">
        <is>
          <t>Departamentos / Alumnos / Créditos matriculados 1ª matricula ,Aptos y presentados en asignaturas por Departamento Responsable y Área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</row>
    <row r="2" ht="22.2" customHeight="1" thickBot="1">
      <c r="A2" s="22" t="inlineStr">
        <is>
          <t xml:space="preserve">Departamento </t>
        </is>
      </c>
      <c r="B2" s="21" t="n"/>
      <c r="C2" s="22" t="inlineStr">
        <is>
          <t xml:space="preserve">Área </t>
        </is>
      </c>
      <c r="D2" s="21" t="n"/>
      <c r="E2" s="50" t="n"/>
      <c r="F2" s="51" t="inlineStr">
        <is>
          <t xml:space="preserve">Créditos dedicación Dept. por nº de alumnos en cada asig. </t>
        </is>
      </c>
      <c r="G2" s="52" t="n"/>
      <c r="H2" s="52" t="n"/>
      <c r="I2" s="52" t="inlineStr">
        <is>
          <t xml:space="preserve">Créditos dedicación Dept. por nº de alumnos por 1ª VEZ en cada asig. </t>
        </is>
      </c>
      <c r="J2" s="53" t="n"/>
    </row>
    <row r="3" ht="15" customHeight="1" thickBot="1">
      <c r="A3" s="20" t="inlineStr">
        <is>
          <t>Dep</t>
        </is>
      </c>
      <c r="B3" s="19" t="inlineStr">
        <is>
          <t>Cod. Dep</t>
        </is>
      </c>
      <c r="C3" s="20" t="inlineStr">
        <is>
          <t>Nom. Área</t>
        </is>
      </c>
      <c r="D3" s="54" t="inlineStr">
        <is>
          <t xml:space="preserve">Tipo Titulacion Asig </t>
        </is>
      </c>
      <c r="E3" s="48" t="inlineStr">
        <is>
          <t xml:space="preserve">Grado </t>
        </is>
      </c>
      <c r="F3" s="49" t="inlineStr">
        <is>
          <t xml:space="preserve">Máster Universitario Oficial </t>
        </is>
      </c>
      <c r="G3" s="49" t="inlineStr">
        <is>
          <t xml:space="preserve">Total </t>
        </is>
      </c>
      <c r="H3" s="49" t="inlineStr">
        <is>
          <t xml:space="preserve">Grado </t>
        </is>
      </c>
      <c r="I3" s="49" t="inlineStr">
        <is>
          <t xml:space="preserve">Máster Universitario Oficial </t>
        </is>
      </c>
      <c r="J3" s="49" t="inlineStr">
        <is>
          <t xml:space="preserve">Total </t>
        </is>
      </c>
    </row>
    <row r="4" ht="15" customHeight="1" thickBot="1">
      <c r="A4" s="42" t="n"/>
      <c r="B4" s="43" t="n"/>
      <c r="C4" s="20" t="inlineStr">
        <is>
          <t>Total</t>
        </is>
      </c>
      <c r="D4" s="44" t="n"/>
      <c r="E4" s="101" t="n">
        <v>20588.55</v>
      </c>
      <c r="F4" s="102" t="n">
        <v>779.15</v>
      </c>
      <c r="G4" s="102" t="n">
        <v>21367.7</v>
      </c>
      <c r="H4" s="102" t="n">
        <v>17258.45</v>
      </c>
      <c r="I4" s="102" t="n">
        <v>770.95</v>
      </c>
      <c r="J4" s="102" t="n">
        <v>18029.4</v>
      </c>
    </row>
    <row r="5" ht="15" customHeight="1" thickBot="1">
      <c r="A5" s="17" t="inlineStr">
        <is>
          <t xml:space="preserve">FISIOLOGÍA, GENÉTICA Y MICROBIOLOGÍA </t>
        </is>
      </c>
      <c r="B5" s="17" t="inlineStr">
        <is>
          <t>B164</t>
        </is>
      </c>
      <c r="C5" s="15" t="inlineStr">
        <is>
          <t xml:space="preserve">050 </t>
        </is>
      </c>
      <c r="D5" s="14" t="inlineStr">
        <is>
          <t xml:space="preserve">BIOLOGIA CELULAR </t>
        </is>
      </c>
      <c r="E5" s="103" t="n">
        <v>382.95</v>
      </c>
      <c r="F5" s="104" t="n">
        <v>151.95</v>
      </c>
      <c r="G5" s="104" t="n">
        <v>534.9</v>
      </c>
      <c r="H5" s="104" t="n">
        <v>291.225</v>
      </c>
      <c r="I5" s="104" t="n">
        <v>151.05</v>
      </c>
      <c r="J5" s="105" t="n">
        <v>442.275</v>
      </c>
    </row>
    <row r="6" ht="15" customHeight="1" thickBot="1">
      <c r="A6" s="18" t="n"/>
      <c r="B6" s="18" t="inlineStr">
        <is>
          <t>B164</t>
        </is>
      </c>
      <c r="C6" s="15" t="inlineStr">
        <is>
          <t xml:space="preserve">410 </t>
        </is>
      </c>
      <c r="D6" s="14" t="inlineStr">
        <is>
          <t xml:space="preserve">FISIOLOGIA </t>
        </is>
      </c>
      <c r="E6" s="103" t="n">
        <v>9877.85</v>
      </c>
      <c r="F6" s="104" t="n">
        <v>167.325</v>
      </c>
      <c r="G6" s="104" t="n">
        <v>10045.175</v>
      </c>
      <c r="H6" s="104" t="n">
        <v>8404.475</v>
      </c>
      <c r="I6" s="104" t="n">
        <v>166.8</v>
      </c>
      <c r="J6" s="105" t="n">
        <v>8571.275</v>
      </c>
    </row>
    <row r="7" ht="15" customHeight="1" thickBot="1">
      <c r="A7" s="18" t="n"/>
      <c r="B7" s="18" t="inlineStr">
        <is>
          <t>B164</t>
        </is>
      </c>
      <c r="C7" s="15" t="inlineStr">
        <is>
          <t xml:space="preserve">420 </t>
        </is>
      </c>
      <c r="D7" s="14" t="inlineStr">
        <is>
          <t xml:space="preserve">GENETICA </t>
        </is>
      </c>
      <c r="E7" s="103" t="n">
        <v>4146.75</v>
      </c>
      <c r="F7" s="104" t="n">
        <v>187.175</v>
      </c>
      <c r="G7" s="104" t="n">
        <v>4333.925</v>
      </c>
      <c r="H7" s="104" t="n">
        <v>3114.55</v>
      </c>
      <c r="I7" s="104" t="n">
        <v>183.525</v>
      </c>
      <c r="J7" s="105" t="n">
        <v>3298.075</v>
      </c>
    </row>
    <row r="8" ht="15" customHeight="1" thickBot="1">
      <c r="A8" s="16" t="n"/>
      <c r="B8" s="16" t="inlineStr">
        <is>
          <t>B164</t>
        </is>
      </c>
      <c r="C8" s="15" t="inlineStr">
        <is>
          <t xml:space="preserve">630 </t>
        </is>
      </c>
      <c r="D8" s="14" t="inlineStr">
        <is>
          <t xml:space="preserve">MICROBIOLOGIA </t>
        </is>
      </c>
      <c r="E8" s="103" t="n">
        <v>6181</v>
      </c>
      <c r="F8" s="104" t="n">
        <v>272.7</v>
      </c>
      <c r="G8" s="104" t="n">
        <v>6453.7</v>
      </c>
      <c r="H8" s="104" t="n">
        <v>5448.2</v>
      </c>
      <c r="I8" s="104" t="n">
        <v>269.575</v>
      </c>
      <c r="J8" s="105" t="n">
        <v>5717.775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46"/>
  <sheetViews>
    <sheetView showGridLines="0" zoomScale="120" zoomScaleNormal="120" workbookViewId="0">
      <pane xSplit="1" ySplit="1" topLeftCell="D13" activePane="bottomRight" state="frozen"/>
      <selection pane="topRight" activeCell="B1" sqref="B1"/>
      <selection pane="bottomLeft" activeCell="A2" sqref="A2"/>
      <selection pane="bottomRight" activeCell="E48" sqref="E48"/>
    </sheetView>
  </sheetViews>
  <sheetFormatPr baseColWidth="10" defaultColWidth="10.33203125" defaultRowHeight="10.2"/>
  <cols>
    <col width="5" customWidth="1" style="72" min="1" max="1"/>
    <col width="29.6640625" customWidth="1" style="72" min="2" max="4"/>
    <col width="40.6640625" customWidth="1" style="72" min="5" max="5"/>
    <col width="9.109375" customWidth="1" style="72" min="6" max="6"/>
    <col width="9.6640625" customWidth="1" style="72" min="7" max="7"/>
    <col width="14.44140625" customWidth="1" style="72" min="8" max="8"/>
    <col width="5.88671875" customWidth="1" style="72" min="9" max="9"/>
    <col width="25.6640625" customWidth="1" style="72" min="10" max="10"/>
    <col width="5.109375" customWidth="1" style="72" min="11" max="11"/>
    <col width="6.5546875" customWidth="1" style="72" min="12" max="12"/>
    <col width="4.44140625" customWidth="1" style="72" min="13" max="13"/>
    <col width="4.88671875" customWidth="1" style="72" min="14" max="14"/>
    <col width="4.88671875" customWidth="1" style="7" min="15" max="15"/>
    <col width="4.88671875" customWidth="1" style="72" min="16" max="16"/>
    <col width="3.5546875" customWidth="1" style="7" min="17" max="17"/>
    <col width="3.5546875" customWidth="1" style="72" min="18" max="18"/>
    <col width="5.109375" customWidth="1" style="72" min="19" max="21"/>
    <col width="10.33203125" customWidth="1" style="72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32" t="inlineStr">
        <is>
          <t xml:space="preserve">B164 </t>
        </is>
      </c>
      <c r="B2" s="32" t="inlineStr">
        <is>
          <t xml:space="preserve">FISIOLOGÍA, GENÉTICA Y MICROBIOLOGÍA </t>
        </is>
      </c>
      <c r="C2" s="32" t="inlineStr">
        <is>
          <t xml:space="preserve">DOCTORADO EN BIOLOGÍA EXPERIMENTAL Y APLICADA </t>
        </is>
      </c>
      <c r="D2" s="32" t="inlineStr">
        <is>
          <t xml:space="preserve">Parra Grande, Mónica </t>
        </is>
      </c>
      <c r="E2" s="32" t="inlineStr">
        <is>
          <t xml:space="preserve">CARACTERIZACIÓN DE LA MICROBIOTA VESICAL EN PACIENTES CON NEOPLASIA MALIGNA DE VEJIGA </t>
        </is>
      </c>
      <c r="F2" s="32" t="inlineStr">
        <is>
          <t xml:space="preserve">28/07/2020 </t>
        </is>
      </c>
      <c r="G2" s="32" t="inlineStr">
        <is>
          <t xml:space="preserve">- </t>
        </is>
      </c>
      <c r="H2" s="32" t="inlineStr">
        <is>
          <t xml:space="preserve">Director de tesis </t>
        </is>
      </c>
      <c r="I2" s="32" t="inlineStr">
        <is>
          <t xml:space="preserve">B164 </t>
        </is>
      </c>
      <c r="J2" s="32" t="inlineStr">
        <is>
          <t xml:space="preserve">FISIOLOGÍA, GENÉTICA Y MICROBIOLOGÍA </t>
        </is>
      </c>
      <c r="K2" s="106" t="n">
        <v>1</v>
      </c>
      <c r="L2" s="32" t="inlineStr">
        <is>
          <t>B164</t>
        </is>
      </c>
      <c r="M2" s="32" t="n">
        <v>2019</v>
      </c>
      <c r="N2" s="32" t="inlineStr"/>
      <c r="O2" s="34" t="inlineStr"/>
      <c r="P2" s="32" t="inlineStr"/>
      <c r="Q2" s="34" t="inlineStr"/>
      <c r="R2" s="35" t="n">
        <v>100</v>
      </c>
      <c r="S2" s="107" t="n">
        <v>1</v>
      </c>
      <c r="T2" s="107" t="n">
        <v>0</v>
      </c>
      <c r="U2" s="107" t="n">
        <v>0</v>
      </c>
    </row>
    <row r="3">
      <c r="A3" s="32" t="inlineStr">
        <is>
          <t xml:space="preserve">B164 </t>
        </is>
      </c>
      <c r="B3" s="32" t="inlineStr">
        <is>
          <t xml:space="preserve">FISIOLOGÍA, GENÉTICA Y MICROBIOLOGÍA </t>
        </is>
      </c>
      <c r="C3" s="32" t="inlineStr">
        <is>
          <t xml:space="preserve">DOCTORADO EN BIOLOGÍA EXPERIMENTAL Y APLICADA </t>
        </is>
      </c>
      <c r="D3" s="32" t="inlineStr">
        <is>
          <t xml:space="preserve">Alustiza Fernandez, Miren </t>
        </is>
      </c>
      <c r="E3" s="32" t="inlineStr">
        <is>
          <t xml:space="preserve">Búsqueda de biomarcadores para la detección de enfermedades gastrointestinales </t>
        </is>
      </c>
      <c r="F3" s="32" t="inlineStr">
        <is>
          <t xml:space="preserve">18/09/2020 </t>
        </is>
      </c>
      <c r="G3" s="32" t="inlineStr">
        <is>
          <t xml:space="preserve">- </t>
        </is>
      </c>
      <c r="H3" s="32" t="inlineStr">
        <is>
          <t xml:space="preserve">Codirector de tesis </t>
        </is>
      </c>
      <c r="I3" s="32" t="inlineStr">
        <is>
          <t xml:space="preserve">B164 </t>
        </is>
      </c>
      <c r="J3" s="32" t="inlineStr">
        <is>
          <t xml:space="preserve">FISIOLOGÍA, GENÉTICA Y MICROBIOLOGÍA </t>
        </is>
      </c>
      <c r="K3" s="106" t="n">
        <v>0.5</v>
      </c>
      <c r="L3" s="32" t="inlineStr">
        <is>
          <t>B164</t>
        </is>
      </c>
      <c r="M3" s="32" t="n">
        <v>2019</v>
      </c>
      <c r="N3" s="32" t="inlineStr"/>
      <c r="O3" s="34" t="inlineStr"/>
      <c r="P3" s="32" t="inlineStr"/>
      <c r="Q3" s="34" t="inlineStr"/>
      <c r="R3" s="35" t="n">
        <v>100</v>
      </c>
      <c r="S3" s="107" t="n">
        <v>0.5</v>
      </c>
      <c r="T3" s="107" t="n">
        <v>0</v>
      </c>
      <c r="U3" s="107" t="n">
        <v>0</v>
      </c>
    </row>
    <row r="4" ht="10.8" customHeight="1" thickBot="1">
      <c r="A4" s="32" t="inlineStr">
        <is>
          <t xml:space="preserve">B164 </t>
        </is>
      </c>
      <c r="B4" s="32" t="inlineStr">
        <is>
          <t xml:space="preserve">FISIOLOGÍA, GENÉTICA Y MICROBIOLOGÍA </t>
        </is>
      </c>
      <c r="C4" s="32" t="inlineStr">
        <is>
          <t xml:space="preserve">DOCTORADO EN BIOLOGÍA EXPERIMENTAL Y APLICADA </t>
        </is>
      </c>
      <c r="D4" s="32" t="inlineStr">
        <is>
          <t xml:space="preserve">Kutsyr , Oksana </t>
        </is>
      </c>
      <c r="E4" s="32" t="inlineStr">
        <is>
          <t xml:space="preserve">EFFECTS OF ENVIRONMENTAL FACTORS AND NEUROPROTECTIVE COMPOUNDS ON OXIDATIVE STRESS AND INFLAMMATION IN RETINAL NEURODEGENERATIVE DISEASES </t>
        </is>
      </c>
      <c r="F4" s="32" t="inlineStr">
        <is>
          <t xml:space="preserve">11/09/2020 </t>
        </is>
      </c>
      <c r="G4" s="32" t="inlineStr">
        <is>
          <t xml:space="preserve">22112038E </t>
        </is>
      </c>
      <c r="H4" s="32" t="inlineStr">
        <is>
          <t xml:space="preserve">Codirector de tesis </t>
        </is>
      </c>
      <c r="I4" s="32" t="inlineStr">
        <is>
          <t xml:space="preserve">B164 </t>
        </is>
      </c>
      <c r="J4" s="32" t="inlineStr">
        <is>
          <t xml:space="preserve">FISIOLOGÍA, GENÉTICA Y MICROBIOLOGÍA </t>
        </is>
      </c>
      <c r="K4" s="106" t="n">
        <v>0.5</v>
      </c>
      <c r="L4" s="32" t="inlineStr">
        <is>
          <t>B164</t>
        </is>
      </c>
      <c r="M4" s="32" t="n">
        <v>2019</v>
      </c>
      <c r="N4" s="32" t="inlineStr">
        <is>
          <t>10.16</t>
        </is>
      </c>
      <c r="O4" s="34" t="inlineStr">
        <is>
          <t>85</t>
        </is>
      </c>
      <c r="P4" s="32" t="inlineStr"/>
      <c r="Q4" s="34" t="inlineStr"/>
      <c r="R4" s="35" t="n">
        <v>15</v>
      </c>
      <c r="S4" s="107" t="n">
        <v>0.075</v>
      </c>
      <c r="T4" s="107" t="n">
        <v>0.425</v>
      </c>
      <c r="U4" s="107" t="n">
        <v>0</v>
      </c>
    </row>
    <row r="5" ht="10.8" customHeight="1" thickBot="1">
      <c r="A5" s="37" t="inlineStr">
        <is>
          <t xml:space="preserve">B164 </t>
        </is>
      </c>
      <c r="B5" s="37" t="inlineStr">
        <is>
          <t xml:space="preserve">FISIOLOGÍA, GENÉTICA Y MICROBIOLOGÍA </t>
        </is>
      </c>
      <c r="C5" s="37" t="inlineStr">
        <is>
          <t xml:space="preserve">DOCTORADO EN BIOLOGÍA EXPERIMENTAL Y APLICADA </t>
        </is>
      </c>
      <c r="D5" s="37" t="inlineStr">
        <is>
          <t xml:space="preserve">Gil Rivera, Minerva </t>
        </is>
      </c>
      <c r="E5" s="37" t="inlineStr">
        <is>
          <t xml:space="preserve">Efectos del disruptor endocrino Bisfenol A en neuronas nociceptoras de ratón: de las bases iónicas a los mecanismos moleculares. </t>
        </is>
      </c>
      <c r="F5" s="37" t="inlineStr">
        <is>
          <t xml:space="preserve">24/09/2021 </t>
        </is>
      </c>
      <c r="G5" s="38" t="inlineStr">
        <is>
          <t xml:space="preserve">21488735L </t>
        </is>
      </c>
      <c r="H5" s="39" t="inlineStr">
        <is>
          <t xml:space="preserve">Codirector de tesis </t>
        </is>
      </c>
      <c r="I5" s="39" t="inlineStr">
        <is>
          <t xml:space="preserve">B164 </t>
        </is>
      </c>
      <c r="J5" s="40" t="inlineStr">
        <is>
          <t xml:space="preserve">FISIOLOGÍA, GENÉTICA Y MICROBIOLOGÍA </t>
        </is>
      </c>
      <c r="K5" s="69" t="n">
        <v>0.5</v>
      </c>
      <c r="L5" s="69" t="inlineStr">
        <is>
          <t>B164</t>
        </is>
      </c>
      <c r="M5" s="68" t="n">
        <v>2020</v>
      </c>
      <c r="N5" s="68" t="inlineStr"/>
      <c r="O5" s="31" t="inlineStr"/>
      <c r="P5" s="68" t="inlineStr"/>
      <c r="Q5" s="31" t="inlineStr"/>
      <c r="R5" s="68" t="n">
        <v>100</v>
      </c>
      <c r="S5" s="68" t="n">
        <v>0.5</v>
      </c>
      <c r="T5" s="68" t="n">
        <v>0</v>
      </c>
      <c r="U5" s="68" t="n">
        <v>0</v>
      </c>
    </row>
    <row r="6" ht="10.8" customHeight="1" thickBot="1">
      <c r="A6" s="37" t="inlineStr">
        <is>
          <t xml:space="preserve">B164 </t>
        </is>
      </c>
      <c r="B6" s="37" t="inlineStr">
        <is>
          <t xml:space="preserve">FISIOLOGÍA, GENÉTICA Y MICROBIOLOGÍA </t>
        </is>
      </c>
      <c r="C6" s="37" t="inlineStr">
        <is>
          <t xml:space="preserve">DOCTORADO EN BIOLOGÍA EXPERIMENTAL Y APLICADA </t>
        </is>
      </c>
      <c r="D6" s="37" t="inlineStr">
        <is>
          <t xml:space="preserve">Gil Rivera, Minerva </t>
        </is>
      </c>
      <c r="E6" s="37" t="inlineStr">
        <is>
          <t xml:space="preserve">Efectos del disruptor endocrino Bisfenol A en neuronas nociceptoras de ratón: de las bases iónicas a los mecanismos moleculares. </t>
        </is>
      </c>
      <c r="F6" s="37" t="inlineStr">
        <is>
          <t xml:space="preserve">24/09/2021 </t>
        </is>
      </c>
      <c r="G6" s="38" t="inlineStr">
        <is>
          <t xml:space="preserve">48287249Z </t>
        </is>
      </c>
      <c r="H6" s="39" t="inlineStr">
        <is>
          <t xml:space="preserve">Codirector de tesis </t>
        </is>
      </c>
      <c r="I6" s="39" t="inlineStr">
        <is>
          <t xml:space="preserve">B164 </t>
        </is>
      </c>
      <c r="J6" s="40" t="inlineStr">
        <is>
          <t xml:space="preserve">FISIOLOGÍA, GENÉTICA Y MICROBIOLOGÍA </t>
        </is>
      </c>
      <c r="K6" s="69" t="n">
        <v>0.5</v>
      </c>
      <c r="L6" s="69" t="inlineStr">
        <is>
          <t>B164</t>
        </is>
      </c>
      <c r="M6" s="68" t="n">
        <v>2020</v>
      </c>
      <c r="N6" s="68" t="inlineStr"/>
      <c r="O6" s="31" t="inlineStr"/>
      <c r="P6" s="68" t="inlineStr"/>
      <c r="Q6" s="31" t="inlineStr"/>
      <c r="R6" s="68" t="n">
        <v>100</v>
      </c>
      <c r="S6" s="68" t="n">
        <v>0.5</v>
      </c>
      <c r="T6" s="68" t="n">
        <v>0</v>
      </c>
      <c r="U6" s="68" t="n">
        <v>0</v>
      </c>
    </row>
    <row r="7" ht="10.8" customHeight="1" thickBot="1">
      <c r="A7" s="37" t="inlineStr">
        <is>
          <t xml:space="preserve">B164 </t>
        </is>
      </c>
      <c r="B7" s="37" t="inlineStr">
        <is>
          <t xml:space="preserve">FISIOLOGÍA, GENÉTICA Y MICROBIOLOGÍA </t>
        </is>
      </c>
      <c r="C7" s="37" t="inlineStr">
        <is>
          <t xml:space="preserve">DOCTORADO EN BIOLOGÍA EXPERIMENTAL Y APLICADA </t>
        </is>
      </c>
      <c r="D7" s="37" t="inlineStr">
        <is>
          <t xml:space="preserve">Labella Sanfrutos, Jose Ignacio </t>
        </is>
      </c>
      <c r="E7" s="37" t="inlineStr">
        <is>
          <t xml:space="preserve">Señalización mediada por PIPX en Cianobacterias: Componentes, Interacciones, Dianas y Señales </t>
        </is>
      </c>
      <c r="F7" s="37" t="inlineStr">
        <is>
          <t xml:space="preserve">22/02/2021 </t>
        </is>
      </c>
      <c r="G7" s="38" t="inlineStr">
        <is>
          <t xml:space="preserve">08791611E </t>
        </is>
      </c>
      <c r="H7" s="39" t="inlineStr">
        <is>
          <t xml:space="preserve">Director de tesis </t>
        </is>
      </c>
      <c r="I7" s="39" t="inlineStr">
        <is>
          <t xml:space="preserve">B164 </t>
        </is>
      </c>
      <c r="J7" s="40" t="inlineStr">
        <is>
          <t xml:space="preserve">FISIOLOGÍA, GENÉTICA Y MICROBIOLOGÍA </t>
        </is>
      </c>
      <c r="K7" s="69" t="n">
        <v>1</v>
      </c>
      <c r="L7" s="69" t="inlineStr">
        <is>
          <t>B164</t>
        </is>
      </c>
      <c r="M7" s="68" t="n">
        <v>2020</v>
      </c>
      <c r="N7" s="68" t="inlineStr">
        <is>
          <t>10.16</t>
        </is>
      </c>
      <c r="O7" s="31" t="n">
        <v>50</v>
      </c>
      <c r="P7" s="68" t="inlineStr"/>
      <c r="Q7" s="31" t="n">
        <v>0</v>
      </c>
      <c r="R7" s="68" t="n">
        <v>50</v>
      </c>
      <c r="S7" s="68" t="n">
        <v>0.5</v>
      </c>
      <c r="T7" s="68" t="n">
        <v>0.5</v>
      </c>
      <c r="U7" s="68" t="n">
        <v>0</v>
      </c>
    </row>
    <row r="8" ht="10.8" customHeight="1" thickBot="1">
      <c r="A8" s="37" t="inlineStr">
        <is>
          <t xml:space="preserve">B164 </t>
        </is>
      </c>
      <c r="B8" s="37" t="inlineStr">
        <is>
          <t xml:space="preserve">FISIOLOGÍA, GENÉTICA Y MICROBIOLOGÍA </t>
        </is>
      </c>
      <c r="C8" s="37" t="inlineStr">
        <is>
          <t xml:space="preserve">DOCTORADO EN BIOLOGÍA EXPERIMENTAL Y APLICADA </t>
        </is>
      </c>
      <c r="D8" s="37" t="inlineStr">
        <is>
          <t xml:space="preserve">Ferrer Avargues, Rosario </t>
        </is>
      </c>
      <c r="E8" s="37" t="inlineStr">
        <is>
          <t xml:space="preserve">"Nuevas aportaciones al riesgo genético de cáncer: co-ocurrencia de variantes patogénicas para diferentes síndromes de cáncer hereditario en pacientes con síndrome de Lynch y caracterización de una nueva variante patogénica fundadora en el gen POLD1" </t>
        </is>
      </c>
      <c r="F8" s="37" t="inlineStr">
        <is>
          <t xml:space="preserve">20/07/2021 </t>
        </is>
      </c>
      <c r="G8" s="38" t="inlineStr">
        <is>
          <t xml:space="preserve">28997605X </t>
        </is>
      </c>
      <c r="H8" s="39" t="inlineStr">
        <is>
          <t xml:space="preserve">Codirector de tesis </t>
        </is>
      </c>
      <c r="I8" s="39" t="inlineStr">
        <is>
          <t xml:space="preserve">B164 </t>
        </is>
      </c>
      <c r="J8" s="40" t="inlineStr">
        <is>
          <t xml:space="preserve">FISIOLOGÍA, GENÉTICA Y MICROBIOLOGÍA </t>
        </is>
      </c>
      <c r="K8" s="69" t="n">
        <v>0.5</v>
      </c>
      <c r="L8" s="69" t="inlineStr">
        <is>
          <t>B164</t>
        </is>
      </c>
      <c r="M8" s="68" t="n">
        <v>2020</v>
      </c>
      <c r="N8" s="68" t="inlineStr"/>
      <c r="O8" s="31" t="inlineStr"/>
      <c r="P8" s="68" t="inlineStr"/>
      <c r="Q8" s="31" t="inlineStr"/>
      <c r="R8" s="68" t="n">
        <v>100</v>
      </c>
      <c r="S8" s="68" t="n">
        <v>0.5</v>
      </c>
      <c r="T8" s="68" t="n">
        <v>0</v>
      </c>
      <c r="U8" s="68" t="n">
        <v>0</v>
      </c>
    </row>
    <row r="9" ht="10.8" customHeight="1" thickBot="1">
      <c r="A9" s="37" t="inlineStr">
        <is>
          <t xml:space="preserve">B164 </t>
        </is>
      </c>
      <c r="B9" s="37" t="inlineStr">
        <is>
          <t xml:space="preserve">FISIOLOGÍA, GENÉTICA Y MICROBIOLOGÍA </t>
        </is>
      </c>
      <c r="C9" s="37" t="inlineStr">
        <is>
          <t xml:space="preserve">DOCTORADO EN BIOLOGÍA EXPERIMENTAL Y APLICADA </t>
        </is>
      </c>
      <c r="D9" s="37" t="inlineStr">
        <is>
          <t xml:space="preserve">González Serrano, Rafael </t>
        </is>
      </c>
      <c r="E9" s="37" t="inlineStr">
        <is>
          <t xml:space="preserve">Host recognition strategies and evolution in phages infecting the marine bacterium Alteromonas sp. </t>
        </is>
      </c>
      <c r="F9" s="37" t="inlineStr">
        <is>
          <t xml:space="preserve">22/03/2021 </t>
        </is>
      </c>
      <c r="G9" s="38" t="inlineStr">
        <is>
          <t xml:space="preserve">Y4109837G </t>
        </is>
      </c>
      <c r="H9" s="39" t="inlineStr">
        <is>
          <t xml:space="preserve">Codirector de tesis </t>
        </is>
      </c>
      <c r="I9" s="39" t="inlineStr">
        <is>
          <t xml:space="preserve">B164 </t>
        </is>
      </c>
      <c r="J9" s="40" t="inlineStr">
        <is>
          <t xml:space="preserve">FISIOLOGÍA, GENÉTICA Y MICROBIOLOGÍA </t>
        </is>
      </c>
      <c r="K9" s="69" t="n">
        <v>0.5</v>
      </c>
      <c r="L9" s="69" t="inlineStr">
        <is>
          <t>B164</t>
        </is>
      </c>
      <c r="M9" s="68" t="n">
        <v>2020</v>
      </c>
      <c r="N9" s="68" t="inlineStr"/>
      <c r="O9" s="31" t="inlineStr"/>
      <c r="P9" s="68" t="inlineStr"/>
      <c r="Q9" s="31" t="inlineStr"/>
      <c r="R9" s="68" t="n">
        <v>100</v>
      </c>
      <c r="S9" s="68" t="n">
        <v>0.5</v>
      </c>
      <c r="T9" s="68" t="n">
        <v>0</v>
      </c>
      <c r="U9" s="68" t="n">
        <v>0</v>
      </c>
    </row>
    <row r="10" ht="10.8" customHeight="1" thickBot="1">
      <c r="A10" s="37" t="inlineStr">
        <is>
          <t xml:space="preserve">B164 </t>
        </is>
      </c>
      <c r="B10" s="37" t="inlineStr">
        <is>
          <t xml:space="preserve">FISIOLOGÍA, GENÉTICA Y MICROBIOLOGÍA </t>
        </is>
      </c>
      <c r="C10" s="37" t="inlineStr">
        <is>
          <t xml:space="preserve">DOCTORADO EN BIOLOGÍA EXPERIMENTAL Y APLICADA </t>
        </is>
      </c>
      <c r="D10" s="37" t="inlineStr">
        <is>
          <t xml:space="preserve">González Serrano, Rafael </t>
        </is>
      </c>
      <c r="E10" s="37" t="inlineStr">
        <is>
          <t xml:space="preserve">Host recognition strategies and evolution in phages infecting the marine bacterium Alteromonas sp. </t>
        </is>
      </c>
      <c r="F10" s="37" t="inlineStr">
        <is>
          <t xml:space="preserve">22/03/2021 </t>
        </is>
      </c>
      <c r="G10" s="38" t="inlineStr">
        <is>
          <t xml:space="preserve">- </t>
        </is>
      </c>
      <c r="H10" s="39" t="inlineStr">
        <is>
          <t xml:space="preserve">Codirector de tesis </t>
        </is>
      </c>
      <c r="I10" s="39" t="inlineStr">
        <is>
          <t xml:space="preserve">B164 </t>
        </is>
      </c>
      <c r="J10" s="40" t="inlineStr">
        <is>
          <t xml:space="preserve">FISIOLOGÍA, GENÉTICA Y MICROBIOLOGÍA </t>
        </is>
      </c>
      <c r="K10" s="69" t="n">
        <v>0.5</v>
      </c>
      <c r="L10" s="69" t="inlineStr">
        <is>
          <t>B164</t>
        </is>
      </c>
      <c r="M10" s="68" t="n">
        <v>2020</v>
      </c>
      <c r="N10" s="68" t="inlineStr"/>
      <c r="O10" s="31" t="inlineStr"/>
      <c r="P10" s="68" t="inlineStr"/>
      <c r="Q10" s="31" t="inlineStr"/>
      <c r="R10" s="68" t="n">
        <v>100</v>
      </c>
      <c r="S10" s="68" t="n">
        <v>0.5</v>
      </c>
      <c r="T10" s="68" t="n">
        <v>0</v>
      </c>
      <c r="U10" s="68" t="n">
        <v>0</v>
      </c>
    </row>
    <row r="11" ht="10.8" customHeight="1" thickBot="1">
      <c r="A11" s="37" t="inlineStr">
        <is>
          <t xml:space="preserve">B164 </t>
        </is>
      </c>
      <c r="B11" s="37" t="inlineStr">
        <is>
          <t xml:space="preserve">FISIOLOGÍA, GENÉTICA Y MICROBIOLOGÍA </t>
        </is>
      </c>
      <c r="C11" s="37" t="inlineStr">
        <is>
          <t xml:space="preserve">DOCTORADO EN BIOLOGÍA EXPERIMENTAL Y APLICADA </t>
        </is>
      </c>
      <c r="D11" s="37" t="inlineStr">
        <is>
          <t xml:space="preserve">Villamor Serrano, Judit </t>
        </is>
      </c>
      <c r="E11" s="37" t="inlineStr">
        <is>
          <t xml:space="preserve">Estudio de las virosferas de Salinibacter ruber y Haloquadratum walsbyi </t>
        </is>
      </c>
      <c r="F11" s="37" t="inlineStr">
        <is>
          <t xml:space="preserve">07/05/2021 </t>
        </is>
      </c>
      <c r="G11" s="38" t="inlineStr">
        <is>
          <t xml:space="preserve">44760971G </t>
        </is>
      </c>
      <c r="H11" s="39" t="inlineStr">
        <is>
          <t xml:space="preserve">Codirector de tesis </t>
        </is>
      </c>
      <c r="I11" s="39" t="inlineStr">
        <is>
          <t xml:space="preserve">B164 </t>
        </is>
      </c>
      <c r="J11" s="40" t="inlineStr">
        <is>
          <t xml:space="preserve">FISIOLOGÍA, GENÉTICA Y MICROBIOLOGÍA </t>
        </is>
      </c>
      <c r="K11" s="69" t="n">
        <v>0.5</v>
      </c>
      <c r="L11" s="69" t="inlineStr">
        <is>
          <t>B164</t>
        </is>
      </c>
      <c r="M11" s="68" t="n">
        <v>2020</v>
      </c>
      <c r="N11" s="68" t="inlineStr"/>
      <c r="O11" s="31" t="inlineStr"/>
      <c r="P11" s="68" t="inlineStr"/>
      <c r="Q11" s="31" t="inlineStr"/>
      <c r="R11" s="68" t="n">
        <v>100</v>
      </c>
      <c r="S11" s="68" t="n">
        <v>0.5</v>
      </c>
      <c r="T11" s="68" t="n">
        <v>0</v>
      </c>
      <c r="U11" s="68" t="n">
        <v>0</v>
      </c>
    </row>
    <row r="12" ht="10.8" customHeight="1" thickBot="1">
      <c r="A12" s="37" t="inlineStr">
        <is>
          <t xml:space="preserve">B164 </t>
        </is>
      </c>
      <c r="B12" s="37" t="inlineStr">
        <is>
          <t xml:space="preserve">FISIOLOGÍA, GENÉTICA Y MICROBIOLOGÍA </t>
        </is>
      </c>
      <c r="C12" s="37" t="inlineStr">
        <is>
          <t xml:space="preserve">DOCTORADO EN BIOLOGÍA EXPERIMENTAL Y APLICADA </t>
        </is>
      </c>
      <c r="D12" s="37" t="inlineStr">
        <is>
          <t xml:space="preserve">Villamor Serrano, Judit </t>
        </is>
      </c>
      <c r="E12" s="37" t="inlineStr">
        <is>
          <t xml:space="preserve">Estudio de las virosferas de Salinibacter ruber y Haloquadratum walsbyi </t>
        </is>
      </c>
      <c r="F12" s="37" t="inlineStr">
        <is>
          <t xml:space="preserve">07/05/2021 </t>
        </is>
      </c>
      <c r="G12" s="38" t="inlineStr">
        <is>
          <t xml:space="preserve">21441866R </t>
        </is>
      </c>
      <c r="H12" s="39" t="inlineStr">
        <is>
          <t xml:space="preserve">Codirector de tesis </t>
        </is>
      </c>
      <c r="I12" s="39" t="inlineStr">
        <is>
          <t xml:space="preserve">B164 </t>
        </is>
      </c>
      <c r="J12" s="40" t="inlineStr">
        <is>
          <t xml:space="preserve">FISIOLOGÍA, GENÉTICA Y MICROBIOLOGÍA </t>
        </is>
      </c>
      <c r="K12" s="69" t="n">
        <v>0.5</v>
      </c>
      <c r="L12" s="69" t="inlineStr">
        <is>
          <t>B164</t>
        </is>
      </c>
      <c r="M12" s="68" t="n">
        <v>2020</v>
      </c>
      <c r="N12" s="68" t="inlineStr">
        <is>
          <t>10.16</t>
        </is>
      </c>
      <c r="O12" s="31" t="n">
        <v>50</v>
      </c>
      <c r="P12" s="68" t="inlineStr"/>
      <c r="Q12" s="31" t="n">
        <v>0</v>
      </c>
      <c r="R12" s="68" t="n">
        <v>50</v>
      </c>
      <c r="S12" s="68" t="n">
        <v>0.25</v>
      </c>
      <c r="T12" s="68" t="n">
        <v>0.25</v>
      </c>
      <c r="U12" s="68" t="n">
        <v>0</v>
      </c>
    </row>
    <row r="13">
      <c r="A13" s="68" t="inlineStr">
        <is>
          <t xml:space="preserve">B164 </t>
        </is>
      </c>
      <c r="B13" s="68" t="inlineStr">
        <is>
          <t xml:space="preserve">FISIOLOGÍA, GENÉTICA Y MICROBIOLOGÍA </t>
        </is>
      </c>
      <c r="C13" s="68" t="inlineStr">
        <is>
          <t xml:space="preserve">DOCTORADO EN BIOLOGÍA EXPERIMENTAL Y APLICADA </t>
        </is>
      </c>
      <c r="D13" s="68" t="inlineStr">
        <is>
          <t xml:space="preserve">Aldeguer Riquelme, Borja </t>
        </is>
      </c>
      <c r="E13" s="68" t="inlineStr">
        <is>
          <t xml:space="preserve">Caracterización de las comunidades microbianas de los sedimentos del Mar Menor </t>
        </is>
      </c>
      <c r="F13" s="68" t="inlineStr">
        <is>
          <t xml:space="preserve">22/07/2022 </t>
        </is>
      </c>
      <c r="G13" s="68" t="inlineStr">
        <is>
          <t xml:space="preserve">44760971G </t>
        </is>
      </c>
      <c r="H13" s="68" t="inlineStr">
        <is>
          <t xml:space="preserve">Codirector de tesis </t>
        </is>
      </c>
      <c r="I13" s="68" t="inlineStr">
        <is>
          <t xml:space="preserve">B164 </t>
        </is>
      </c>
      <c r="J13" s="68" t="inlineStr">
        <is>
          <t xml:space="preserve">FISIOLOGÍA, GENÉTICA Y MICROBIOLOGÍA </t>
        </is>
      </c>
      <c r="K13" s="69" t="n">
        <v>0.5</v>
      </c>
      <c r="L13" s="69" t="inlineStr">
        <is>
          <t>B164</t>
        </is>
      </c>
      <c r="M13" s="68" t="n">
        <v>2021</v>
      </c>
      <c r="N13" s="68" t="inlineStr"/>
      <c r="O13" s="31" t="inlineStr"/>
      <c r="P13" s="68" t="inlineStr"/>
      <c r="Q13" s="31" t="inlineStr"/>
      <c r="R13" s="68" t="n">
        <v>100</v>
      </c>
      <c r="S13" s="68" t="n">
        <v>0.5</v>
      </c>
      <c r="T13" s="68" t="n">
        <v>0</v>
      </c>
      <c r="U13" s="68" t="n">
        <v>0</v>
      </c>
    </row>
    <row r="14">
      <c r="A14" s="68" t="inlineStr">
        <is>
          <t xml:space="preserve">B164 </t>
        </is>
      </c>
      <c r="B14" s="68" t="inlineStr">
        <is>
          <t xml:space="preserve">FISIOLOGÍA, GENÉTICA Y MICROBIOLOGÍA </t>
        </is>
      </c>
      <c r="C14" s="68" t="inlineStr">
        <is>
          <t xml:space="preserve">DOCTORADO EN BIOLOGÍA EXPERIMENTAL Y APLICADA </t>
        </is>
      </c>
      <c r="D14" s="68" t="inlineStr">
        <is>
          <t xml:space="preserve">Aldeguer Riquelme, Borja </t>
        </is>
      </c>
      <c r="E14" s="68" t="inlineStr">
        <is>
          <t xml:space="preserve">Caracterización de las comunidades microbianas de los sedimentos del Mar Menor </t>
        </is>
      </c>
      <c r="F14" s="68" t="inlineStr">
        <is>
          <t xml:space="preserve">22/07/2022 </t>
        </is>
      </c>
      <c r="G14" s="68" t="inlineStr">
        <is>
          <t xml:space="preserve">21441866R </t>
        </is>
      </c>
      <c r="H14" s="68" t="inlineStr">
        <is>
          <t xml:space="preserve">Codirector de tesis </t>
        </is>
      </c>
      <c r="I14" s="68" t="inlineStr">
        <is>
          <t xml:space="preserve">B164 </t>
        </is>
      </c>
      <c r="J14" s="68" t="inlineStr">
        <is>
          <t xml:space="preserve">FISIOLOGÍA, GENÉTICA Y MICROBIOLOGÍA </t>
        </is>
      </c>
      <c r="K14" s="69" t="n">
        <v>0.5</v>
      </c>
      <c r="L14" s="69" t="inlineStr">
        <is>
          <t>B164</t>
        </is>
      </c>
      <c r="M14" s="68" t="n">
        <v>2021</v>
      </c>
      <c r="N14" s="68" t="inlineStr">
        <is>
          <t>10.16</t>
        </is>
      </c>
      <c r="O14" s="31" t="n">
        <v>50</v>
      </c>
      <c r="P14" s="68" t="inlineStr"/>
      <c r="Q14" s="31" t="n">
        <v>0</v>
      </c>
      <c r="R14" s="68" t="n">
        <v>50</v>
      </c>
      <c r="S14" s="68" t="n">
        <v>0.25</v>
      </c>
      <c r="T14" s="68" t="n">
        <v>0.25</v>
      </c>
      <c r="U14" s="68" t="n">
        <v>0</v>
      </c>
    </row>
    <row r="15">
      <c r="A15" s="68" t="inlineStr">
        <is>
          <t xml:space="preserve">B164 </t>
        </is>
      </c>
      <c r="B15" s="68" t="inlineStr">
        <is>
          <t xml:space="preserve">FISIOLOGÍA, GENÉTICA Y MICROBIOLOGÍA </t>
        </is>
      </c>
      <c r="C15" s="68" t="inlineStr">
        <is>
          <t xml:space="preserve">DOCTORADO EN BIOLOGÍA EXPERIMENTAL Y APLICADA </t>
        </is>
      </c>
      <c r="D15" s="68" t="inlineStr">
        <is>
          <t xml:space="preserve">Maestre Carballa, Lucía </t>
        </is>
      </c>
      <c r="E15" s="68" t="inlineStr">
        <is>
          <t xml:space="preserve">Historia de un viaje: dinámica de los genes de resistencia a antibióticos, del cuerpo humano al ecosistema. </t>
        </is>
      </c>
      <c r="F15" s="68" t="inlineStr">
        <is>
          <t xml:space="preserve">27/07/2022 </t>
        </is>
      </c>
      <c r="G15" s="68" t="inlineStr">
        <is>
          <t xml:space="preserve">48353206F </t>
        </is>
      </c>
      <c r="H15" s="68" t="inlineStr">
        <is>
          <t xml:space="preserve">Director de tesis </t>
        </is>
      </c>
      <c r="I15" s="68" t="inlineStr">
        <is>
          <t xml:space="preserve">B164 </t>
        </is>
      </c>
      <c r="J15" s="68" t="inlineStr">
        <is>
          <t xml:space="preserve">FISIOLOGÍA, GENÉTICA Y MICROBIOLOGÍA </t>
        </is>
      </c>
      <c r="K15" s="69" t="n">
        <v>1</v>
      </c>
      <c r="L15" s="69" t="inlineStr">
        <is>
          <t>B164</t>
        </is>
      </c>
      <c r="M15" s="68" t="n">
        <v>2021</v>
      </c>
      <c r="N15" s="68" t="inlineStr">
        <is>
          <t>10.16</t>
        </is>
      </c>
      <c r="O15" s="31" t="n">
        <v>50</v>
      </c>
      <c r="P15" s="68" t="inlineStr"/>
      <c r="Q15" s="31" t="n">
        <v>0</v>
      </c>
      <c r="R15" s="68" t="n">
        <v>50</v>
      </c>
      <c r="S15" s="68" t="n">
        <v>0.5</v>
      </c>
      <c r="T15" s="68" t="n">
        <v>0.5</v>
      </c>
      <c r="U15" s="68" t="n">
        <v>0</v>
      </c>
    </row>
    <row r="16">
      <c r="A16" s="68" t="inlineStr">
        <is>
          <t xml:space="preserve">B164 </t>
        </is>
      </c>
      <c r="B16" s="68" t="inlineStr">
        <is>
          <t xml:space="preserve">FISIOLOGÍA, GENÉTICA Y MICROBIOLOGÍA </t>
        </is>
      </c>
      <c r="C16" s="68" t="inlineStr">
        <is>
          <t xml:space="preserve">DOCTORADO EN BIOLOGÍA EXPERIMENTAL Y APLICADA </t>
        </is>
      </c>
      <c r="D16" s="68" t="inlineStr">
        <is>
          <t xml:space="preserve">Quereda Galvañ, Cristina </t>
        </is>
      </c>
      <c r="E16" s="68" t="inlineStr">
        <is>
          <t xml:space="preserve">Expresión en la retina y células tumorales de genes y proteínas asociados a distrofias neuromusculares congénitas </t>
        </is>
      </c>
      <c r="F16" s="68" t="inlineStr">
        <is>
          <t xml:space="preserve">22/07/2022 </t>
        </is>
      </c>
      <c r="G16" s="68" t="inlineStr">
        <is>
          <t xml:space="preserve">27294053E </t>
        </is>
      </c>
      <c r="H16" s="68" t="inlineStr">
        <is>
          <t xml:space="preserve">Director de tesis </t>
        </is>
      </c>
      <c r="I16" s="68" t="inlineStr">
        <is>
          <t xml:space="preserve">B164 </t>
        </is>
      </c>
      <c r="J16" s="68" t="inlineStr">
        <is>
          <t xml:space="preserve">FISIOLOGÍA, GENÉTICA Y MICROBIOLOGÍA </t>
        </is>
      </c>
      <c r="K16" s="69" t="n">
        <v>1</v>
      </c>
      <c r="L16" s="69" t="inlineStr">
        <is>
          <t>B164</t>
        </is>
      </c>
      <c r="M16" s="68" t="n">
        <v>2021</v>
      </c>
      <c r="N16" s="68" t="inlineStr">
        <is>
          <t>10.16</t>
        </is>
      </c>
      <c r="O16" s="31" t="n">
        <v>85</v>
      </c>
      <c r="P16" s="68" t="inlineStr"/>
      <c r="Q16" s="31" t="n">
        <v>0</v>
      </c>
      <c r="R16" s="68" t="n">
        <v>15</v>
      </c>
      <c r="S16" s="68" t="n">
        <v>0.15</v>
      </c>
      <c r="T16" s="68" t="n">
        <v>0.85</v>
      </c>
      <c r="U16" s="68" t="n">
        <v>0</v>
      </c>
    </row>
    <row r="17">
      <c r="A17" s="68" t="inlineStr">
        <is>
          <t xml:space="preserve">B164 </t>
        </is>
      </c>
      <c r="B17" s="68" t="inlineStr">
        <is>
          <t xml:space="preserve">FISIOLOGÍA, GENÉTICA Y MICROBIOLOGÍA </t>
        </is>
      </c>
      <c r="C17" s="68" t="inlineStr">
        <is>
          <t xml:space="preserve">DOCTORADO EN BIOLOGÍA EXPERIMENTAL Y APLICADA </t>
        </is>
      </c>
      <c r="D17" s="68" t="inlineStr">
        <is>
          <t xml:space="preserve">Molina Martín, Luis Alberto </t>
        </is>
      </c>
      <c r="E17" s="68" t="inlineStr">
        <is>
          <t xml:space="preserve">Tomografía de coherencia óptica y ecografía orbitaria en el diagnóstico del deterioro cognitivo leve. </t>
        </is>
      </c>
      <c r="F17" s="68" t="inlineStr">
        <is>
          <t xml:space="preserve">09/09/2022 </t>
        </is>
      </c>
      <c r="G17" s="68" t="inlineStr">
        <is>
          <t xml:space="preserve">22112038E </t>
        </is>
      </c>
      <c r="H17" s="68" t="inlineStr">
        <is>
          <t xml:space="preserve">Codirector de tesis </t>
        </is>
      </c>
      <c r="I17" s="68" t="inlineStr">
        <is>
          <t xml:space="preserve">B164 </t>
        </is>
      </c>
      <c r="J17" s="68" t="inlineStr">
        <is>
          <t xml:space="preserve">FISIOLOGÍA, GENÉTICA Y MICROBIOLOGÍA </t>
        </is>
      </c>
      <c r="K17" s="69" t="n">
        <v>0.5</v>
      </c>
      <c r="L17" s="69" t="inlineStr">
        <is>
          <t>B164</t>
        </is>
      </c>
      <c r="M17" s="68" t="n">
        <v>2021</v>
      </c>
      <c r="N17" s="68" t="inlineStr">
        <is>
          <t>10.16</t>
        </is>
      </c>
      <c r="O17" s="31" t="n">
        <v>85</v>
      </c>
      <c r="P17" s="68" t="inlineStr"/>
      <c r="Q17" s="31" t="n">
        <v>0</v>
      </c>
      <c r="R17" s="68" t="n">
        <v>15</v>
      </c>
      <c r="S17" s="68" t="n">
        <v>0.075</v>
      </c>
      <c r="T17" s="68" t="n">
        <v>0.425</v>
      </c>
      <c r="U17" s="68" t="n">
        <v>0</v>
      </c>
    </row>
    <row r="18">
      <c r="A18" s="68" t="inlineStr">
        <is>
          <t xml:space="preserve">B164 </t>
        </is>
      </c>
      <c r="B18" s="68" t="inlineStr">
        <is>
          <t xml:space="preserve">FISIOLOGÍA, GENÉTICA Y MICROBIOLOGÍA </t>
        </is>
      </c>
      <c r="C18" s="68" t="inlineStr">
        <is>
          <t xml:space="preserve">DOCTORADO EN BIOLOGÍA EXPERIMENTAL Y APLICADA </t>
        </is>
      </c>
      <c r="D18" s="68" t="inlineStr">
        <is>
          <t xml:space="preserve">Molina Martín, Luis Alberto </t>
        </is>
      </c>
      <c r="E18" s="68" t="inlineStr">
        <is>
          <t xml:space="preserve">Tomografía de coherencia óptica y ecografía orbitaria en el diagnóstico del deterioro cognitivo leve. </t>
        </is>
      </c>
      <c r="F18" s="68" t="inlineStr">
        <is>
          <t xml:space="preserve">09/09/2022 </t>
        </is>
      </c>
      <c r="G18" s="68" t="inlineStr">
        <is>
          <t xml:space="preserve">- </t>
        </is>
      </c>
      <c r="H18" s="68" t="inlineStr">
        <is>
          <t xml:space="preserve">Codirector de tesis </t>
        </is>
      </c>
      <c r="I18" s="68" t="inlineStr">
        <is>
          <t xml:space="preserve">B164 </t>
        </is>
      </c>
      <c r="J18" s="68" t="inlineStr">
        <is>
          <t xml:space="preserve">FISIOLOGÍA, GENÉTICA Y MICROBIOLOGÍA </t>
        </is>
      </c>
      <c r="K18" s="69" t="n">
        <v>0.5</v>
      </c>
      <c r="L18" s="69" t="inlineStr">
        <is>
          <t>B164</t>
        </is>
      </c>
      <c r="M18" s="68" t="n">
        <v>2021</v>
      </c>
      <c r="N18" s="68" t="inlineStr"/>
      <c r="O18" s="31" t="inlineStr"/>
      <c r="P18" s="68" t="inlineStr"/>
      <c r="Q18" s="31" t="inlineStr"/>
      <c r="R18" s="68" t="n">
        <v>100</v>
      </c>
      <c r="S18" s="68" t="n">
        <v>0.5</v>
      </c>
      <c r="T18" s="68" t="n">
        <v>0</v>
      </c>
      <c r="U18" s="68" t="n">
        <v>0</v>
      </c>
    </row>
    <row r="19">
      <c r="A19" s="68" t="inlineStr">
        <is>
          <t xml:space="preserve">B164 </t>
        </is>
      </c>
      <c r="B19" s="68" t="inlineStr">
        <is>
          <t xml:space="preserve">FISIOLOGÍA, GENÉTICA Y MICROBIOLOGÍA </t>
        </is>
      </c>
      <c r="C19" s="68" t="inlineStr">
        <is>
          <t xml:space="preserve">DOCTORADO EN BIOLOGÍA EXPERIMENTAL Y APLICADA </t>
        </is>
      </c>
      <c r="D19" s="68" t="inlineStr">
        <is>
          <t xml:space="preserve">Ripolles Garcia, Ana </t>
        </is>
      </c>
      <c r="E19" s="68" t="inlineStr">
        <is>
          <t xml:space="preserve">Photoreceptor transplantation and characterization of vascular changes in canine inherited retinal degeneration </t>
        </is>
      </c>
      <c r="F19" s="68" t="inlineStr">
        <is>
          <t xml:space="preserve">13/01/2023 </t>
        </is>
      </c>
      <c r="G19" s="68" t="inlineStr">
        <is>
          <t xml:space="preserve">22112038E </t>
        </is>
      </c>
      <c r="H19" s="68" t="inlineStr">
        <is>
          <t xml:space="preserve">Codirector de tesis </t>
        </is>
      </c>
      <c r="I19" s="68" t="inlineStr">
        <is>
          <t xml:space="preserve">B164 </t>
        </is>
      </c>
      <c r="J19" s="68" t="inlineStr">
        <is>
          <t xml:space="preserve">FISIOLOGÍA, GENÉTICA Y MICROBIOLOGÍA </t>
        </is>
      </c>
      <c r="K19" s="47" t="n">
        <v>0.5</v>
      </c>
      <c r="L19" s="47" t="inlineStr">
        <is>
          <t>B164</t>
        </is>
      </c>
      <c r="M19" s="68" t="n">
        <v>2022</v>
      </c>
      <c r="N19" s="47" t="inlineStr">
        <is>
          <t>10.16</t>
        </is>
      </c>
      <c r="O19" s="47" t="n">
        <v>85</v>
      </c>
      <c r="P19" s="47" t="inlineStr"/>
      <c r="Q19" s="47" t="n">
        <v>0</v>
      </c>
      <c r="R19" s="47" t="n">
        <v>15</v>
      </c>
      <c r="S19" s="47" t="n">
        <v>0.075</v>
      </c>
      <c r="T19" s="47" t="n">
        <v>0.425</v>
      </c>
      <c r="U19" s="47" t="n">
        <v>0</v>
      </c>
    </row>
    <row r="20">
      <c r="A20" s="68" t="inlineStr">
        <is>
          <t xml:space="preserve">B164 </t>
        </is>
      </c>
      <c r="B20" s="68" t="inlineStr">
        <is>
          <t xml:space="preserve">FISIOLOGÍA, GENÉTICA Y MICROBIOLOGÍA </t>
        </is>
      </c>
      <c r="C20" s="68" t="inlineStr">
        <is>
          <t xml:space="preserve">DOCTORADO EN BIOLOGÍA EXPERIMENTAL Y APLICADA </t>
        </is>
      </c>
      <c r="D20" s="68" t="inlineStr">
        <is>
          <t xml:space="preserve">Ripolles Garcia, Ana </t>
        </is>
      </c>
      <c r="E20" s="68" t="inlineStr">
        <is>
          <t xml:space="preserve">Photoreceptor transplantation and characterization of vascular changes in canine inherited retinal degeneration </t>
        </is>
      </c>
      <c r="F20" s="68" t="inlineStr">
        <is>
          <t xml:space="preserve">13/01/2023 </t>
        </is>
      </c>
      <c r="G20" s="68" t="inlineStr">
        <is>
          <t xml:space="preserve">- </t>
        </is>
      </c>
      <c r="H20" s="68" t="inlineStr">
        <is>
          <t xml:space="preserve">Codirector de tesis </t>
        </is>
      </c>
      <c r="I20" s="68" t="inlineStr">
        <is>
          <t xml:space="preserve">B164 </t>
        </is>
      </c>
      <c r="J20" s="68" t="inlineStr">
        <is>
          <t xml:space="preserve">FISIOLOGÍA, GENÉTICA Y MICROBIOLOGÍA </t>
        </is>
      </c>
      <c r="K20" s="47" t="n">
        <v>0.5</v>
      </c>
      <c r="L20" s="47" t="inlineStr">
        <is>
          <t>B164</t>
        </is>
      </c>
      <c r="M20" s="68" t="n">
        <v>2022</v>
      </c>
      <c r="N20" s="47" t="inlineStr"/>
      <c r="O20" s="47" t="inlineStr"/>
      <c r="P20" s="47" t="inlineStr"/>
      <c r="Q20" s="47" t="inlineStr"/>
      <c r="R20" s="47" t="n">
        <v>100</v>
      </c>
      <c r="S20" s="47" t="n">
        <v>0.5</v>
      </c>
      <c r="T20" s="47" t="n">
        <v>0</v>
      </c>
      <c r="U20" s="47" t="n">
        <v>0</v>
      </c>
    </row>
    <row r="21">
      <c r="A21" s="68" t="inlineStr">
        <is>
          <t xml:space="preserve">B164 </t>
        </is>
      </c>
      <c r="B21" s="68" t="inlineStr">
        <is>
          <t xml:space="preserve">FISIOLOGÍA, GENÉTICA Y MICROBIOLOGÍA </t>
        </is>
      </c>
      <c r="C21" s="68" t="inlineStr">
        <is>
          <t xml:space="preserve">DOCTORADO EN BIOLOGÍA EXPERIMENTAL Y APLICADA </t>
        </is>
      </c>
      <c r="D21" s="68" t="inlineStr">
        <is>
          <t xml:space="preserve">Mangas Sanjuán, Carolina </t>
        </is>
      </c>
      <c r="E21" s="68" t="inlineStr">
        <is>
          <t xml:space="preserve">EVALUACIÓN DE LOS INDICADORES DE CALIDAD DE LA COLONOSCOPIA PARA LA PREVENCIÓN DEL CÁNCER COLORRECTAL </t>
        </is>
      </c>
      <c r="F21" s="68" t="inlineStr">
        <is>
          <t xml:space="preserve">02/06/2023 </t>
        </is>
      </c>
      <c r="G21" s="68" t="inlineStr">
        <is>
          <t xml:space="preserve">- </t>
        </is>
      </c>
      <c r="H21" s="68" t="inlineStr">
        <is>
          <t xml:space="preserve">Director de tesis </t>
        </is>
      </c>
      <c r="I21" s="68" t="inlineStr">
        <is>
          <t xml:space="preserve">B164 </t>
        </is>
      </c>
      <c r="J21" s="68" t="inlineStr">
        <is>
          <t xml:space="preserve">FISIOLOGÍA, GENÉTICA Y MICROBIOLOGÍA </t>
        </is>
      </c>
      <c r="K21" s="47" t="n">
        <v>1</v>
      </c>
      <c r="L21" s="47" t="inlineStr">
        <is>
          <t>B164</t>
        </is>
      </c>
      <c r="M21" s="68" t="n">
        <v>2022</v>
      </c>
      <c r="N21" s="47" t="inlineStr"/>
      <c r="O21" s="47" t="inlineStr"/>
      <c r="P21" s="47" t="inlineStr"/>
      <c r="Q21" s="47" t="inlineStr"/>
      <c r="R21" s="47" t="n">
        <v>100</v>
      </c>
      <c r="S21" s="47" t="n">
        <v>1</v>
      </c>
      <c r="T21" s="47" t="n">
        <v>0</v>
      </c>
      <c r="U21" s="47" t="n">
        <v>0</v>
      </c>
    </row>
    <row r="22">
      <c r="A22" s="68" t="inlineStr">
        <is>
          <t xml:space="preserve">B164 </t>
        </is>
      </c>
      <c r="B22" s="68" t="inlineStr">
        <is>
          <t xml:space="preserve">FISIOLOGÍA, GENÉTICA Y MICROBIOLOGÍA </t>
        </is>
      </c>
      <c r="C22" s="68" t="inlineStr">
        <is>
          <t xml:space="preserve">DOCTORADO EN BIOLOGÍA EXPERIMENTAL Y APLICADA </t>
        </is>
      </c>
      <c r="D22" s="68" t="inlineStr">
        <is>
          <t xml:space="preserve">Baile Maxía, Sandra </t>
        </is>
      </c>
      <c r="E22" s="68" t="inlineStr">
        <is>
          <t xml:space="preserve">Colonoscopia y riesgo metacrónico de neoplasia colorrectal </t>
        </is>
      </c>
      <c r="F22" s="68" t="inlineStr">
        <is>
          <t xml:space="preserve">10/07/2023 </t>
        </is>
      </c>
      <c r="G22" s="68" t="inlineStr">
        <is>
          <t xml:space="preserve">- </t>
        </is>
      </c>
      <c r="H22" s="68" t="inlineStr">
        <is>
          <t xml:space="preserve">Director de tesis </t>
        </is>
      </c>
      <c r="I22" s="68" t="inlineStr">
        <is>
          <t xml:space="preserve">B164 </t>
        </is>
      </c>
      <c r="J22" s="68" t="inlineStr">
        <is>
          <t xml:space="preserve">FISIOLOGÍA, GENÉTICA Y MICROBIOLOGÍA </t>
        </is>
      </c>
      <c r="K22" s="47" t="n">
        <v>1</v>
      </c>
      <c r="L22" s="47" t="inlineStr">
        <is>
          <t>B164</t>
        </is>
      </c>
      <c r="M22" s="68" t="n">
        <v>2022</v>
      </c>
      <c r="N22" s="47" t="inlineStr"/>
      <c r="O22" s="47" t="inlineStr"/>
      <c r="P22" s="47" t="inlineStr"/>
      <c r="Q22" s="47" t="inlineStr"/>
      <c r="R22" s="47" t="n">
        <v>100</v>
      </c>
      <c r="S22" s="47" t="n">
        <v>1</v>
      </c>
      <c r="T22" s="47" t="n">
        <v>0</v>
      </c>
      <c r="U22" s="47" t="n">
        <v>0</v>
      </c>
    </row>
    <row r="23">
      <c r="A23" s="68" t="inlineStr">
        <is>
          <t xml:space="preserve">B164 </t>
        </is>
      </c>
      <c r="B23" s="68" t="inlineStr">
        <is>
          <t xml:space="preserve">FISIOLOGÍA, GENÉTICA Y MICROBIOLOGÍA </t>
        </is>
      </c>
      <c r="C23" s="68" t="inlineStr">
        <is>
          <t xml:space="preserve">DOCTORADO EN BIOLOGÍA EXPERIMENTAL Y APLICADA </t>
        </is>
      </c>
      <c r="D23" s="68" t="inlineStr">
        <is>
          <t xml:space="preserve">Sánchez Sáez, Xavier </t>
        </is>
      </c>
      <c r="E23" s="68" t="inlineStr">
        <is>
          <t xml:space="preserve">Retinal alterations and optic nerve degeneration as biomarkers for Parkinson's disease. </t>
        </is>
      </c>
      <c r="F23" s="68" t="inlineStr">
        <is>
          <t xml:space="preserve">25/10/2022 </t>
        </is>
      </c>
      <c r="G23" s="68" t="inlineStr">
        <is>
          <t xml:space="preserve">22112038E </t>
        </is>
      </c>
      <c r="H23" s="68" t="inlineStr">
        <is>
          <t xml:space="preserve">Director de tesis </t>
        </is>
      </c>
      <c r="I23" s="68" t="inlineStr">
        <is>
          <t xml:space="preserve">B164 </t>
        </is>
      </c>
      <c r="J23" s="68" t="inlineStr">
        <is>
          <t xml:space="preserve">FISIOLOGÍA, GENÉTICA Y MICROBIOLOGÍA </t>
        </is>
      </c>
      <c r="K23" s="47" t="n">
        <v>1</v>
      </c>
      <c r="L23" s="47" t="inlineStr">
        <is>
          <t>B164</t>
        </is>
      </c>
      <c r="M23" s="68" t="n">
        <v>2022</v>
      </c>
      <c r="N23" s="47" t="inlineStr">
        <is>
          <t>10.16</t>
        </is>
      </c>
      <c r="O23" s="47" t="n">
        <v>85</v>
      </c>
      <c r="P23" s="47" t="inlineStr"/>
      <c r="Q23" s="47" t="n">
        <v>0</v>
      </c>
      <c r="R23" s="47" t="n">
        <v>15</v>
      </c>
      <c r="S23" s="47" t="n">
        <v>0.15</v>
      </c>
      <c r="T23" s="47" t="n">
        <v>0.85</v>
      </c>
      <c r="U23" s="47" t="n">
        <v>0</v>
      </c>
    </row>
    <row r="24">
      <c r="A24" s="68" t="inlineStr">
        <is>
          <t xml:space="preserve">B164 </t>
        </is>
      </c>
      <c r="B24" s="68" t="inlineStr">
        <is>
          <t xml:space="preserve">FISIOLOGÍA, GENÉTICA Y MICROBIOLOGÍA </t>
        </is>
      </c>
      <c r="C24" s="68" t="inlineStr">
        <is>
          <t xml:space="preserve">DOCTORADO EN BIOLOGÍA EXPERIMENTAL Y APLICADA </t>
        </is>
      </c>
      <c r="D24" s="68" t="inlineStr">
        <is>
          <t xml:space="preserve">Aparicio Domingo, Silvia </t>
        </is>
      </c>
      <c r="E24" s="68" t="inlineStr">
        <is>
          <t xml:space="preserve">Novel stem cell-based retinal transplant and swine model of retina degeneration: enabling technologies for regenerative therapies </t>
        </is>
      </c>
      <c r="F24" s="68" t="inlineStr">
        <is>
          <t xml:space="preserve">05/07/2023 </t>
        </is>
      </c>
      <c r="G24" s="68" t="inlineStr">
        <is>
          <t xml:space="preserve">22112038E </t>
        </is>
      </c>
      <c r="H24" s="68" t="inlineStr">
        <is>
          <t xml:space="preserve">Codirector de tesis </t>
        </is>
      </c>
      <c r="I24" s="68" t="inlineStr">
        <is>
          <t xml:space="preserve">B164 </t>
        </is>
      </c>
      <c r="J24" s="68" t="inlineStr">
        <is>
          <t xml:space="preserve">FISIOLOGÍA, GENÉTICA Y MICROBIOLOGÍA </t>
        </is>
      </c>
      <c r="K24" s="47" t="n">
        <v>0.5</v>
      </c>
      <c r="L24" s="47" t="inlineStr">
        <is>
          <t>B164</t>
        </is>
      </c>
      <c r="M24" s="68" t="n">
        <v>2022</v>
      </c>
      <c r="N24" s="47" t="inlineStr">
        <is>
          <t>10.16</t>
        </is>
      </c>
      <c r="O24" s="47" t="n">
        <v>85</v>
      </c>
      <c r="P24" s="47" t="inlineStr"/>
      <c r="Q24" s="47" t="n">
        <v>0</v>
      </c>
      <c r="R24" s="47" t="n">
        <v>15</v>
      </c>
      <c r="S24" s="47" t="n">
        <v>0.075</v>
      </c>
      <c r="T24" s="47" t="n">
        <v>0.425</v>
      </c>
      <c r="U24" s="47" t="n">
        <v>0</v>
      </c>
    </row>
    <row r="25">
      <c r="A25" s="68" t="inlineStr">
        <is>
          <t xml:space="preserve">B164 </t>
        </is>
      </c>
      <c r="B25" s="68" t="inlineStr">
        <is>
          <t xml:space="preserve">FISIOLOGÍA, GENÉTICA Y MICROBIOLOGÍA </t>
        </is>
      </c>
      <c r="C25" s="68" t="inlineStr">
        <is>
          <t xml:space="preserve">DOCTORADO EN BIOLOGÍA EXPERIMENTAL Y APLICADA </t>
        </is>
      </c>
      <c r="D25" s="68" t="inlineStr">
        <is>
          <t xml:space="preserve">Aparicio Domingo, Silvia </t>
        </is>
      </c>
      <c r="E25" s="68" t="inlineStr">
        <is>
          <t xml:space="preserve">Novel stem cell-based retinal transplant and swine model of retina degeneration: enabling technologies for regenerative therapies </t>
        </is>
      </c>
      <c r="F25" s="68" t="inlineStr">
        <is>
          <t xml:space="preserve">05/07/2023 </t>
        </is>
      </c>
      <c r="G25" s="68" t="inlineStr">
        <is>
          <t xml:space="preserve">- </t>
        </is>
      </c>
      <c r="H25" s="68" t="inlineStr">
        <is>
          <t xml:space="preserve">Codirector de tesis </t>
        </is>
      </c>
      <c r="I25" s="68" t="inlineStr">
        <is>
          <t xml:space="preserve">B164 </t>
        </is>
      </c>
      <c r="J25" s="68" t="inlineStr">
        <is>
          <t xml:space="preserve">FISIOLOGÍA, GENÉTICA Y MICROBIOLOGÍA </t>
        </is>
      </c>
      <c r="K25" s="47" t="n">
        <v>0.5</v>
      </c>
      <c r="L25" s="47" t="inlineStr">
        <is>
          <t>B164</t>
        </is>
      </c>
      <c r="M25" s="68" t="n">
        <v>2022</v>
      </c>
      <c r="N25" s="47" t="inlineStr"/>
      <c r="O25" s="47" t="inlineStr"/>
      <c r="P25" s="47" t="inlineStr"/>
      <c r="Q25" s="47" t="inlineStr"/>
      <c r="R25" s="47" t="n">
        <v>100</v>
      </c>
      <c r="S25" s="47" t="n">
        <v>0.5</v>
      </c>
      <c r="T25" s="47" t="n">
        <v>0</v>
      </c>
      <c r="U25" s="47" t="n">
        <v>0</v>
      </c>
    </row>
    <row r="26">
      <c r="A26" s="68" t="inlineStr">
        <is>
          <t xml:space="preserve">B164 </t>
        </is>
      </c>
      <c r="B26" s="68" t="inlineStr">
        <is>
          <t xml:space="preserve">FISIOLOGÍA, GENÉTICA Y MICROBIOLOGÍA </t>
        </is>
      </c>
      <c r="C26" s="68" t="inlineStr">
        <is>
          <t xml:space="preserve">DOCTORADO EN BIOLOGÍA EXPERIMENTAL Y APLICADA </t>
        </is>
      </c>
      <c r="D26" s="68" t="inlineStr">
        <is>
          <t xml:space="preserve">Esquerrà Ruvira, Belén </t>
        </is>
      </c>
      <c r="E26" s="68" t="inlineStr">
        <is>
          <t xml:space="preserve">Caracterización funcional y aplicación biotecnológica de nuevos sistemas CRISPR¿Cas identificados en ambientes naturales de la provincia de Alicante </t>
        </is>
      </c>
      <c r="F26" s="68" t="inlineStr">
        <is>
          <t xml:space="preserve">19/12/2022 </t>
        </is>
      </c>
      <c r="G26" s="68" t="inlineStr">
        <is>
          <t xml:space="preserve">21989619D </t>
        </is>
      </c>
      <c r="H26" s="68" t="inlineStr">
        <is>
          <t xml:space="preserve">Codirector de tesis </t>
        </is>
      </c>
      <c r="I26" s="68" t="inlineStr">
        <is>
          <t xml:space="preserve">B164 </t>
        </is>
      </c>
      <c r="J26" s="68" t="inlineStr">
        <is>
          <t xml:space="preserve">FISIOLOGÍA, GENÉTICA Y MICROBIOLOGÍA </t>
        </is>
      </c>
      <c r="K26" s="47" t="n">
        <v>0.5</v>
      </c>
      <c r="L26" s="47" t="inlineStr">
        <is>
          <t>B164</t>
        </is>
      </c>
      <c r="M26" s="68" t="n">
        <v>2022</v>
      </c>
      <c r="N26" s="47" t="inlineStr">
        <is>
          <t>10.16</t>
        </is>
      </c>
      <c r="O26" s="47" t="n">
        <v>50</v>
      </c>
      <c r="P26" s="47" t="inlineStr"/>
      <c r="Q26" s="47" t="n">
        <v>0</v>
      </c>
      <c r="R26" s="47" t="n">
        <v>50</v>
      </c>
      <c r="S26" s="47" t="n">
        <v>0.25</v>
      </c>
      <c r="T26" s="47" t="n">
        <v>0.25</v>
      </c>
      <c r="U26" s="47" t="n">
        <v>0</v>
      </c>
    </row>
    <row r="27" ht="10.2" customFormat="1" customHeight="1" s="71">
      <c r="A27" s="68" t="inlineStr">
        <is>
          <t>B164</t>
        </is>
      </c>
      <c r="B27" s="68" t="inlineStr">
        <is>
          <t>FISIOLOGÍA, GENÉTICA Y MICROBIOLOGÍA</t>
        </is>
      </c>
      <c r="C27" s="68" t="inlineStr">
        <is>
          <t>DOCTORADO EN BIOLOGÍA EXPERIMENTAL Y APLICADA</t>
        </is>
      </c>
      <c r="D27" s="68" t="inlineStr">
        <is>
          <t>Adda Nekrouf , Nadefa</t>
        </is>
      </c>
      <c r="E27" s="68" t="inlineStr">
        <is>
          <t>Whispering waves: unveiling the secrets of marine vesicles, from nature to the laboratory</t>
        </is>
      </c>
      <c r="F27" s="68" t="inlineStr">
        <is>
          <t>19/07/2024</t>
        </is>
      </c>
      <c r="G27" s="68" t="inlineStr">
        <is>
          <t>48353206F</t>
        </is>
      </c>
      <c r="H27" s="68" t="inlineStr">
        <is>
          <t>Director de tesis</t>
        </is>
      </c>
      <c r="I27" s="69" t="inlineStr">
        <is>
          <t>B164</t>
        </is>
      </c>
      <c r="J27" s="68" t="inlineStr">
        <is>
          <t>FISIOLOGÍA, GENÉTICA Y MICROBIOLOGÍA</t>
        </is>
      </c>
      <c r="K27" s="47" t="n">
        <v>1</v>
      </c>
      <c r="L27" s="47" t="inlineStr">
        <is>
          <t>B164</t>
        </is>
      </c>
      <c r="M27" s="47" t="n">
        <v>2023</v>
      </c>
      <c r="N27" s="47" t="inlineStr">
        <is>
          <t>10.16</t>
        </is>
      </c>
      <c r="O27" s="47" t="inlineStr">
        <is>
          <t>50</t>
        </is>
      </c>
      <c r="P27" s="47" t="inlineStr"/>
      <c r="Q27" s="47" t="inlineStr"/>
      <c r="R27" s="47" t="n">
        <v>50</v>
      </c>
      <c r="S27" s="47" t="n">
        <v>0.5</v>
      </c>
      <c r="T27" s="47" t="n">
        <v>0.5</v>
      </c>
      <c r="U27" s="47" t="n">
        <v>0</v>
      </c>
      <c r="V27" s="70" t="n"/>
      <c r="Y27" s="72" t="n"/>
    </row>
    <row r="28" ht="10.2" customFormat="1" customHeight="1" s="71">
      <c r="A28" s="68" t="inlineStr">
        <is>
          <t>B164</t>
        </is>
      </c>
      <c r="B28" s="68" t="inlineStr">
        <is>
          <t>FISIOLOGÍA, GENÉTICA Y MICROBIOLOGÍA</t>
        </is>
      </c>
      <c r="C28" s="68" t="inlineStr">
        <is>
          <t>DOCTORADO EN BIOLOGÍA EXPERIMENTAL Y APLICADA</t>
        </is>
      </c>
      <c r="D28" s="68" t="inlineStr">
        <is>
          <t>Jerez García, Carmen</t>
        </is>
      </c>
      <c r="E28" s="68" t="inlineStr">
        <is>
          <t>GENÓMICA FUNCIONAL EN CIANOBACTERIAS Y ANÁLISIS DE INTERACCIONES MEDIADAS POR PIPX</t>
        </is>
      </c>
      <c r="F28" s="68" t="inlineStr">
        <is>
          <t>19/07/2024</t>
        </is>
      </c>
      <c r="G28" s="68" t="inlineStr">
        <is>
          <t>08791611E</t>
        </is>
      </c>
      <c r="H28" s="68" t="inlineStr">
        <is>
          <t>Director de tesis</t>
        </is>
      </c>
      <c r="I28" s="69" t="inlineStr">
        <is>
          <t>B164</t>
        </is>
      </c>
      <c r="J28" s="68" t="inlineStr">
        <is>
          <t>FISIOLOGÍA, GENÉTICA Y MICROBIOLOGÍA</t>
        </is>
      </c>
      <c r="K28" s="47" t="n">
        <v>1</v>
      </c>
      <c r="L28" s="47" t="inlineStr">
        <is>
          <t>B164</t>
        </is>
      </c>
      <c r="M28" s="47" t="n">
        <v>2023</v>
      </c>
      <c r="N28" s="47" t="inlineStr">
        <is>
          <t>10.16</t>
        </is>
      </c>
      <c r="O28" s="47" t="inlineStr">
        <is>
          <t>50</t>
        </is>
      </c>
      <c r="P28" s="47" t="inlineStr"/>
      <c r="Q28" s="47" t="inlineStr"/>
      <c r="R28" s="47" t="n">
        <v>50</v>
      </c>
      <c r="S28" s="47" t="n">
        <v>0.5</v>
      </c>
      <c r="T28" s="47" t="n">
        <v>0.5</v>
      </c>
      <c r="U28" s="47" t="n">
        <v>0</v>
      </c>
      <c r="V28" s="70" t="n"/>
      <c r="Y28" s="72" t="n"/>
    </row>
    <row r="29" ht="10.2" customFormat="1" customHeight="1" s="71">
      <c r="A29" s="68" t="inlineStr">
        <is>
          <t>B164</t>
        </is>
      </c>
      <c r="B29" s="68" t="inlineStr">
        <is>
          <t>FISIOLOGÍA, GENÉTICA Y MICROBIOLOGÍA</t>
        </is>
      </c>
      <c r="C29" s="68" t="inlineStr">
        <is>
          <t>DOCTORADO EN BIOLOGÍA EXPERIMENTAL Y APLICADA</t>
        </is>
      </c>
      <c r="D29" s="68" t="inlineStr">
        <is>
          <t>Ruiz Pastor, María José</t>
        </is>
      </c>
      <c r="E29" s="68" t="inlineStr">
        <is>
          <t>Fatty Acids in Retinal Degeneration and Expression of the DHA transporter, MFSD2a, in the Retina</t>
        </is>
      </c>
      <c r="F29" s="68" t="inlineStr">
        <is>
          <t>30/04/2024</t>
        </is>
      </c>
      <c r="G29" s="68" t="inlineStr">
        <is>
          <t>22112038E</t>
        </is>
      </c>
      <c r="H29" s="68" t="inlineStr">
        <is>
          <t>Director de tesis</t>
        </is>
      </c>
      <c r="I29" s="69" t="inlineStr">
        <is>
          <t>B164</t>
        </is>
      </c>
      <c r="J29" s="68" t="inlineStr">
        <is>
          <t>FISIOLOGÍA, GENÉTICA Y MICROBIOLOGÍA</t>
        </is>
      </c>
      <c r="K29" s="47" t="n">
        <v>1</v>
      </c>
      <c r="L29" s="47" t="inlineStr">
        <is>
          <t>B164</t>
        </is>
      </c>
      <c r="M29" s="47" t="n">
        <v>2023</v>
      </c>
      <c r="N29" s="47" t="inlineStr">
        <is>
          <t>10.16</t>
        </is>
      </c>
      <c r="O29" s="47" t="inlineStr">
        <is>
          <t>85</t>
        </is>
      </c>
      <c r="P29" s="47" t="inlineStr"/>
      <c r="Q29" s="47" t="inlineStr"/>
      <c r="R29" s="47" t="n">
        <v>15</v>
      </c>
      <c r="S29" s="47" t="n">
        <v>0.15</v>
      </c>
      <c r="T29" s="47" t="n">
        <v>0.85</v>
      </c>
      <c r="U29" s="47" t="n">
        <v>0</v>
      </c>
      <c r="V29" s="70" t="n"/>
      <c r="Y29" s="72" t="n"/>
    </row>
    <row r="30" ht="10.2" customFormat="1" customHeight="1" s="71">
      <c r="A30" s="68" t="inlineStr">
        <is>
          <t>B164</t>
        </is>
      </c>
      <c r="B30" s="68" t="inlineStr">
        <is>
          <t>FISIOLOGÍA, GENÉTICA Y MICROBIOLOGÍA</t>
        </is>
      </c>
      <c r="C30" s="68" t="inlineStr">
        <is>
          <t>DOCTORADO EN BIOLOGÍA EXPERIMENTAL Y APLICADA</t>
        </is>
      </c>
      <c r="D30" s="68" t="inlineStr">
        <is>
          <t>Llop Estevez, Antonio</t>
        </is>
      </c>
      <c r="E30" s="68" t="inlineStr">
        <is>
          <t>Synteny and genetic analysis as approaches to signal transduction in cyanobacteria</t>
        </is>
      </c>
      <c r="F30" s="68" t="inlineStr">
        <is>
          <t>09/01/2024</t>
        </is>
      </c>
      <c r="G30" s="68" t="inlineStr">
        <is>
          <t>08791611E</t>
        </is>
      </c>
      <c r="H30" s="68" t="inlineStr">
        <is>
          <t>Director de tesis</t>
        </is>
      </c>
      <c r="I30" s="69" t="inlineStr">
        <is>
          <t>B164</t>
        </is>
      </c>
      <c r="J30" s="68" t="inlineStr">
        <is>
          <t>FISIOLOGÍA, GENÉTICA Y MICROBIOLOGÍA</t>
        </is>
      </c>
      <c r="K30" s="47" t="n">
        <v>1</v>
      </c>
      <c r="L30" s="47" t="inlineStr">
        <is>
          <t>B164</t>
        </is>
      </c>
      <c r="M30" s="47" t="n">
        <v>2023</v>
      </c>
      <c r="N30" s="47" t="inlineStr">
        <is>
          <t>10.16</t>
        </is>
      </c>
      <c r="O30" s="47" t="inlineStr">
        <is>
          <t>50</t>
        </is>
      </c>
      <c r="P30" s="47" t="inlineStr"/>
      <c r="Q30" s="47" t="inlineStr"/>
      <c r="R30" s="47" t="n">
        <v>50</v>
      </c>
      <c r="S30" s="47" t="n">
        <v>0.5</v>
      </c>
      <c r="T30" s="47" t="n">
        <v>0.5</v>
      </c>
      <c r="U30" s="47" t="n">
        <v>0</v>
      </c>
      <c r="V30" s="70" t="n"/>
      <c r="Y30" s="72" t="n"/>
    </row>
    <row r="31" ht="10.2" customFormat="1" customHeight="1" s="71">
      <c r="A31" s="68" t="inlineStr">
        <is>
          <t>B164</t>
        </is>
      </c>
      <c r="B31" s="68" t="inlineStr">
        <is>
          <t>FISIOLOGÍA, GENÉTICA Y MICROBIOLOGÍA</t>
        </is>
      </c>
      <c r="C31" s="68" t="inlineStr">
        <is>
          <t>DOCTORADO EN BIOLOGÍA EXPERIMENTAL Y APLICADA</t>
        </is>
      </c>
      <c r="D31" s="68" t="inlineStr">
        <is>
          <t>Albertos Arranz, Henar</t>
        </is>
      </c>
      <c r="E31" s="68" t="inlineStr">
        <is>
          <t>Morphological and structural alterations in the neurons, glia and vascular network in human retinas affected by different diseases</t>
        </is>
      </c>
      <c r="F31" s="68" t="inlineStr">
        <is>
          <t>01/03/2024</t>
        </is>
      </c>
      <c r="G31" s="68" t="inlineStr">
        <is>
          <t>22112038E</t>
        </is>
      </c>
      <c r="H31" s="68" t="inlineStr">
        <is>
          <t>Codirector de tesis</t>
        </is>
      </c>
      <c r="I31" s="69" t="inlineStr">
        <is>
          <t>B164</t>
        </is>
      </c>
      <c r="J31" s="68" t="inlineStr">
        <is>
          <t>FISIOLOGÍA, GENÉTICA Y MICROBIOLOGÍA</t>
        </is>
      </c>
      <c r="K31" s="47" t="n">
        <v>0.5</v>
      </c>
      <c r="L31" s="47" t="inlineStr">
        <is>
          <t>B164</t>
        </is>
      </c>
      <c r="M31" s="47" t="n">
        <v>2023</v>
      </c>
      <c r="N31" s="47" t="inlineStr">
        <is>
          <t>10.16</t>
        </is>
      </c>
      <c r="O31" s="47" t="inlineStr">
        <is>
          <t>85</t>
        </is>
      </c>
      <c r="P31" s="47" t="inlineStr"/>
      <c r="Q31" s="47" t="inlineStr"/>
      <c r="R31" s="47" t="n">
        <v>15</v>
      </c>
      <c r="S31" s="47" t="n">
        <v>0.075</v>
      </c>
      <c r="T31" s="47" t="n">
        <v>0.425</v>
      </c>
      <c r="U31" s="47" t="n">
        <v>0</v>
      </c>
      <c r="V31" s="70" t="n"/>
      <c r="Y31" s="72" t="n"/>
    </row>
    <row r="32" ht="10.2" customFormat="1" customHeight="1" s="71">
      <c r="A32" s="68" t="inlineStr">
        <is>
          <t>B164</t>
        </is>
      </c>
      <c r="B32" s="68" t="inlineStr">
        <is>
          <t>FISIOLOGÍA, GENÉTICA Y MICROBIOLOGÍA</t>
        </is>
      </c>
      <c r="C32" s="68" t="inlineStr">
        <is>
          <t>DOCTORADO EN BIOLOGÍA EXPERIMENTAL Y APLICADA</t>
        </is>
      </c>
      <c r="D32" s="68" t="inlineStr">
        <is>
          <t>Albertos Arranz, Henar</t>
        </is>
      </c>
      <c r="E32" s="68" t="inlineStr">
        <is>
          <t>Morphological and structural alterations in the neurons, glia and vascular network in human retinas affected by different diseases</t>
        </is>
      </c>
      <c r="F32" s="68" t="inlineStr">
        <is>
          <t>01/03/2024</t>
        </is>
      </c>
      <c r="G32" s="68" t="inlineStr">
        <is>
          <t>45837767D</t>
        </is>
      </c>
      <c r="H32" s="68" t="inlineStr">
        <is>
          <t>Codirector de tesis</t>
        </is>
      </c>
      <c r="I32" s="69" t="inlineStr">
        <is>
          <t>B164</t>
        </is>
      </c>
      <c r="J32" s="68" t="inlineStr">
        <is>
          <t>FISIOLOGÍA, GENÉTICA Y MICROBIOLOGÍA</t>
        </is>
      </c>
      <c r="K32" s="47" t="n">
        <v>0.5</v>
      </c>
      <c r="L32" s="47" t="inlineStr">
        <is>
          <t>B164</t>
        </is>
      </c>
      <c r="M32" s="47" t="n">
        <v>2023</v>
      </c>
      <c r="N32" s="47" t="inlineStr"/>
      <c r="O32" s="47" t="inlineStr"/>
      <c r="P32" s="47" t="inlineStr"/>
      <c r="Q32" s="47" t="inlineStr"/>
      <c r="R32" s="47" t="n">
        <v>100</v>
      </c>
      <c r="S32" s="47" t="n">
        <v>0.5</v>
      </c>
      <c r="T32" s="47" t="n">
        <v>0</v>
      </c>
      <c r="U32" s="47" t="n">
        <v>0</v>
      </c>
      <c r="V32" s="70" t="n"/>
      <c r="Y32" s="72" t="n"/>
    </row>
    <row r="33" ht="10.2" customFormat="1" customHeight="1" s="71">
      <c r="A33" s="68" t="inlineStr">
        <is>
          <t>B164</t>
        </is>
      </c>
      <c r="B33" s="68" t="inlineStr">
        <is>
          <t>FISIOLOGÍA, GENÉTICA Y MICROBIOLOGÍA</t>
        </is>
      </c>
      <c r="C33" s="68" t="inlineStr">
        <is>
          <t>DOCTORADO EN BIOLOGÍA EXPERIMENTAL Y APLICADA</t>
        </is>
      </c>
      <c r="D33" s="68" t="inlineStr">
        <is>
          <t>Marco Guzmán, Noemi</t>
        </is>
      </c>
      <c r="E33" s="68" t="inlineStr">
        <is>
          <t>Investigación del proceso de adaptación del sistema CRISPR-Cas I-E</t>
        </is>
      </c>
      <c r="F33" s="68" t="inlineStr">
        <is>
          <t>02/09/2024</t>
        </is>
      </c>
      <c r="G33" s="68" t="inlineStr">
        <is>
          <t>21989619D</t>
        </is>
      </c>
      <c r="H33" s="68" t="inlineStr">
        <is>
          <t>Director de tesis</t>
        </is>
      </c>
      <c r="I33" s="69" t="inlineStr">
        <is>
          <t>B164</t>
        </is>
      </c>
      <c r="J33" s="68" t="inlineStr">
        <is>
          <t>FISIOLOGÍA, GENÉTICA Y MICROBIOLOGÍA</t>
        </is>
      </c>
      <c r="K33" s="47" t="n">
        <v>1</v>
      </c>
      <c r="L33" s="47" t="inlineStr">
        <is>
          <t>B164</t>
        </is>
      </c>
      <c r="M33" s="47" t="n">
        <v>2023</v>
      </c>
      <c r="N33" s="47" t="inlineStr">
        <is>
          <t>10.16</t>
        </is>
      </c>
      <c r="O33" s="47" t="inlineStr">
        <is>
          <t>50</t>
        </is>
      </c>
      <c r="P33" s="47" t="inlineStr"/>
      <c r="Q33" s="47" t="inlineStr"/>
      <c r="R33" s="47" t="n">
        <v>50</v>
      </c>
      <c r="S33" s="47" t="n">
        <v>0.5</v>
      </c>
      <c r="T33" s="47" t="n">
        <v>0.5</v>
      </c>
      <c r="U33" s="47" t="n">
        <v>0</v>
      </c>
      <c r="V33" s="70" t="n"/>
      <c r="Y33" s="72" t="n"/>
    </row>
    <row r="34" ht="10.2" customFormat="1" customHeight="1" s="71">
      <c r="A34" s="68" t="inlineStr">
        <is>
          <t>B164</t>
        </is>
      </c>
      <c r="B34" s="68" t="inlineStr">
        <is>
          <t>Fisiología, Genética y Microbiología</t>
        </is>
      </c>
      <c r="C34" s="68" t="inlineStr">
        <is>
          <t>DOCTORADO EN BIOLOGÍA EXPERIMENTAL Y APLICADA</t>
        </is>
      </c>
      <c r="D34" s="68" t="inlineStr">
        <is>
          <t>Medina Prado, Lucía</t>
        </is>
      </c>
      <c r="E34" s="68" t="inlineStr">
        <is>
          <t>Calidad en la detección, vigilancia y manejo del cáncer colorrectal y lesiones colónicas 
avanzadas</t>
        </is>
      </c>
      <c r="F34" s="68" t="inlineStr">
        <is>
          <t>23/05/2025</t>
        </is>
      </c>
      <c r="G34" s="68" t="inlineStr">
        <is>
          <t>'-</t>
        </is>
      </c>
      <c r="H34" s="68" t="inlineStr">
        <is>
          <t>Director de tesis</t>
        </is>
      </c>
      <c r="I34" s="69" t="inlineStr">
        <is>
          <t>B164</t>
        </is>
      </c>
      <c r="J34" s="68" t="inlineStr">
        <is>
          <t>Fisiología, Genética y Microbiología</t>
        </is>
      </c>
      <c r="K34" s="47" t="n">
        <v>1</v>
      </c>
      <c r="L34" s="47" t="inlineStr">
        <is>
          <t>B164</t>
        </is>
      </c>
      <c r="M34" s="47" t="n">
        <v>2024</v>
      </c>
      <c r="N34" s="47" t="inlineStr"/>
      <c r="O34" s="47" t="inlineStr"/>
      <c r="P34" s="47" t="inlineStr"/>
      <c r="Q34" s="47" t="inlineStr"/>
      <c r="R34" s="47" t="n">
        <v>100</v>
      </c>
      <c r="S34" s="47" t="n">
        <v>1</v>
      </c>
      <c r="T34" s="47" t="n">
        <v>0</v>
      </c>
      <c r="U34" s="47" t="n">
        <v>0</v>
      </c>
      <c r="V34" s="70" t="n"/>
      <c r="Y34" s="72" t="n"/>
    </row>
    <row r="35" ht="10.2" customFormat="1" customHeight="1" s="71">
      <c r="A35" s="68" t="inlineStr">
        <is>
          <t>B164</t>
        </is>
      </c>
      <c r="B35" s="68" t="inlineStr">
        <is>
          <t>Fisiología, Genética y Microbiología</t>
        </is>
      </c>
      <c r="C35" s="68" t="inlineStr">
        <is>
          <t>DOCTORADO EN BIOLOGÍA EXPERIMENTAL Y APLICADA</t>
        </is>
      </c>
      <c r="D35" s="68" t="inlineStr">
        <is>
          <t>Bibak , Sirine</t>
        </is>
      </c>
      <c r="E35" s="68" t="inlineStr">
        <is>
          <t>Regulación genética y ambiental en la red de interacciones de PipX</t>
        </is>
      </c>
      <c r="F35" s="68" t="inlineStr">
        <is>
          <t>19/09/2025</t>
        </is>
      </c>
      <c r="G35" s="68" t="inlineStr">
        <is>
          <t>08791611E</t>
        </is>
      </c>
      <c r="H35" s="68" t="inlineStr">
        <is>
          <t>Director de tesis</t>
        </is>
      </c>
      <c r="I35" s="69" t="inlineStr">
        <is>
          <t>B164</t>
        </is>
      </c>
      <c r="J35" s="68" t="inlineStr">
        <is>
          <t>Fisiología, Genética y Microbiología</t>
        </is>
      </c>
      <c r="K35" s="47" t="n">
        <v>1</v>
      </c>
      <c r="L35" s="47" t="inlineStr">
        <is>
          <t>B164</t>
        </is>
      </c>
      <c r="M35" s="47" t="n">
        <v>2024</v>
      </c>
      <c r="N35" s="47" t="inlineStr">
        <is>
          <t>10.16</t>
        </is>
      </c>
      <c r="O35" s="47" t="inlineStr">
        <is>
          <t>50</t>
        </is>
      </c>
      <c r="P35" s="47" t="inlineStr"/>
      <c r="Q35" s="47" t="inlineStr"/>
      <c r="R35" s="47" t="n">
        <v>50</v>
      </c>
      <c r="S35" s="47" t="n">
        <v>0.5</v>
      </c>
      <c r="T35" s="47" t="n">
        <v>0.5</v>
      </c>
      <c r="U35" s="47" t="n">
        <v>0</v>
      </c>
      <c r="V35" s="70" t="n"/>
      <c r="Y35" s="72" t="n"/>
    </row>
    <row r="36" ht="10.2" customFormat="1" customHeight="1" s="71">
      <c r="A36" s="68" t="inlineStr">
        <is>
          <t>B164</t>
        </is>
      </c>
      <c r="B36" s="68" t="inlineStr">
        <is>
          <t>Fisiología, Genética y Microbiología</t>
        </is>
      </c>
      <c r="C36" s="68" t="inlineStr">
        <is>
          <t>DOCTORADO EN BIOLOGÍA EXPERIMENTAL Y APLICADA</t>
        </is>
      </c>
      <c r="D36" s="68" t="inlineStr">
        <is>
          <t>Martínez Roca, Alejandro</t>
        </is>
      </c>
      <c r="E36" s="68" t="inlineStr">
        <is>
          <t>Evaluación de factores moleculares y dietéticos en la predicción y prevención de Neoplasia Colónica</t>
        </is>
      </c>
      <c r="F36" s="68" t="inlineStr">
        <is>
          <t>30/01/2025</t>
        </is>
      </c>
      <c r="G36" s="68" t="inlineStr">
        <is>
          <t>'-</t>
        </is>
      </c>
      <c r="H36" s="68" t="inlineStr">
        <is>
          <t>Director de tesis</t>
        </is>
      </c>
      <c r="I36" s="69" t="inlineStr">
        <is>
          <t>B164</t>
        </is>
      </c>
      <c r="J36" s="68" t="inlineStr">
        <is>
          <t>Fisiología, Genética y Microbiología</t>
        </is>
      </c>
      <c r="K36" s="47" t="n">
        <v>1</v>
      </c>
      <c r="L36" s="47" t="inlineStr">
        <is>
          <t>B164</t>
        </is>
      </c>
      <c r="M36" s="47" t="n">
        <v>2024</v>
      </c>
      <c r="N36" s="47" t="inlineStr"/>
      <c r="O36" s="47" t="inlineStr"/>
      <c r="P36" s="47" t="inlineStr"/>
      <c r="Q36" s="47" t="inlineStr"/>
      <c r="R36" s="47" t="n">
        <v>100</v>
      </c>
      <c r="S36" s="47" t="n">
        <v>1</v>
      </c>
      <c r="T36" s="47" t="n">
        <v>0</v>
      </c>
      <c r="U36" s="47" t="n">
        <v>0</v>
      </c>
      <c r="V36" s="70" t="n"/>
      <c r="Y36" s="72" t="n"/>
    </row>
    <row r="37" ht="10.2" customFormat="1" customHeight="1" s="71">
      <c r="A37" s="68" t="inlineStr">
        <is>
          <t>B164</t>
        </is>
      </c>
      <c r="B37" s="68" t="inlineStr">
        <is>
          <t>Fisiología, Genética y Microbiología</t>
        </is>
      </c>
      <c r="C37" s="68" t="inlineStr">
        <is>
          <t>DOCTORADO EN BIOLOGÍA EXPERIMENTAL Y APLICADA</t>
        </is>
      </c>
      <c r="D37" s="68" t="inlineStr">
        <is>
          <t>Sánchez Martínez, Rodrigo</t>
        </is>
      </c>
      <c r="E37" s="68" t="inlineStr">
        <is>
          <t>Interactions and evolutionary dynamics between Salinibacter ruber and its viruses</t>
        </is>
      </c>
      <c r="F37" s="68" t="inlineStr">
        <is>
          <t>31/01/2025</t>
        </is>
      </c>
      <c r="G37" s="68" t="inlineStr">
        <is>
          <t>44760971G</t>
        </is>
      </c>
      <c r="H37" s="68" t="inlineStr">
        <is>
          <t>Codirector de tesis</t>
        </is>
      </c>
      <c r="I37" s="69" t="inlineStr">
        <is>
          <t>B164</t>
        </is>
      </c>
      <c r="J37" s="68" t="inlineStr">
        <is>
          <t>Fisiología, Genética y Microbiología</t>
        </is>
      </c>
      <c r="K37" s="47" t="n">
        <v>0.5</v>
      </c>
      <c r="L37" s="47" t="inlineStr">
        <is>
          <t>B164</t>
        </is>
      </c>
      <c r="M37" s="47" t="n">
        <v>2024</v>
      </c>
      <c r="N37" s="47" t="inlineStr"/>
      <c r="O37" s="47" t="inlineStr"/>
      <c r="P37" s="47" t="inlineStr"/>
      <c r="Q37" s="47" t="inlineStr"/>
      <c r="R37" s="47" t="n">
        <v>100</v>
      </c>
      <c r="S37" s="47" t="n">
        <v>0.5</v>
      </c>
      <c r="T37" s="47" t="n">
        <v>0</v>
      </c>
      <c r="U37" s="47" t="n">
        <v>0</v>
      </c>
      <c r="V37" s="70" t="n"/>
      <c r="Y37" s="72" t="n"/>
    </row>
    <row r="38" ht="10.2" customFormat="1" customHeight="1" s="71">
      <c r="A38" s="68" t="inlineStr">
        <is>
          <t>B164</t>
        </is>
      </c>
      <c r="B38" s="68" t="inlineStr">
        <is>
          <t>Fisiología, Genética y Microbiología</t>
        </is>
      </c>
      <c r="C38" s="68" t="inlineStr">
        <is>
          <t>DOCTORADO EN BIOLOGÍA EXPERIMENTAL Y APLICADA</t>
        </is>
      </c>
      <c r="D38" s="68" t="inlineStr">
        <is>
          <t>Sánchez Martínez, Rodrigo</t>
        </is>
      </c>
      <c r="E38" s="68" t="inlineStr">
        <is>
          <t>Interactions and evolutionary dynamics between Salinibacter ruber and its viruses</t>
        </is>
      </c>
      <c r="F38" s="68" t="inlineStr">
        <is>
          <t>31/01/2025</t>
        </is>
      </c>
      <c r="G38" s="68" t="inlineStr">
        <is>
          <t>21441866R</t>
        </is>
      </c>
      <c r="H38" s="68" t="inlineStr">
        <is>
          <t>Codirector de tesis</t>
        </is>
      </c>
      <c r="I38" s="69" t="inlineStr">
        <is>
          <t>B164</t>
        </is>
      </c>
      <c r="J38" s="68" t="inlineStr">
        <is>
          <t>Fisiología, Genética y Microbiología</t>
        </is>
      </c>
      <c r="K38" s="47" t="n">
        <v>0.5</v>
      </c>
      <c r="L38" s="47" t="inlineStr">
        <is>
          <t>B164</t>
        </is>
      </c>
      <c r="M38" s="47" t="n">
        <v>2024</v>
      </c>
      <c r="N38" s="47" t="inlineStr">
        <is>
          <t>10.16</t>
        </is>
      </c>
      <c r="O38" s="47" t="inlineStr">
        <is>
          <t>50</t>
        </is>
      </c>
      <c r="P38" s="47" t="inlineStr"/>
      <c r="Q38" s="47" t="inlineStr"/>
      <c r="R38" s="47" t="n">
        <v>50</v>
      </c>
      <c r="S38" s="47" t="n">
        <v>0.25</v>
      </c>
      <c r="T38" s="47" t="n">
        <v>0.25</v>
      </c>
      <c r="U38" s="47" t="n">
        <v>0</v>
      </c>
      <c r="V38" s="70" t="n"/>
      <c r="Y38" s="72" t="n"/>
    </row>
    <row r="39" ht="10.2" customFormat="1" customHeight="1" s="71">
      <c r="A39" s="68" t="inlineStr">
        <is>
          <t>B164</t>
        </is>
      </c>
      <c r="B39" s="68" t="inlineStr">
        <is>
          <t>Fisiología, Genética y Microbiología</t>
        </is>
      </c>
      <c r="C39" s="68" t="inlineStr">
        <is>
          <t>DOCTORADO EN BIOLOGÍA EXPERIMENTAL Y APLICADA</t>
        </is>
      </c>
      <c r="D39" s="68" t="inlineStr">
        <is>
          <t>Vila Nistal, Marina</t>
        </is>
      </c>
      <c r="E39" s="68" t="inlineStr">
        <is>
          <t>Tackling unresolved questions in marine virology: from DNA to RNA viral world</t>
        </is>
      </c>
      <c r="F39" s="68" t="inlineStr">
        <is>
          <t>14/03/2025</t>
        </is>
      </c>
      <c r="G39" s="68" t="inlineStr">
        <is>
          <t>48353206F</t>
        </is>
      </c>
      <c r="H39" s="68" t="inlineStr">
        <is>
          <t>Director de tesis</t>
        </is>
      </c>
      <c r="I39" s="69" t="inlineStr">
        <is>
          <t>B164</t>
        </is>
      </c>
      <c r="J39" s="68" t="inlineStr">
        <is>
          <t>Fisiología, Genética y Microbiología</t>
        </is>
      </c>
      <c r="K39" s="47" t="n">
        <v>1</v>
      </c>
      <c r="L39" s="47" t="inlineStr">
        <is>
          <t>B164</t>
        </is>
      </c>
      <c r="M39" s="47" t="n">
        <v>2024</v>
      </c>
      <c r="N39" s="47" t="inlineStr">
        <is>
          <t>10.16</t>
        </is>
      </c>
      <c r="O39" s="47" t="inlineStr">
        <is>
          <t>50</t>
        </is>
      </c>
      <c r="P39" s="47" t="inlineStr"/>
      <c r="Q39" s="47" t="inlineStr"/>
      <c r="R39" s="47" t="n">
        <v>50</v>
      </c>
      <c r="S39" s="47" t="n">
        <v>0.5</v>
      </c>
      <c r="T39" s="47" t="n">
        <v>0.5</v>
      </c>
      <c r="U39" s="47" t="n">
        <v>0</v>
      </c>
      <c r="V39" s="70" t="n"/>
      <c r="Y39" s="72" t="n"/>
    </row>
    <row r="40" ht="10.2" customFormat="1" customHeight="1" s="71">
      <c r="A40" s="68" t="inlineStr">
        <is>
          <t>B164</t>
        </is>
      </c>
      <c r="B40" s="68" t="inlineStr">
        <is>
          <t>Fisiología, Genética y Microbiología</t>
        </is>
      </c>
      <c r="C40" s="68" t="inlineStr">
        <is>
          <t>DOCTORADO EN BIOLOGÍA EXPERIMENTAL Y APLICADA</t>
        </is>
      </c>
      <c r="D40" s="68" t="inlineStr">
        <is>
          <t>Antón Blasco, José Antonio</t>
        </is>
      </c>
      <c r="E40" s="68" t="inlineStr">
        <is>
          <t>Estudio de la microbiota intestinal y nasofaríngea en lactantes con bronquiolitis: ¿es el eje intestino-pulmón uno de los determinantes de la variabilidad clínica?</t>
        </is>
      </c>
      <c r="F40" s="68" t="inlineStr">
        <is>
          <t>02/04/2025</t>
        </is>
      </c>
      <c r="G40" s="68" t="inlineStr">
        <is>
          <t>'-</t>
        </is>
      </c>
      <c r="H40" s="68" t="inlineStr">
        <is>
          <t>Director de tesis</t>
        </is>
      </c>
      <c r="I40" s="69" t="inlineStr">
        <is>
          <t>B164</t>
        </is>
      </c>
      <c r="J40" s="68" t="inlineStr">
        <is>
          <t>Fisiología, Genética y Microbiología</t>
        </is>
      </c>
      <c r="K40" s="47" t="n">
        <v>1</v>
      </c>
      <c r="L40" s="47" t="inlineStr">
        <is>
          <t>B164</t>
        </is>
      </c>
      <c r="M40" s="47" t="n">
        <v>2024</v>
      </c>
      <c r="N40" s="47" t="inlineStr"/>
      <c r="O40" s="47" t="inlineStr"/>
      <c r="P40" s="47" t="inlineStr"/>
      <c r="Q40" s="47" t="inlineStr"/>
      <c r="R40" s="47" t="n">
        <v>100</v>
      </c>
      <c r="S40" s="47" t="n">
        <v>1</v>
      </c>
      <c r="T40" s="47" t="n">
        <v>0</v>
      </c>
      <c r="U40" s="47" t="n">
        <v>0</v>
      </c>
      <c r="V40" s="70" t="n"/>
      <c r="Y40" s="72" t="n"/>
    </row>
    <row r="41" ht="10.2" customFormat="1" customHeight="1" s="71">
      <c r="A41" s="68" t="inlineStr">
        <is>
          <t>B164</t>
        </is>
      </c>
      <c r="B41" s="68" t="inlineStr">
        <is>
          <t>Fisiología, Genética y Microbiología</t>
        </is>
      </c>
      <c r="C41" s="68" t="inlineStr">
        <is>
          <t>DOCTORADO EN BIOLOGÍA EXPERIMENTAL Y APLICADA</t>
        </is>
      </c>
      <c r="D41" s="68" t="inlineStr">
        <is>
          <t>Juvier Riesgo, Tamara</t>
        </is>
      </c>
      <c r="E41" s="68" t="inlineStr">
        <is>
          <t>Análisis comparativo entre una plataforma de realidad virtual asistida por inteligencia artificial y el
examen convencional para la evaluación de funciones visuales en neuro-oftalmología</t>
        </is>
      </c>
      <c r="F41" s="68" t="inlineStr">
        <is>
          <t>09/06/2025</t>
        </is>
      </c>
      <c r="G41" s="68" t="inlineStr">
        <is>
          <t>22112038E</t>
        </is>
      </c>
      <c r="H41" s="68" t="inlineStr">
        <is>
          <t>Codirector de tesis</t>
        </is>
      </c>
      <c r="I41" s="69" t="inlineStr">
        <is>
          <t>B164</t>
        </is>
      </c>
      <c r="J41" s="68" t="inlineStr">
        <is>
          <t>Fisiología, Genética y Microbiología</t>
        </is>
      </c>
      <c r="K41" s="47" t="n">
        <v>0.5</v>
      </c>
      <c r="L41" s="47" t="inlineStr">
        <is>
          <t>B164</t>
        </is>
      </c>
      <c r="M41" s="47" t="n">
        <v>2024</v>
      </c>
      <c r="N41" s="47" t="inlineStr">
        <is>
          <t>10.16</t>
        </is>
      </c>
      <c r="O41" s="47" t="inlineStr">
        <is>
          <t>85</t>
        </is>
      </c>
      <c r="P41" s="47" t="inlineStr"/>
      <c r="Q41" s="47" t="inlineStr"/>
      <c r="R41" s="47" t="n">
        <v>15</v>
      </c>
      <c r="S41" s="47" t="n">
        <v>0.075</v>
      </c>
      <c r="T41" s="47" t="n">
        <v>0.425</v>
      </c>
      <c r="U41" s="47" t="n">
        <v>0</v>
      </c>
      <c r="V41" s="70" t="n"/>
      <c r="Y41" s="72" t="n"/>
    </row>
    <row r="42" ht="10.2" customFormat="1" customHeight="1" s="71">
      <c r="A42" s="68" t="inlineStr">
        <is>
          <t>B164</t>
        </is>
      </c>
      <c r="B42" s="68" t="inlineStr">
        <is>
          <t>Fisiología, Genética y Microbiología</t>
        </is>
      </c>
      <c r="C42" s="68" t="inlineStr">
        <is>
          <t>DOCTORADO EN BIOLOGÍA EXPERIMENTAL Y APLICADA</t>
        </is>
      </c>
      <c r="D42" s="68" t="inlineStr">
        <is>
          <t>Gangloff , Valentin</t>
        </is>
      </c>
      <c r="E42" s="68" t="inlineStr">
        <is>
          <t>Microbial composition, interactions and dynamics in biofilms from drinking water distribution systems</t>
        </is>
      </c>
      <c r="F42" s="68" t="inlineStr">
        <is>
          <t>14/02/2025</t>
        </is>
      </c>
      <c r="G42" s="68" t="inlineStr">
        <is>
          <t>44760971G</t>
        </is>
      </c>
      <c r="H42" s="68" t="inlineStr">
        <is>
          <t>Codirector de tesis</t>
        </is>
      </c>
      <c r="I42" s="69" t="inlineStr">
        <is>
          <t>B164</t>
        </is>
      </c>
      <c r="J42" s="68" t="inlineStr">
        <is>
          <t>Fisiología, Genética y Microbiología</t>
        </is>
      </c>
      <c r="K42" s="47" t="n">
        <v>0.5</v>
      </c>
      <c r="L42" s="47" t="inlineStr">
        <is>
          <t>B164</t>
        </is>
      </c>
      <c r="M42" s="47" t="n">
        <v>2024</v>
      </c>
      <c r="N42" s="47" t="inlineStr"/>
      <c r="O42" s="47" t="inlineStr"/>
      <c r="P42" s="47" t="inlineStr"/>
      <c r="Q42" s="47" t="inlineStr"/>
      <c r="R42" s="47" t="n">
        <v>100</v>
      </c>
      <c r="S42" s="47" t="n">
        <v>0.5</v>
      </c>
      <c r="T42" s="47" t="n">
        <v>0</v>
      </c>
      <c r="U42" s="47" t="n">
        <v>0</v>
      </c>
      <c r="V42" s="70" t="n"/>
      <c r="Y42" s="72" t="n"/>
    </row>
    <row r="43" ht="10.2" customFormat="1" customHeight="1" s="71">
      <c r="A43" s="68" t="inlineStr">
        <is>
          <t>B164</t>
        </is>
      </c>
      <c r="B43" s="68" t="inlineStr">
        <is>
          <t>Fisiología, Genética y Microbiología</t>
        </is>
      </c>
      <c r="C43" s="68" t="inlineStr">
        <is>
          <t>DOCTORADO EN BIOLOGÍA EXPERIMENTAL Y APLICADA</t>
        </is>
      </c>
      <c r="D43" s="68" t="inlineStr">
        <is>
          <t>Gangloff , Valentin</t>
        </is>
      </c>
      <c r="E43" s="68" t="inlineStr">
        <is>
          <t>Microbial composition, interactions and dynamics in biofilms from drinking water distribution systems</t>
        </is>
      </c>
      <c r="F43" s="68" t="inlineStr">
        <is>
          <t>14/02/2025</t>
        </is>
      </c>
      <c r="G43" s="68" t="inlineStr">
        <is>
          <t>48341131F</t>
        </is>
      </c>
      <c r="H43" s="68" t="inlineStr">
        <is>
          <t>Codirector de tesis</t>
        </is>
      </c>
      <c r="I43" s="69" t="inlineStr">
        <is>
          <t>B164</t>
        </is>
      </c>
      <c r="J43" s="68" t="inlineStr">
        <is>
          <t>Fisiología, Genética y Microbiología</t>
        </is>
      </c>
      <c r="K43" s="47" t="n">
        <v>0.5</v>
      </c>
      <c r="L43" s="47" t="inlineStr">
        <is>
          <t>B164</t>
        </is>
      </c>
      <c r="M43" s="47" t="n">
        <v>2024</v>
      </c>
      <c r="N43" s="47" t="inlineStr"/>
      <c r="O43" s="47" t="inlineStr"/>
      <c r="P43" s="47" t="inlineStr"/>
      <c r="Q43" s="47" t="inlineStr"/>
      <c r="R43" s="47" t="n">
        <v>100</v>
      </c>
      <c r="S43" s="47" t="n">
        <v>0.5</v>
      </c>
      <c r="T43" s="47" t="n">
        <v>0</v>
      </c>
      <c r="U43" s="47" t="n">
        <v>0</v>
      </c>
      <c r="V43" s="70" t="n"/>
      <c r="Y43" s="72" t="n"/>
    </row>
    <row r="44" ht="10.2" customFormat="1" customHeight="1" s="71">
      <c r="A44" s="68" t="inlineStr">
        <is>
          <t>U022</t>
        </is>
      </c>
      <c r="B44" s="68" t="inlineStr">
        <is>
          <t>Administración Facultad de Ciencias</t>
        </is>
      </c>
      <c r="C44" s="68" t="inlineStr">
        <is>
          <t>DOCTORADO EN CIENCIAS EXPERIMENTALES Y BIOSANITARIAS</t>
        </is>
      </c>
      <c r="D44" s="68" t="inlineStr">
        <is>
          <t>Doménech Pérez, Carles</t>
        </is>
      </c>
      <c r="E44" s="68" t="inlineStr">
        <is>
          <t>Avances en sistemática, taxonomía, nomenclatura y distribución geográfica de ciempiés del
orden Scolopendromorpha (Myriapoda: Chilopoda), incluyendo la descripción de una nueva especie
del género Scolopendra Linnaeus, 1758</t>
        </is>
      </c>
      <c r="F44" s="68" t="inlineStr">
        <is>
          <t>19/09/2025</t>
        </is>
      </c>
      <c r="G44" s="68" t="inlineStr">
        <is>
          <t>21501002G</t>
        </is>
      </c>
      <c r="H44" s="68" t="inlineStr">
        <is>
          <t>Codirector de tesis</t>
        </is>
      </c>
      <c r="I44" s="69" t="inlineStr">
        <is>
          <t>B164</t>
        </is>
      </c>
      <c r="J44" s="68" t="inlineStr">
        <is>
          <t>Fisiología, Genética y Microbiología</t>
        </is>
      </c>
      <c r="K44" s="47" t="n">
        <v>0.3333333333333333</v>
      </c>
      <c r="L44" s="47" t="inlineStr">
        <is>
          <t>B164</t>
        </is>
      </c>
      <c r="M44" s="47" t="n">
        <v>2024</v>
      </c>
      <c r="N44" s="47" t="inlineStr"/>
      <c r="O44" s="47" t="inlineStr"/>
      <c r="P44" s="47" t="inlineStr"/>
      <c r="Q44" s="47" t="inlineStr"/>
      <c r="R44" s="47" t="n">
        <v>100</v>
      </c>
      <c r="S44" s="47" t="n">
        <v>0.3333333333333333</v>
      </c>
      <c r="T44" s="47" t="n">
        <v>0</v>
      </c>
      <c r="U44" s="47" t="n">
        <v>0</v>
      </c>
      <c r="V44" s="70" t="n"/>
      <c r="Y44" s="72" t="n"/>
    </row>
    <row r="45" ht="10.2" customFormat="1" customHeight="1" s="71">
      <c r="A45" s="68" t="inlineStr">
        <is>
          <t>ZZ</t>
        </is>
      </c>
      <c r="B45" s="68" t="inlineStr">
        <is>
          <t>SIN ASIGNAR</t>
        </is>
      </c>
      <c r="C45" s="68" t="inlineStr">
        <is>
          <t>DOCTORADO EN BIOLOGÍA EXPERIMENTAL Y APLICADA</t>
        </is>
      </c>
      <c r="D45" s="68" t="inlineStr">
        <is>
          <t>Mendoza Santiesteban, Carlos Ernesto</t>
        </is>
      </c>
      <c r="E45" s="68" t="inlineStr">
        <is>
          <t>Examen de la función visual mediante una plataforma de realidad virtual: Transformando el
paradigma del examen oftalmológico en la sala de emergencias y en el monitoreo remoto en el
hogar</t>
        </is>
      </c>
      <c r="F45" s="68" t="inlineStr">
        <is>
          <t>09/06/2025</t>
        </is>
      </c>
      <c r="G45" s="68" t="inlineStr">
        <is>
          <t>22112038E</t>
        </is>
      </c>
      <c r="H45" s="68" t="inlineStr">
        <is>
          <t>Director de tesis</t>
        </is>
      </c>
      <c r="I45" s="69" t="inlineStr">
        <is>
          <t>B164</t>
        </is>
      </c>
      <c r="J45" s="68" t="inlineStr">
        <is>
          <t>Fisiología, Genética y Microbiología</t>
        </is>
      </c>
      <c r="K45" s="47" t="n">
        <v>1</v>
      </c>
      <c r="L45" s="47" t="inlineStr">
        <is>
          <t>B164</t>
        </is>
      </c>
      <c r="M45" s="47" t="n">
        <v>2024</v>
      </c>
      <c r="N45" s="47" t="inlineStr">
        <is>
          <t>10.16</t>
        </is>
      </c>
      <c r="O45" s="47" t="inlineStr">
        <is>
          <t>85</t>
        </is>
      </c>
      <c r="P45" s="47" t="inlineStr"/>
      <c r="Q45" s="47" t="inlineStr"/>
      <c r="R45" s="47" t="n">
        <v>15</v>
      </c>
      <c r="S45" s="47" t="n">
        <v>0.15</v>
      </c>
      <c r="T45" s="47" t="n">
        <v>0.85</v>
      </c>
      <c r="U45" s="47" t="n">
        <v>0</v>
      </c>
      <c r="V45" s="70" t="n"/>
      <c r="Y45" s="72" t="n"/>
    </row>
    <row r="46">
      <c r="A46" s="63" t="n"/>
      <c r="B46" s="63" t="n"/>
      <c r="C46" s="63" t="n"/>
      <c r="D46" s="63" t="n"/>
      <c r="E46" s="63" t="n"/>
      <c r="F46" s="63" t="n"/>
      <c r="G46" s="63" t="n"/>
      <c r="H46" s="63" t="n"/>
      <c r="I46" s="63" t="n"/>
      <c r="J46" s="63" t="n"/>
      <c r="K46" s="63" t="n"/>
      <c r="L46" s="63" t="n"/>
      <c r="M46" s="63" t="n"/>
      <c r="N46" s="63" t="n"/>
      <c r="O46" s="64" t="n"/>
      <c r="P46" s="63" t="n"/>
      <c r="Q46" s="64" t="n"/>
      <c r="R46" s="63" t="n"/>
      <c r="S46" s="108">
        <f>SUM(S2:S45)</f>
        <v/>
      </c>
      <c r="T46" s="63" t="n"/>
      <c r="U46" s="63" t="n"/>
    </row>
  </sheetData>
  <autoFilter ref="A1:U1">
    <sortState ref="A2:T1872">
      <sortCondition ref="K2:K1872"/>
      <sortCondition ref="L2:L1872"/>
      <sortCondition ref="D2:D1872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30"/>
  <sheetViews>
    <sheetView zoomScale="85" zoomScaleNormal="85" workbookViewId="0">
      <selection activeCell="V10" sqref="V10"/>
    </sheetView>
  </sheetViews>
  <sheetFormatPr baseColWidth="10" defaultColWidth="11.44140625" defaultRowHeight="13.2"/>
  <cols>
    <col width="10.88671875" bestFit="1" customWidth="1" style="11" min="1" max="1"/>
    <col width="38.33203125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8"/>
    <col width="6.5546875" bestFit="1" customWidth="1" style="11" min="19" max="19"/>
    <col width="11.44140625" customWidth="1" style="11" min="20" max="16384"/>
  </cols>
  <sheetData>
    <row r="1" ht="60" customFormat="1" customHeight="1" s="10">
      <c r="A1" s="24" t="inlineStr">
        <is>
          <t>NIF</t>
        </is>
      </c>
      <c r="B1" s="24" t="inlineStr">
        <is>
          <t>NOMBRE_COMPLETO</t>
        </is>
      </c>
      <c r="C1" s="24" t="inlineStr">
        <is>
          <t>TIPO_SEXENIO</t>
        </is>
      </c>
      <c r="D1" s="25" t="inlineStr">
        <is>
          <t>2020</t>
        </is>
      </c>
      <c r="E1" s="25" t="inlineStr">
        <is>
          <t>2021</t>
        </is>
      </c>
      <c r="F1" s="25" t="inlineStr">
        <is>
          <t>2022</t>
        </is>
      </c>
      <c r="G1" s="25" t="inlineStr">
        <is>
          <t>2023</t>
        </is>
      </c>
      <c r="H1" s="25" t="inlineStr">
        <is>
          <t>2024</t>
        </is>
      </c>
      <c r="I1" s="25" t="inlineStr">
        <is>
          <t>2025</t>
        </is>
      </c>
      <c r="J1" s="24" t="inlineStr">
        <is>
          <t>Total general</t>
        </is>
      </c>
      <c r="K1" s="26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27" t="inlineStr">
        <is>
          <t>07972149G</t>
        </is>
      </c>
      <c r="B2" s="27" t="inlineStr">
        <is>
          <t>Martín Cuadrado, Ana Belén</t>
        </is>
      </c>
      <c r="C2" s="27" t="inlineStr">
        <is>
          <t>FUNCIONARIO</t>
        </is>
      </c>
      <c r="D2" s="27" t="n"/>
      <c r="E2" s="27" t="n"/>
      <c r="F2" s="27" t="n">
        <v>3</v>
      </c>
      <c r="G2" s="27" t="n"/>
      <c r="H2" s="27" t="n"/>
      <c r="I2" s="27" t="n"/>
      <c r="J2" s="27" t="n">
        <v>3</v>
      </c>
      <c r="K2" s="27" t="inlineStr">
        <is>
          <t>B164</t>
        </is>
      </c>
      <c r="L2" s="28" t="n">
        <v>0</v>
      </c>
      <c r="M2" s="28" t="n">
        <v>0</v>
      </c>
      <c r="N2" s="28" t="inlineStr"/>
      <c r="O2" s="28" t="inlineStr"/>
      <c r="P2" s="28" t="n">
        <v>100</v>
      </c>
      <c r="Q2" s="28" t="n">
        <v>0</v>
      </c>
      <c r="R2" s="28" t="n">
        <v>0</v>
      </c>
      <c r="S2" s="28" t="n">
        <v>3</v>
      </c>
    </row>
    <row r="3" ht="14.4" customHeight="1">
      <c r="A3" s="27" t="inlineStr">
        <is>
          <t>08791611E</t>
        </is>
      </c>
      <c r="B3" s="27" t="inlineStr">
        <is>
          <t>Contreras De Vera, Asunción</t>
        </is>
      </c>
      <c r="C3" s="27" t="inlineStr">
        <is>
          <t>FUNCIONARIO</t>
        </is>
      </c>
      <c r="D3" s="27" t="n"/>
      <c r="E3" s="27" t="n">
        <v>1</v>
      </c>
      <c r="F3" s="27" t="n"/>
      <c r="G3" s="27" t="n"/>
      <c r="H3" s="27" t="n"/>
      <c r="I3" s="27" t="n"/>
      <c r="J3" s="27" t="n">
        <v>1</v>
      </c>
      <c r="K3" s="27" t="inlineStr">
        <is>
          <t>B164</t>
        </is>
      </c>
      <c r="L3" s="28" t="inlineStr">
        <is>
          <t>10.16</t>
        </is>
      </c>
      <c r="M3" s="28" t="inlineStr">
        <is>
          <t>50</t>
        </is>
      </c>
      <c r="N3" s="28" t="inlineStr"/>
      <c r="O3" s="28" t="inlineStr"/>
      <c r="P3" s="28" t="n">
        <v>50</v>
      </c>
      <c r="Q3" s="28" t="n">
        <v>0.5</v>
      </c>
      <c r="R3" s="28" t="n">
        <v>0</v>
      </c>
      <c r="S3" s="28" t="n">
        <v>0.5</v>
      </c>
    </row>
    <row r="4" ht="14.4" customHeight="1">
      <c r="A4" s="27" t="inlineStr">
        <is>
          <t>11956693M</t>
        </is>
      </c>
      <c r="B4" s="27" t="inlineStr">
        <is>
          <t>Pérez Rodríguez, Rocío</t>
        </is>
      </c>
      <c r="C4" s="27" t="inlineStr">
        <is>
          <t>NO FUNCIONARIO</t>
        </is>
      </c>
      <c r="D4" s="27" t="n"/>
      <c r="E4" s="27" t="n"/>
      <c r="F4" s="27" t="n">
        <v>1</v>
      </c>
      <c r="G4" s="27" t="n"/>
      <c r="H4" s="27" t="n"/>
      <c r="I4" s="27" t="n"/>
      <c r="J4" s="27" t="n">
        <v>1</v>
      </c>
      <c r="K4" s="27" t="inlineStr">
        <is>
          <t>B164</t>
        </is>
      </c>
      <c r="L4" s="28" t="n">
        <v>0</v>
      </c>
      <c r="M4" s="28" t="n">
        <v>0</v>
      </c>
      <c r="N4" s="28" t="inlineStr"/>
      <c r="O4" s="28" t="inlineStr"/>
      <c r="P4" s="28" t="n">
        <v>100</v>
      </c>
      <c r="Q4" s="28" t="n">
        <v>0</v>
      </c>
      <c r="R4" s="28" t="n">
        <v>0</v>
      </c>
      <c r="S4" s="28" t="n">
        <v>1</v>
      </c>
    </row>
    <row r="5" ht="14.4" customHeight="1">
      <c r="A5" s="27" t="inlineStr">
        <is>
          <t>13730291G</t>
        </is>
      </c>
      <c r="B5" s="27" t="inlineStr">
        <is>
          <t>Morales Calderón, Andrés</t>
        </is>
      </c>
      <c r="C5" s="27" t="n">
        <v>6</v>
      </c>
      <c r="D5" s="27" t="n"/>
      <c r="E5" s="27" t="n"/>
      <c r="F5" s="27" t="n"/>
      <c r="G5" s="27" t="n"/>
      <c r="H5" s="27" t="n"/>
      <c r="I5" s="27" t="n">
        <v>1</v>
      </c>
      <c r="J5" s="27" t="n">
        <v>1</v>
      </c>
      <c r="K5" s="27" t="inlineStr">
        <is>
          <t>B164</t>
        </is>
      </c>
      <c r="L5" s="28" t="n">
        <v>0</v>
      </c>
      <c r="M5" s="28" t="n">
        <v>0</v>
      </c>
      <c r="N5" s="28" t="inlineStr"/>
      <c r="O5" s="28" t="inlineStr"/>
      <c r="P5" s="28" t="n">
        <v>100</v>
      </c>
      <c r="Q5" s="28" t="n">
        <v>0</v>
      </c>
      <c r="R5" s="28" t="n">
        <v>0</v>
      </c>
      <c r="S5" s="28" t="n">
        <v>1</v>
      </c>
    </row>
    <row r="6" ht="14.4" customHeight="1">
      <c r="A6" s="27" t="inlineStr">
        <is>
          <t>21437605H</t>
        </is>
      </c>
      <c r="B6" s="27" t="inlineStr">
        <is>
          <t>Ivorra Pastor, Isabel</t>
        </is>
      </c>
      <c r="C6" s="27" t="inlineStr">
        <is>
          <t>Vivos</t>
        </is>
      </c>
      <c r="D6" s="27" t="n"/>
      <c r="E6" s="27" t="n"/>
      <c r="F6" s="27" t="n"/>
      <c r="G6" s="27" t="n"/>
      <c r="H6" s="27" t="n"/>
      <c r="I6" s="27" t="n">
        <v>1</v>
      </c>
      <c r="J6" s="27" t="n">
        <v>1</v>
      </c>
      <c r="K6" s="27" t="inlineStr">
        <is>
          <t>B164</t>
        </is>
      </c>
      <c r="L6" s="28" t="n">
        <v>0</v>
      </c>
      <c r="M6" s="28" t="n">
        <v>0</v>
      </c>
      <c r="N6" s="28" t="inlineStr"/>
      <c r="O6" s="28" t="inlineStr"/>
      <c r="P6" s="28" t="n">
        <v>100</v>
      </c>
      <c r="Q6" s="28" t="n">
        <v>0</v>
      </c>
      <c r="R6" s="28" t="n">
        <v>0</v>
      </c>
      <c r="S6" s="28" t="n">
        <v>1</v>
      </c>
    </row>
    <row r="7" ht="14.4" customHeight="1">
      <c r="A7" s="27" t="inlineStr">
        <is>
          <t>21441866R</t>
        </is>
      </c>
      <c r="B7" s="27" t="inlineStr">
        <is>
          <t>Antón Botella, Josefa</t>
        </is>
      </c>
      <c r="C7" s="27" t="inlineStr">
        <is>
          <t>FUNCIONARIO</t>
        </is>
      </c>
      <c r="D7" s="27" t="n">
        <v>1</v>
      </c>
      <c r="E7" s="27" t="n"/>
      <c r="F7" s="27" t="n"/>
      <c r="G7" s="27" t="n"/>
      <c r="H7" s="27" t="n"/>
      <c r="I7" s="27" t="n"/>
      <c r="J7" s="27" t="n">
        <v>1</v>
      </c>
      <c r="K7" s="27" t="inlineStr">
        <is>
          <t>B164</t>
        </is>
      </c>
      <c r="L7" s="28" t="inlineStr">
        <is>
          <t>10.16</t>
        </is>
      </c>
      <c r="M7" s="28" t="inlineStr">
        <is>
          <t>50</t>
        </is>
      </c>
      <c r="N7" s="28" t="inlineStr"/>
      <c r="O7" s="28" t="inlineStr"/>
      <c r="P7" s="28" t="n">
        <v>50</v>
      </c>
      <c r="Q7" s="28" t="n">
        <v>0.5</v>
      </c>
      <c r="R7" s="28" t="n">
        <v>0</v>
      </c>
      <c r="S7" s="28" t="n">
        <v>0.5</v>
      </c>
    </row>
    <row r="8" ht="14.4" customHeight="1">
      <c r="A8" s="27" t="inlineStr">
        <is>
          <t>21488735L</t>
        </is>
      </c>
      <c r="B8" s="27" t="inlineStr">
        <is>
          <t>Martínez-Pinna López, Juan Enrique</t>
        </is>
      </c>
      <c r="C8" s="27" t="inlineStr">
        <is>
          <t>FUNCIONARIO</t>
        </is>
      </c>
      <c r="D8" s="27" t="n"/>
      <c r="E8" s="27" t="n"/>
      <c r="F8" s="27" t="n"/>
      <c r="G8" s="27" t="n"/>
      <c r="H8" s="27" t="n"/>
      <c r="I8" s="27" t="n">
        <v>1</v>
      </c>
      <c r="J8" s="27" t="n">
        <v>1</v>
      </c>
      <c r="K8" s="27" t="inlineStr">
        <is>
          <t>B164</t>
        </is>
      </c>
      <c r="L8" s="28" t="n">
        <v>0</v>
      </c>
      <c r="M8" s="28" t="n">
        <v>0</v>
      </c>
      <c r="N8" s="28" t="inlineStr"/>
      <c r="O8" s="28" t="inlineStr"/>
      <c r="P8" s="28" t="n">
        <v>100</v>
      </c>
      <c r="Q8" s="28" t="n">
        <v>0</v>
      </c>
      <c r="R8" s="28" t="n">
        <v>0</v>
      </c>
      <c r="S8" s="28" t="n">
        <v>1</v>
      </c>
    </row>
    <row r="9" ht="14.4" customHeight="1">
      <c r="A9" s="27" t="inlineStr">
        <is>
          <t>21489335K</t>
        </is>
      </c>
      <c r="B9" s="27" t="inlineStr">
        <is>
          <t>Cantos Coll, Raquel</t>
        </is>
      </c>
      <c r="C9" s="27" t="inlineStr">
        <is>
          <t>NO FUNCIONARIO</t>
        </is>
      </c>
      <c r="D9" s="27" t="n"/>
      <c r="E9" s="27" t="n">
        <v>1</v>
      </c>
      <c r="F9" s="27" t="n"/>
      <c r="G9" s="27" t="n"/>
      <c r="H9" s="27" t="n"/>
      <c r="I9" s="27" t="n"/>
      <c r="J9" s="27" t="n">
        <v>1</v>
      </c>
      <c r="K9" s="27" t="inlineStr">
        <is>
          <t>B164</t>
        </is>
      </c>
      <c r="L9" s="28" t="n">
        <v>0</v>
      </c>
      <c r="M9" s="28" t="n">
        <v>0</v>
      </c>
      <c r="N9" s="28" t="inlineStr"/>
      <c r="O9" s="28" t="inlineStr"/>
      <c r="P9" s="28" t="n">
        <v>100</v>
      </c>
      <c r="Q9" s="28" t="n">
        <v>0</v>
      </c>
      <c r="R9" s="28" t="n">
        <v>0</v>
      </c>
      <c r="S9" s="28" t="n">
        <v>1</v>
      </c>
    </row>
    <row r="10" ht="14.4" customHeight="1">
      <c r="A10" s="27" t="inlineStr">
        <is>
          <t>21501002G</t>
        </is>
      </c>
      <c r="B10" s="27" t="inlineStr">
        <is>
          <t>Barbera Juan, Victor Manuel</t>
        </is>
      </c>
      <c r="C10" s="27" t="inlineStr">
        <is>
          <t>NO FUNCIONARIO</t>
        </is>
      </c>
      <c r="D10" s="27" t="n"/>
      <c r="E10" s="27" t="n"/>
      <c r="F10" s="27" t="n"/>
      <c r="G10" s="27" t="n"/>
      <c r="H10" s="27" t="n"/>
      <c r="I10" s="27" t="n">
        <v>1</v>
      </c>
      <c r="J10" s="27" t="n">
        <v>1</v>
      </c>
      <c r="K10" s="27" t="inlineStr">
        <is>
          <t>B164</t>
        </is>
      </c>
      <c r="L10" s="28" t="n">
        <v>0</v>
      </c>
      <c r="M10" s="28" t="n">
        <v>0</v>
      </c>
      <c r="N10" s="28" t="inlineStr"/>
      <c r="O10" s="28" t="inlineStr"/>
      <c r="P10" s="28" t="n">
        <v>100</v>
      </c>
      <c r="Q10" s="28" t="n">
        <v>0</v>
      </c>
      <c r="R10" s="28" t="n">
        <v>0</v>
      </c>
      <c r="S10" s="28" t="n">
        <v>1</v>
      </c>
    </row>
    <row r="11" ht="14.4" customHeight="1">
      <c r="A11" s="27" t="inlineStr">
        <is>
          <t>21989619D</t>
        </is>
      </c>
      <c r="B11" s="27" t="inlineStr">
        <is>
          <t>Martínez Mojica, Francisco Juan</t>
        </is>
      </c>
      <c r="C11" s="27" t="inlineStr">
        <is>
          <t>FUNCIONARIO</t>
        </is>
      </c>
      <c r="D11" s="27" t="n"/>
      <c r="E11" s="27" t="n"/>
      <c r="F11" s="27" t="n"/>
      <c r="G11" s="27" t="n"/>
      <c r="H11" s="27" t="n">
        <v>1</v>
      </c>
      <c r="I11" s="27" t="n"/>
      <c r="J11" s="27" t="n">
        <v>1</v>
      </c>
      <c r="K11" s="27" t="inlineStr">
        <is>
          <t>B164</t>
        </is>
      </c>
      <c r="L11" s="28" t="inlineStr">
        <is>
          <t>10.16</t>
        </is>
      </c>
      <c r="M11" s="28" t="inlineStr">
        <is>
          <t>50</t>
        </is>
      </c>
      <c r="N11" s="28" t="inlineStr"/>
      <c r="O11" s="28" t="inlineStr"/>
      <c r="P11" s="28" t="n">
        <v>50</v>
      </c>
      <c r="Q11" s="28" t="n">
        <v>0.5</v>
      </c>
      <c r="R11" s="28" t="n">
        <v>0</v>
      </c>
      <c r="S11" s="28" t="n">
        <v>0.5</v>
      </c>
    </row>
    <row r="12" ht="14.4" customHeight="1">
      <c r="A12" s="27" t="inlineStr">
        <is>
          <t>22112038E</t>
        </is>
      </c>
      <c r="B12" s="27" t="inlineStr">
        <is>
          <t>Cuenca Navarro, Nicolás</t>
        </is>
      </c>
      <c r="C12" s="27" t="inlineStr">
        <is>
          <t>FUNCIONARIO</t>
        </is>
      </c>
      <c r="D12" s="27" t="n"/>
      <c r="E12" s="27" t="n">
        <v>1</v>
      </c>
      <c r="F12" s="27" t="n"/>
      <c r="G12" s="27" t="n"/>
      <c r="H12" s="27" t="n"/>
      <c r="I12" s="27" t="n"/>
      <c r="J12" s="27" t="n">
        <v>1</v>
      </c>
      <c r="K12" s="27" t="inlineStr">
        <is>
          <t>B164</t>
        </is>
      </c>
      <c r="L12" s="28" t="inlineStr">
        <is>
          <t>10.16</t>
        </is>
      </c>
      <c r="M12" s="28" t="inlineStr">
        <is>
          <t>85</t>
        </is>
      </c>
      <c r="N12" s="28" t="inlineStr"/>
      <c r="O12" s="28" t="inlineStr"/>
      <c r="P12" s="28" t="n">
        <v>15</v>
      </c>
      <c r="Q12" s="28" t="n">
        <v>0.85</v>
      </c>
      <c r="R12" s="28" t="n">
        <v>0</v>
      </c>
      <c r="S12" s="28" t="n">
        <v>0.15</v>
      </c>
    </row>
    <row r="13" ht="14.4" customHeight="1">
      <c r="A13" s="27" t="inlineStr">
        <is>
          <t>22114159G</t>
        </is>
      </c>
      <c r="B13" s="27" t="inlineStr">
        <is>
          <t>De Juan Navarro, Emilio Javier</t>
        </is>
      </c>
      <c r="C13" s="27" t="inlineStr">
        <is>
          <t>NO FUNCIONARIO</t>
        </is>
      </c>
      <c r="D13" s="27" t="n"/>
      <c r="E13" s="27" t="n">
        <v>1</v>
      </c>
      <c r="F13" s="27" t="n"/>
      <c r="G13" s="27" t="n"/>
      <c r="H13" s="27" t="n"/>
      <c r="I13" s="27" t="n"/>
      <c r="J13" s="27" t="n">
        <v>1</v>
      </c>
      <c r="K13" s="27" t="inlineStr">
        <is>
          <t>B164</t>
        </is>
      </c>
      <c r="L13" s="28" t="n">
        <v>0</v>
      </c>
      <c r="M13" s="28" t="n">
        <v>0</v>
      </c>
      <c r="N13" s="28" t="inlineStr"/>
      <c r="O13" s="28" t="inlineStr"/>
      <c r="P13" s="28" t="n">
        <v>100</v>
      </c>
      <c r="Q13" s="28" t="n">
        <v>0</v>
      </c>
      <c r="R13" s="28" t="n">
        <v>0</v>
      </c>
      <c r="S13" s="28" t="n">
        <v>1</v>
      </c>
    </row>
    <row r="14" ht="14.4" customHeight="1">
      <c r="A14" s="27" t="inlineStr">
        <is>
          <t>27294053E</t>
        </is>
      </c>
      <c r="B14" s="27" t="inlineStr">
        <is>
          <t>Martín Nieto, José</t>
        </is>
      </c>
      <c r="C14" s="27" t="inlineStr">
        <is>
          <t>FUNCIONARIO</t>
        </is>
      </c>
      <c r="D14" s="27" t="n"/>
      <c r="E14" s="27" t="n"/>
      <c r="F14" s="27" t="n"/>
      <c r="G14" s="27" t="n"/>
      <c r="H14" s="27" t="n">
        <v>1</v>
      </c>
      <c r="I14" s="27" t="n"/>
      <c r="J14" s="27" t="n">
        <v>1</v>
      </c>
      <c r="K14" s="27" t="inlineStr">
        <is>
          <t>B164</t>
        </is>
      </c>
      <c r="L14" s="28" t="inlineStr">
        <is>
          <t>10.16</t>
        </is>
      </c>
      <c r="M14" s="28" t="inlineStr">
        <is>
          <t>85</t>
        </is>
      </c>
      <c r="N14" s="28" t="inlineStr"/>
      <c r="O14" s="28" t="inlineStr"/>
      <c r="P14" s="28" t="n">
        <v>15</v>
      </c>
      <c r="Q14" s="28" t="n">
        <v>0.85</v>
      </c>
      <c r="R14" s="28" t="n">
        <v>0</v>
      </c>
      <c r="S14" s="28" t="n">
        <v>0.15</v>
      </c>
    </row>
    <row r="15" ht="14.4" customHeight="1">
      <c r="A15" s="27" t="inlineStr">
        <is>
          <t>28997605X</t>
        </is>
      </c>
      <c r="B15" s="27" t="inlineStr">
        <is>
          <t>Soto Martínez, José Luis</t>
        </is>
      </c>
      <c r="C15" s="27" t="inlineStr">
        <is>
          <t>NO FUNCIONARIO</t>
        </is>
      </c>
      <c r="D15" s="27" t="n"/>
      <c r="E15" s="27" t="n">
        <v>1</v>
      </c>
      <c r="F15" s="27" t="n"/>
      <c r="G15" s="27" t="n"/>
      <c r="H15" s="27" t="n"/>
      <c r="I15" s="27" t="n"/>
      <c r="J15" s="27" t="n">
        <v>1</v>
      </c>
      <c r="K15" s="27" t="inlineStr">
        <is>
          <t>B164</t>
        </is>
      </c>
      <c r="L15" s="28" t="n">
        <v>0</v>
      </c>
      <c r="M15" s="28" t="n">
        <v>0</v>
      </c>
      <c r="N15" s="28" t="inlineStr"/>
      <c r="O15" s="28" t="inlineStr"/>
      <c r="P15" s="28" t="n">
        <v>100</v>
      </c>
      <c r="Q15" s="28" t="n">
        <v>0</v>
      </c>
      <c r="R15" s="28" t="n">
        <v>0</v>
      </c>
      <c r="S15" s="28" t="n">
        <v>1</v>
      </c>
    </row>
    <row r="16" ht="14.4" customHeight="1">
      <c r="A16" s="27" t="inlineStr">
        <is>
          <t>34794516R</t>
        </is>
      </c>
      <c r="B16" s="27" t="inlineStr">
        <is>
          <t>Lax Zapata, Pedro</t>
        </is>
      </c>
      <c r="C16" s="27" t="inlineStr">
        <is>
          <t>FUNCIONARIO</t>
        </is>
      </c>
      <c r="D16" s="27" t="n"/>
      <c r="E16" s="27" t="n"/>
      <c r="F16" s="27" t="n"/>
      <c r="G16" s="27" t="n"/>
      <c r="H16" s="27" t="n">
        <v>1</v>
      </c>
      <c r="I16" s="27" t="n"/>
      <c r="J16" s="27" t="n">
        <v>1</v>
      </c>
      <c r="K16" s="27" t="inlineStr">
        <is>
          <t>B164</t>
        </is>
      </c>
      <c r="L16" s="28" t="n">
        <v>0</v>
      </c>
      <c r="M16" s="28" t="n">
        <v>0</v>
      </c>
      <c r="N16" s="28" t="inlineStr"/>
      <c r="O16" s="28" t="inlineStr"/>
      <c r="P16" s="28" t="n">
        <v>100</v>
      </c>
      <c r="Q16" s="28" t="n">
        <v>0</v>
      </c>
      <c r="R16" s="28" t="n">
        <v>0</v>
      </c>
      <c r="S16" s="28" t="n">
        <v>1</v>
      </c>
    </row>
    <row r="17" ht="14.4" customHeight="1">
      <c r="A17" s="27" t="inlineStr">
        <is>
          <t>44760971G</t>
        </is>
      </c>
      <c r="B17" s="27" t="inlineStr">
        <is>
          <t>Santos Sánchez, Fernando</t>
        </is>
      </c>
      <c r="C17" s="27" t="inlineStr">
        <is>
          <t>FUNCIONARIO</t>
        </is>
      </c>
      <c r="D17" s="27" t="n"/>
      <c r="E17" s="27" t="n">
        <v>3</v>
      </c>
      <c r="F17" s="27" t="n"/>
      <c r="G17" s="27" t="n"/>
      <c r="H17" s="27" t="n"/>
      <c r="I17" s="27" t="n"/>
      <c r="J17" s="27" t="n">
        <v>3</v>
      </c>
      <c r="K17" s="27" t="inlineStr">
        <is>
          <t>B164</t>
        </is>
      </c>
      <c r="L17" s="28" t="n">
        <v>0</v>
      </c>
      <c r="M17" s="28" t="n">
        <v>0</v>
      </c>
      <c r="N17" s="28" t="inlineStr"/>
      <c r="O17" s="28" t="inlineStr"/>
      <c r="P17" s="28" t="n">
        <v>100</v>
      </c>
      <c r="Q17" s="28" t="n">
        <v>0</v>
      </c>
      <c r="R17" s="28" t="n">
        <v>0</v>
      </c>
      <c r="S17" s="28" t="n">
        <v>3</v>
      </c>
    </row>
    <row r="18" ht="14.4" customHeight="1">
      <c r="A18" s="27" t="inlineStr">
        <is>
          <t>45837767D</t>
        </is>
      </c>
      <c r="B18" s="27" t="inlineStr">
        <is>
          <t>Martínez Gil, Natalia</t>
        </is>
      </c>
      <c r="C18" s="27" t="inlineStr">
        <is>
          <t>NO FUNCIONARIO</t>
        </is>
      </c>
      <c r="D18" s="27" t="n"/>
      <c r="E18" s="27" t="n"/>
      <c r="F18" s="27" t="n"/>
      <c r="G18" s="27" t="n"/>
      <c r="H18" s="27" t="n">
        <v>1</v>
      </c>
      <c r="I18" s="27" t="n"/>
      <c r="J18" s="27" t="n">
        <v>1</v>
      </c>
      <c r="K18" s="27" t="inlineStr">
        <is>
          <t>B164</t>
        </is>
      </c>
      <c r="L18" s="28" t="n">
        <v>0</v>
      </c>
      <c r="M18" s="28" t="n">
        <v>0</v>
      </c>
      <c r="N18" s="28" t="inlineStr"/>
      <c r="O18" s="28" t="inlineStr"/>
      <c r="P18" s="28" t="n">
        <v>100</v>
      </c>
      <c r="Q18" s="28" t="n">
        <v>0</v>
      </c>
      <c r="R18" s="28" t="n">
        <v>0</v>
      </c>
      <c r="S18" s="28" t="n">
        <v>1</v>
      </c>
    </row>
    <row r="19" ht="14.4" customHeight="1">
      <c r="A19" s="27" t="inlineStr">
        <is>
          <t>45927679Z</t>
        </is>
      </c>
      <c r="B19" s="27" t="inlineStr">
        <is>
          <t>Ortuño Lizarán, Isabel</t>
        </is>
      </c>
      <c r="C19" s="27" t="inlineStr">
        <is>
          <t>NO FUNCIONARIO</t>
        </is>
      </c>
      <c r="D19" s="27" t="n"/>
      <c r="E19" s="27" t="n"/>
      <c r="F19" s="27" t="n"/>
      <c r="G19" s="27" t="n"/>
      <c r="H19" s="27" t="n">
        <v>1</v>
      </c>
      <c r="I19" s="27" t="n"/>
      <c r="J19" s="27" t="n">
        <v>1</v>
      </c>
      <c r="K19" s="27" t="inlineStr">
        <is>
          <t>B164</t>
        </is>
      </c>
      <c r="L19" s="28" t="n">
        <v>0</v>
      </c>
      <c r="M19" s="28" t="n">
        <v>0</v>
      </c>
      <c r="N19" s="28" t="inlineStr"/>
      <c r="O19" s="28" t="inlineStr"/>
      <c r="P19" s="28" t="n">
        <v>100</v>
      </c>
      <c r="Q19" s="28" t="n">
        <v>0</v>
      </c>
      <c r="R19" s="28" t="n">
        <v>0</v>
      </c>
      <c r="S19" s="28" t="n">
        <v>1</v>
      </c>
    </row>
    <row r="20" ht="14.4" customHeight="1">
      <c r="A20" s="27" t="inlineStr">
        <is>
          <t>48287249Z</t>
        </is>
      </c>
      <c r="B20" s="27" t="inlineStr">
        <is>
          <t>Soriano Úbeda, Sergio</t>
        </is>
      </c>
      <c r="C20" s="27" t="inlineStr">
        <is>
          <t>FUNCIONARIO</t>
        </is>
      </c>
      <c r="D20" s="27" t="n"/>
      <c r="E20" s="27" t="n">
        <v>2</v>
      </c>
      <c r="F20" s="27" t="n">
        <v>1</v>
      </c>
      <c r="G20" s="27" t="n"/>
      <c r="H20" s="27" t="n"/>
      <c r="I20" s="27" t="n"/>
      <c r="J20" s="27" t="n">
        <v>3</v>
      </c>
      <c r="K20" s="27" t="inlineStr">
        <is>
          <t>B164</t>
        </is>
      </c>
      <c r="L20" s="28" t="n">
        <v>0</v>
      </c>
      <c r="M20" s="28" t="n">
        <v>0</v>
      </c>
      <c r="N20" s="28" t="inlineStr"/>
      <c r="O20" s="28" t="inlineStr"/>
      <c r="P20" s="28" t="n">
        <v>100</v>
      </c>
      <c r="Q20" s="28" t="n">
        <v>0</v>
      </c>
      <c r="R20" s="28" t="n">
        <v>0</v>
      </c>
      <c r="S20" s="28" t="n">
        <v>3</v>
      </c>
    </row>
    <row r="21" ht="14.4" customHeight="1">
      <c r="A21" s="27" t="inlineStr">
        <is>
          <t>48342986E</t>
        </is>
      </c>
      <c r="B21" s="27" t="inlineStr">
        <is>
          <t>Tudurí López, Eva</t>
        </is>
      </c>
      <c r="C21" s="27" t="inlineStr">
        <is>
          <t>NO FUNCIONARIO</t>
        </is>
      </c>
      <c r="D21" s="27" t="n"/>
      <c r="E21" s="27" t="n"/>
      <c r="F21" s="27" t="n"/>
      <c r="G21" s="27" t="n"/>
      <c r="H21" s="27" t="n">
        <v>2</v>
      </c>
      <c r="I21" s="27" t="n"/>
      <c r="J21" s="27" t="n">
        <v>2</v>
      </c>
      <c r="K21" s="27" t="inlineStr">
        <is>
          <t>B164</t>
        </is>
      </c>
      <c r="L21" s="28" t="n">
        <v>0</v>
      </c>
      <c r="M21" s="28" t="n">
        <v>0</v>
      </c>
      <c r="N21" s="28" t="inlineStr"/>
      <c r="O21" s="28" t="inlineStr"/>
      <c r="P21" s="28" t="n">
        <v>100</v>
      </c>
      <c r="Q21" s="28" t="n">
        <v>0</v>
      </c>
      <c r="R21" s="28" t="n">
        <v>0</v>
      </c>
      <c r="S21" s="28" t="n">
        <v>2</v>
      </c>
    </row>
    <row r="22" ht="14.4" customHeight="1">
      <c r="A22" s="27" t="inlineStr">
        <is>
          <t>48352607Y</t>
        </is>
      </c>
      <c r="B22" s="27" t="inlineStr">
        <is>
          <t>Espinosa Manzano, Javier</t>
        </is>
      </c>
      <c r="C22" s="29" t="inlineStr">
        <is>
          <t>FUNCIONARIO</t>
        </is>
      </c>
      <c r="D22" s="27" t="n"/>
      <c r="E22" s="27" t="n"/>
      <c r="F22" s="27" t="n">
        <v>1</v>
      </c>
      <c r="G22" s="27" t="n"/>
      <c r="H22" s="27" t="n"/>
      <c r="I22" s="27" t="n"/>
      <c r="J22" s="27" t="n">
        <v>1</v>
      </c>
      <c r="K22" s="27" t="inlineStr">
        <is>
          <t>B164</t>
        </is>
      </c>
      <c r="L22" s="28" t="n">
        <v>0</v>
      </c>
      <c r="M22" s="28" t="n">
        <v>0</v>
      </c>
      <c r="N22" s="28" t="inlineStr"/>
      <c r="O22" s="28" t="inlineStr"/>
      <c r="P22" s="28" t="n">
        <v>100</v>
      </c>
      <c r="Q22" s="28" t="n">
        <v>0</v>
      </c>
      <c r="R22" s="28" t="n">
        <v>0</v>
      </c>
      <c r="S22" s="28" t="n">
        <v>1</v>
      </c>
    </row>
    <row r="23" ht="14.4" customHeight="1">
      <c r="A23" s="27" t="inlineStr">
        <is>
          <t>48353206F</t>
        </is>
      </c>
      <c r="B23" s="27" t="inlineStr">
        <is>
          <t>Martínez García, Manuel</t>
        </is>
      </c>
      <c r="C23" s="27" t="inlineStr">
        <is>
          <t>FUNCIONARIO</t>
        </is>
      </c>
      <c r="D23" s="27" t="n"/>
      <c r="E23" s="27" t="n">
        <v>1</v>
      </c>
      <c r="F23" s="27" t="n"/>
      <c r="G23" s="27" t="n"/>
      <c r="H23" s="27" t="n"/>
      <c r="I23" s="27" t="n"/>
      <c r="J23" s="27" t="n">
        <v>1</v>
      </c>
      <c r="K23" s="27" t="inlineStr">
        <is>
          <t>B164</t>
        </is>
      </c>
      <c r="L23" s="28" t="inlineStr">
        <is>
          <t>10.16</t>
        </is>
      </c>
      <c r="M23" s="28" t="inlineStr">
        <is>
          <t>50</t>
        </is>
      </c>
      <c r="N23" s="28" t="inlineStr"/>
      <c r="O23" s="28" t="inlineStr"/>
      <c r="P23" s="28" t="n">
        <v>50</v>
      </c>
      <c r="Q23" s="28" t="n">
        <v>0.5</v>
      </c>
      <c r="R23" s="28" t="n">
        <v>0</v>
      </c>
      <c r="S23" s="28" t="n">
        <v>0.5</v>
      </c>
    </row>
    <row r="24" ht="14.4" customHeight="1">
      <c r="A24" s="27" t="inlineStr">
        <is>
          <t>48367400X</t>
        </is>
      </c>
      <c r="B24" s="27" t="inlineStr">
        <is>
          <t>Salinas Berná, Paloma</t>
        </is>
      </c>
      <c r="C24" s="27" t="inlineStr">
        <is>
          <t>NO FUNCIONARIO</t>
        </is>
      </c>
      <c r="D24" s="27" t="n"/>
      <c r="E24" s="27" t="n"/>
      <c r="F24" s="27" t="n"/>
      <c r="G24" s="27" t="n"/>
      <c r="H24" s="27" t="n"/>
      <c r="I24" s="27" t="n">
        <v>1</v>
      </c>
      <c r="J24" s="27" t="n">
        <v>1</v>
      </c>
      <c r="K24" s="27" t="inlineStr">
        <is>
          <t>B164</t>
        </is>
      </c>
      <c r="L24" s="28" t="n">
        <v>0</v>
      </c>
      <c r="M24" s="28" t="n">
        <v>0</v>
      </c>
      <c r="N24" s="28" t="inlineStr"/>
      <c r="O24" s="28" t="inlineStr"/>
      <c r="P24" s="28" t="n">
        <v>100</v>
      </c>
      <c r="Q24" s="28" t="n">
        <v>0</v>
      </c>
      <c r="R24" s="28" t="n">
        <v>0</v>
      </c>
      <c r="S24" s="28" t="n">
        <v>1</v>
      </c>
    </row>
    <row r="25" ht="14.4" customHeight="1">
      <c r="A25" s="27" t="inlineStr">
        <is>
          <t>48562411G</t>
        </is>
      </c>
      <c r="B25" s="27" t="inlineStr">
        <is>
          <t>Alberola Die, Armando</t>
        </is>
      </c>
      <c r="C25" s="27" t="inlineStr">
        <is>
          <t>NO FUNCIONARIO</t>
        </is>
      </c>
      <c r="D25" s="27" t="n"/>
      <c r="E25" s="27" t="n"/>
      <c r="F25" s="27" t="n"/>
      <c r="G25" s="27" t="n"/>
      <c r="H25" s="27" t="n"/>
      <c r="I25" s="27" t="n">
        <v>1</v>
      </c>
      <c r="J25" s="27" t="n">
        <v>1</v>
      </c>
      <c r="K25" s="27" t="inlineStr">
        <is>
          <t>B164</t>
        </is>
      </c>
      <c r="L25" s="28" t="n">
        <v>0</v>
      </c>
      <c r="M25" s="28" t="n">
        <v>0</v>
      </c>
      <c r="N25" s="28" t="inlineStr"/>
      <c r="O25" s="28" t="inlineStr"/>
      <c r="P25" s="28" t="n">
        <v>100</v>
      </c>
      <c r="Q25" s="28" t="n">
        <v>0</v>
      </c>
      <c r="R25" s="28" t="n">
        <v>0</v>
      </c>
      <c r="S25" s="28" t="n">
        <v>1</v>
      </c>
    </row>
    <row r="26" ht="14.4" customHeight="1">
      <c r="A26" s="27" t="inlineStr">
        <is>
          <t>48666908N</t>
        </is>
      </c>
      <c r="B26" s="27" t="inlineStr">
        <is>
          <t>Ferrero Hidalgo, Hilda</t>
        </is>
      </c>
      <c r="C26" s="27" t="inlineStr">
        <is>
          <t>NO FUNCIONARIO</t>
        </is>
      </c>
      <c r="D26" s="27" t="n"/>
      <c r="E26" s="27" t="n"/>
      <c r="F26" s="27" t="n"/>
      <c r="G26" s="27" t="n"/>
      <c r="H26" s="27" t="n">
        <v>1</v>
      </c>
      <c r="I26" s="27" t="n"/>
      <c r="J26" s="27" t="n">
        <v>1</v>
      </c>
      <c r="K26" s="27" t="inlineStr">
        <is>
          <t>B164</t>
        </is>
      </c>
      <c r="L26" s="28" t="n">
        <v>0</v>
      </c>
      <c r="M26" s="28" t="n">
        <v>0</v>
      </c>
      <c r="N26" s="28" t="inlineStr"/>
      <c r="O26" s="28" t="inlineStr"/>
      <c r="P26" s="28" t="n">
        <v>100</v>
      </c>
      <c r="Q26" s="28" t="n">
        <v>0</v>
      </c>
      <c r="R26" s="28" t="n">
        <v>0</v>
      </c>
      <c r="S26" s="28" t="n">
        <v>1</v>
      </c>
    </row>
    <row r="27" ht="14.4" customHeight="1">
      <c r="A27" s="27" t="inlineStr">
        <is>
          <t>48771522E</t>
        </is>
      </c>
      <c r="B27" s="27" t="inlineStr">
        <is>
          <t>Sánchez Sáez, Xavier</t>
        </is>
      </c>
      <c r="C27" s="27" t="inlineStr">
        <is>
          <t>NO FUNCIONARIO</t>
        </is>
      </c>
      <c r="D27" s="27" t="n"/>
      <c r="E27" s="27" t="n"/>
      <c r="F27" s="27" t="n"/>
      <c r="G27" s="27" t="n"/>
      <c r="H27" s="27" t="n">
        <v>1</v>
      </c>
      <c r="I27" s="27" t="n"/>
      <c r="J27" s="27" t="n">
        <v>1</v>
      </c>
      <c r="K27" s="27" t="inlineStr">
        <is>
          <t>B164</t>
        </is>
      </c>
      <c r="L27" s="28" t="n">
        <v>0</v>
      </c>
      <c r="M27" s="28" t="n">
        <v>0</v>
      </c>
      <c r="N27" s="28" t="inlineStr"/>
      <c r="O27" s="28" t="inlineStr"/>
      <c r="P27" s="28" t="n">
        <v>100</v>
      </c>
      <c r="Q27" s="28" t="n">
        <v>0</v>
      </c>
      <c r="R27" s="28" t="n">
        <v>0</v>
      </c>
      <c r="S27" s="28" t="n">
        <v>1</v>
      </c>
    </row>
    <row r="28" ht="14.4" customHeight="1">
      <c r="A28" s="27" t="inlineStr">
        <is>
          <t>51449130Q</t>
        </is>
      </c>
      <c r="B28" s="27" t="inlineStr">
        <is>
          <t>Rubio Portillo, Esther</t>
        </is>
      </c>
      <c r="C28" s="27" t="inlineStr">
        <is>
          <t>NO FUNCIONARIO</t>
        </is>
      </c>
      <c r="D28" s="27" t="n"/>
      <c r="E28" s="27" t="n"/>
      <c r="F28" s="27" t="n"/>
      <c r="G28" s="27" t="n"/>
      <c r="H28" s="27" t="n"/>
      <c r="I28" s="27" t="n">
        <v>2</v>
      </c>
      <c r="J28" s="27" t="n">
        <v>2</v>
      </c>
      <c r="K28" s="27" t="inlineStr">
        <is>
          <t>B164</t>
        </is>
      </c>
      <c r="L28" s="28" t="n">
        <v>0</v>
      </c>
      <c r="M28" s="28" t="n">
        <v>0</v>
      </c>
      <c r="N28" s="28" t="inlineStr"/>
      <c r="O28" s="28" t="inlineStr"/>
      <c r="P28" s="28" t="n">
        <v>100</v>
      </c>
      <c r="Q28" s="28" t="n">
        <v>0</v>
      </c>
      <c r="R28" s="28" t="n">
        <v>0</v>
      </c>
      <c r="S28" s="28" t="n">
        <v>2</v>
      </c>
    </row>
    <row r="29" ht="14.4" customHeight="1">
      <c r="A29" s="27" t="inlineStr">
        <is>
          <t>70262055E</t>
        </is>
      </c>
      <c r="B29" s="27" t="inlineStr">
        <is>
          <t>Sánchez Castillo, Carla</t>
        </is>
      </c>
      <c r="C29" s="29" t="inlineStr">
        <is>
          <t>NO FUNCIONARIO</t>
        </is>
      </c>
      <c r="D29" s="27" t="n"/>
      <c r="E29" s="27" t="n"/>
      <c r="F29" s="27" t="n"/>
      <c r="G29" s="27" t="n"/>
      <c r="H29" s="27" t="n">
        <v>1</v>
      </c>
      <c r="I29" s="27" t="n"/>
      <c r="J29" s="27" t="n">
        <v>1</v>
      </c>
      <c r="K29" s="27" t="inlineStr">
        <is>
          <t>B164</t>
        </is>
      </c>
      <c r="L29" s="28" t="n">
        <v>0</v>
      </c>
      <c r="M29" s="28" t="n">
        <v>0</v>
      </c>
      <c r="N29" s="28" t="inlineStr"/>
      <c r="O29" s="28" t="inlineStr"/>
      <c r="P29" s="28" t="n">
        <v>100</v>
      </c>
      <c r="Q29" s="28" t="n">
        <v>0</v>
      </c>
      <c r="R29" s="28" t="n">
        <v>0</v>
      </c>
      <c r="S29" s="28" t="n">
        <v>1</v>
      </c>
    </row>
    <row r="30" ht="14.4" customHeight="1">
      <c r="A30" s="65" t="n"/>
      <c r="B30" s="65" t="n"/>
      <c r="C30" s="66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109">
        <f>SUM(S2:S29)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23" sqref="C23"/>
    </sheetView>
  </sheetViews>
  <sheetFormatPr baseColWidth="10" defaultRowHeight="14.4"/>
  <cols>
    <col width="17" customWidth="1" min="1" max="1"/>
    <col width="89.6640625" customWidth="1" min="2" max="2"/>
    <col width="16" customWidth="1" min="3" max="3"/>
  </cols>
  <sheetData>
    <row r="1">
      <c r="A1" s="77" t="inlineStr">
        <is>
          <t>Cód. org. aplic.</t>
        </is>
      </c>
      <c r="B1" s="77" t="inlineStr">
        <is>
          <t>Descripción justificante</t>
        </is>
      </c>
      <c r="C1" s="77" t="inlineStr">
        <is>
          <t>Imp.cob.aplic.</t>
        </is>
      </c>
    </row>
    <row r="2">
      <c r="A2" s="61" t="inlineStr">
        <is>
          <t>36.20.6C.00.24</t>
        </is>
      </c>
      <c r="B2" s="61" t="inlineStr">
        <is>
          <t>Royalty 2022 for Licensed Material Murine Retinal Cell Line (MU-PH1). 60% of Royalty to University of Alicante: $284.4 USD (Sales 2022: $3160 USD. Rate 15% up to $10,000 &amp; 18% for sales over $10,000 USD) TOTAL DUE 245,97 EUROS. (Counter Value in US$: 284,40 US DOLLARS).  Link conversor https://www.oanda.com/currency-converter/es. Date 22nd Febrary 2023</t>
        </is>
      </c>
      <c r="C2" s="110" t="n">
        <v>147.58</v>
      </c>
    </row>
    <row r="3">
      <c r="A3" s="60" t="inlineStr">
        <is>
          <t>36.20.6M.00.08</t>
        </is>
      </c>
      <c r="B3" s="60" t="inlineStr">
        <is>
          <t xml:space="preserve">SEGUNDO PAGO CONVENIO DE COLABORACIÓN EN EL PROYECTO: "TERAPIA DE LA DISTROFIA COROIDEA AREOLAR CENTRAL ASOCIADA AL GEN DE LA PERIFERINA" </t>
        </is>
      </c>
      <c r="C3" s="111" t="n">
        <v>22000</v>
      </c>
    </row>
    <row r="4">
      <c r="A4" s="61" t="inlineStr">
        <is>
          <t>36.20.6M.00.09</t>
        </is>
      </c>
      <c r="B4" s="61" t="inlineStr">
        <is>
          <t>SEGUNDO PAGO POR MODIFICACIÓN CONVENIO DE COLABORACIÓN EN EL PROYECTO: "INVESTIGACIÓN SOBRE TERAPIA DE LA DISTROFIA RETINIANA ASOCIADA AL GEN DE LA PERIFERINA" REF.: BEGISARE1AnejoModificacion-22I</t>
        </is>
      </c>
      <c r="C4" s="110" t="n">
        <v>3520</v>
      </c>
    </row>
    <row r="5">
      <c r="A5" s="60" t="inlineStr">
        <is>
          <t>36.20.6P.00.17</t>
        </is>
      </c>
      <c r="B5" s="60" t="inlineStr">
        <is>
          <t>REINTEGRO DE REMANENTE DE PROYECTO NO EJECUTADO 2-RD16/0008/0016 - ANUALIDAD 2020 / 5-RD16/0008/0016</t>
        </is>
      </c>
      <c r="C5" s="111" t="n">
        <v>-2641.92</v>
      </c>
    </row>
    <row r="6">
      <c r="A6" s="61" t="inlineStr">
        <is>
          <t>36.20.6P.00.31</t>
        </is>
      </c>
      <c r="B6" s="61" t="inlineStr">
        <is>
          <t xml:space="preserve">PID2019-104980GB-I00/107265GB-I00/108192GB-I00/109627GB-I00/111208GB-I00/105542RB-I00/106230RB-I00/106601RB-I00 </t>
        </is>
      </c>
      <c r="C6" s="110" t="n">
        <v>44160</v>
      </c>
    </row>
    <row r="7">
      <c r="A7" s="60" t="inlineStr">
        <is>
          <t>36.20.6P.00.34</t>
        </is>
      </c>
      <c r="B7" s="60" t="inlineStr">
        <is>
          <t xml:space="preserve">AYUDAS INNEST/2021/296, INNEST/2021/3 </t>
        </is>
      </c>
      <c r="C7" s="111" t="n">
        <v>22705</v>
      </c>
    </row>
    <row r="8">
      <c r="A8" s="61" t="inlineStr">
        <is>
          <t>36.20.6P.00.35</t>
        </is>
      </c>
      <c r="B8" s="61" t="inlineStr">
        <is>
          <t xml:space="preserve">PID2020-118574GB-I00/118816GB-I00/119124RB-I00/119144RB-I00/119320GB-I00/119383GB-I00/119734RB-I00/119878GB-I00/119959GB-I00/120213RB-I00 </t>
        </is>
      </c>
      <c r="C8" s="110" t="n">
        <v>31969.1</v>
      </c>
    </row>
    <row r="9">
      <c r="A9" s="60" t="inlineStr">
        <is>
          <t>36.20.6P.00.36</t>
        </is>
      </c>
      <c r="B9" s="60" t="inlineStr">
        <is>
          <t xml:space="preserve">PROMETEO/2020/093/006/017/024/030/055/057/073/079/088 </t>
        </is>
      </c>
      <c r="C9" s="111" t="n">
        <v>101084.95</v>
      </c>
    </row>
    <row r="10">
      <c r="A10" s="61" t="inlineStr">
        <is>
          <t>36.20.6P.00.37</t>
        </is>
      </c>
      <c r="B10" s="61" t="inlineStr">
        <is>
          <t xml:space="preserve">PROMETEO/2020/093/006/017/024/030/055/057/073/079/088 </t>
        </is>
      </c>
      <c r="C10" s="110" t="n">
        <v>142499.05</v>
      </c>
    </row>
    <row r="11">
      <c r="A11" s="60" t="inlineStr">
        <is>
          <t>36.20.6P.00.40</t>
        </is>
      </c>
      <c r="B11" s="60" t="inlineStr">
        <is>
          <t>CIPROM/2021/001/006/017/021/022/027/057/060/062/068/070/074</t>
        </is>
      </c>
      <c r="C11" s="111" t="n">
        <v>139650</v>
      </c>
    </row>
    <row r="12">
      <c r="A12" s="61" t="inlineStr">
        <is>
          <t>36.20.6P.00.41</t>
        </is>
      </c>
      <c r="B12" s="61" t="inlineStr">
        <is>
          <t>Minoración INNTA1/2022/20. Justificante que se hace anulación JI-2022-4102</t>
        </is>
      </c>
      <c r="C12" s="110" t="n">
        <v>-2829.79</v>
      </c>
    </row>
    <row r="13">
      <c r="A13" s="60" t="inlineStr">
        <is>
          <t>36.20.6P.00.41</t>
        </is>
      </c>
      <c r="B13" s="60" t="inlineStr">
        <is>
          <t xml:space="preserve">INNTA1/2022/20 INNTA1/2022/24 </t>
        </is>
      </c>
      <c r="C13" s="111" t="n">
        <v>52275</v>
      </c>
    </row>
    <row r="14">
      <c r="A14" s="78" t="inlineStr">
        <is>
          <t>36.20.6P.00.44</t>
        </is>
      </c>
      <c r="B14" s="78" t="inlineStr">
        <is>
          <t>ayudas CIGE/2022/4-6-8-10-15-16-21-30-36-45-46-51-52- 54-55-105-170-179</t>
        </is>
      </c>
      <c r="C14" s="112" t="n">
        <v>9950</v>
      </c>
    </row>
    <row r="15">
      <c r="A15" s="75" t="inlineStr">
        <is>
          <t>Total</t>
        </is>
      </c>
      <c r="B15" s="75" t="n"/>
      <c r="C15" s="113">
        <f>SUBTOTAL(109,Tabla2[Imp.cob.aplic.])</f>
        <v/>
      </c>
    </row>
    <row r="16">
      <c r="C16" s="11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B27" sqref="B27:C27"/>
    </sheetView>
  </sheetViews>
  <sheetFormatPr baseColWidth="10" defaultRowHeight="14.4"/>
  <cols>
    <col width="17" customWidth="1" min="1" max="1"/>
    <col width="52.44140625" customWidth="1" min="2" max="2"/>
    <col width="15.6640625" customWidth="1" min="3" max="3"/>
  </cols>
  <sheetData>
    <row r="1">
      <c r="A1" s="83" t="inlineStr">
        <is>
          <t>Org. aplic.</t>
        </is>
      </c>
      <c r="B1" s="83" t="inlineStr">
        <is>
          <t>Descripción justificante</t>
        </is>
      </c>
      <c r="C1" s="115" t="inlineStr">
        <is>
          <t>Imp. aplic.</t>
        </is>
      </c>
    </row>
    <row r="2">
      <c r="A2" s="79" t="inlineStr">
        <is>
          <t>36.20.6C.00.27</t>
        </is>
      </c>
      <c r="B2" s="79" t="inlineStr">
        <is>
          <t xml:space="preserve">COLLABORATION SPONSORSHIP IN THE PROJECT: RETINAL PATHOLOGY IN FAMILIAL DYSAUTONOMIA </t>
        </is>
      </c>
      <c r="C2" s="111" t="n">
        <v>3643.9</v>
      </c>
    </row>
    <row r="3">
      <c r="A3" s="81" t="inlineStr">
        <is>
          <t>36.20.6M.00.08</t>
        </is>
      </c>
      <c r="B3" s="81" t="inlineStr">
        <is>
          <t>TERCER PAGO CONVENIO DE COLABORACIÓN EN EL PROYECTO: "TERAPIA DE LA DISTROFIA COROIDEA AREOLAR CENTRAL ASOCIADA AL GEN DE LA PERIFERINA"</t>
        </is>
      </c>
      <c r="C3" s="110" t="n">
        <v>22000</v>
      </c>
    </row>
    <row r="4">
      <c r="A4" s="79" t="inlineStr">
        <is>
          <t>36.20.6M.00.09</t>
        </is>
      </c>
      <c r="B4" s="79" t="inlineStr">
        <is>
          <t>TERCER PAGO POR MODIFICACIÓN CONVENIO DE COLABORACIÓN EN EL PROYECTO:"INVESTIGACIÓN SOBRE TERAPIA DE LA DISTROFIA RETINIANA ASOCIADA AL GEN DE LA PERIFERINA"</t>
        </is>
      </c>
      <c r="C4" s="111" t="n">
        <v>4400</v>
      </c>
    </row>
    <row r="5">
      <c r="A5" s="81" t="inlineStr">
        <is>
          <t>36.20.6P.00.34</t>
        </is>
      </c>
      <c r="B5" s="81" t="inlineStr">
        <is>
          <t xml:space="preserve">Minoración Innest/2021/296 </t>
        </is>
      </c>
      <c r="C5" s="110" t="n">
        <v>-12368.6</v>
      </c>
    </row>
    <row r="6">
      <c r="A6" s="79" t="inlineStr">
        <is>
          <t>36.20.6P.00.34</t>
        </is>
      </c>
      <c r="B6" s="79" t="inlineStr">
        <is>
          <t>minoración INNEST/2021/296 (año 2022)</t>
        </is>
      </c>
      <c r="C6" s="111" t="n">
        <v>-6957.73</v>
      </c>
    </row>
    <row r="7">
      <c r="A7" s="81" t="inlineStr">
        <is>
          <t>36.20.6P.00.37</t>
        </is>
      </c>
      <c r="B7" s="81" t="inlineStr">
        <is>
          <t xml:space="preserve">ayudas PROMETEO/2021/006, PROMETEO/2021/017, PROMETEO/2021/030, PROMETEO/2021/055, PROMETEO/2021/057, PROMETEO/2021/073, PROMETEO/2021/079, PROMETEO/2021/088 </t>
        </is>
      </c>
      <c r="C7" s="110" t="n">
        <v>142499.05</v>
      </c>
    </row>
    <row r="8">
      <c r="A8" s="79" t="inlineStr">
        <is>
          <t>36.20.6P.00.40</t>
        </is>
      </c>
      <c r="B8" s="79" t="inlineStr">
        <is>
          <t>AYUDA CIPROM/2021/001, CIPROM/2021/006, CIPROM/2021/017, CIPROM/2021/021, CIPROM/2021/022, CIPROM/2021/027, CIPROM/2021/057, CIPROM/2021/060, CIPROM/2021/062, CIPROM/2021/068, CIPROM/2021/070, CIPROM/2021/074</t>
        </is>
      </c>
      <c r="C8" s="111" t="n">
        <v>139650</v>
      </c>
    </row>
    <row r="9">
      <c r="A9" s="81" t="inlineStr">
        <is>
          <t>36.20.6P.00.41</t>
        </is>
      </c>
      <c r="B9" s="81" t="inlineStr">
        <is>
          <t xml:space="preserve">ayudas INNTA1/2022/20, INNTA1/2022/24 </t>
        </is>
      </c>
      <c r="C9" s="110" t="n">
        <v>44750</v>
      </c>
    </row>
    <row r="10">
      <c r="A10" s="79" t="inlineStr">
        <is>
          <t>36.20.6P.00.41</t>
        </is>
      </c>
      <c r="B10" s="79" t="inlineStr">
        <is>
          <t xml:space="preserve">Minoración INNTA1/2022/20  </t>
        </is>
      </c>
      <c r="C10" s="111" t="n">
        <v>-3983.82</v>
      </c>
    </row>
    <row r="11">
      <c r="A11" s="81" t="inlineStr">
        <is>
          <t>36.20.6P.00.41</t>
        </is>
      </c>
      <c r="B11" s="81" t="inlineStr">
        <is>
          <t xml:space="preserve">Minoración Ayudas INNTA1/2022/20 </t>
        </is>
      </c>
      <c r="C11" s="110" t="n">
        <v>-1127.66</v>
      </c>
    </row>
    <row r="12">
      <c r="A12" s="79" t="inlineStr">
        <is>
          <t>36.20.6P.00.42</t>
        </is>
      </c>
      <c r="B12" s="79" t="inlineStr">
        <is>
          <t>PID2021-124139NB-C21 -124237NB-I00 -124721NB-I00 -124741NB-I00 -124860NB-I00 -125175OB-I00 -125279OB-I00 -125387NB-I00 -125517OB-I00 -125883NB-C21-126056OA-I00 -126114NB-C41 -126155OB-I00</t>
        </is>
      </c>
      <c r="C12" s="111" t="n">
        <v>18900</v>
      </c>
    </row>
    <row r="13">
      <c r="A13" s="81" t="inlineStr">
        <is>
          <t>36.20.6P.00.44</t>
        </is>
      </c>
      <c r="B13" s="81" t="inlineStr">
        <is>
          <t>ayudas CIGE/2022/4, CIGE/2022/6, CIGE/2022/8, CIGE/2022/15, CIGE/2022/16, CIGE/2022/21, CIGE/2022/30, CIGE/2022/45, CIGE/2022/46, CIGE/2022/51, CIGE/2022/52, CIGE/2022/54, CIGE/2022/55, CIGE/2022/105, CIGE/2022/170, CIGE/2022/179</t>
        </is>
      </c>
      <c r="C13" s="110" t="n">
        <v>10000</v>
      </c>
    </row>
    <row r="14">
      <c r="A14" s="79" t="inlineStr">
        <is>
          <t>36.20.6P.00.44</t>
        </is>
      </c>
      <c r="B14" s="79" t="inlineStr">
        <is>
          <t>DEVOLUCIÓN DE INGRESOS_ MODELO 047_ Nº DE LIQUIDACIÓN: 46/2024/RAS/10325/1 Nº DE JUSTIFICANTE: 047/1/002551836_Nº DE REFERENCIA: 047/1/002551836</t>
        </is>
      </c>
      <c r="C14" s="111" t="n">
        <v>-136.04</v>
      </c>
    </row>
    <row r="15">
      <c r="A15" s="81" t="inlineStr">
        <is>
          <t>36.20.6P.00.46</t>
        </is>
      </c>
      <c r="B15" s="81" t="inlineStr">
        <is>
          <t>PROGRAMA AYUDAS ICAR 2023 PROYECTO NEUROVIS</t>
        </is>
      </c>
      <c r="C15" s="110" t="n">
        <v>66086.96000000001</v>
      </c>
    </row>
    <row r="16">
      <c r="A16" s="79" t="inlineStr">
        <is>
          <t>36.20.6P.00.47</t>
        </is>
      </c>
      <c r="B16" s="79" t="inlineStr">
        <is>
          <t>PROGRAMA AYUDAS ICAR 2023 PROYECTO BCELLAGE</t>
        </is>
      </c>
      <c r="C16" s="111" t="n">
        <v>21797.6</v>
      </c>
    </row>
    <row r="17">
      <c r="A17" s="81" t="inlineStr">
        <is>
          <t>36.20.6P.00.48</t>
        </is>
      </c>
      <c r="B17" s="81" t="inlineStr">
        <is>
          <t xml:space="preserve">ayudas INNTA1/2024/21, INNTA1/2024/22 </t>
        </is>
      </c>
      <c r="C17" s="110" t="n">
        <v>15735</v>
      </c>
    </row>
    <row r="18">
      <c r="A18" s="79" t="inlineStr">
        <is>
          <t>36.20.6P.00.49</t>
        </is>
      </c>
      <c r="B18" s="79" t="inlineStr">
        <is>
      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      </is>
      </c>
      <c r="C18" s="111" t="n">
        <v>60000</v>
      </c>
    </row>
    <row r="19">
      <c r="A19" s="81" t="inlineStr">
        <is>
          <t>36.20.6P.00.49</t>
        </is>
      </c>
      <c r="B19" s="81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19" s="110" t="n">
        <v>30320</v>
      </c>
    </row>
    <row r="20">
      <c r="A20" s="79" t="inlineStr">
        <is>
          <t>36.20.6P.00.50</t>
        </is>
      </c>
      <c r="B20" s="79" t="inlineStr">
        <is>
      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      </is>
      </c>
      <c r="C20" s="111" t="n">
        <v>90000</v>
      </c>
    </row>
    <row r="21">
      <c r="A21" s="81" t="inlineStr">
        <is>
          <t>36.20.6P.00.50</t>
        </is>
      </c>
      <c r="B21" s="81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21" s="110" t="n">
        <v>45480</v>
      </c>
    </row>
    <row r="22">
      <c r="A22" s="79" t="inlineStr">
        <is>
          <t>36.20.6P.00.51</t>
        </is>
      </c>
      <c r="B22" s="79" t="inlineStr">
        <is>
          <t>Anualidad INNVA1/2024 REF INNEST/2024/427</t>
        </is>
      </c>
      <c r="C22" s="111" t="n">
        <v>14000</v>
      </c>
    </row>
    <row r="23">
      <c r="A23" s="87" t="inlineStr">
        <is>
          <t>36.20.6X.00.05</t>
        </is>
      </c>
      <c r="B23" s="87" t="inlineStr">
        <is>
          <t xml:space="preserve">ÚLTIMO COBRO DEL PROYECTO MITOCOMPLEX. </t>
        </is>
      </c>
      <c r="C23" s="112" t="n">
        <v>93244.8</v>
      </c>
    </row>
    <row r="24">
      <c r="A24" s="87" t="inlineStr">
        <is>
          <t>Total</t>
        </is>
      </c>
      <c r="B24" s="87" t="n"/>
      <c r="C24" s="113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E23" sqref="E23"/>
    </sheetView>
  </sheetViews>
  <sheetFormatPr baseColWidth="10" defaultRowHeight="14.4"/>
  <cols>
    <col width="16.88671875" customWidth="1" min="1" max="1"/>
    <col width="52.88671875" customWidth="1" min="2" max="2"/>
    <col width="16.88671875" customWidth="1" min="3" max="3"/>
  </cols>
  <sheetData>
    <row r="1">
      <c r="A1" s="90" t="inlineStr">
        <is>
          <t>Org. aplic.</t>
        </is>
      </c>
      <c r="B1" s="91" t="inlineStr">
        <is>
          <t>Descripción justificante</t>
        </is>
      </c>
      <c r="C1" s="91" t="inlineStr">
        <is>
          <t>Imp. aplic.</t>
        </is>
      </c>
    </row>
    <row r="2">
      <c r="A2" s="92" t="inlineStr">
        <is>
          <t>36.20.6M.00.08</t>
        </is>
      </c>
      <c r="B2" s="93" t="inlineStr">
        <is>
          <t>CUARTO PAGO CONVENIO DE COLABORACIÓN EN EL PROYECTO: "TERAPIA DE LA DISTROFIA COROIDEA  AREOLAR CENTRAL ASOCIADA AL GEN DE LA PERIFERINA". REF.: ASOCIACIONRETINA1-22I</t>
        </is>
      </c>
      <c r="C2" s="116" t="n">
        <v>22000</v>
      </c>
    </row>
    <row r="3">
      <c r="A3" s="95" t="inlineStr">
        <is>
          <t>36.20.6P.00.36</t>
        </is>
      </c>
      <c r="B3" s="96" t="inlineStr">
        <is>
          <t xml:space="preserve">DEVOLUCIÓN DE INGRESOS_MODELO 047_ REFERENCIA: PROMETEO 2021 EN 2024_PROMETEO/2021/006, PROMETEO/2021/017, PROMETEO/2021/030, PROMETEO/2021/055, PROMETEO/2021/057, PROMETEO/2021/073, PROMETEO/2021/079, PROMETEO/2021/088 </t>
        </is>
      </c>
      <c r="C3" s="117" t="n">
        <v>-1569.52</v>
      </c>
    </row>
    <row r="4">
      <c r="A4" s="92" t="inlineStr">
        <is>
          <t>36.20.6P.00.37</t>
        </is>
      </c>
      <c r="B4" s="93" t="inlineStr">
        <is>
          <t xml:space="preserve">DEVOLUCIÓN DE INGRESOS_MODELO 047_ REFERENCIA: PROMETEO 2021 EN 2024_PROMETEO/2021/006, PROMETEO/2021/017, PROMETEO/2021/030, PROMETEO/2021/055, PROMETEO/2021/057, PROMETEO/2021/073, PROMETEO/2021/079, PROMETEO/2021/088 </t>
        </is>
      </c>
      <c r="C4" s="116" t="n">
        <v>-2628.2</v>
      </c>
    </row>
    <row r="5">
      <c r="A5" s="95" t="inlineStr">
        <is>
          <t>36.20.6P.00.40</t>
        </is>
      </c>
      <c r="B5" s="96" t="inlineStr">
        <is>
          <t xml:space="preserve">CIPROM/2021/001/006/017/021/022/027/057/060/062/068/070/074 </t>
        </is>
      </c>
      <c r="C5" s="117" t="n">
        <v>139650</v>
      </c>
    </row>
    <row r="6">
      <c r="A6" s="92" t="inlineStr">
        <is>
          <t>36.20.6P.00.44</t>
        </is>
      </c>
      <c r="B6" s="93" t="inlineStr">
        <is>
          <t>DEVOLUCIÓN DE INGRESOS_MODELO 047_CIGE 2022</t>
        </is>
      </c>
      <c r="C6" s="116" t="n">
        <v>-145.05</v>
      </c>
    </row>
    <row r="7">
      <c r="A7" s="95" t="inlineStr">
        <is>
          <t>36.20.6P.00.48</t>
        </is>
      </c>
      <c r="B7" s="96" t="inlineStr">
        <is>
          <t xml:space="preserve">Ayudas INNTA1/2024/21, INNTA1/2024/22 </t>
        </is>
      </c>
      <c r="C7" s="117" t="n">
        <v>41898.5</v>
      </c>
    </row>
    <row r="8">
      <c r="A8" s="92" t="inlineStr">
        <is>
          <t>36.20.6P.00.48</t>
        </is>
      </c>
      <c r="B8" s="93" t="inlineStr">
        <is>
          <t xml:space="preserve">Disminución Ayudas INNTA1/2024/21, INNTA1/2024/22 </t>
        </is>
      </c>
      <c r="C8" s="116" t="n">
        <v>-265</v>
      </c>
    </row>
    <row r="9">
      <c r="A9" s="95" t="inlineStr">
        <is>
          <t>36.20.6P.00.49</t>
        </is>
      </c>
      <c r="B9" s="96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9" s="117" t="n">
        <v>5280</v>
      </c>
    </row>
    <row r="10">
      <c r="A10" s="92" t="inlineStr">
        <is>
          <t>36.20.6P.00.49</t>
        </is>
      </c>
      <c r="B10" s="93" t="inlineStr">
        <is>
          <t>INGRESO PERCIBIDO POR LA UNIVERSIDAD DE ALICANTE EN CONCEPTO DE ERROR EN REPOSICIÓN DE FONDOS EN JG 39277 POR DIFERENCIAS DE CAMBIO.</t>
        </is>
      </c>
      <c r="C10" s="116" t="n">
        <v>22.47</v>
      </c>
    </row>
    <row r="11">
      <c r="A11" s="95" t="inlineStr">
        <is>
          <t>36.20.6P.00.50</t>
        </is>
      </c>
      <c r="B11" s="96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11" s="117" t="n">
        <v>7920</v>
      </c>
    </row>
    <row r="12">
      <c r="A12" s="92" t="inlineStr">
        <is>
          <t>36.20.6P.00.51</t>
        </is>
      </c>
      <c r="B12" s="93" t="inlineStr">
        <is>
          <t xml:space="preserve">Ayudas INNEST/2024/427 </t>
        </is>
      </c>
      <c r="C12" s="116" t="n">
        <v>66029</v>
      </c>
    </row>
    <row r="13">
      <c r="A13" s="95" t="inlineStr">
        <is>
          <t>36.20.6P.00.52</t>
        </is>
      </c>
      <c r="B13" s="96" t="inlineStr">
        <is>
          <t>INGRESO PERCIBIDO POR LA UNIVERSIDAD DE ALICANTE EN CONCEPTO DE PRIMER PAGO DE LA AYUDA A LA INVESTIGACIÓN_CONVOCATORIA 2024.</t>
        </is>
      </c>
      <c r="C13" s="117" t="n">
        <v>6666.67</v>
      </c>
    </row>
    <row r="14">
      <c r="A14" s="92" t="inlineStr">
        <is>
          <t>36.20.6P.00.53</t>
        </is>
      </c>
      <c r="B14" s="93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14" s="116" t="n">
        <v>114000</v>
      </c>
    </row>
    <row r="15">
      <c r="A15" s="95" t="inlineStr">
        <is>
          <t>36.20.6P.00.53</t>
        </is>
      </c>
      <c r="B15" s="96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15" s="117" t="n">
        <v>64600</v>
      </c>
    </row>
    <row r="16">
      <c r="A16" s="92" t="inlineStr">
        <is>
          <t>36.20.6P.00.54</t>
        </is>
      </c>
      <c r="B16" s="93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16" s="116" t="n">
        <v>115200</v>
      </c>
    </row>
    <row r="17">
      <c r="A17" s="95" t="inlineStr">
        <is>
          <t>36.20.6P.00.54</t>
        </is>
      </c>
      <c r="B17" s="96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17" s="117" t="n">
        <v>65280</v>
      </c>
    </row>
    <row r="18">
      <c r="A18" s="92" t="inlineStr">
        <is>
          <t>36.20.6P.00.55</t>
        </is>
      </c>
      <c r="B18" s="93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18" s="116" t="n">
        <v>71400</v>
      </c>
    </row>
    <row r="19">
      <c r="A19" s="95" t="inlineStr">
        <is>
          <t>36.20.6P.00.55</t>
        </is>
      </c>
      <c r="B19" s="96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19" s="117" t="n">
        <v>40460</v>
      </c>
    </row>
    <row r="20">
      <c r="A20" s="92" t="inlineStr">
        <is>
          <t>36.20.6P.00.56</t>
        </is>
      </c>
      <c r="B20" s="93" t="inlineStr">
        <is>
          <t>Ingreso ayudas CIGE/2024/56/95/108/145/178/184/194/199/200/201/202/203/204/205/208/209/212/213</t>
        </is>
      </c>
      <c r="C20" s="116" t="n">
        <v>3000</v>
      </c>
    </row>
    <row r="21">
      <c r="A21" s="95" t="inlineStr">
        <is>
          <t>36.20.6P.00.57</t>
        </is>
      </c>
      <c r="B21" s="96" t="inlineStr">
        <is>
          <t>Ingreso ayudas CIGE/2024/56/95/108/145/178/184/194/199/200/201/202/203/204/205/208/209/212/213</t>
        </is>
      </c>
      <c r="C21" s="117" t="n">
        <v>5000</v>
      </c>
    </row>
    <row r="22">
      <c r="A22" s="92" t="inlineStr">
        <is>
          <t>36.20.6P.00.58</t>
        </is>
      </c>
      <c r="B22" s="93" t="inlineStr">
        <is>
          <t>INGRESO PERCIBIDO POR LA UNIVERSIDAD DE ALICANTE EN VIRTUD DE RESOLUCIÓN DE LA IX CONVOCATORIA DE AYUDAS A LA INVESTIGACIÓN DE FUNDACIÓN FEDER.</t>
        </is>
      </c>
      <c r="C22" s="116" t="n">
        <v>12500</v>
      </c>
    </row>
    <row r="23" ht="15" customHeight="1" thickBot="1">
      <c r="A23" s="95" t="inlineStr">
        <is>
          <t>36.20.6P.00.58</t>
        </is>
      </c>
      <c r="B23" s="96" t="inlineStr">
        <is>
          <t>INGRESO PERCIBIDO POR LA UNIVERSIDAD DE ALICANTE EN VIRTUD DE RESOLUCIÓN DE LA IX CONVOCATORIA DE AYUDAS A LA INVESTIGACIÓN DE FUNDACIÓN FEDER. IX Conv Investigacion AI-2024-031</t>
        </is>
      </c>
      <c r="C23" s="117" t="n">
        <v>12500</v>
      </c>
    </row>
    <row r="24" ht="15" customHeight="1" thickTop="1">
      <c r="A24" s="98" t="inlineStr">
        <is>
          <t>Total</t>
        </is>
      </c>
      <c r="B24" s="99" t="n"/>
      <c r="C24" s="118" t="n">
        <v>788798.87</v>
      </c>
    </row>
    <row r="27">
      <c r="B27" s="88" t="inlineStr">
        <is>
          <t>Total ingresos de investigación 2023-25</t>
        </is>
      </c>
      <c r="C27" s="119">
        <f>C24+Tabla2[[#Totals],[Imp.cob.aplic.]]+Tabla3[[#Totals],[Imp. 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dfddip@ua.es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2026-05-28T21:59:13Z</dcterms:modified>
  <cp:lastModifiedBy>MARIA TERESA PUJALTE DEVIS</cp:lastModifiedBy>
</cp:coreProperties>
</file>